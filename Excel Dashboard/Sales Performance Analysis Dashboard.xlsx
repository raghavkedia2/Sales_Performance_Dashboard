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1\Desktop\All Folders\Actuarial Project\Sales analysis dashboard\"/>
    </mc:Choice>
  </mc:AlternateContent>
  <xr:revisionPtr revIDLastSave="0" documentId="13_ncr:1_{6409E984-5CD2-44C3-9849-32DA7C7A87C8}" xr6:coauthVersionLast="47" xr6:coauthVersionMax="47" xr10:uidLastSave="{00000000-0000-0000-0000-000000000000}"/>
  <bookViews>
    <workbookView xWindow="-120" yWindow="-120" windowWidth="20730" windowHeight="11760" activeTab="3" xr2:uid="{1271A5A8-2465-4785-941C-30736FCD53AF}"/>
  </bookViews>
  <sheets>
    <sheet name="orders" sheetId="3" r:id="rId1"/>
    <sheet name="customers" sheetId="4" r:id="rId2"/>
    <sheet name="products" sheetId="2" r:id="rId3"/>
    <sheet name="Project_Info" sheetId="8" r:id="rId4"/>
    <sheet name="Cleaned Data" sheetId="1" r:id="rId5"/>
    <sheet name="Pivot Tables" sheetId="6" r:id="rId6"/>
    <sheet name="Dashboard" sheetId="7" r:id="rId7"/>
  </sheets>
  <definedNames>
    <definedName name="ExternalData_1" localSheetId="1" hidden="1">customers!$A$1:$G$101</definedName>
    <definedName name="ExternalData_1" localSheetId="0" hidden="1">orders!$A$1:$K$1001</definedName>
    <definedName name="ExternalData_1" localSheetId="2" hidden="1">products!$A$1:$F$71</definedName>
    <definedName name="Slicer_Category">#N/A</definedName>
    <definedName name="Slicer_City">#N/A</definedName>
    <definedName name="Slicer_Gender">#N/A</definedName>
    <definedName name="Slicer_Month">#N/A</definedName>
    <definedName name="Slicer_Occasion">#N/A</definedName>
    <definedName name="Slicer_Order_Value_Category">#N/A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4" i="7" l="1"/>
  <c r="O4" i="7"/>
  <c r="M4" i="7"/>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X2" i="1"/>
  <c r="Y2" i="1" s="1"/>
  <c r="X3" i="1"/>
  <c r="Y3" i="1" s="1"/>
  <c r="X4" i="1"/>
  <c r="Y4" i="1" s="1"/>
  <c r="X5" i="1"/>
  <c r="Y5" i="1" s="1"/>
  <c r="X6" i="1"/>
  <c r="Y6" i="1" s="1"/>
  <c r="X7" i="1"/>
  <c r="Y7" i="1" s="1"/>
  <c r="X8" i="1"/>
  <c r="Y8" i="1" s="1"/>
  <c r="X9" i="1"/>
  <c r="Y9" i="1" s="1"/>
  <c r="X10" i="1"/>
  <c r="Y10" i="1" s="1"/>
  <c r="X11" i="1"/>
  <c r="Y11" i="1" s="1"/>
  <c r="X12" i="1"/>
  <c r="Y12" i="1" s="1"/>
  <c r="X13" i="1"/>
  <c r="Y13" i="1" s="1"/>
  <c r="X14" i="1"/>
  <c r="Y14" i="1" s="1"/>
  <c r="X15" i="1"/>
  <c r="Y15" i="1" s="1"/>
  <c r="X16" i="1"/>
  <c r="Y16" i="1" s="1"/>
  <c r="X17" i="1"/>
  <c r="Y17" i="1" s="1"/>
  <c r="X18" i="1"/>
  <c r="Y18" i="1" s="1"/>
  <c r="X19" i="1"/>
  <c r="Y19" i="1" s="1"/>
  <c r="X20" i="1"/>
  <c r="Y20" i="1" s="1"/>
  <c r="X21" i="1"/>
  <c r="Y21" i="1" s="1"/>
  <c r="X22" i="1"/>
  <c r="Y22" i="1" s="1"/>
  <c r="X23" i="1"/>
  <c r="Y23" i="1" s="1"/>
  <c r="X24" i="1"/>
  <c r="Y24" i="1" s="1"/>
  <c r="X25" i="1"/>
  <c r="Y25" i="1" s="1"/>
  <c r="X26" i="1"/>
  <c r="Y26" i="1" s="1"/>
  <c r="X27" i="1"/>
  <c r="Y27" i="1" s="1"/>
  <c r="X28" i="1"/>
  <c r="Y28" i="1" s="1"/>
  <c r="X29" i="1"/>
  <c r="Y29" i="1" s="1"/>
  <c r="X30" i="1"/>
  <c r="Y30" i="1" s="1"/>
  <c r="X31" i="1"/>
  <c r="Y31" i="1" s="1"/>
  <c r="X32" i="1"/>
  <c r="Y32" i="1" s="1"/>
  <c r="X33" i="1"/>
  <c r="Y33" i="1" s="1"/>
  <c r="X34" i="1"/>
  <c r="Y34" i="1" s="1"/>
  <c r="X35" i="1"/>
  <c r="Y35" i="1" s="1"/>
  <c r="X36" i="1"/>
  <c r="Y36" i="1" s="1"/>
  <c r="X37" i="1"/>
  <c r="Y37" i="1" s="1"/>
  <c r="X38" i="1"/>
  <c r="Y38" i="1" s="1"/>
  <c r="X39" i="1"/>
  <c r="Y39" i="1" s="1"/>
  <c r="X40" i="1"/>
  <c r="Y40" i="1" s="1"/>
  <c r="X41" i="1"/>
  <c r="Y41" i="1" s="1"/>
  <c r="X42" i="1"/>
  <c r="Y42" i="1" s="1"/>
  <c r="X43" i="1"/>
  <c r="Y43" i="1" s="1"/>
  <c r="X44" i="1"/>
  <c r="Y44" i="1" s="1"/>
  <c r="X45" i="1"/>
  <c r="Y45" i="1" s="1"/>
  <c r="X46" i="1"/>
  <c r="Y46" i="1" s="1"/>
  <c r="X47" i="1"/>
  <c r="Y47" i="1" s="1"/>
  <c r="X48" i="1"/>
  <c r="Y48" i="1" s="1"/>
  <c r="X49" i="1"/>
  <c r="Y49" i="1" s="1"/>
  <c r="X50" i="1"/>
  <c r="Y50" i="1" s="1"/>
  <c r="X51" i="1"/>
  <c r="Y51" i="1" s="1"/>
  <c r="X52" i="1"/>
  <c r="Y52" i="1" s="1"/>
  <c r="X53" i="1"/>
  <c r="Y53" i="1" s="1"/>
  <c r="X54" i="1"/>
  <c r="Y54" i="1" s="1"/>
  <c r="X55" i="1"/>
  <c r="Y55" i="1" s="1"/>
  <c r="X56" i="1"/>
  <c r="Y56" i="1" s="1"/>
  <c r="X57" i="1"/>
  <c r="Y57" i="1" s="1"/>
  <c r="X58" i="1"/>
  <c r="Y58" i="1" s="1"/>
  <c r="X59" i="1"/>
  <c r="Y59" i="1" s="1"/>
  <c r="X60" i="1"/>
  <c r="Y60" i="1" s="1"/>
  <c r="X61" i="1"/>
  <c r="Y61" i="1" s="1"/>
  <c r="X62" i="1"/>
  <c r="Y62" i="1" s="1"/>
  <c r="X63" i="1"/>
  <c r="Y63" i="1" s="1"/>
  <c r="X64" i="1"/>
  <c r="Y64" i="1" s="1"/>
  <c r="X65" i="1"/>
  <c r="Y65" i="1" s="1"/>
  <c r="X66" i="1"/>
  <c r="Y66" i="1" s="1"/>
  <c r="X67" i="1"/>
  <c r="Y67" i="1" s="1"/>
  <c r="X68" i="1"/>
  <c r="Y68" i="1" s="1"/>
  <c r="X69" i="1"/>
  <c r="Y69" i="1" s="1"/>
  <c r="X70" i="1"/>
  <c r="Y70" i="1" s="1"/>
  <c r="X71" i="1"/>
  <c r="Y71" i="1" s="1"/>
  <c r="X72" i="1"/>
  <c r="Y72" i="1" s="1"/>
  <c r="X73" i="1"/>
  <c r="Y73" i="1" s="1"/>
  <c r="X74" i="1"/>
  <c r="Y74" i="1" s="1"/>
  <c r="X75" i="1"/>
  <c r="Y75" i="1" s="1"/>
  <c r="X76" i="1"/>
  <c r="Y76" i="1" s="1"/>
  <c r="X77" i="1"/>
  <c r="Y77" i="1" s="1"/>
  <c r="X78" i="1"/>
  <c r="Y78" i="1" s="1"/>
  <c r="X79" i="1"/>
  <c r="Y79" i="1" s="1"/>
  <c r="X80" i="1"/>
  <c r="Y80" i="1" s="1"/>
  <c r="X81" i="1"/>
  <c r="Y81" i="1" s="1"/>
  <c r="X82" i="1"/>
  <c r="Y82" i="1" s="1"/>
  <c r="X83" i="1"/>
  <c r="Y83" i="1" s="1"/>
  <c r="X84" i="1"/>
  <c r="Y84" i="1" s="1"/>
  <c r="X85" i="1"/>
  <c r="Y85" i="1" s="1"/>
  <c r="X86" i="1"/>
  <c r="Y86" i="1" s="1"/>
  <c r="X87" i="1"/>
  <c r="Y87" i="1" s="1"/>
  <c r="X88" i="1"/>
  <c r="Y88" i="1" s="1"/>
  <c r="X89" i="1"/>
  <c r="Y89" i="1" s="1"/>
  <c r="X90" i="1"/>
  <c r="Y90" i="1" s="1"/>
  <c r="X91" i="1"/>
  <c r="Y91" i="1" s="1"/>
  <c r="X92" i="1"/>
  <c r="Y92" i="1" s="1"/>
  <c r="X93" i="1"/>
  <c r="Y93" i="1" s="1"/>
  <c r="X94" i="1"/>
  <c r="Y94" i="1" s="1"/>
  <c r="X95" i="1"/>
  <c r="Y95" i="1" s="1"/>
  <c r="X96" i="1"/>
  <c r="Y96" i="1" s="1"/>
  <c r="X97" i="1"/>
  <c r="Y97" i="1" s="1"/>
  <c r="X98" i="1"/>
  <c r="Y98" i="1" s="1"/>
  <c r="X99" i="1"/>
  <c r="Y99" i="1" s="1"/>
  <c r="X100" i="1"/>
  <c r="Y100" i="1" s="1"/>
  <c r="X101" i="1"/>
  <c r="Y101" i="1" s="1"/>
  <c r="X102" i="1"/>
  <c r="Y102" i="1" s="1"/>
  <c r="X103" i="1"/>
  <c r="Y103" i="1" s="1"/>
  <c r="X104" i="1"/>
  <c r="Y104" i="1" s="1"/>
  <c r="X105" i="1"/>
  <c r="Y105" i="1" s="1"/>
  <c r="X106" i="1"/>
  <c r="Y106" i="1" s="1"/>
  <c r="X107" i="1"/>
  <c r="Y107" i="1" s="1"/>
  <c r="X108" i="1"/>
  <c r="Y108" i="1" s="1"/>
  <c r="X109" i="1"/>
  <c r="Y109" i="1" s="1"/>
  <c r="X110" i="1"/>
  <c r="Y110" i="1" s="1"/>
  <c r="X111" i="1"/>
  <c r="Y111" i="1" s="1"/>
  <c r="X112" i="1"/>
  <c r="Y112" i="1" s="1"/>
  <c r="X113" i="1"/>
  <c r="Y113" i="1" s="1"/>
  <c r="X114" i="1"/>
  <c r="Y114" i="1" s="1"/>
  <c r="X115" i="1"/>
  <c r="Y115" i="1" s="1"/>
  <c r="X116" i="1"/>
  <c r="Y116" i="1" s="1"/>
  <c r="X117" i="1"/>
  <c r="Y117" i="1" s="1"/>
  <c r="X118" i="1"/>
  <c r="Y118" i="1" s="1"/>
  <c r="X119" i="1"/>
  <c r="Y119" i="1" s="1"/>
  <c r="X120" i="1"/>
  <c r="Y120" i="1" s="1"/>
  <c r="X121" i="1"/>
  <c r="Y121" i="1" s="1"/>
  <c r="X122" i="1"/>
  <c r="Y122" i="1" s="1"/>
  <c r="X123" i="1"/>
  <c r="Y123" i="1" s="1"/>
  <c r="X124" i="1"/>
  <c r="Y124" i="1" s="1"/>
  <c r="X125" i="1"/>
  <c r="Y125" i="1" s="1"/>
  <c r="X126" i="1"/>
  <c r="Y126" i="1" s="1"/>
  <c r="X127" i="1"/>
  <c r="Y127" i="1" s="1"/>
  <c r="X128" i="1"/>
  <c r="Y128" i="1" s="1"/>
  <c r="X129" i="1"/>
  <c r="Y129" i="1" s="1"/>
  <c r="X130" i="1"/>
  <c r="Y130" i="1" s="1"/>
  <c r="X131" i="1"/>
  <c r="Y131" i="1" s="1"/>
  <c r="X132" i="1"/>
  <c r="Y132" i="1" s="1"/>
  <c r="X133" i="1"/>
  <c r="Y133" i="1" s="1"/>
  <c r="X134" i="1"/>
  <c r="Y134" i="1" s="1"/>
  <c r="X135" i="1"/>
  <c r="Y135" i="1" s="1"/>
  <c r="X136" i="1"/>
  <c r="Y136" i="1" s="1"/>
  <c r="X137" i="1"/>
  <c r="Y137" i="1" s="1"/>
  <c r="X138" i="1"/>
  <c r="Y138" i="1" s="1"/>
  <c r="X139" i="1"/>
  <c r="Y139" i="1" s="1"/>
  <c r="X140" i="1"/>
  <c r="Y140" i="1" s="1"/>
  <c r="X141" i="1"/>
  <c r="Y141" i="1" s="1"/>
  <c r="X142" i="1"/>
  <c r="Y142" i="1" s="1"/>
  <c r="X143" i="1"/>
  <c r="Y143" i="1" s="1"/>
  <c r="X144" i="1"/>
  <c r="Y144" i="1" s="1"/>
  <c r="X145" i="1"/>
  <c r="Y145" i="1" s="1"/>
  <c r="X146" i="1"/>
  <c r="Y146" i="1" s="1"/>
  <c r="X147" i="1"/>
  <c r="Y147" i="1" s="1"/>
  <c r="X148" i="1"/>
  <c r="Y148" i="1" s="1"/>
  <c r="X149" i="1"/>
  <c r="Y149" i="1" s="1"/>
  <c r="X150" i="1"/>
  <c r="Y150" i="1" s="1"/>
  <c r="X151" i="1"/>
  <c r="Y151" i="1" s="1"/>
  <c r="X152" i="1"/>
  <c r="Y152" i="1" s="1"/>
  <c r="X153" i="1"/>
  <c r="Y153" i="1" s="1"/>
  <c r="X154" i="1"/>
  <c r="Y154" i="1" s="1"/>
  <c r="X155" i="1"/>
  <c r="Y155" i="1" s="1"/>
  <c r="X156" i="1"/>
  <c r="Y156" i="1" s="1"/>
  <c r="X157" i="1"/>
  <c r="Y157" i="1" s="1"/>
  <c r="X158" i="1"/>
  <c r="Y158" i="1" s="1"/>
  <c r="X159" i="1"/>
  <c r="Y159" i="1" s="1"/>
  <c r="X160" i="1"/>
  <c r="Y160" i="1" s="1"/>
  <c r="X161" i="1"/>
  <c r="Y161" i="1" s="1"/>
  <c r="X162" i="1"/>
  <c r="Y162" i="1" s="1"/>
  <c r="X163" i="1"/>
  <c r="Y163" i="1" s="1"/>
  <c r="X164" i="1"/>
  <c r="Y164" i="1" s="1"/>
  <c r="X165" i="1"/>
  <c r="Y165" i="1" s="1"/>
  <c r="X166" i="1"/>
  <c r="Y166" i="1" s="1"/>
  <c r="X167" i="1"/>
  <c r="Y167" i="1" s="1"/>
  <c r="X168" i="1"/>
  <c r="Y168" i="1" s="1"/>
  <c r="X169" i="1"/>
  <c r="Y169" i="1" s="1"/>
  <c r="X170" i="1"/>
  <c r="Y170" i="1" s="1"/>
  <c r="X171" i="1"/>
  <c r="Y171" i="1" s="1"/>
  <c r="X172" i="1"/>
  <c r="Y172" i="1" s="1"/>
  <c r="X173" i="1"/>
  <c r="Y173" i="1" s="1"/>
  <c r="X174" i="1"/>
  <c r="Y174" i="1" s="1"/>
  <c r="X175" i="1"/>
  <c r="Y175" i="1" s="1"/>
  <c r="X176" i="1"/>
  <c r="Y176" i="1" s="1"/>
  <c r="X177" i="1"/>
  <c r="Y177" i="1" s="1"/>
  <c r="X178" i="1"/>
  <c r="Y178" i="1" s="1"/>
  <c r="X179" i="1"/>
  <c r="Y179" i="1" s="1"/>
  <c r="X180" i="1"/>
  <c r="Y180" i="1" s="1"/>
  <c r="X181" i="1"/>
  <c r="Y181" i="1" s="1"/>
  <c r="X182" i="1"/>
  <c r="Y182" i="1" s="1"/>
  <c r="X183" i="1"/>
  <c r="Y183" i="1" s="1"/>
  <c r="X184" i="1"/>
  <c r="Y184" i="1" s="1"/>
  <c r="X185" i="1"/>
  <c r="Y185" i="1" s="1"/>
  <c r="X186" i="1"/>
  <c r="Y186" i="1" s="1"/>
  <c r="X187" i="1"/>
  <c r="Y187" i="1" s="1"/>
  <c r="X188" i="1"/>
  <c r="Y188" i="1" s="1"/>
  <c r="X189" i="1"/>
  <c r="Y189" i="1" s="1"/>
  <c r="X190" i="1"/>
  <c r="Y190" i="1" s="1"/>
  <c r="X191" i="1"/>
  <c r="Y191" i="1" s="1"/>
  <c r="X192" i="1"/>
  <c r="Y192" i="1" s="1"/>
  <c r="X193" i="1"/>
  <c r="Y193" i="1" s="1"/>
  <c r="X194" i="1"/>
  <c r="Y194" i="1" s="1"/>
  <c r="X195" i="1"/>
  <c r="Y195" i="1" s="1"/>
  <c r="X196" i="1"/>
  <c r="Y196" i="1" s="1"/>
  <c r="X197" i="1"/>
  <c r="Y197" i="1" s="1"/>
  <c r="X198" i="1"/>
  <c r="Y198" i="1" s="1"/>
  <c r="X199" i="1"/>
  <c r="Y199" i="1" s="1"/>
  <c r="X200" i="1"/>
  <c r="Y200" i="1" s="1"/>
  <c r="X201" i="1"/>
  <c r="Y201" i="1" s="1"/>
  <c r="X202" i="1"/>
  <c r="Y202" i="1" s="1"/>
  <c r="X203" i="1"/>
  <c r="Y203" i="1" s="1"/>
  <c r="X204" i="1"/>
  <c r="Y204" i="1" s="1"/>
  <c r="X205" i="1"/>
  <c r="Y205" i="1" s="1"/>
  <c r="X206" i="1"/>
  <c r="Y206" i="1" s="1"/>
  <c r="X207" i="1"/>
  <c r="Y207" i="1" s="1"/>
  <c r="X208" i="1"/>
  <c r="Y208" i="1" s="1"/>
  <c r="X209" i="1"/>
  <c r="Y209" i="1" s="1"/>
  <c r="X210" i="1"/>
  <c r="Y210" i="1" s="1"/>
  <c r="X211" i="1"/>
  <c r="Y211" i="1" s="1"/>
  <c r="X212" i="1"/>
  <c r="Y212" i="1" s="1"/>
  <c r="X213" i="1"/>
  <c r="Y213" i="1" s="1"/>
  <c r="X214" i="1"/>
  <c r="Y214" i="1" s="1"/>
  <c r="X215" i="1"/>
  <c r="Y215" i="1" s="1"/>
  <c r="X216" i="1"/>
  <c r="Y216" i="1" s="1"/>
  <c r="X217" i="1"/>
  <c r="Y217" i="1" s="1"/>
  <c r="X218" i="1"/>
  <c r="Y218" i="1" s="1"/>
  <c r="X219" i="1"/>
  <c r="Y219" i="1" s="1"/>
  <c r="X220" i="1"/>
  <c r="Y220" i="1" s="1"/>
  <c r="X221" i="1"/>
  <c r="Y221" i="1" s="1"/>
  <c r="X222" i="1"/>
  <c r="Y222" i="1" s="1"/>
  <c r="X223" i="1"/>
  <c r="Y223" i="1" s="1"/>
  <c r="X224" i="1"/>
  <c r="Y224" i="1" s="1"/>
  <c r="X225" i="1"/>
  <c r="Y225" i="1" s="1"/>
  <c r="X226" i="1"/>
  <c r="Y226" i="1" s="1"/>
  <c r="X227" i="1"/>
  <c r="Y227" i="1" s="1"/>
  <c r="X228" i="1"/>
  <c r="Y228" i="1" s="1"/>
  <c r="X229" i="1"/>
  <c r="Y229" i="1" s="1"/>
  <c r="X230" i="1"/>
  <c r="Y230" i="1" s="1"/>
  <c r="X231" i="1"/>
  <c r="Y231" i="1" s="1"/>
  <c r="X232" i="1"/>
  <c r="Y232" i="1" s="1"/>
  <c r="X233" i="1"/>
  <c r="Y233" i="1" s="1"/>
  <c r="X234" i="1"/>
  <c r="Y234" i="1" s="1"/>
  <c r="X235" i="1"/>
  <c r="Y235" i="1" s="1"/>
  <c r="X236" i="1"/>
  <c r="Y236" i="1" s="1"/>
  <c r="X237" i="1"/>
  <c r="Y237" i="1" s="1"/>
  <c r="X238" i="1"/>
  <c r="Y238" i="1" s="1"/>
  <c r="X239" i="1"/>
  <c r="Y239" i="1" s="1"/>
  <c r="X240" i="1"/>
  <c r="Y240" i="1" s="1"/>
  <c r="X241" i="1"/>
  <c r="Y241" i="1" s="1"/>
  <c r="X242" i="1"/>
  <c r="Y242" i="1" s="1"/>
  <c r="X243" i="1"/>
  <c r="Y243" i="1" s="1"/>
  <c r="X244" i="1"/>
  <c r="Y244" i="1" s="1"/>
  <c r="X245" i="1"/>
  <c r="Y245" i="1" s="1"/>
  <c r="X246" i="1"/>
  <c r="Y246" i="1" s="1"/>
  <c r="X247" i="1"/>
  <c r="Y247" i="1" s="1"/>
  <c r="X248" i="1"/>
  <c r="Y248" i="1" s="1"/>
  <c r="X249" i="1"/>
  <c r="Y249" i="1" s="1"/>
  <c r="X250" i="1"/>
  <c r="Y250" i="1" s="1"/>
  <c r="X251" i="1"/>
  <c r="Y251" i="1" s="1"/>
  <c r="X252" i="1"/>
  <c r="Y252" i="1" s="1"/>
  <c r="X253" i="1"/>
  <c r="Y253" i="1" s="1"/>
  <c r="X254" i="1"/>
  <c r="Y254" i="1" s="1"/>
  <c r="X255" i="1"/>
  <c r="Y255" i="1" s="1"/>
  <c r="X256" i="1"/>
  <c r="Y256" i="1" s="1"/>
  <c r="X257" i="1"/>
  <c r="Y257" i="1" s="1"/>
  <c r="X258" i="1"/>
  <c r="Y258" i="1" s="1"/>
  <c r="X259" i="1"/>
  <c r="Y259" i="1" s="1"/>
  <c r="X260" i="1"/>
  <c r="Y260" i="1" s="1"/>
  <c r="X261" i="1"/>
  <c r="Y261" i="1" s="1"/>
  <c r="X262" i="1"/>
  <c r="Y262" i="1" s="1"/>
  <c r="X263" i="1"/>
  <c r="Y263" i="1" s="1"/>
  <c r="X264" i="1"/>
  <c r="Y264" i="1" s="1"/>
  <c r="X265" i="1"/>
  <c r="Y265" i="1" s="1"/>
  <c r="X266" i="1"/>
  <c r="Y266" i="1" s="1"/>
  <c r="X267" i="1"/>
  <c r="Y267" i="1" s="1"/>
  <c r="X268" i="1"/>
  <c r="Y268" i="1" s="1"/>
  <c r="X269" i="1"/>
  <c r="Y269" i="1" s="1"/>
  <c r="X270" i="1"/>
  <c r="Y270" i="1" s="1"/>
  <c r="X271" i="1"/>
  <c r="Y271" i="1" s="1"/>
  <c r="X272" i="1"/>
  <c r="Y272" i="1" s="1"/>
  <c r="X273" i="1"/>
  <c r="Y273" i="1" s="1"/>
  <c r="X274" i="1"/>
  <c r="Y274" i="1" s="1"/>
  <c r="X275" i="1"/>
  <c r="Y275" i="1" s="1"/>
  <c r="X276" i="1"/>
  <c r="Y276" i="1" s="1"/>
  <c r="X277" i="1"/>
  <c r="Y277" i="1" s="1"/>
  <c r="X278" i="1"/>
  <c r="Y278" i="1" s="1"/>
  <c r="X279" i="1"/>
  <c r="Y279" i="1" s="1"/>
  <c r="X280" i="1"/>
  <c r="Y280" i="1" s="1"/>
  <c r="X281" i="1"/>
  <c r="Y281" i="1" s="1"/>
  <c r="X282" i="1"/>
  <c r="Y282" i="1" s="1"/>
  <c r="X283" i="1"/>
  <c r="Y283" i="1" s="1"/>
  <c r="X284" i="1"/>
  <c r="Y284" i="1" s="1"/>
  <c r="X285" i="1"/>
  <c r="Y285" i="1" s="1"/>
  <c r="X286" i="1"/>
  <c r="Y286" i="1" s="1"/>
  <c r="X287" i="1"/>
  <c r="Y287" i="1" s="1"/>
  <c r="X288" i="1"/>
  <c r="Y288" i="1" s="1"/>
  <c r="X289" i="1"/>
  <c r="Y289" i="1" s="1"/>
  <c r="X290" i="1"/>
  <c r="Y290" i="1" s="1"/>
  <c r="X291" i="1"/>
  <c r="Y291" i="1" s="1"/>
  <c r="X292" i="1"/>
  <c r="Y292" i="1" s="1"/>
  <c r="X293" i="1"/>
  <c r="Y293" i="1" s="1"/>
  <c r="X294" i="1"/>
  <c r="Y294" i="1" s="1"/>
  <c r="X295" i="1"/>
  <c r="Y295" i="1" s="1"/>
  <c r="X296" i="1"/>
  <c r="Y296" i="1" s="1"/>
  <c r="X297" i="1"/>
  <c r="Y297" i="1" s="1"/>
  <c r="X298" i="1"/>
  <c r="Y298" i="1" s="1"/>
  <c r="X299" i="1"/>
  <c r="Y299" i="1" s="1"/>
  <c r="X300" i="1"/>
  <c r="Y300" i="1" s="1"/>
  <c r="X301" i="1"/>
  <c r="Y301" i="1" s="1"/>
  <c r="X302" i="1"/>
  <c r="Y302" i="1" s="1"/>
  <c r="X303" i="1"/>
  <c r="Y303" i="1" s="1"/>
  <c r="X304" i="1"/>
  <c r="Y304" i="1" s="1"/>
  <c r="X305" i="1"/>
  <c r="Y305" i="1" s="1"/>
  <c r="X306" i="1"/>
  <c r="Y306" i="1" s="1"/>
  <c r="X307" i="1"/>
  <c r="Y307" i="1" s="1"/>
  <c r="X308" i="1"/>
  <c r="Y308" i="1" s="1"/>
  <c r="X309" i="1"/>
  <c r="Y309" i="1" s="1"/>
  <c r="X310" i="1"/>
  <c r="Y310" i="1" s="1"/>
  <c r="X311" i="1"/>
  <c r="Y311" i="1" s="1"/>
  <c r="X312" i="1"/>
  <c r="Y312" i="1" s="1"/>
  <c r="X313" i="1"/>
  <c r="Y313" i="1" s="1"/>
  <c r="X314" i="1"/>
  <c r="Y314" i="1" s="1"/>
  <c r="X315" i="1"/>
  <c r="Y315" i="1" s="1"/>
  <c r="X316" i="1"/>
  <c r="Y316" i="1" s="1"/>
  <c r="X317" i="1"/>
  <c r="Y317" i="1" s="1"/>
  <c r="X318" i="1"/>
  <c r="Y318" i="1" s="1"/>
  <c r="X319" i="1"/>
  <c r="Y319" i="1" s="1"/>
  <c r="X320" i="1"/>
  <c r="Y320" i="1" s="1"/>
  <c r="X321" i="1"/>
  <c r="Y321" i="1" s="1"/>
  <c r="X322" i="1"/>
  <c r="Y322" i="1" s="1"/>
  <c r="X323" i="1"/>
  <c r="Y323" i="1" s="1"/>
  <c r="X324" i="1"/>
  <c r="Y324" i="1" s="1"/>
  <c r="X325" i="1"/>
  <c r="Y325" i="1" s="1"/>
  <c r="X326" i="1"/>
  <c r="Y326" i="1" s="1"/>
  <c r="X327" i="1"/>
  <c r="Y327" i="1" s="1"/>
  <c r="X328" i="1"/>
  <c r="Y328" i="1" s="1"/>
  <c r="X329" i="1"/>
  <c r="Y329" i="1" s="1"/>
  <c r="X330" i="1"/>
  <c r="Y330" i="1" s="1"/>
  <c r="X331" i="1"/>
  <c r="Y331" i="1" s="1"/>
  <c r="X332" i="1"/>
  <c r="Y332" i="1" s="1"/>
  <c r="X333" i="1"/>
  <c r="Y333" i="1" s="1"/>
  <c r="X334" i="1"/>
  <c r="Y334" i="1" s="1"/>
  <c r="X335" i="1"/>
  <c r="Y335" i="1" s="1"/>
  <c r="X336" i="1"/>
  <c r="Y336" i="1" s="1"/>
  <c r="X337" i="1"/>
  <c r="Y337" i="1" s="1"/>
  <c r="X338" i="1"/>
  <c r="Y338" i="1" s="1"/>
  <c r="X339" i="1"/>
  <c r="Y339" i="1" s="1"/>
  <c r="X340" i="1"/>
  <c r="Y340" i="1" s="1"/>
  <c r="X341" i="1"/>
  <c r="Y341" i="1" s="1"/>
  <c r="X342" i="1"/>
  <c r="Y342" i="1" s="1"/>
  <c r="X343" i="1"/>
  <c r="Y343" i="1" s="1"/>
  <c r="X344" i="1"/>
  <c r="Y344" i="1" s="1"/>
  <c r="X345" i="1"/>
  <c r="Y345" i="1" s="1"/>
  <c r="X346" i="1"/>
  <c r="Y346" i="1" s="1"/>
  <c r="X347" i="1"/>
  <c r="Y347" i="1" s="1"/>
  <c r="X348" i="1"/>
  <c r="Y348" i="1" s="1"/>
  <c r="X349" i="1"/>
  <c r="Y349" i="1" s="1"/>
  <c r="X350" i="1"/>
  <c r="Y350" i="1" s="1"/>
  <c r="X351" i="1"/>
  <c r="Y351" i="1" s="1"/>
  <c r="X352" i="1"/>
  <c r="Y352" i="1" s="1"/>
  <c r="X353" i="1"/>
  <c r="Y353" i="1" s="1"/>
  <c r="X354" i="1"/>
  <c r="Y354" i="1" s="1"/>
  <c r="X355" i="1"/>
  <c r="Y355" i="1" s="1"/>
  <c r="X356" i="1"/>
  <c r="Y356" i="1" s="1"/>
  <c r="X357" i="1"/>
  <c r="Y357" i="1" s="1"/>
  <c r="X358" i="1"/>
  <c r="Y358" i="1" s="1"/>
  <c r="X359" i="1"/>
  <c r="Y359" i="1" s="1"/>
  <c r="X360" i="1"/>
  <c r="Y360" i="1" s="1"/>
  <c r="X361" i="1"/>
  <c r="Y361" i="1" s="1"/>
  <c r="X362" i="1"/>
  <c r="Y362" i="1" s="1"/>
  <c r="X363" i="1"/>
  <c r="Y363" i="1" s="1"/>
  <c r="X364" i="1"/>
  <c r="Y364" i="1" s="1"/>
  <c r="X365" i="1"/>
  <c r="Y365" i="1" s="1"/>
  <c r="X366" i="1"/>
  <c r="Y366" i="1" s="1"/>
  <c r="X367" i="1"/>
  <c r="Y367" i="1" s="1"/>
  <c r="X368" i="1"/>
  <c r="Y368" i="1" s="1"/>
  <c r="X369" i="1"/>
  <c r="Y369" i="1" s="1"/>
  <c r="X370" i="1"/>
  <c r="Y370" i="1" s="1"/>
  <c r="X371" i="1"/>
  <c r="Y371" i="1" s="1"/>
  <c r="X372" i="1"/>
  <c r="Y372" i="1" s="1"/>
  <c r="X373" i="1"/>
  <c r="Y373" i="1" s="1"/>
  <c r="X374" i="1"/>
  <c r="Y374" i="1" s="1"/>
  <c r="X375" i="1"/>
  <c r="Y375" i="1" s="1"/>
  <c r="X376" i="1"/>
  <c r="Y376" i="1" s="1"/>
  <c r="X377" i="1"/>
  <c r="Y377" i="1" s="1"/>
  <c r="X378" i="1"/>
  <c r="Y378" i="1" s="1"/>
  <c r="X379" i="1"/>
  <c r="Y379" i="1" s="1"/>
  <c r="X380" i="1"/>
  <c r="Y380" i="1" s="1"/>
  <c r="X381" i="1"/>
  <c r="Y381" i="1" s="1"/>
  <c r="X382" i="1"/>
  <c r="Y382" i="1" s="1"/>
  <c r="X383" i="1"/>
  <c r="Y383" i="1" s="1"/>
  <c r="X384" i="1"/>
  <c r="Y384" i="1" s="1"/>
  <c r="X385" i="1"/>
  <c r="Y385" i="1" s="1"/>
  <c r="X386" i="1"/>
  <c r="Y386" i="1" s="1"/>
  <c r="X387" i="1"/>
  <c r="Y387" i="1" s="1"/>
  <c r="X388" i="1"/>
  <c r="Y388" i="1" s="1"/>
  <c r="X389" i="1"/>
  <c r="Y389" i="1" s="1"/>
  <c r="X390" i="1"/>
  <c r="Y390" i="1" s="1"/>
  <c r="X391" i="1"/>
  <c r="Y391" i="1" s="1"/>
  <c r="X392" i="1"/>
  <c r="Y392" i="1" s="1"/>
  <c r="X393" i="1"/>
  <c r="Y393" i="1" s="1"/>
  <c r="X394" i="1"/>
  <c r="Y394" i="1" s="1"/>
  <c r="X395" i="1"/>
  <c r="Y395" i="1" s="1"/>
  <c r="X396" i="1"/>
  <c r="Y396" i="1" s="1"/>
  <c r="X397" i="1"/>
  <c r="Y397" i="1" s="1"/>
  <c r="X398" i="1"/>
  <c r="Y398" i="1" s="1"/>
  <c r="X399" i="1"/>
  <c r="Y399" i="1" s="1"/>
  <c r="X400" i="1"/>
  <c r="Y400" i="1" s="1"/>
  <c r="X401" i="1"/>
  <c r="Y401" i="1" s="1"/>
  <c r="X402" i="1"/>
  <c r="Y402" i="1" s="1"/>
  <c r="X403" i="1"/>
  <c r="Y403" i="1" s="1"/>
  <c r="X404" i="1"/>
  <c r="Y404" i="1" s="1"/>
  <c r="X405" i="1"/>
  <c r="Y405" i="1" s="1"/>
  <c r="X406" i="1"/>
  <c r="Y406" i="1" s="1"/>
  <c r="X407" i="1"/>
  <c r="Y407" i="1" s="1"/>
  <c r="X408" i="1"/>
  <c r="Y408" i="1" s="1"/>
  <c r="X409" i="1"/>
  <c r="Y409" i="1" s="1"/>
  <c r="X410" i="1"/>
  <c r="Y410" i="1" s="1"/>
  <c r="X411" i="1"/>
  <c r="Y411" i="1" s="1"/>
  <c r="X412" i="1"/>
  <c r="Y412" i="1" s="1"/>
  <c r="X413" i="1"/>
  <c r="Y413" i="1" s="1"/>
  <c r="X414" i="1"/>
  <c r="Y414" i="1" s="1"/>
  <c r="X415" i="1"/>
  <c r="Y415" i="1" s="1"/>
  <c r="X416" i="1"/>
  <c r="Y416" i="1" s="1"/>
  <c r="X417" i="1"/>
  <c r="Y417" i="1" s="1"/>
  <c r="X418" i="1"/>
  <c r="Y418" i="1" s="1"/>
  <c r="X419" i="1"/>
  <c r="Y419" i="1" s="1"/>
  <c r="X420" i="1"/>
  <c r="Y420" i="1" s="1"/>
  <c r="X421" i="1"/>
  <c r="Y421" i="1" s="1"/>
  <c r="X422" i="1"/>
  <c r="Y422" i="1" s="1"/>
  <c r="X423" i="1"/>
  <c r="Y423" i="1" s="1"/>
  <c r="X424" i="1"/>
  <c r="Y424" i="1" s="1"/>
  <c r="X425" i="1"/>
  <c r="Y425" i="1" s="1"/>
  <c r="X426" i="1"/>
  <c r="Y426" i="1" s="1"/>
  <c r="X427" i="1"/>
  <c r="Y427" i="1" s="1"/>
  <c r="X428" i="1"/>
  <c r="Y428" i="1" s="1"/>
  <c r="X429" i="1"/>
  <c r="Y429" i="1" s="1"/>
  <c r="X430" i="1"/>
  <c r="Y430" i="1" s="1"/>
  <c r="X431" i="1"/>
  <c r="Y431" i="1" s="1"/>
  <c r="X432" i="1"/>
  <c r="Y432" i="1" s="1"/>
  <c r="X433" i="1"/>
  <c r="Y433" i="1" s="1"/>
  <c r="X434" i="1"/>
  <c r="Y434" i="1" s="1"/>
  <c r="X435" i="1"/>
  <c r="Y435" i="1" s="1"/>
  <c r="X436" i="1"/>
  <c r="Y436" i="1" s="1"/>
  <c r="X437" i="1"/>
  <c r="Y437" i="1" s="1"/>
  <c r="X438" i="1"/>
  <c r="Y438" i="1" s="1"/>
  <c r="X439" i="1"/>
  <c r="Y439" i="1" s="1"/>
  <c r="X440" i="1"/>
  <c r="Y440" i="1" s="1"/>
  <c r="X441" i="1"/>
  <c r="Y441" i="1" s="1"/>
  <c r="X442" i="1"/>
  <c r="Y442" i="1" s="1"/>
  <c r="X443" i="1"/>
  <c r="Y443" i="1" s="1"/>
  <c r="X444" i="1"/>
  <c r="Y444" i="1" s="1"/>
  <c r="X445" i="1"/>
  <c r="Y445" i="1" s="1"/>
  <c r="X446" i="1"/>
  <c r="Y446" i="1" s="1"/>
  <c r="X447" i="1"/>
  <c r="Y447" i="1" s="1"/>
  <c r="X448" i="1"/>
  <c r="Y448" i="1" s="1"/>
  <c r="X449" i="1"/>
  <c r="Y449" i="1" s="1"/>
  <c r="X450" i="1"/>
  <c r="Y450" i="1" s="1"/>
  <c r="X451" i="1"/>
  <c r="Y451" i="1" s="1"/>
  <c r="X452" i="1"/>
  <c r="Y452" i="1" s="1"/>
  <c r="X453" i="1"/>
  <c r="Y453" i="1" s="1"/>
  <c r="X454" i="1"/>
  <c r="Y454" i="1" s="1"/>
  <c r="X455" i="1"/>
  <c r="Y455" i="1" s="1"/>
  <c r="X456" i="1"/>
  <c r="Y456" i="1" s="1"/>
  <c r="X457" i="1"/>
  <c r="Y457" i="1" s="1"/>
  <c r="X458" i="1"/>
  <c r="Y458" i="1" s="1"/>
  <c r="X459" i="1"/>
  <c r="Y459" i="1" s="1"/>
  <c r="X460" i="1"/>
  <c r="Y460" i="1" s="1"/>
  <c r="X461" i="1"/>
  <c r="Y461" i="1" s="1"/>
  <c r="X462" i="1"/>
  <c r="Y462" i="1" s="1"/>
  <c r="X463" i="1"/>
  <c r="Y463" i="1" s="1"/>
  <c r="X464" i="1"/>
  <c r="Y464" i="1" s="1"/>
  <c r="X465" i="1"/>
  <c r="Y465" i="1" s="1"/>
  <c r="X466" i="1"/>
  <c r="Y466" i="1" s="1"/>
  <c r="X467" i="1"/>
  <c r="Y467" i="1" s="1"/>
  <c r="X468" i="1"/>
  <c r="Y468" i="1" s="1"/>
  <c r="X469" i="1"/>
  <c r="Y469" i="1" s="1"/>
  <c r="X470" i="1"/>
  <c r="Y470" i="1" s="1"/>
  <c r="X471" i="1"/>
  <c r="Y471" i="1" s="1"/>
  <c r="X472" i="1"/>
  <c r="Y472" i="1" s="1"/>
  <c r="X473" i="1"/>
  <c r="Y473" i="1" s="1"/>
  <c r="X474" i="1"/>
  <c r="Y474" i="1" s="1"/>
  <c r="X475" i="1"/>
  <c r="Y475" i="1" s="1"/>
  <c r="X476" i="1"/>
  <c r="Y476" i="1" s="1"/>
  <c r="X477" i="1"/>
  <c r="Y477" i="1" s="1"/>
  <c r="X478" i="1"/>
  <c r="Y478" i="1" s="1"/>
  <c r="X479" i="1"/>
  <c r="Y479" i="1" s="1"/>
  <c r="X480" i="1"/>
  <c r="Y480" i="1" s="1"/>
  <c r="X481" i="1"/>
  <c r="Y481" i="1" s="1"/>
  <c r="X482" i="1"/>
  <c r="Y482" i="1" s="1"/>
  <c r="X483" i="1"/>
  <c r="Y483" i="1" s="1"/>
  <c r="X484" i="1"/>
  <c r="Y484" i="1" s="1"/>
  <c r="X485" i="1"/>
  <c r="Y485" i="1" s="1"/>
  <c r="X486" i="1"/>
  <c r="Y486" i="1" s="1"/>
  <c r="X487" i="1"/>
  <c r="Y487" i="1" s="1"/>
  <c r="X488" i="1"/>
  <c r="Y488" i="1" s="1"/>
  <c r="X489" i="1"/>
  <c r="Y489" i="1" s="1"/>
  <c r="X490" i="1"/>
  <c r="Y490" i="1" s="1"/>
  <c r="X491" i="1"/>
  <c r="Y491" i="1" s="1"/>
  <c r="X492" i="1"/>
  <c r="Y492" i="1" s="1"/>
  <c r="X493" i="1"/>
  <c r="Y493" i="1" s="1"/>
  <c r="X494" i="1"/>
  <c r="Y494" i="1" s="1"/>
  <c r="X495" i="1"/>
  <c r="Y495" i="1" s="1"/>
  <c r="X496" i="1"/>
  <c r="Y496" i="1" s="1"/>
  <c r="X497" i="1"/>
  <c r="Y497" i="1" s="1"/>
  <c r="X498" i="1"/>
  <c r="Y498" i="1" s="1"/>
  <c r="X499" i="1"/>
  <c r="Y499" i="1" s="1"/>
  <c r="X500" i="1"/>
  <c r="Y500" i="1" s="1"/>
  <c r="X501" i="1"/>
  <c r="Y501" i="1" s="1"/>
  <c r="X502" i="1"/>
  <c r="Y502" i="1" s="1"/>
  <c r="X503" i="1"/>
  <c r="Y503" i="1" s="1"/>
  <c r="X504" i="1"/>
  <c r="Y504" i="1" s="1"/>
  <c r="X505" i="1"/>
  <c r="Y505" i="1" s="1"/>
  <c r="X506" i="1"/>
  <c r="Y506" i="1" s="1"/>
  <c r="X507" i="1"/>
  <c r="Y507" i="1" s="1"/>
  <c r="X508" i="1"/>
  <c r="Y508" i="1" s="1"/>
  <c r="X509" i="1"/>
  <c r="Y509" i="1" s="1"/>
  <c r="X510" i="1"/>
  <c r="Y510" i="1" s="1"/>
  <c r="X511" i="1"/>
  <c r="Y511" i="1" s="1"/>
  <c r="X512" i="1"/>
  <c r="Y512" i="1" s="1"/>
  <c r="X513" i="1"/>
  <c r="Y513" i="1" s="1"/>
  <c r="X514" i="1"/>
  <c r="Y514" i="1" s="1"/>
  <c r="X515" i="1"/>
  <c r="Y515" i="1" s="1"/>
  <c r="X516" i="1"/>
  <c r="Y516" i="1" s="1"/>
  <c r="X517" i="1"/>
  <c r="Y517" i="1" s="1"/>
  <c r="X518" i="1"/>
  <c r="Y518" i="1" s="1"/>
  <c r="X519" i="1"/>
  <c r="Y519" i="1" s="1"/>
  <c r="X520" i="1"/>
  <c r="Y520" i="1" s="1"/>
  <c r="X521" i="1"/>
  <c r="Y521" i="1" s="1"/>
  <c r="X522" i="1"/>
  <c r="Y522" i="1" s="1"/>
  <c r="X523" i="1"/>
  <c r="Y523" i="1" s="1"/>
  <c r="X524" i="1"/>
  <c r="Y524" i="1" s="1"/>
  <c r="X525" i="1"/>
  <c r="Y525" i="1" s="1"/>
  <c r="X526" i="1"/>
  <c r="Y526" i="1" s="1"/>
  <c r="X527" i="1"/>
  <c r="Y527" i="1" s="1"/>
  <c r="X528" i="1"/>
  <c r="Y528" i="1" s="1"/>
  <c r="X529" i="1"/>
  <c r="Y529" i="1" s="1"/>
  <c r="X530" i="1"/>
  <c r="Y530" i="1" s="1"/>
  <c r="X531" i="1"/>
  <c r="Y531" i="1" s="1"/>
  <c r="X532" i="1"/>
  <c r="Y532" i="1" s="1"/>
  <c r="X533" i="1"/>
  <c r="Y533" i="1" s="1"/>
  <c r="X534" i="1"/>
  <c r="Y534" i="1" s="1"/>
  <c r="X535" i="1"/>
  <c r="Y535" i="1" s="1"/>
  <c r="X536" i="1"/>
  <c r="Y536" i="1" s="1"/>
  <c r="X537" i="1"/>
  <c r="Y537" i="1" s="1"/>
  <c r="X538" i="1"/>
  <c r="Y538" i="1" s="1"/>
  <c r="X539" i="1"/>
  <c r="Y539" i="1" s="1"/>
  <c r="X540" i="1"/>
  <c r="Y540" i="1" s="1"/>
  <c r="X541" i="1"/>
  <c r="Y541" i="1" s="1"/>
  <c r="X542" i="1"/>
  <c r="Y542" i="1" s="1"/>
  <c r="X543" i="1"/>
  <c r="Y543" i="1" s="1"/>
  <c r="X544" i="1"/>
  <c r="Y544" i="1" s="1"/>
  <c r="X545" i="1"/>
  <c r="Y545" i="1" s="1"/>
  <c r="X546" i="1"/>
  <c r="Y546" i="1" s="1"/>
  <c r="X547" i="1"/>
  <c r="Y547" i="1" s="1"/>
  <c r="X548" i="1"/>
  <c r="Y548" i="1" s="1"/>
  <c r="X549" i="1"/>
  <c r="Y549" i="1" s="1"/>
  <c r="X550" i="1"/>
  <c r="Y550" i="1" s="1"/>
  <c r="X551" i="1"/>
  <c r="Y551" i="1" s="1"/>
  <c r="X552" i="1"/>
  <c r="Y552" i="1" s="1"/>
  <c r="X553" i="1"/>
  <c r="Y553" i="1" s="1"/>
  <c r="X554" i="1"/>
  <c r="Y554" i="1" s="1"/>
  <c r="X555" i="1"/>
  <c r="Y555" i="1" s="1"/>
  <c r="X556" i="1"/>
  <c r="Y556" i="1" s="1"/>
  <c r="X557" i="1"/>
  <c r="Y557" i="1" s="1"/>
  <c r="X558" i="1"/>
  <c r="Y558" i="1" s="1"/>
  <c r="X559" i="1"/>
  <c r="Y559" i="1" s="1"/>
  <c r="X560" i="1"/>
  <c r="Y560" i="1" s="1"/>
  <c r="X561" i="1"/>
  <c r="Y561" i="1" s="1"/>
  <c r="X562" i="1"/>
  <c r="Y562" i="1" s="1"/>
  <c r="X563" i="1"/>
  <c r="Y563" i="1" s="1"/>
  <c r="X564" i="1"/>
  <c r="Y564" i="1" s="1"/>
  <c r="X565" i="1"/>
  <c r="Y565" i="1" s="1"/>
  <c r="X566" i="1"/>
  <c r="Y566" i="1" s="1"/>
  <c r="X567" i="1"/>
  <c r="Y567" i="1" s="1"/>
  <c r="X568" i="1"/>
  <c r="Y568" i="1" s="1"/>
  <c r="X569" i="1"/>
  <c r="Y569" i="1" s="1"/>
  <c r="X570" i="1"/>
  <c r="Y570" i="1" s="1"/>
  <c r="X571" i="1"/>
  <c r="Y571" i="1" s="1"/>
  <c r="X572" i="1"/>
  <c r="Y572" i="1" s="1"/>
  <c r="X573" i="1"/>
  <c r="Y573" i="1" s="1"/>
  <c r="X574" i="1"/>
  <c r="Y574" i="1" s="1"/>
  <c r="X575" i="1"/>
  <c r="Y575" i="1" s="1"/>
  <c r="X576" i="1"/>
  <c r="Y576" i="1" s="1"/>
  <c r="X577" i="1"/>
  <c r="Y577" i="1" s="1"/>
  <c r="X578" i="1"/>
  <c r="Y578" i="1" s="1"/>
  <c r="X579" i="1"/>
  <c r="Y579" i="1" s="1"/>
  <c r="X580" i="1"/>
  <c r="Y580" i="1" s="1"/>
  <c r="X581" i="1"/>
  <c r="Y581" i="1" s="1"/>
  <c r="X582" i="1"/>
  <c r="Y582" i="1" s="1"/>
  <c r="X583" i="1"/>
  <c r="Y583" i="1" s="1"/>
  <c r="X584" i="1"/>
  <c r="Y584" i="1" s="1"/>
  <c r="X585" i="1"/>
  <c r="Y585" i="1" s="1"/>
  <c r="X586" i="1"/>
  <c r="Y586" i="1" s="1"/>
  <c r="X587" i="1"/>
  <c r="Y587" i="1" s="1"/>
  <c r="X588" i="1"/>
  <c r="Y588" i="1" s="1"/>
  <c r="X589" i="1"/>
  <c r="Y589" i="1" s="1"/>
  <c r="X590" i="1"/>
  <c r="Y590" i="1" s="1"/>
  <c r="X591" i="1"/>
  <c r="Y591" i="1" s="1"/>
  <c r="X592" i="1"/>
  <c r="Y592" i="1" s="1"/>
  <c r="X593" i="1"/>
  <c r="Y593" i="1" s="1"/>
  <c r="X594" i="1"/>
  <c r="Y594" i="1" s="1"/>
  <c r="X595" i="1"/>
  <c r="Y595" i="1" s="1"/>
  <c r="X596" i="1"/>
  <c r="Y596" i="1" s="1"/>
  <c r="X597" i="1"/>
  <c r="Y597" i="1" s="1"/>
  <c r="X598" i="1"/>
  <c r="Y598" i="1" s="1"/>
  <c r="X599" i="1"/>
  <c r="Y599" i="1" s="1"/>
  <c r="X600" i="1"/>
  <c r="Y600" i="1" s="1"/>
  <c r="X601" i="1"/>
  <c r="Y601" i="1" s="1"/>
  <c r="X602" i="1"/>
  <c r="Y602" i="1" s="1"/>
  <c r="X603" i="1"/>
  <c r="Y603" i="1" s="1"/>
  <c r="X604" i="1"/>
  <c r="Y604" i="1" s="1"/>
  <c r="X605" i="1"/>
  <c r="Y605" i="1" s="1"/>
  <c r="X606" i="1"/>
  <c r="Y606" i="1" s="1"/>
  <c r="X607" i="1"/>
  <c r="Y607" i="1" s="1"/>
  <c r="X608" i="1"/>
  <c r="Y608" i="1" s="1"/>
  <c r="X609" i="1"/>
  <c r="Y609" i="1" s="1"/>
  <c r="X610" i="1"/>
  <c r="Y610" i="1" s="1"/>
  <c r="X611" i="1"/>
  <c r="Y611" i="1" s="1"/>
  <c r="X612" i="1"/>
  <c r="Y612" i="1" s="1"/>
  <c r="X613" i="1"/>
  <c r="Y613" i="1" s="1"/>
  <c r="X614" i="1"/>
  <c r="Y614" i="1" s="1"/>
  <c r="X615" i="1"/>
  <c r="Y615" i="1" s="1"/>
  <c r="X616" i="1"/>
  <c r="Y616" i="1" s="1"/>
  <c r="X617" i="1"/>
  <c r="Y617" i="1" s="1"/>
  <c r="X618" i="1"/>
  <c r="Y618" i="1" s="1"/>
  <c r="X619" i="1"/>
  <c r="Y619" i="1" s="1"/>
  <c r="X620" i="1"/>
  <c r="Y620" i="1" s="1"/>
  <c r="X621" i="1"/>
  <c r="Y621" i="1" s="1"/>
  <c r="X622" i="1"/>
  <c r="Y622" i="1" s="1"/>
  <c r="X623" i="1"/>
  <c r="Y623" i="1" s="1"/>
  <c r="X624" i="1"/>
  <c r="Y624" i="1" s="1"/>
  <c r="X625" i="1"/>
  <c r="Y625" i="1" s="1"/>
  <c r="X626" i="1"/>
  <c r="Y626" i="1" s="1"/>
  <c r="X627" i="1"/>
  <c r="Y627" i="1" s="1"/>
  <c r="X628" i="1"/>
  <c r="Y628" i="1" s="1"/>
  <c r="X629" i="1"/>
  <c r="Y629" i="1" s="1"/>
  <c r="X630" i="1"/>
  <c r="Y630" i="1" s="1"/>
  <c r="X631" i="1"/>
  <c r="Y631" i="1" s="1"/>
  <c r="X632" i="1"/>
  <c r="Y632" i="1" s="1"/>
  <c r="X633" i="1"/>
  <c r="Y633" i="1" s="1"/>
  <c r="X634" i="1"/>
  <c r="Y634" i="1" s="1"/>
  <c r="X635" i="1"/>
  <c r="Y635" i="1" s="1"/>
  <c r="X636" i="1"/>
  <c r="Y636" i="1" s="1"/>
  <c r="X637" i="1"/>
  <c r="Y637" i="1" s="1"/>
  <c r="X638" i="1"/>
  <c r="Y638" i="1" s="1"/>
  <c r="X639" i="1"/>
  <c r="Y639" i="1" s="1"/>
  <c r="X640" i="1"/>
  <c r="Y640" i="1" s="1"/>
  <c r="X641" i="1"/>
  <c r="Y641" i="1" s="1"/>
  <c r="X642" i="1"/>
  <c r="Y642" i="1" s="1"/>
  <c r="X643" i="1"/>
  <c r="Y643" i="1" s="1"/>
  <c r="X644" i="1"/>
  <c r="Y644" i="1" s="1"/>
  <c r="X645" i="1"/>
  <c r="Y645" i="1" s="1"/>
  <c r="X646" i="1"/>
  <c r="Y646" i="1" s="1"/>
  <c r="X647" i="1"/>
  <c r="Y647" i="1" s="1"/>
  <c r="X648" i="1"/>
  <c r="Y648" i="1" s="1"/>
  <c r="X649" i="1"/>
  <c r="Y649" i="1" s="1"/>
  <c r="X650" i="1"/>
  <c r="Y650" i="1" s="1"/>
  <c r="X651" i="1"/>
  <c r="Y651" i="1" s="1"/>
  <c r="X652" i="1"/>
  <c r="Y652" i="1" s="1"/>
  <c r="X653" i="1"/>
  <c r="Y653" i="1" s="1"/>
  <c r="X654" i="1"/>
  <c r="Y654" i="1" s="1"/>
  <c r="X655" i="1"/>
  <c r="Y655" i="1" s="1"/>
  <c r="X656" i="1"/>
  <c r="Y656" i="1" s="1"/>
  <c r="X657" i="1"/>
  <c r="Y657" i="1" s="1"/>
  <c r="X658" i="1"/>
  <c r="Y658" i="1" s="1"/>
  <c r="X659" i="1"/>
  <c r="Y659" i="1" s="1"/>
  <c r="X660" i="1"/>
  <c r="Y660" i="1" s="1"/>
  <c r="X661" i="1"/>
  <c r="Y661" i="1" s="1"/>
  <c r="X662" i="1"/>
  <c r="Y662" i="1" s="1"/>
  <c r="X663" i="1"/>
  <c r="Y663" i="1" s="1"/>
  <c r="X664" i="1"/>
  <c r="Y664" i="1" s="1"/>
  <c r="X665" i="1"/>
  <c r="Y665" i="1" s="1"/>
  <c r="X666" i="1"/>
  <c r="Y666" i="1" s="1"/>
  <c r="X667" i="1"/>
  <c r="Y667" i="1" s="1"/>
  <c r="X668" i="1"/>
  <c r="Y668" i="1" s="1"/>
  <c r="X669" i="1"/>
  <c r="Y669" i="1" s="1"/>
  <c r="X670" i="1"/>
  <c r="Y670" i="1" s="1"/>
  <c r="X671" i="1"/>
  <c r="Y671" i="1" s="1"/>
  <c r="X672" i="1"/>
  <c r="Y672" i="1" s="1"/>
  <c r="X673" i="1"/>
  <c r="Y673" i="1" s="1"/>
  <c r="X674" i="1"/>
  <c r="Y674" i="1" s="1"/>
  <c r="X675" i="1"/>
  <c r="Y675" i="1" s="1"/>
  <c r="X676" i="1"/>
  <c r="Y676" i="1" s="1"/>
  <c r="X677" i="1"/>
  <c r="Y677" i="1" s="1"/>
  <c r="X678" i="1"/>
  <c r="Y678" i="1" s="1"/>
  <c r="X679" i="1"/>
  <c r="Y679" i="1" s="1"/>
  <c r="X680" i="1"/>
  <c r="Y680" i="1" s="1"/>
  <c r="X681" i="1"/>
  <c r="Y681" i="1" s="1"/>
  <c r="X682" i="1"/>
  <c r="Y682" i="1" s="1"/>
  <c r="X683" i="1"/>
  <c r="Y683" i="1" s="1"/>
  <c r="X684" i="1"/>
  <c r="Y684" i="1" s="1"/>
  <c r="X685" i="1"/>
  <c r="Y685" i="1" s="1"/>
  <c r="X686" i="1"/>
  <c r="Y686" i="1" s="1"/>
  <c r="X687" i="1"/>
  <c r="Y687" i="1" s="1"/>
  <c r="X688" i="1"/>
  <c r="Y688" i="1" s="1"/>
  <c r="X689" i="1"/>
  <c r="Y689" i="1" s="1"/>
  <c r="X690" i="1"/>
  <c r="Y690" i="1" s="1"/>
  <c r="X691" i="1"/>
  <c r="Y691" i="1" s="1"/>
  <c r="X692" i="1"/>
  <c r="Y692" i="1" s="1"/>
  <c r="X693" i="1"/>
  <c r="Y693" i="1" s="1"/>
  <c r="X694" i="1"/>
  <c r="Y694" i="1" s="1"/>
  <c r="X695" i="1"/>
  <c r="Y695" i="1" s="1"/>
  <c r="X696" i="1"/>
  <c r="Y696" i="1" s="1"/>
  <c r="X697" i="1"/>
  <c r="Y697" i="1" s="1"/>
  <c r="X698" i="1"/>
  <c r="Y698" i="1" s="1"/>
  <c r="X699" i="1"/>
  <c r="Y699" i="1" s="1"/>
  <c r="X700" i="1"/>
  <c r="Y700" i="1" s="1"/>
  <c r="X701" i="1"/>
  <c r="Y701" i="1" s="1"/>
  <c r="X702" i="1"/>
  <c r="Y702" i="1" s="1"/>
  <c r="X703" i="1"/>
  <c r="Y703" i="1" s="1"/>
  <c r="X704" i="1"/>
  <c r="Y704" i="1" s="1"/>
  <c r="X705" i="1"/>
  <c r="Y705" i="1" s="1"/>
  <c r="X706" i="1"/>
  <c r="Y706" i="1" s="1"/>
  <c r="X707" i="1"/>
  <c r="Y707" i="1" s="1"/>
  <c r="X708" i="1"/>
  <c r="Y708" i="1" s="1"/>
  <c r="X709" i="1"/>
  <c r="Y709" i="1" s="1"/>
  <c r="X710" i="1"/>
  <c r="Y710" i="1" s="1"/>
  <c r="X711" i="1"/>
  <c r="Y711" i="1" s="1"/>
  <c r="X712" i="1"/>
  <c r="Y712" i="1" s="1"/>
  <c r="X713" i="1"/>
  <c r="Y713" i="1" s="1"/>
  <c r="X714" i="1"/>
  <c r="Y714" i="1" s="1"/>
  <c r="X715" i="1"/>
  <c r="Y715" i="1" s="1"/>
  <c r="X716" i="1"/>
  <c r="Y716" i="1" s="1"/>
  <c r="X717" i="1"/>
  <c r="Y717" i="1" s="1"/>
  <c r="X718" i="1"/>
  <c r="Y718" i="1" s="1"/>
  <c r="X719" i="1"/>
  <c r="Y719" i="1" s="1"/>
  <c r="X720" i="1"/>
  <c r="Y720" i="1" s="1"/>
  <c r="X721" i="1"/>
  <c r="Y721" i="1" s="1"/>
  <c r="X722" i="1"/>
  <c r="Y722" i="1" s="1"/>
  <c r="X723" i="1"/>
  <c r="Y723" i="1" s="1"/>
  <c r="X724" i="1"/>
  <c r="Y724" i="1" s="1"/>
  <c r="X725" i="1"/>
  <c r="Y725" i="1" s="1"/>
  <c r="X726" i="1"/>
  <c r="Y726" i="1" s="1"/>
  <c r="X727" i="1"/>
  <c r="Y727" i="1" s="1"/>
  <c r="X728" i="1"/>
  <c r="Y728" i="1" s="1"/>
  <c r="X729" i="1"/>
  <c r="Y729" i="1" s="1"/>
  <c r="X730" i="1"/>
  <c r="Y730" i="1" s="1"/>
  <c r="X731" i="1"/>
  <c r="Y731" i="1" s="1"/>
  <c r="X732" i="1"/>
  <c r="Y732" i="1" s="1"/>
  <c r="X733" i="1"/>
  <c r="Y733" i="1" s="1"/>
  <c r="X734" i="1"/>
  <c r="Y734" i="1" s="1"/>
  <c r="X735" i="1"/>
  <c r="Y735" i="1" s="1"/>
  <c r="X736" i="1"/>
  <c r="Y736" i="1" s="1"/>
  <c r="X737" i="1"/>
  <c r="Y737" i="1" s="1"/>
  <c r="X738" i="1"/>
  <c r="Y738" i="1" s="1"/>
  <c r="X739" i="1"/>
  <c r="Y739" i="1" s="1"/>
  <c r="X740" i="1"/>
  <c r="Y740" i="1" s="1"/>
  <c r="X741" i="1"/>
  <c r="Y741" i="1" s="1"/>
  <c r="X742" i="1"/>
  <c r="Y742" i="1" s="1"/>
  <c r="X743" i="1"/>
  <c r="Y743" i="1" s="1"/>
  <c r="X744" i="1"/>
  <c r="Y744" i="1" s="1"/>
  <c r="X745" i="1"/>
  <c r="Y745" i="1" s="1"/>
  <c r="X746" i="1"/>
  <c r="Y746" i="1" s="1"/>
  <c r="X747" i="1"/>
  <c r="Y747" i="1" s="1"/>
  <c r="X748" i="1"/>
  <c r="Y748" i="1" s="1"/>
  <c r="X749" i="1"/>
  <c r="Y749" i="1" s="1"/>
  <c r="X750" i="1"/>
  <c r="Y750" i="1" s="1"/>
  <c r="X751" i="1"/>
  <c r="Y751" i="1" s="1"/>
  <c r="X752" i="1"/>
  <c r="Y752" i="1" s="1"/>
  <c r="X753" i="1"/>
  <c r="Y753" i="1" s="1"/>
  <c r="X754" i="1"/>
  <c r="Y754" i="1" s="1"/>
  <c r="X755" i="1"/>
  <c r="Y755" i="1" s="1"/>
  <c r="X756" i="1"/>
  <c r="Y756" i="1" s="1"/>
  <c r="X757" i="1"/>
  <c r="Y757" i="1" s="1"/>
  <c r="X758" i="1"/>
  <c r="Y758" i="1" s="1"/>
  <c r="X759" i="1"/>
  <c r="Y759" i="1" s="1"/>
  <c r="X760" i="1"/>
  <c r="Y760" i="1" s="1"/>
  <c r="X761" i="1"/>
  <c r="Y761" i="1" s="1"/>
  <c r="X762" i="1"/>
  <c r="Y762" i="1" s="1"/>
  <c r="X763" i="1"/>
  <c r="Y763" i="1" s="1"/>
  <c r="X764" i="1"/>
  <c r="Y764" i="1" s="1"/>
  <c r="X765" i="1"/>
  <c r="Y765" i="1" s="1"/>
  <c r="X766" i="1"/>
  <c r="Y766" i="1" s="1"/>
  <c r="X767" i="1"/>
  <c r="Y767" i="1" s="1"/>
  <c r="X768" i="1"/>
  <c r="Y768" i="1" s="1"/>
  <c r="X769" i="1"/>
  <c r="Y769" i="1" s="1"/>
  <c r="X770" i="1"/>
  <c r="Y770" i="1" s="1"/>
  <c r="X771" i="1"/>
  <c r="Y771" i="1" s="1"/>
  <c r="X772" i="1"/>
  <c r="Y772" i="1" s="1"/>
  <c r="X773" i="1"/>
  <c r="Y773" i="1" s="1"/>
  <c r="X774" i="1"/>
  <c r="Y774" i="1" s="1"/>
  <c r="X775" i="1"/>
  <c r="Y775" i="1" s="1"/>
  <c r="X776" i="1"/>
  <c r="Y776" i="1" s="1"/>
  <c r="X777" i="1"/>
  <c r="Y777" i="1" s="1"/>
  <c r="X778" i="1"/>
  <c r="Y778" i="1" s="1"/>
  <c r="X779" i="1"/>
  <c r="Y779" i="1" s="1"/>
  <c r="X780" i="1"/>
  <c r="Y780" i="1" s="1"/>
  <c r="X781" i="1"/>
  <c r="Y781" i="1" s="1"/>
  <c r="X782" i="1"/>
  <c r="Y782" i="1" s="1"/>
  <c r="X783" i="1"/>
  <c r="Y783" i="1" s="1"/>
  <c r="X784" i="1"/>
  <c r="Y784" i="1" s="1"/>
  <c r="X785" i="1"/>
  <c r="Y785" i="1" s="1"/>
  <c r="X786" i="1"/>
  <c r="Y786" i="1" s="1"/>
  <c r="X787" i="1"/>
  <c r="Y787" i="1" s="1"/>
  <c r="X788" i="1"/>
  <c r="Y788" i="1" s="1"/>
  <c r="X789" i="1"/>
  <c r="Y789" i="1" s="1"/>
  <c r="X790" i="1"/>
  <c r="Y790" i="1" s="1"/>
  <c r="X791" i="1"/>
  <c r="Y791" i="1" s="1"/>
  <c r="X792" i="1"/>
  <c r="Y792" i="1" s="1"/>
  <c r="X793" i="1"/>
  <c r="Y793" i="1" s="1"/>
  <c r="X794" i="1"/>
  <c r="Y794" i="1" s="1"/>
  <c r="X795" i="1"/>
  <c r="Y795" i="1" s="1"/>
  <c r="X796" i="1"/>
  <c r="Y796" i="1" s="1"/>
  <c r="X797" i="1"/>
  <c r="Y797" i="1" s="1"/>
  <c r="X798" i="1"/>
  <c r="Y798" i="1" s="1"/>
  <c r="X799" i="1"/>
  <c r="Y799" i="1" s="1"/>
  <c r="X800" i="1"/>
  <c r="Y800" i="1" s="1"/>
  <c r="X801" i="1"/>
  <c r="Y801" i="1" s="1"/>
  <c r="X802" i="1"/>
  <c r="Y802" i="1" s="1"/>
  <c r="X803" i="1"/>
  <c r="Y803" i="1" s="1"/>
  <c r="X804" i="1"/>
  <c r="Y804" i="1" s="1"/>
  <c r="X805" i="1"/>
  <c r="Y805" i="1" s="1"/>
  <c r="X806" i="1"/>
  <c r="Y806" i="1" s="1"/>
  <c r="X807" i="1"/>
  <c r="Y807" i="1" s="1"/>
  <c r="X808" i="1"/>
  <c r="Y808" i="1" s="1"/>
  <c r="X809" i="1"/>
  <c r="Y809" i="1" s="1"/>
  <c r="X810" i="1"/>
  <c r="Y810" i="1" s="1"/>
  <c r="X811" i="1"/>
  <c r="Y811" i="1" s="1"/>
  <c r="X812" i="1"/>
  <c r="Y812" i="1" s="1"/>
  <c r="X813" i="1"/>
  <c r="Y813" i="1" s="1"/>
  <c r="X814" i="1"/>
  <c r="Y814" i="1" s="1"/>
  <c r="X815" i="1"/>
  <c r="Y815" i="1" s="1"/>
  <c r="X816" i="1"/>
  <c r="Y816" i="1" s="1"/>
  <c r="X817" i="1"/>
  <c r="Y817" i="1" s="1"/>
  <c r="X818" i="1"/>
  <c r="Y818" i="1" s="1"/>
  <c r="X819" i="1"/>
  <c r="Y819" i="1" s="1"/>
  <c r="X820" i="1"/>
  <c r="Y820" i="1" s="1"/>
  <c r="X821" i="1"/>
  <c r="Y821" i="1" s="1"/>
  <c r="X822" i="1"/>
  <c r="Y822" i="1" s="1"/>
  <c r="X823" i="1"/>
  <c r="Y823" i="1" s="1"/>
  <c r="X824" i="1"/>
  <c r="Y824" i="1" s="1"/>
  <c r="X825" i="1"/>
  <c r="Y825" i="1" s="1"/>
  <c r="X826" i="1"/>
  <c r="Y826" i="1" s="1"/>
  <c r="X827" i="1"/>
  <c r="Y827" i="1" s="1"/>
  <c r="X828" i="1"/>
  <c r="Y828" i="1" s="1"/>
  <c r="X829" i="1"/>
  <c r="Y829" i="1" s="1"/>
  <c r="X830" i="1"/>
  <c r="Y830" i="1" s="1"/>
  <c r="X831" i="1"/>
  <c r="Y831" i="1" s="1"/>
  <c r="X832" i="1"/>
  <c r="Y832" i="1" s="1"/>
  <c r="X833" i="1"/>
  <c r="Y833" i="1" s="1"/>
  <c r="X834" i="1"/>
  <c r="Y834" i="1" s="1"/>
  <c r="X835" i="1"/>
  <c r="Y835" i="1" s="1"/>
  <c r="X836" i="1"/>
  <c r="Y836" i="1" s="1"/>
  <c r="X837" i="1"/>
  <c r="Y837" i="1" s="1"/>
  <c r="X838" i="1"/>
  <c r="Y838" i="1" s="1"/>
  <c r="X839" i="1"/>
  <c r="Y839" i="1" s="1"/>
  <c r="X840" i="1"/>
  <c r="Y840" i="1" s="1"/>
  <c r="X841" i="1"/>
  <c r="Y841" i="1" s="1"/>
  <c r="X842" i="1"/>
  <c r="Y842" i="1" s="1"/>
  <c r="X843" i="1"/>
  <c r="Y843" i="1" s="1"/>
  <c r="X844" i="1"/>
  <c r="Y844" i="1" s="1"/>
  <c r="X845" i="1"/>
  <c r="Y845" i="1" s="1"/>
  <c r="X846" i="1"/>
  <c r="Y846" i="1" s="1"/>
  <c r="X847" i="1"/>
  <c r="Y847" i="1" s="1"/>
  <c r="X848" i="1"/>
  <c r="Y848" i="1" s="1"/>
  <c r="X849" i="1"/>
  <c r="Y849" i="1" s="1"/>
  <c r="X850" i="1"/>
  <c r="Y850" i="1" s="1"/>
  <c r="X851" i="1"/>
  <c r="Y851" i="1" s="1"/>
  <c r="X852" i="1"/>
  <c r="Y852" i="1" s="1"/>
  <c r="X853" i="1"/>
  <c r="Y853" i="1" s="1"/>
  <c r="X854" i="1"/>
  <c r="Y854" i="1" s="1"/>
  <c r="X855" i="1"/>
  <c r="Y855" i="1" s="1"/>
  <c r="X856" i="1"/>
  <c r="Y856" i="1" s="1"/>
  <c r="X857" i="1"/>
  <c r="Y857" i="1" s="1"/>
  <c r="X858" i="1"/>
  <c r="Y858" i="1" s="1"/>
  <c r="X859" i="1"/>
  <c r="Y859" i="1" s="1"/>
  <c r="X860" i="1"/>
  <c r="Y860" i="1" s="1"/>
  <c r="X861" i="1"/>
  <c r="Y861" i="1" s="1"/>
  <c r="X862" i="1"/>
  <c r="Y862" i="1" s="1"/>
  <c r="X863" i="1"/>
  <c r="Y863" i="1" s="1"/>
  <c r="X864" i="1"/>
  <c r="Y864" i="1" s="1"/>
  <c r="X865" i="1"/>
  <c r="Y865" i="1" s="1"/>
  <c r="X866" i="1"/>
  <c r="Y866" i="1" s="1"/>
  <c r="X867" i="1"/>
  <c r="Y867" i="1" s="1"/>
  <c r="X868" i="1"/>
  <c r="Y868" i="1" s="1"/>
  <c r="X869" i="1"/>
  <c r="Y869" i="1" s="1"/>
  <c r="X870" i="1"/>
  <c r="Y870" i="1" s="1"/>
  <c r="X871" i="1"/>
  <c r="Y871" i="1" s="1"/>
  <c r="X872" i="1"/>
  <c r="Y872" i="1" s="1"/>
  <c r="X873" i="1"/>
  <c r="Y873" i="1" s="1"/>
  <c r="X874" i="1"/>
  <c r="Y874" i="1" s="1"/>
  <c r="X875" i="1"/>
  <c r="Y875" i="1" s="1"/>
  <c r="X876" i="1"/>
  <c r="Y876" i="1" s="1"/>
  <c r="X877" i="1"/>
  <c r="Y877" i="1" s="1"/>
  <c r="X878" i="1"/>
  <c r="Y878" i="1" s="1"/>
  <c r="X879" i="1"/>
  <c r="Y879" i="1" s="1"/>
  <c r="X880" i="1"/>
  <c r="Y880" i="1" s="1"/>
  <c r="X881" i="1"/>
  <c r="Y881" i="1" s="1"/>
  <c r="X882" i="1"/>
  <c r="Y882" i="1" s="1"/>
  <c r="X883" i="1"/>
  <c r="Y883" i="1" s="1"/>
  <c r="X884" i="1"/>
  <c r="Y884" i="1" s="1"/>
  <c r="X885" i="1"/>
  <c r="Y885" i="1" s="1"/>
  <c r="X886" i="1"/>
  <c r="Y886" i="1" s="1"/>
  <c r="X887" i="1"/>
  <c r="Y887" i="1" s="1"/>
  <c r="X888" i="1"/>
  <c r="Y888" i="1" s="1"/>
  <c r="X889" i="1"/>
  <c r="Y889" i="1" s="1"/>
  <c r="X890" i="1"/>
  <c r="Y890" i="1" s="1"/>
  <c r="X891" i="1"/>
  <c r="Y891" i="1" s="1"/>
  <c r="X892" i="1"/>
  <c r="Y892" i="1" s="1"/>
  <c r="X893" i="1"/>
  <c r="Y893" i="1" s="1"/>
  <c r="X894" i="1"/>
  <c r="Y894" i="1" s="1"/>
  <c r="X895" i="1"/>
  <c r="Y895" i="1" s="1"/>
  <c r="X896" i="1"/>
  <c r="Y896" i="1" s="1"/>
  <c r="X897" i="1"/>
  <c r="Y897" i="1" s="1"/>
  <c r="X898" i="1"/>
  <c r="Y898" i="1" s="1"/>
  <c r="X899" i="1"/>
  <c r="Y899" i="1" s="1"/>
  <c r="X900" i="1"/>
  <c r="Y900" i="1" s="1"/>
  <c r="X901" i="1"/>
  <c r="Y901" i="1" s="1"/>
  <c r="X902" i="1"/>
  <c r="Y902" i="1" s="1"/>
  <c r="X903" i="1"/>
  <c r="Y903" i="1" s="1"/>
  <c r="X904" i="1"/>
  <c r="Y904" i="1" s="1"/>
  <c r="X905" i="1"/>
  <c r="Y905" i="1" s="1"/>
  <c r="X906" i="1"/>
  <c r="Y906" i="1" s="1"/>
  <c r="X907" i="1"/>
  <c r="Y907" i="1" s="1"/>
  <c r="X908" i="1"/>
  <c r="Y908" i="1" s="1"/>
  <c r="X909" i="1"/>
  <c r="Y909" i="1" s="1"/>
  <c r="X910" i="1"/>
  <c r="Y910" i="1" s="1"/>
  <c r="X911" i="1"/>
  <c r="Y911" i="1" s="1"/>
  <c r="X912" i="1"/>
  <c r="Y912" i="1" s="1"/>
  <c r="X913" i="1"/>
  <c r="Y913" i="1" s="1"/>
  <c r="X914" i="1"/>
  <c r="Y914" i="1" s="1"/>
  <c r="X915" i="1"/>
  <c r="Y915" i="1" s="1"/>
  <c r="X916" i="1"/>
  <c r="Y916" i="1" s="1"/>
  <c r="X917" i="1"/>
  <c r="Y917" i="1" s="1"/>
  <c r="X918" i="1"/>
  <c r="Y918" i="1" s="1"/>
  <c r="X919" i="1"/>
  <c r="Y919" i="1" s="1"/>
  <c r="X920" i="1"/>
  <c r="Y920" i="1" s="1"/>
  <c r="X921" i="1"/>
  <c r="Y921" i="1" s="1"/>
  <c r="X922" i="1"/>
  <c r="Y922" i="1" s="1"/>
  <c r="X923" i="1"/>
  <c r="Y923" i="1" s="1"/>
  <c r="X924" i="1"/>
  <c r="Y924" i="1" s="1"/>
  <c r="X925" i="1"/>
  <c r="Y925" i="1" s="1"/>
  <c r="X926" i="1"/>
  <c r="Y926" i="1" s="1"/>
  <c r="X927" i="1"/>
  <c r="Y927" i="1" s="1"/>
  <c r="X928" i="1"/>
  <c r="Y928" i="1" s="1"/>
  <c r="X929" i="1"/>
  <c r="Y929" i="1" s="1"/>
  <c r="X930" i="1"/>
  <c r="Y930" i="1" s="1"/>
  <c r="X931" i="1"/>
  <c r="Y931" i="1" s="1"/>
  <c r="X932" i="1"/>
  <c r="Y932" i="1" s="1"/>
  <c r="X933" i="1"/>
  <c r="Y933" i="1" s="1"/>
  <c r="X934" i="1"/>
  <c r="Y934" i="1" s="1"/>
  <c r="X935" i="1"/>
  <c r="Y935" i="1" s="1"/>
  <c r="X936" i="1"/>
  <c r="Y936" i="1" s="1"/>
  <c r="X937" i="1"/>
  <c r="Y937" i="1" s="1"/>
  <c r="X938" i="1"/>
  <c r="Y938" i="1" s="1"/>
  <c r="X939" i="1"/>
  <c r="Y939" i="1" s="1"/>
  <c r="X940" i="1"/>
  <c r="Y940" i="1" s="1"/>
  <c r="X941" i="1"/>
  <c r="Y941" i="1" s="1"/>
  <c r="X942" i="1"/>
  <c r="Y942" i="1" s="1"/>
  <c r="X943" i="1"/>
  <c r="Y943" i="1" s="1"/>
  <c r="X944" i="1"/>
  <c r="Y944" i="1" s="1"/>
  <c r="X945" i="1"/>
  <c r="Y945" i="1" s="1"/>
  <c r="X946" i="1"/>
  <c r="Y946" i="1" s="1"/>
  <c r="X947" i="1"/>
  <c r="Y947" i="1" s="1"/>
  <c r="X948" i="1"/>
  <c r="Y948" i="1" s="1"/>
  <c r="X949" i="1"/>
  <c r="Y949" i="1" s="1"/>
  <c r="X950" i="1"/>
  <c r="Y950" i="1" s="1"/>
  <c r="X951" i="1"/>
  <c r="Y951" i="1" s="1"/>
  <c r="X952" i="1"/>
  <c r="Y952" i="1" s="1"/>
  <c r="X953" i="1"/>
  <c r="Y953" i="1" s="1"/>
  <c r="X954" i="1"/>
  <c r="Y954" i="1" s="1"/>
  <c r="X955" i="1"/>
  <c r="Y955" i="1" s="1"/>
  <c r="X956" i="1"/>
  <c r="Y956" i="1" s="1"/>
  <c r="X957" i="1"/>
  <c r="Y957" i="1" s="1"/>
  <c r="X958" i="1"/>
  <c r="Y958" i="1" s="1"/>
  <c r="X959" i="1"/>
  <c r="Y959" i="1" s="1"/>
  <c r="X960" i="1"/>
  <c r="Y960" i="1" s="1"/>
  <c r="X961" i="1"/>
  <c r="Y961" i="1" s="1"/>
  <c r="X962" i="1"/>
  <c r="Y962" i="1" s="1"/>
  <c r="X963" i="1"/>
  <c r="Y963" i="1" s="1"/>
  <c r="X964" i="1"/>
  <c r="Y964" i="1" s="1"/>
  <c r="X965" i="1"/>
  <c r="Y965" i="1" s="1"/>
  <c r="X966" i="1"/>
  <c r="Y966" i="1" s="1"/>
  <c r="X967" i="1"/>
  <c r="Y967" i="1" s="1"/>
  <c r="X968" i="1"/>
  <c r="Y968" i="1" s="1"/>
  <c r="X969" i="1"/>
  <c r="Y969" i="1" s="1"/>
  <c r="X970" i="1"/>
  <c r="Y970" i="1" s="1"/>
  <c r="X971" i="1"/>
  <c r="Y971" i="1" s="1"/>
  <c r="X972" i="1"/>
  <c r="Y972" i="1" s="1"/>
  <c r="X973" i="1"/>
  <c r="Y973" i="1" s="1"/>
  <c r="X974" i="1"/>
  <c r="Y974" i="1" s="1"/>
  <c r="X975" i="1"/>
  <c r="Y975" i="1" s="1"/>
  <c r="X976" i="1"/>
  <c r="Y976" i="1" s="1"/>
  <c r="X977" i="1"/>
  <c r="Y977" i="1" s="1"/>
  <c r="X978" i="1"/>
  <c r="Y978" i="1" s="1"/>
  <c r="X979" i="1"/>
  <c r="Y979" i="1" s="1"/>
  <c r="X980" i="1"/>
  <c r="Y980" i="1" s="1"/>
  <c r="X981" i="1"/>
  <c r="Y981" i="1" s="1"/>
  <c r="X982" i="1"/>
  <c r="Y982" i="1" s="1"/>
  <c r="X983" i="1"/>
  <c r="Y983" i="1" s="1"/>
  <c r="X984" i="1"/>
  <c r="Y984" i="1" s="1"/>
  <c r="X985" i="1"/>
  <c r="Y985" i="1" s="1"/>
  <c r="X986" i="1"/>
  <c r="Y986" i="1" s="1"/>
  <c r="X987" i="1"/>
  <c r="Y987" i="1" s="1"/>
  <c r="X988" i="1"/>
  <c r="Y988" i="1" s="1"/>
  <c r="X989" i="1"/>
  <c r="Y989" i="1" s="1"/>
  <c r="X990" i="1"/>
  <c r="Y990" i="1" s="1"/>
  <c r="X991" i="1"/>
  <c r="Y991" i="1" s="1"/>
  <c r="X992" i="1"/>
  <c r="Y992" i="1" s="1"/>
  <c r="X993" i="1"/>
  <c r="Y993" i="1" s="1"/>
  <c r="X994" i="1"/>
  <c r="Y994" i="1" s="1"/>
  <c r="X995" i="1"/>
  <c r="Y995" i="1" s="1"/>
  <c r="X996" i="1"/>
  <c r="Y996" i="1" s="1"/>
  <c r="X997" i="1"/>
  <c r="Y997" i="1" s="1"/>
  <c r="X998" i="1"/>
  <c r="Y998" i="1" s="1"/>
  <c r="X999" i="1"/>
  <c r="Y999" i="1" s="1"/>
  <c r="X1000" i="1"/>
  <c r="Y1000" i="1" s="1"/>
  <c r="X1001" i="1"/>
  <c r="Y1001" i="1" s="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Q2" i="1"/>
  <c r="S2" i="1" s="1"/>
  <c r="Q3" i="1"/>
  <c r="S3" i="1" s="1"/>
  <c r="Q4" i="1"/>
  <c r="S4" i="1" s="1"/>
  <c r="Q5" i="1"/>
  <c r="S5" i="1" s="1"/>
  <c r="Q6" i="1"/>
  <c r="S6" i="1" s="1"/>
  <c r="Q7" i="1"/>
  <c r="S7" i="1" s="1"/>
  <c r="Q8" i="1"/>
  <c r="S8" i="1" s="1"/>
  <c r="Q9" i="1"/>
  <c r="S9" i="1" s="1"/>
  <c r="Q10" i="1"/>
  <c r="S10" i="1" s="1"/>
  <c r="Q11" i="1"/>
  <c r="S11" i="1" s="1"/>
  <c r="Q12" i="1"/>
  <c r="S12" i="1" s="1"/>
  <c r="Q13" i="1"/>
  <c r="S13" i="1" s="1"/>
  <c r="Q14" i="1"/>
  <c r="S14" i="1" s="1"/>
  <c r="Q15" i="1"/>
  <c r="S15" i="1" s="1"/>
  <c r="Q16" i="1"/>
  <c r="S16" i="1" s="1"/>
  <c r="Q17" i="1"/>
  <c r="S17" i="1" s="1"/>
  <c r="Q18" i="1"/>
  <c r="S18" i="1" s="1"/>
  <c r="Q19" i="1"/>
  <c r="S19" i="1" s="1"/>
  <c r="Q20" i="1"/>
  <c r="S20" i="1" s="1"/>
  <c r="Q21" i="1"/>
  <c r="S21" i="1" s="1"/>
  <c r="Q22" i="1"/>
  <c r="S22" i="1" s="1"/>
  <c r="Q23" i="1"/>
  <c r="S23" i="1" s="1"/>
  <c r="Q24" i="1"/>
  <c r="S24" i="1" s="1"/>
  <c r="Q25" i="1"/>
  <c r="S25" i="1" s="1"/>
  <c r="Q26" i="1"/>
  <c r="S26" i="1" s="1"/>
  <c r="Q27" i="1"/>
  <c r="S27" i="1" s="1"/>
  <c r="Q28" i="1"/>
  <c r="S28" i="1" s="1"/>
  <c r="Q29" i="1"/>
  <c r="S29" i="1" s="1"/>
  <c r="Q30" i="1"/>
  <c r="S30" i="1" s="1"/>
  <c r="Q31" i="1"/>
  <c r="S31" i="1" s="1"/>
  <c r="Q32" i="1"/>
  <c r="S32" i="1" s="1"/>
  <c r="Q33" i="1"/>
  <c r="S33" i="1" s="1"/>
  <c r="Q34" i="1"/>
  <c r="S34" i="1" s="1"/>
  <c r="Q35" i="1"/>
  <c r="S35" i="1" s="1"/>
  <c r="Q36" i="1"/>
  <c r="S36" i="1" s="1"/>
  <c r="Q37" i="1"/>
  <c r="S37" i="1" s="1"/>
  <c r="Q38" i="1"/>
  <c r="S38" i="1" s="1"/>
  <c r="Q39" i="1"/>
  <c r="S39" i="1" s="1"/>
  <c r="Q40" i="1"/>
  <c r="S40" i="1" s="1"/>
  <c r="Q41" i="1"/>
  <c r="S41" i="1" s="1"/>
  <c r="Q42" i="1"/>
  <c r="S42" i="1" s="1"/>
  <c r="Q43" i="1"/>
  <c r="S43" i="1" s="1"/>
  <c r="Q44" i="1"/>
  <c r="S44" i="1" s="1"/>
  <c r="Q45" i="1"/>
  <c r="S45" i="1" s="1"/>
  <c r="Q46" i="1"/>
  <c r="S46" i="1" s="1"/>
  <c r="Q47" i="1"/>
  <c r="S47" i="1" s="1"/>
  <c r="Q48" i="1"/>
  <c r="S48" i="1" s="1"/>
  <c r="Q49" i="1"/>
  <c r="S49" i="1" s="1"/>
  <c r="Q50" i="1"/>
  <c r="S50" i="1" s="1"/>
  <c r="Q51" i="1"/>
  <c r="S51" i="1" s="1"/>
  <c r="Q52" i="1"/>
  <c r="S52" i="1" s="1"/>
  <c r="Q53" i="1"/>
  <c r="S53" i="1" s="1"/>
  <c r="Q54" i="1"/>
  <c r="S54" i="1" s="1"/>
  <c r="Q55" i="1"/>
  <c r="S55" i="1" s="1"/>
  <c r="Q56" i="1"/>
  <c r="S56" i="1" s="1"/>
  <c r="Q57" i="1"/>
  <c r="S57" i="1" s="1"/>
  <c r="Q58" i="1"/>
  <c r="S58" i="1" s="1"/>
  <c r="Q59" i="1"/>
  <c r="S59" i="1" s="1"/>
  <c r="Q60" i="1"/>
  <c r="S60" i="1" s="1"/>
  <c r="Q61" i="1"/>
  <c r="S61" i="1" s="1"/>
  <c r="Q62" i="1"/>
  <c r="S62" i="1" s="1"/>
  <c r="Q63" i="1"/>
  <c r="S63" i="1" s="1"/>
  <c r="Q64" i="1"/>
  <c r="S64" i="1" s="1"/>
  <c r="Q65" i="1"/>
  <c r="S65" i="1" s="1"/>
  <c r="Q66" i="1"/>
  <c r="S66" i="1" s="1"/>
  <c r="Q67" i="1"/>
  <c r="S67" i="1" s="1"/>
  <c r="Q68" i="1"/>
  <c r="S68" i="1" s="1"/>
  <c r="Q69" i="1"/>
  <c r="S69" i="1" s="1"/>
  <c r="Q70" i="1"/>
  <c r="S70" i="1" s="1"/>
  <c r="Q71" i="1"/>
  <c r="S71" i="1" s="1"/>
  <c r="Q72" i="1"/>
  <c r="S72" i="1" s="1"/>
  <c r="Q73" i="1"/>
  <c r="S73" i="1" s="1"/>
  <c r="Q74" i="1"/>
  <c r="S74" i="1" s="1"/>
  <c r="Q75" i="1"/>
  <c r="S75" i="1" s="1"/>
  <c r="Q76" i="1"/>
  <c r="S76" i="1" s="1"/>
  <c r="Q77" i="1"/>
  <c r="S77" i="1" s="1"/>
  <c r="Q78" i="1"/>
  <c r="S78" i="1" s="1"/>
  <c r="Q79" i="1"/>
  <c r="S79" i="1" s="1"/>
  <c r="Q80" i="1"/>
  <c r="S80" i="1" s="1"/>
  <c r="Q81" i="1"/>
  <c r="S81" i="1" s="1"/>
  <c r="Q82" i="1"/>
  <c r="S82" i="1" s="1"/>
  <c r="Q83" i="1"/>
  <c r="S83" i="1" s="1"/>
  <c r="Q84" i="1"/>
  <c r="S84" i="1" s="1"/>
  <c r="Q85" i="1"/>
  <c r="S85" i="1" s="1"/>
  <c r="Q86" i="1"/>
  <c r="S86" i="1" s="1"/>
  <c r="Q87" i="1"/>
  <c r="S87" i="1" s="1"/>
  <c r="Q88" i="1"/>
  <c r="S88" i="1" s="1"/>
  <c r="Q89" i="1"/>
  <c r="S89" i="1" s="1"/>
  <c r="Q90" i="1"/>
  <c r="S90" i="1" s="1"/>
  <c r="Q91" i="1"/>
  <c r="S91" i="1" s="1"/>
  <c r="Q92" i="1"/>
  <c r="S92" i="1" s="1"/>
  <c r="Q93" i="1"/>
  <c r="S93" i="1" s="1"/>
  <c r="Q94" i="1"/>
  <c r="S94" i="1" s="1"/>
  <c r="Q95" i="1"/>
  <c r="S95" i="1" s="1"/>
  <c r="Q96" i="1"/>
  <c r="S96" i="1" s="1"/>
  <c r="Q97" i="1"/>
  <c r="S97" i="1" s="1"/>
  <c r="Q98" i="1"/>
  <c r="S98" i="1" s="1"/>
  <c r="Q99" i="1"/>
  <c r="S99" i="1" s="1"/>
  <c r="Q100" i="1"/>
  <c r="S100" i="1" s="1"/>
  <c r="Q101" i="1"/>
  <c r="S101" i="1" s="1"/>
  <c r="Q102" i="1"/>
  <c r="S102" i="1" s="1"/>
  <c r="Q103" i="1"/>
  <c r="S103" i="1" s="1"/>
  <c r="Q104" i="1"/>
  <c r="S104" i="1" s="1"/>
  <c r="Q105" i="1"/>
  <c r="S105" i="1" s="1"/>
  <c r="Q106" i="1"/>
  <c r="S106" i="1" s="1"/>
  <c r="Q107" i="1"/>
  <c r="S107" i="1" s="1"/>
  <c r="Q108" i="1"/>
  <c r="S108" i="1" s="1"/>
  <c r="Q109" i="1"/>
  <c r="S109" i="1" s="1"/>
  <c r="Q110" i="1"/>
  <c r="S110" i="1" s="1"/>
  <c r="Q111" i="1"/>
  <c r="S111" i="1" s="1"/>
  <c r="Q112" i="1"/>
  <c r="S112" i="1" s="1"/>
  <c r="Q113" i="1"/>
  <c r="S113" i="1" s="1"/>
  <c r="Q114" i="1"/>
  <c r="S114" i="1" s="1"/>
  <c r="Q115" i="1"/>
  <c r="S115" i="1" s="1"/>
  <c r="Q116" i="1"/>
  <c r="S116" i="1" s="1"/>
  <c r="Q117" i="1"/>
  <c r="S117" i="1" s="1"/>
  <c r="Q118" i="1"/>
  <c r="S118" i="1" s="1"/>
  <c r="Q119" i="1"/>
  <c r="S119" i="1" s="1"/>
  <c r="Q120" i="1"/>
  <c r="S120" i="1" s="1"/>
  <c r="Q121" i="1"/>
  <c r="S121" i="1" s="1"/>
  <c r="Q122" i="1"/>
  <c r="S122" i="1" s="1"/>
  <c r="Q123" i="1"/>
  <c r="S123" i="1" s="1"/>
  <c r="Q124" i="1"/>
  <c r="S124" i="1" s="1"/>
  <c r="Q125" i="1"/>
  <c r="S125" i="1" s="1"/>
  <c r="Q126" i="1"/>
  <c r="S126" i="1" s="1"/>
  <c r="Q127" i="1"/>
  <c r="S127" i="1" s="1"/>
  <c r="Q128" i="1"/>
  <c r="S128" i="1" s="1"/>
  <c r="Q129" i="1"/>
  <c r="S129" i="1" s="1"/>
  <c r="Q130" i="1"/>
  <c r="S130" i="1" s="1"/>
  <c r="Q131" i="1"/>
  <c r="S131" i="1" s="1"/>
  <c r="Q132" i="1"/>
  <c r="S132" i="1" s="1"/>
  <c r="Q133" i="1"/>
  <c r="S133" i="1" s="1"/>
  <c r="Q134" i="1"/>
  <c r="S134" i="1" s="1"/>
  <c r="Q135" i="1"/>
  <c r="S135" i="1" s="1"/>
  <c r="Q136" i="1"/>
  <c r="S136" i="1" s="1"/>
  <c r="Q137" i="1"/>
  <c r="S137" i="1" s="1"/>
  <c r="Q138" i="1"/>
  <c r="S138" i="1" s="1"/>
  <c r="Q139" i="1"/>
  <c r="S139" i="1" s="1"/>
  <c r="Q140" i="1"/>
  <c r="S140" i="1" s="1"/>
  <c r="Q141" i="1"/>
  <c r="S141" i="1" s="1"/>
  <c r="Q142" i="1"/>
  <c r="S142" i="1" s="1"/>
  <c r="Q143" i="1"/>
  <c r="S143" i="1" s="1"/>
  <c r="Q144" i="1"/>
  <c r="S144" i="1" s="1"/>
  <c r="Q145" i="1"/>
  <c r="S145" i="1" s="1"/>
  <c r="Q146" i="1"/>
  <c r="S146" i="1" s="1"/>
  <c r="Q147" i="1"/>
  <c r="S147" i="1" s="1"/>
  <c r="Q148" i="1"/>
  <c r="S148" i="1" s="1"/>
  <c r="Q149" i="1"/>
  <c r="S149" i="1" s="1"/>
  <c r="Q150" i="1"/>
  <c r="S150" i="1" s="1"/>
  <c r="Q151" i="1"/>
  <c r="S151" i="1" s="1"/>
  <c r="Q152" i="1"/>
  <c r="S152" i="1" s="1"/>
  <c r="Q153" i="1"/>
  <c r="S153" i="1" s="1"/>
  <c r="Q154" i="1"/>
  <c r="S154" i="1" s="1"/>
  <c r="Q155" i="1"/>
  <c r="S155" i="1" s="1"/>
  <c r="Q156" i="1"/>
  <c r="S156" i="1" s="1"/>
  <c r="Q157" i="1"/>
  <c r="S157" i="1" s="1"/>
  <c r="Q158" i="1"/>
  <c r="S158" i="1" s="1"/>
  <c r="Q159" i="1"/>
  <c r="S159" i="1" s="1"/>
  <c r="Q160" i="1"/>
  <c r="S160" i="1" s="1"/>
  <c r="Q161" i="1"/>
  <c r="S161" i="1" s="1"/>
  <c r="Q162" i="1"/>
  <c r="S162" i="1" s="1"/>
  <c r="Q163" i="1"/>
  <c r="S163" i="1" s="1"/>
  <c r="Q164" i="1"/>
  <c r="S164" i="1" s="1"/>
  <c r="Q165" i="1"/>
  <c r="S165" i="1" s="1"/>
  <c r="Q166" i="1"/>
  <c r="S166" i="1" s="1"/>
  <c r="Q167" i="1"/>
  <c r="S167" i="1" s="1"/>
  <c r="Q168" i="1"/>
  <c r="S168" i="1" s="1"/>
  <c r="Q169" i="1"/>
  <c r="S169" i="1" s="1"/>
  <c r="Q170" i="1"/>
  <c r="S170" i="1" s="1"/>
  <c r="Q171" i="1"/>
  <c r="S171" i="1" s="1"/>
  <c r="Q172" i="1"/>
  <c r="S172" i="1" s="1"/>
  <c r="Q173" i="1"/>
  <c r="S173" i="1" s="1"/>
  <c r="Q174" i="1"/>
  <c r="S174" i="1" s="1"/>
  <c r="Q175" i="1"/>
  <c r="S175" i="1" s="1"/>
  <c r="Q176" i="1"/>
  <c r="S176" i="1" s="1"/>
  <c r="Q177" i="1"/>
  <c r="S177" i="1" s="1"/>
  <c r="Q178" i="1"/>
  <c r="S178" i="1" s="1"/>
  <c r="Q179" i="1"/>
  <c r="S179" i="1" s="1"/>
  <c r="Q180" i="1"/>
  <c r="S180" i="1" s="1"/>
  <c r="Q181" i="1"/>
  <c r="S181" i="1" s="1"/>
  <c r="Q182" i="1"/>
  <c r="S182" i="1" s="1"/>
  <c r="Q183" i="1"/>
  <c r="S183" i="1" s="1"/>
  <c r="Q184" i="1"/>
  <c r="S184" i="1" s="1"/>
  <c r="Q185" i="1"/>
  <c r="S185" i="1" s="1"/>
  <c r="Q186" i="1"/>
  <c r="S186" i="1" s="1"/>
  <c r="Q187" i="1"/>
  <c r="S187" i="1" s="1"/>
  <c r="Q188" i="1"/>
  <c r="S188" i="1" s="1"/>
  <c r="Q189" i="1"/>
  <c r="S189" i="1" s="1"/>
  <c r="Q190" i="1"/>
  <c r="S190" i="1" s="1"/>
  <c r="Q191" i="1"/>
  <c r="S191" i="1" s="1"/>
  <c r="Q192" i="1"/>
  <c r="S192" i="1" s="1"/>
  <c r="Q193" i="1"/>
  <c r="S193" i="1" s="1"/>
  <c r="Q194" i="1"/>
  <c r="S194" i="1" s="1"/>
  <c r="Q195" i="1"/>
  <c r="S195" i="1" s="1"/>
  <c r="Q196" i="1"/>
  <c r="S196" i="1" s="1"/>
  <c r="Q197" i="1"/>
  <c r="S197" i="1" s="1"/>
  <c r="Q198" i="1"/>
  <c r="S198" i="1" s="1"/>
  <c r="Q199" i="1"/>
  <c r="S199" i="1" s="1"/>
  <c r="Q200" i="1"/>
  <c r="S200" i="1" s="1"/>
  <c r="Q201" i="1"/>
  <c r="S201" i="1" s="1"/>
  <c r="Q202" i="1"/>
  <c r="S202" i="1" s="1"/>
  <c r="Q203" i="1"/>
  <c r="S203" i="1" s="1"/>
  <c r="Q204" i="1"/>
  <c r="S204" i="1" s="1"/>
  <c r="Q205" i="1"/>
  <c r="S205" i="1" s="1"/>
  <c r="Q206" i="1"/>
  <c r="S206" i="1" s="1"/>
  <c r="Q207" i="1"/>
  <c r="S207" i="1" s="1"/>
  <c r="Q208" i="1"/>
  <c r="S208" i="1" s="1"/>
  <c r="Q209" i="1"/>
  <c r="S209" i="1" s="1"/>
  <c r="Q210" i="1"/>
  <c r="S210" i="1" s="1"/>
  <c r="Q211" i="1"/>
  <c r="S211" i="1" s="1"/>
  <c r="Q212" i="1"/>
  <c r="S212" i="1" s="1"/>
  <c r="Q213" i="1"/>
  <c r="S213" i="1" s="1"/>
  <c r="Q214" i="1"/>
  <c r="S214" i="1" s="1"/>
  <c r="Q215" i="1"/>
  <c r="S215" i="1" s="1"/>
  <c r="Q216" i="1"/>
  <c r="S216" i="1" s="1"/>
  <c r="Q217" i="1"/>
  <c r="S217" i="1" s="1"/>
  <c r="Q218" i="1"/>
  <c r="S218" i="1" s="1"/>
  <c r="Q219" i="1"/>
  <c r="S219" i="1" s="1"/>
  <c r="Q220" i="1"/>
  <c r="S220" i="1" s="1"/>
  <c r="Q221" i="1"/>
  <c r="S221" i="1" s="1"/>
  <c r="Q222" i="1"/>
  <c r="S222" i="1" s="1"/>
  <c r="Q223" i="1"/>
  <c r="S223" i="1" s="1"/>
  <c r="Q224" i="1"/>
  <c r="S224" i="1" s="1"/>
  <c r="Q225" i="1"/>
  <c r="S225" i="1" s="1"/>
  <c r="Q226" i="1"/>
  <c r="S226" i="1" s="1"/>
  <c r="Q227" i="1"/>
  <c r="S227" i="1" s="1"/>
  <c r="Q228" i="1"/>
  <c r="S228" i="1" s="1"/>
  <c r="Q229" i="1"/>
  <c r="S229" i="1" s="1"/>
  <c r="Q230" i="1"/>
  <c r="S230" i="1" s="1"/>
  <c r="Q231" i="1"/>
  <c r="S231" i="1" s="1"/>
  <c r="Q232" i="1"/>
  <c r="S232" i="1" s="1"/>
  <c r="Q233" i="1"/>
  <c r="S233" i="1" s="1"/>
  <c r="Q234" i="1"/>
  <c r="S234" i="1" s="1"/>
  <c r="Q235" i="1"/>
  <c r="S235" i="1" s="1"/>
  <c r="Q236" i="1"/>
  <c r="S236" i="1" s="1"/>
  <c r="Q237" i="1"/>
  <c r="S237" i="1" s="1"/>
  <c r="Q238" i="1"/>
  <c r="S238" i="1" s="1"/>
  <c r="Q239" i="1"/>
  <c r="S239" i="1" s="1"/>
  <c r="Q240" i="1"/>
  <c r="S240" i="1" s="1"/>
  <c r="Q241" i="1"/>
  <c r="S241" i="1" s="1"/>
  <c r="Q242" i="1"/>
  <c r="S242" i="1" s="1"/>
  <c r="Q243" i="1"/>
  <c r="S243" i="1" s="1"/>
  <c r="Q244" i="1"/>
  <c r="S244" i="1" s="1"/>
  <c r="Q245" i="1"/>
  <c r="S245" i="1" s="1"/>
  <c r="Q246" i="1"/>
  <c r="S246" i="1" s="1"/>
  <c r="Q247" i="1"/>
  <c r="S247" i="1" s="1"/>
  <c r="Q248" i="1"/>
  <c r="S248" i="1" s="1"/>
  <c r="Q249" i="1"/>
  <c r="S249" i="1" s="1"/>
  <c r="Q250" i="1"/>
  <c r="S250" i="1" s="1"/>
  <c r="Q251" i="1"/>
  <c r="S251" i="1" s="1"/>
  <c r="Q252" i="1"/>
  <c r="S252" i="1" s="1"/>
  <c r="Q253" i="1"/>
  <c r="S253" i="1" s="1"/>
  <c r="Q254" i="1"/>
  <c r="S254" i="1" s="1"/>
  <c r="Q255" i="1"/>
  <c r="S255" i="1" s="1"/>
  <c r="Q256" i="1"/>
  <c r="S256" i="1" s="1"/>
  <c r="Q257" i="1"/>
  <c r="S257" i="1" s="1"/>
  <c r="Q258" i="1"/>
  <c r="S258" i="1" s="1"/>
  <c r="Q259" i="1"/>
  <c r="S259" i="1" s="1"/>
  <c r="Q260" i="1"/>
  <c r="S260" i="1" s="1"/>
  <c r="Q261" i="1"/>
  <c r="S261" i="1" s="1"/>
  <c r="Q262" i="1"/>
  <c r="S262" i="1" s="1"/>
  <c r="Q263" i="1"/>
  <c r="S263" i="1" s="1"/>
  <c r="Q264" i="1"/>
  <c r="S264" i="1" s="1"/>
  <c r="Q265" i="1"/>
  <c r="S265" i="1" s="1"/>
  <c r="Q266" i="1"/>
  <c r="S266" i="1" s="1"/>
  <c r="Q267" i="1"/>
  <c r="S267" i="1" s="1"/>
  <c r="Q268" i="1"/>
  <c r="S268" i="1" s="1"/>
  <c r="Q269" i="1"/>
  <c r="S269" i="1" s="1"/>
  <c r="Q270" i="1"/>
  <c r="S270" i="1" s="1"/>
  <c r="Q271" i="1"/>
  <c r="S271" i="1" s="1"/>
  <c r="Q272" i="1"/>
  <c r="S272" i="1" s="1"/>
  <c r="Q273" i="1"/>
  <c r="S273" i="1" s="1"/>
  <c r="Q274" i="1"/>
  <c r="S274" i="1" s="1"/>
  <c r="Q275" i="1"/>
  <c r="S275" i="1" s="1"/>
  <c r="Q276" i="1"/>
  <c r="S276" i="1" s="1"/>
  <c r="Q277" i="1"/>
  <c r="S277" i="1" s="1"/>
  <c r="Q278" i="1"/>
  <c r="S278" i="1" s="1"/>
  <c r="Q279" i="1"/>
  <c r="S279" i="1" s="1"/>
  <c r="Q280" i="1"/>
  <c r="S280" i="1" s="1"/>
  <c r="Q281" i="1"/>
  <c r="S281" i="1" s="1"/>
  <c r="Q282" i="1"/>
  <c r="S282" i="1" s="1"/>
  <c r="Q283" i="1"/>
  <c r="S283" i="1" s="1"/>
  <c r="Q284" i="1"/>
  <c r="S284" i="1" s="1"/>
  <c r="Q285" i="1"/>
  <c r="S285" i="1" s="1"/>
  <c r="Q286" i="1"/>
  <c r="S286" i="1" s="1"/>
  <c r="Q287" i="1"/>
  <c r="S287" i="1" s="1"/>
  <c r="Q288" i="1"/>
  <c r="S288" i="1" s="1"/>
  <c r="Q289" i="1"/>
  <c r="S289" i="1" s="1"/>
  <c r="Q290" i="1"/>
  <c r="S290" i="1" s="1"/>
  <c r="Q291" i="1"/>
  <c r="S291" i="1" s="1"/>
  <c r="Q292" i="1"/>
  <c r="S292" i="1" s="1"/>
  <c r="Q293" i="1"/>
  <c r="S293" i="1" s="1"/>
  <c r="Q294" i="1"/>
  <c r="S294" i="1" s="1"/>
  <c r="Q295" i="1"/>
  <c r="S295" i="1" s="1"/>
  <c r="Q296" i="1"/>
  <c r="S296" i="1" s="1"/>
  <c r="Q297" i="1"/>
  <c r="S297" i="1" s="1"/>
  <c r="Q298" i="1"/>
  <c r="S298" i="1" s="1"/>
  <c r="Q299" i="1"/>
  <c r="S299" i="1" s="1"/>
  <c r="Q300" i="1"/>
  <c r="S300" i="1" s="1"/>
  <c r="Q301" i="1"/>
  <c r="S301" i="1" s="1"/>
  <c r="Q302" i="1"/>
  <c r="S302" i="1" s="1"/>
  <c r="Q303" i="1"/>
  <c r="S303" i="1" s="1"/>
  <c r="Q304" i="1"/>
  <c r="S304" i="1" s="1"/>
  <c r="Q305" i="1"/>
  <c r="S305" i="1" s="1"/>
  <c r="Q306" i="1"/>
  <c r="S306" i="1" s="1"/>
  <c r="Q307" i="1"/>
  <c r="S307" i="1" s="1"/>
  <c r="Q308" i="1"/>
  <c r="S308" i="1" s="1"/>
  <c r="Q309" i="1"/>
  <c r="S309" i="1" s="1"/>
  <c r="Q310" i="1"/>
  <c r="S310" i="1" s="1"/>
  <c r="Q311" i="1"/>
  <c r="S311" i="1" s="1"/>
  <c r="Q312" i="1"/>
  <c r="S312" i="1" s="1"/>
  <c r="Q313" i="1"/>
  <c r="S313" i="1" s="1"/>
  <c r="Q314" i="1"/>
  <c r="S314" i="1" s="1"/>
  <c r="Q315" i="1"/>
  <c r="S315" i="1" s="1"/>
  <c r="Q316" i="1"/>
  <c r="S316" i="1" s="1"/>
  <c r="Q317" i="1"/>
  <c r="S317" i="1" s="1"/>
  <c r="Q318" i="1"/>
  <c r="S318" i="1" s="1"/>
  <c r="Q319" i="1"/>
  <c r="S319" i="1" s="1"/>
  <c r="Q320" i="1"/>
  <c r="S320" i="1" s="1"/>
  <c r="Q321" i="1"/>
  <c r="S321" i="1" s="1"/>
  <c r="Q322" i="1"/>
  <c r="S322" i="1" s="1"/>
  <c r="Q323" i="1"/>
  <c r="S323" i="1" s="1"/>
  <c r="Q324" i="1"/>
  <c r="S324" i="1" s="1"/>
  <c r="Q325" i="1"/>
  <c r="S325" i="1" s="1"/>
  <c r="Q326" i="1"/>
  <c r="S326" i="1" s="1"/>
  <c r="Q327" i="1"/>
  <c r="S327" i="1" s="1"/>
  <c r="Q328" i="1"/>
  <c r="S328" i="1" s="1"/>
  <c r="Q329" i="1"/>
  <c r="S329" i="1" s="1"/>
  <c r="Q330" i="1"/>
  <c r="S330" i="1" s="1"/>
  <c r="Q331" i="1"/>
  <c r="S331" i="1" s="1"/>
  <c r="Q332" i="1"/>
  <c r="S332" i="1" s="1"/>
  <c r="Q333" i="1"/>
  <c r="S333" i="1" s="1"/>
  <c r="Q334" i="1"/>
  <c r="S334" i="1" s="1"/>
  <c r="Q335" i="1"/>
  <c r="S335" i="1" s="1"/>
  <c r="Q336" i="1"/>
  <c r="S336" i="1" s="1"/>
  <c r="Q337" i="1"/>
  <c r="S337" i="1" s="1"/>
  <c r="Q338" i="1"/>
  <c r="S338" i="1" s="1"/>
  <c r="Q339" i="1"/>
  <c r="S339" i="1" s="1"/>
  <c r="Q340" i="1"/>
  <c r="S340" i="1" s="1"/>
  <c r="Q341" i="1"/>
  <c r="S341" i="1" s="1"/>
  <c r="Q342" i="1"/>
  <c r="S342" i="1" s="1"/>
  <c r="Q343" i="1"/>
  <c r="S343" i="1" s="1"/>
  <c r="Q344" i="1"/>
  <c r="S344" i="1" s="1"/>
  <c r="Q345" i="1"/>
  <c r="S345" i="1" s="1"/>
  <c r="Q346" i="1"/>
  <c r="S346" i="1" s="1"/>
  <c r="Q347" i="1"/>
  <c r="S347" i="1" s="1"/>
  <c r="Q348" i="1"/>
  <c r="S348" i="1" s="1"/>
  <c r="Q349" i="1"/>
  <c r="S349" i="1" s="1"/>
  <c r="Q350" i="1"/>
  <c r="S350" i="1" s="1"/>
  <c r="Q351" i="1"/>
  <c r="S351" i="1" s="1"/>
  <c r="Q352" i="1"/>
  <c r="S352" i="1" s="1"/>
  <c r="Q353" i="1"/>
  <c r="R353" i="1" s="1"/>
  <c r="Q354" i="1"/>
  <c r="S354" i="1" s="1"/>
  <c r="Q355" i="1"/>
  <c r="S355" i="1" s="1"/>
  <c r="Q356" i="1"/>
  <c r="S356" i="1" s="1"/>
  <c r="Q357" i="1"/>
  <c r="S357" i="1" s="1"/>
  <c r="Q358" i="1"/>
  <c r="S358" i="1" s="1"/>
  <c r="Q359" i="1"/>
  <c r="S359" i="1" s="1"/>
  <c r="Q360" i="1"/>
  <c r="S360" i="1" s="1"/>
  <c r="Q361" i="1"/>
  <c r="S361" i="1" s="1"/>
  <c r="Q362" i="1"/>
  <c r="S362" i="1" s="1"/>
  <c r="Q363" i="1"/>
  <c r="S363" i="1" s="1"/>
  <c r="Q364" i="1"/>
  <c r="S364" i="1" s="1"/>
  <c r="Q365" i="1"/>
  <c r="S365" i="1" s="1"/>
  <c r="Q366" i="1"/>
  <c r="S366" i="1" s="1"/>
  <c r="Q367" i="1"/>
  <c r="S367" i="1" s="1"/>
  <c r="Q368" i="1"/>
  <c r="S368" i="1" s="1"/>
  <c r="Q369" i="1"/>
  <c r="R369" i="1" s="1"/>
  <c r="Q370" i="1"/>
  <c r="S370" i="1" s="1"/>
  <c r="Q371" i="1"/>
  <c r="S371" i="1" s="1"/>
  <c r="Q372" i="1"/>
  <c r="S372" i="1" s="1"/>
  <c r="Q373" i="1"/>
  <c r="S373" i="1" s="1"/>
  <c r="Q374" i="1"/>
  <c r="S374" i="1" s="1"/>
  <c r="Q375" i="1"/>
  <c r="S375" i="1" s="1"/>
  <c r="Q376" i="1"/>
  <c r="S376" i="1" s="1"/>
  <c r="Q377" i="1"/>
  <c r="S377" i="1" s="1"/>
  <c r="Q378" i="1"/>
  <c r="S378" i="1" s="1"/>
  <c r="Q379" i="1"/>
  <c r="S379" i="1" s="1"/>
  <c r="Q380" i="1"/>
  <c r="S380" i="1" s="1"/>
  <c r="Q381" i="1"/>
  <c r="S381" i="1" s="1"/>
  <c r="Q382" i="1"/>
  <c r="S382" i="1" s="1"/>
  <c r="Q383" i="1"/>
  <c r="S383" i="1" s="1"/>
  <c r="Q384" i="1"/>
  <c r="S384" i="1" s="1"/>
  <c r="Q385" i="1"/>
  <c r="R385" i="1" s="1"/>
  <c r="Q386" i="1"/>
  <c r="S386" i="1" s="1"/>
  <c r="Q387" i="1"/>
  <c r="S387" i="1" s="1"/>
  <c r="Q388" i="1"/>
  <c r="S388" i="1" s="1"/>
  <c r="Q389" i="1"/>
  <c r="S389" i="1" s="1"/>
  <c r="Q390" i="1"/>
  <c r="S390" i="1" s="1"/>
  <c r="Q391" i="1"/>
  <c r="S391" i="1" s="1"/>
  <c r="Q392" i="1"/>
  <c r="S392" i="1" s="1"/>
  <c r="Q393" i="1"/>
  <c r="S393" i="1" s="1"/>
  <c r="Q394" i="1"/>
  <c r="S394" i="1" s="1"/>
  <c r="Q395" i="1"/>
  <c r="S395" i="1" s="1"/>
  <c r="Q396" i="1"/>
  <c r="S396" i="1" s="1"/>
  <c r="Q397" i="1"/>
  <c r="S397" i="1" s="1"/>
  <c r="Q398" i="1"/>
  <c r="S398" i="1" s="1"/>
  <c r="Q399" i="1"/>
  <c r="S399" i="1" s="1"/>
  <c r="Q400" i="1"/>
  <c r="S400" i="1" s="1"/>
  <c r="Q401" i="1"/>
  <c r="R401" i="1" s="1"/>
  <c r="Q402" i="1"/>
  <c r="S402" i="1" s="1"/>
  <c r="Q403" i="1"/>
  <c r="S403" i="1" s="1"/>
  <c r="Q404" i="1"/>
  <c r="S404" i="1" s="1"/>
  <c r="Q405" i="1"/>
  <c r="S405" i="1" s="1"/>
  <c r="Q406" i="1"/>
  <c r="S406" i="1" s="1"/>
  <c r="Q407" i="1"/>
  <c r="S407" i="1" s="1"/>
  <c r="Q408" i="1"/>
  <c r="S408" i="1" s="1"/>
  <c r="Q409" i="1"/>
  <c r="S409" i="1" s="1"/>
  <c r="Q410" i="1"/>
  <c r="S410" i="1" s="1"/>
  <c r="Q411" i="1"/>
  <c r="S411" i="1" s="1"/>
  <c r="Q412" i="1"/>
  <c r="S412" i="1" s="1"/>
  <c r="Q413" i="1"/>
  <c r="S413" i="1" s="1"/>
  <c r="Q414" i="1"/>
  <c r="S414" i="1" s="1"/>
  <c r="Q415" i="1"/>
  <c r="S415" i="1" s="1"/>
  <c r="Q416" i="1"/>
  <c r="S416" i="1" s="1"/>
  <c r="Q417" i="1"/>
  <c r="R417" i="1" s="1"/>
  <c r="Q418" i="1"/>
  <c r="S418" i="1" s="1"/>
  <c r="Q419" i="1"/>
  <c r="S419" i="1" s="1"/>
  <c r="Q420" i="1"/>
  <c r="S420" i="1" s="1"/>
  <c r="Q421" i="1"/>
  <c r="S421" i="1" s="1"/>
  <c r="Q422" i="1"/>
  <c r="S422" i="1" s="1"/>
  <c r="Q423" i="1"/>
  <c r="S423" i="1" s="1"/>
  <c r="Q424" i="1"/>
  <c r="S424" i="1" s="1"/>
  <c r="Q425" i="1"/>
  <c r="S425" i="1" s="1"/>
  <c r="Q426" i="1"/>
  <c r="S426" i="1" s="1"/>
  <c r="Q427" i="1"/>
  <c r="S427" i="1" s="1"/>
  <c r="Q428" i="1"/>
  <c r="S428" i="1" s="1"/>
  <c r="Q429" i="1"/>
  <c r="S429" i="1" s="1"/>
  <c r="Q430" i="1"/>
  <c r="S430" i="1" s="1"/>
  <c r="Q431" i="1"/>
  <c r="S431" i="1" s="1"/>
  <c r="Q432" i="1"/>
  <c r="S432" i="1" s="1"/>
  <c r="Q433" i="1"/>
  <c r="R433" i="1" s="1"/>
  <c r="Q434" i="1"/>
  <c r="S434" i="1" s="1"/>
  <c r="Q435" i="1"/>
  <c r="S435" i="1" s="1"/>
  <c r="Q436" i="1"/>
  <c r="S436" i="1" s="1"/>
  <c r="Q437" i="1"/>
  <c r="S437" i="1" s="1"/>
  <c r="Q438" i="1"/>
  <c r="S438" i="1" s="1"/>
  <c r="Q439" i="1"/>
  <c r="S439" i="1" s="1"/>
  <c r="Q440" i="1"/>
  <c r="S440" i="1" s="1"/>
  <c r="Q441" i="1"/>
  <c r="S441" i="1" s="1"/>
  <c r="Q442" i="1"/>
  <c r="S442" i="1" s="1"/>
  <c r="Q443" i="1"/>
  <c r="S443" i="1" s="1"/>
  <c r="Q444" i="1"/>
  <c r="S444" i="1" s="1"/>
  <c r="Q445" i="1"/>
  <c r="S445" i="1" s="1"/>
  <c r="Q446" i="1"/>
  <c r="S446" i="1" s="1"/>
  <c r="Q447" i="1"/>
  <c r="S447" i="1" s="1"/>
  <c r="Q448" i="1"/>
  <c r="S448" i="1" s="1"/>
  <c r="Q449" i="1"/>
  <c r="R449" i="1" s="1"/>
  <c r="Q450" i="1"/>
  <c r="S450" i="1" s="1"/>
  <c r="Q451" i="1"/>
  <c r="S451" i="1" s="1"/>
  <c r="Q452" i="1"/>
  <c r="S452" i="1" s="1"/>
  <c r="Q453" i="1"/>
  <c r="S453" i="1" s="1"/>
  <c r="Q454" i="1"/>
  <c r="S454" i="1" s="1"/>
  <c r="Q455" i="1"/>
  <c r="S455" i="1" s="1"/>
  <c r="Q456" i="1"/>
  <c r="S456" i="1" s="1"/>
  <c r="Q457" i="1"/>
  <c r="S457" i="1" s="1"/>
  <c r="Q458" i="1"/>
  <c r="S458" i="1" s="1"/>
  <c r="Q459" i="1"/>
  <c r="S459" i="1" s="1"/>
  <c r="Q460" i="1"/>
  <c r="S460" i="1" s="1"/>
  <c r="Q461" i="1"/>
  <c r="S461" i="1" s="1"/>
  <c r="Q462" i="1"/>
  <c r="S462" i="1" s="1"/>
  <c r="Q463" i="1"/>
  <c r="S463" i="1" s="1"/>
  <c r="Q464" i="1"/>
  <c r="S464" i="1" s="1"/>
  <c r="Q465" i="1"/>
  <c r="R465" i="1" s="1"/>
  <c r="Q466" i="1"/>
  <c r="S466" i="1" s="1"/>
  <c r="Q467" i="1"/>
  <c r="S467" i="1" s="1"/>
  <c r="Q468" i="1"/>
  <c r="S468" i="1" s="1"/>
  <c r="Q469" i="1"/>
  <c r="S469" i="1" s="1"/>
  <c r="Q470" i="1"/>
  <c r="S470" i="1" s="1"/>
  <c r="Q471" i="1"/>
  <c r="S471" i="1" s="1"/>
  <c r="Q472" i="1"/>
  <c r="S472" i="1" s="1"/>
  <c r="Q473" i="1"/>
  <c r="S473" i="1" s="1"/>
  <c r="Q474" i="1"/>
  <c r="S474" i="1" s="1"/>
  <c r="Q475" i="1"/>
  <c r="S475" i="1" s="1"/>
  <c r="Q476" i="1"/>
  <c r="S476" i="1" s="1"/>
  <c r="Q477" i="1"/>
  <c r="S477" i="1" s="1"/>
  <c r="Q478" i="1"/>
  <c r="S478" i="1" s="1"/>
  <c r="Q479" i="1"/>
  <c r="S479" i="1" s="1"/>
  <c r="Q480" i="1"/>
  <c r="S480" i="1" s="1"/>
  <c r="Q481" i="1"/>
  <c r="R481" i="1" s="1"/>
  <c r="Q482" i="1"/>
  <c r="S482" i="1" s="1"/>
  <c r="Q483" i="1"/>
  <c r="S483" i="1" s="1"/>
  <c r="Q484" i="1"/>
  <c r="S484" i="1" s="1"/>
  <c r="Q485" i="1"/>
  <c r="S485" i="1" s="1"/>
  <c r="Q486" i="1"/>
  <c r="S486" i="1" s="1"/>
  <c r="Q487" i="1"/>
  <c r="S487" i="1" s="1"/>
  <c r="Q488" i="1"/>
  <c r="S488" i="1" s="1"/>
  <c r="Q489" i="1"/>
  <c r="S489" i="1" s="1"/>
  <c r="Q490" i="1"/>
  <c r="S490" i="1" s="1"/>
  <c r="Q491" i="1"/>
  <c r="S491" i="1" s="1"/>
  <c r="Q492" i="1"/>
  <c r="S492" i="1" s="1"/>
  <c r="Q493" i="1"/>
  <c r="S493" i="1" s="1"/>
  <c r="Q494" i="1"/>
  <c r="S494" i="1" s="1"/>
  <c r="Q495" i="1"/>
  <c r="S495" i="1" s="1"/>
  <c r="Q496" i="1"/>
  <c r="S496" i="1" s="1"/>
  <c r="Q497" i="1"/>
  <c r="R497" i="1" s="1"/>
  <c r="Q498" i="1"/>
  <c r="S498" i="1" s="1"/>
  <c r="Q499" i="1"/>
  <c r="S499" i="1" s="1"/>
  <c r="Q500" i="1"/>
  <c r="S500" i="1" s="1"/>
  <c r="Q501" i="1"/>
  <c r="S501" i="1" s="1"/>
  <c r="Q502" i="1"/>
  <c r="S502" i="1" s="1"/>
  <c r="Q503" i="1"/>
  <c r="S503" i="1" s="1"/>
  <c r="Q504" i="1"/>
  <c r="S504" i="1" s="1"/>
  <c r="Q505" i="1"/>
  <c r="S505" i="1" s="1"/>
  <c r="Q506" i="1"/>
  <c r="S506" i="1" s="1"/>
  <c r="Q507" i="1"/>
  <c r="S507" i="1" s="1"/>
  <c r="Q508" i="1"/>
  <c r="S508" i="1" s="1"/>
  <c r="Q509" i="1"/>
  <c r="S509" i="1" s="1"/>
  <c r="Q510" i="1"/>
  <c r="S510" i="1" s="1"/>
  <c r="Q511" i="1"/>
  <c r="S511" i="1" s="1"/>
  <c r="Q512" i="1"/>
  <c r="S512" i="1" s="1"/>
  <c r="Q513" i="1"/>
  <c r="R513" i="1" s="1"/>
  <c r="Q514" i="1"/>
  <c r="S514" i="1" s="1"/>
  <c r="Q515" i="1"/>
  <c r="S515" i="1" s="1"/>
  <c r="Q516" i="1"/>
  <c r="S516" i="1" s="1"/>
  <c r="Q517" i="1"/>
  <c r="S517" i="1" s="1"/>
  <c r="Q518" i="1"/>
  <c r="S518" i="1" s="1"/>
  <c r="Q519" i="1"/>
  <c r="S519" i="1" s="1"/>
  <c r="Q520" i="1"/>
  <c r="S520" i="1" s="1"/>
  <c r="Q521" i="1"/>
  <c r="S521" i="1" s="1"/>
  <c r="Q522" i="1"/>
  <c r="S522" i="1" s="1"/>
  <c r="Q523" i="1"/>
  <c r="S523" i="1" s="1"/>
  <c r="Q524" i="1"/>
  <c r="S524" i="1" s="1"/>
  <c r="Q525" i="1"/>
  <c r="S525" i="1" s="1"/>
  <c r="Q526" i="1"/>
  <c r="S526" i="1" s="1"/>
  <c r="Q527" i="1"/>
  <c r="S527" i="1" s="1"/>
  <c r="Q528" i="1"/>
  <c r="S528" i="1" s="1"/>
  <c r="Q529" i="1"/>
  <c r="R529" i="1" s="1"/>
  <c r="Q530" i="1"/>
  <c r="S530" i="1" s="1"/>
  <c r="Q531" i="1"/>
  <c r="S531" i="1" s="1"/>
  <c r="Q532" i="1"/>
  <c r="S532" i="1" s="1"/>
  <c r="Q533" i="1"/>
  <c r="S533" i="1" s="1"/>
  <c r="Q534" i="1"/>
  <c r="S534" i="1" s="1"/>
  <c r="Q535" i="1"/>
  <c r="S535" i="1" s="1"/>
  <c r="Q536" i="1"/>
  <c r="S536" i="1" s="1"/>
  <c r="Q537" i="1"/>
  <c r="S537" i="1" s="1"/>
  <c r="Q538" i="1"/>
  <c r="S538" i="1" s="1"/>
  <c r="Q539" i="1"/>
  <c r="S539" i="1" s="1"/>
  <c r="Q540" i="1"/>
  <c r="S540" i="1" s="1"/>
  <c r="Q541" i="1"/>
  <c r="S541" i="1" s="1"/>
  <c r="Q542" i="1"/>
  <c r="S542" i="1" s="1"/>
  <c r="Q543" i="1"/>
  <c r="S543" i="1" s="1"/>
  <c r="Q544" i="1"/>
  <c r="S544" i="1" s="1"/>
  <c r="Q545" i="1"/>
  <c r="R545" i="1" s="1"/>
  <c r="Q546" i="1"/>
  <c r="S546" i="1" s="1"/>
  <c r="Q547" i="1"/>
  <c r="S547" i="1" s="1"/>
  <c r="Q548" i="1"/>
  <c r="S548" i="1" s="1"/>
  <c r="Q549" i="1"/>
  <c r="S549" i="1" s="1"/>
  <c r="Q550" i="1"/>
  <c r="S550" i="1" s="1"/>
  <c r="Q551" i="1"/>
  <c r="S551" i="1" s="1"/>
  <c r="Q552" i="1"/>
  <c r="S552" i="1" s="1"/>
  <c r="Q553" i="1"/>
  <c r="S553" i="1" s="1"/>
  <c r="Q554" i="1"/>
  <c r="S554" i="1" s="1"/>
  <c r="Q555" i="1"/>
  <c r="S555" i="1" s="1"/>
  <c r="Q556" i="1"/>
  <c r="S556" i="1" s="1"/>
  <c r="Q557" i="1"/>
  <c r="S557" i="1" s="1"/>
  <c r="Q558" i="1"/>
  <c r="S558" i="1" s="1"/>
  <c r="Q559" i="1"/>
  <c r="S559" i="1" s="1"/>
  <c r="Q560" i="1"/>
  <c r="S560" i="1" s="1"/>
  <c r="Q561" i="1"/>
  <c r="R561" i="1" s="1"/>
  <c r="Q562" i="1"/>
  <c r="S562" i="1" s="1"/>
  <c r="Q563" i="1"/>
  <c r="S563" i="1" s="1"/>
  <c r="Q564" i="1"/>
  <c r="S564" i="1" s="1"/>
  <c r="Q565" i="1"/>
  <c r="S565" i="1" s="1"/>
  <c r="Q566" i="1"/>
  <c r="S566" i="1" s="1"/>
  <c r="Q567" i="1"/>
  <c r="S567" i="1" s="1"/>
  <c r="Q568" i="1"/>
  <c r="S568" i="1" s="1"/>
  <c r="Q569" i="1"/>
  <c r="S569" i="1" s="1"/>
  <c r="Q570" i="1"/>
  <c r="S570" i="1" s="1"/>
  <c r="Q571" i="1"/>
  <c r="R571" i="1" s="1"/>
  <c r="Q572" i="1"/>
  <c r="S572" i="1" s="1"/>
  <c r="Q573" i="1"/>
  <c r="S573" i="1" s="1"/>
  <c r="Q574" i="1"/>
  <c r="S574" i="1" s="1"/>
  <c r="Q575" i="1"/>
  <c r="S575" i="1" s="1"/>
  <c r="Q576" i="1"/>
  <c r="S576" i="1" s="1"/>
  <c r="Q577" i="1"/>
  <c r="R577" i="1" s="1"/>
  <c r="Q578" i="1"/>
  <c r="S578" i="1" s="1"/>
  <c r="Q579" i="1"/>
  <c r="S579" i="1" s="1"/>
  <c r="Q580" i="1"/>
  <c r="S580" i="1" s="1"/>
  <c r="Q581" i="1"/>
  <c r="S581" i="1" s="1"/>
  <c r="Q582" i="1"/>
  <c r="S582" i="1" s="1"/>
  <c r="Q583" i="1"/>
  <c r="S583" i="1" s="1"/>
  <c r="Q584" i="1"/>
  <c r="S584" i="1" s="1"/>
  <c r="Q585" i="1"/>
  <c r="S585" i="1" s="1"/>
  <c r="Q586" i="1"/>
  <c r="S586" i="1" s="1"/>
  <c r="Q587" i="1"/>
  <c r="S587" i="1" s="1"/>
  <c r="Q588" i="1"/>
  <c r="S588" i="1" s="1"/>
  <c r="Q589" i="1"/>
  <c r="S589" i="1" s="1"/>
  <c r="Q590" i="1"/>
  <c r="S590" i="1" s="1"/>
  <c r="Q591" i="1"/>
  <c r="S591" i="1" s="1"/>
  <c r="Q592" i="1"/>
  <c r="S592" i="1" s="1"/>
  <c r="Q593" i="1"/>
  <c r="R593" i="1" s="1"/>
  <c r="Q594" i="1"/>
  <c r="S594" i="1" s="1"/>
  <c r="Q595" i="1"/>
  <c r="S595" i="1" s="1"/>
  <c r="Q596" i="1"/>
  <c r="S596" i="1" s="1"/>
  <c r="Q597" i="1"/>
  <c r="S597" i="1" s="1"/>
  <c r="Q598" i="1"/>
  <c r="S598" i="1" s="1"/>
  <c r="Q599" i="1"/>
  <c r="S599" i="1" s="1"/>
  <c r="Q600" i="1"/>
  <c r="S600" i="1" s="1"/>
  <c r="Q601" i="1"/>
  <c r="R601" i="1" s="1"/>
  <c r="Q602" i="1"/>
  <c r="S602" i="1" s="1"/>
  <c r="Q603" i="1"/>
  <c r="S603" i="1" s="1"/>
  <c r="Q604" i="1"/>
  <c r="S604" i="1" s="1"/>
  <c r="Q605" i="1"/>
  <c r="S605" i="1" s="1"/>
  <c r="Q606" i="1"/>
  <c r="S606" i="1" s="1"/>
  <c r="Q607" i="1"/>
  <c r="S607" i="1" s="1"/>
  <c r="Q608" i="1"/>
  <c r="S608" i="1" s="1"/>
  <c r="Q609" i="1"/>
  <c r="R609" i="1" s="1"/>
  <c r="Q610" i="1"/>
  <c r="S610" i="1" s="1"/>
  <c r="Q611" i="1"/>
  <c r="S611" i="1" s="1"/>
  <c r="Q612" i="1"/>
  <c r="S612" i="1" s="1"/>
  <c r="Q613" i="1"/>
  <c r="S613" i="1" s="1"/>
  <c r="Q614" i="1"/>
  <c r="S614" i="1" s="1"/>
  <c r="Q615" i="1"/>
  <c r="S615" i="1" s="1"/>
  <c r="Q616" i="1"/>
  <c r="S616" i="1" s="1"/>
  <c r="Q617" i="1"/>
  <c r="R617" i="1" s="1"/>
  <c r="Q618" i="1"/>
  <c r="S618" i="1" s="1"/>
  <c r="Q619" i="1"/>
  <c r="S619" i="1" s="1"/>
  <c r="Q620" i="1"/>
  <c r="S620" i="1" s="1"/>
  <c r="Q621" i="1"/>
  <c r="S621" i="1" s="1"/>
  <c r="Q622" i="1"/>
  <c r="S622" i="1" s="1"/>
  <c r="Q623" i="1"/>
  <c r="S623" i="1" s="1"/>
  <c r="Q624" i="1"/>
  <c r="S624" i="1" s="1"/>
  <c r="Q625" i="1"/>
  <c r="R625" i="1" s="1"/>
  <c r="Q626" i="1"/>
  <c r="S626" i="1" s="1"/>
  <c r="Q627" i="1"/>
  <c r="S627" i="1" s="1"/>
  <c r="Q628" i="1"/>
  <c r="S628" i="1" s="1"/>
  <c r="Q629" i="1"/>
  <c r="S629" i="1" s="1"/>
  <c r="Q630" i="1"/>
  <c r="S630" i="1" s="1"/>
  <c r="Q631" i="1"/>
  <c r="S631" i="1" s="1"/>
  <c r="Q632" i="1"/>
  <c r="S632" i="1" s="1"/>
  <c r="Q633" i="1"/>
  <c r="R633" i="1" s="1"/>
  <c r="Q634" i="1"/>
  <c r="S634" i="1" s="1"/>
  <c r="Q635" i="1"/>
  <c r="S635" i="1" s="1"/>
  <c r="Q636" i="1"/>
  <c r="S636" i="1" s="1"/>
  <c r="Q637" i="1"/>
  <c r="S637" i="1" s="1"/>
  <c r="Q638" i="1"/>
  <c r="S638" i="1" s="1"/>
  <c r="Q639" i="1"/>
  <c r="S639" i="1" s="1"/>
  <c r="Q640" i="1"/>
  <c r="S640" i="1" s="1"/>
  <c r="Q641" i="1"/>
  <c r="R641" i="1" s="1"/>
  <c r="Q642" i="1"/>
  <c r="S642" i="1" s="1"/>
  <c r="Q643" i="1"/>
  <c r="S643" i="1" s="1"/>
  <c r="Q644" i="1"/>
  <c r="S644" i="1" s="1"/>
  <c r="Q645" i="1"/>
  <c r="S645" i="1" s="1"/>
  <c r="Q646" i="1"/>
  <c r="S646" i="1" s="1"/>
  <c r="Q647" i="1"/>
  <c r="S647" i="1" s="1"/>
  <c r="Q648" i="1"/>
  <c r="S648" i="1" s="1"/>
  <c r="Q649" i="1"/>
  <c r="R649" i="1" s="1"/>
  <c r="Q650" i="1"/>
  <c r="S650" i="1" s="1"/>
  <c r="Q651" i="1"/>
  <c r="S651" i="1" s="1"/>
  <c r="Q652" i="1"/>
  <c r="S652" i="1" s="1"/>
  <c r="Q653" i="1"/>
  <c r="S653" i="1" s="1"/>
  <c r="Q654" i="1"/>
  <c r="S654" i="1" s="1"/>
  <c r="Q655" i="1"/>
  <c r="S655" i="1" s="1"/>
  <c r="Q656" i="1"/>
  <c r="S656" i="1" s="1"/>
  <c r="Q657" i="1"/>
  <c r="R657" i="1" s="1"/>
  <c r="Q658" i="1"/>
  <c r="S658" i="1" s="1"/>
  <c r="Q659" i="1"/>
  <c r="S659" i="1" s="1"/>
  <c r="Q660" i="1"/>
  <c r="S660" i="1" s="1"/>
  <c r="Q661" i="1"/>
  <c r="S661" i="1" s="1"/>
  <c r="Q662" i="1"/>
  <c r="S662" i="1" s="1"/>
  <c r="Q663" i="1"/>
  <c r="S663" i="1" s="1"/>
  <c r="Q664" i="1"/>
  <c r="S664" i="1" s="1"/>
  <c r="Q665" i="1"/>
  <c r="R665" i="1" s="1"/>
  <c r="Q666" i="1"/>
  <c r="S666" i="1" s="1"/>
  <c r="Q667" i="1"/>
  <c r="S667" i="1" s="1"/>
  <c r="Q668" i="1"/>
  <c r="S668" i="1" s="1"/>
  <c r="Q669" i="1"/>
  <c r="S669" i="1" s="1"/>
  <c r="Q670" i="1"/>
  <c r="S670" i="1" s="1"/>
  <c r="Q671" i="1"/>
  <c r="S671" i="1" s="1"/>
  <c r="Q672" i="1"/>
  <c r="S672" i="1" s="1"/>
  <c r="Q673" i="1"/>
  <c r="R673" i="1" s="1"/>
  <c r="Q674" i="1"/>
  <c r="S674" i="1" s="1"/>
  <c r="Q675" i="1"/>
  <c r="S675" i="1" s="1"/>
  <c r="Q676" i="1"/>
  <c r="S676" i="1" s="1"/>
  <c r="Q677" i="1"/>
  <c r="S677" i="1" s="1"/>
  <c r="Q678" i="1"/>
  <c r="S678" i="1" s="1"/>
  <c r="Q679" i="1"/>
  <c r="R679" i="1" s="1"/>
  <c r="Q680" i="1"/>
  <c r="S680" i="1" s="1"/>
  <c r="Q681" i="1"/>
  <c r="S681" i="1" s="1"/>
  <c r="Q682" i="1"/>
  <c r="S682" i="1" s="1"/>
  <c r="Q683" i="1"/>
  <c r="R683" i="1" s="1"/>
  <c r="Q684" i="1"/>
  <c r="S684" i="1" s="1"/>
  <c r="Q685" i="1"/>
  <c r="S685" i="1" s="1"/>
  <c r="Q686" i="1"/>
  <c r="S686" i="1" s="1"/>
  <c r="Q687" i="1"/>
  <c r="R687" i="1" s="1"/>
  <c r="Q688" i="1"/>
  <c r="S688" i="1" s="1"/>
  <c r="Q689" i="1"/>
  <c r="S689" i="1" s="1"/>
  <c r="Q690" i="1"/>
  <c r="S690" i="1" s="1"/>
  <c r="Q691" i="1"/>
  <c r="R691" i="1" s="1"/>
  <c r="Q692" i="1"/>
  <c r="S692" i="1" s="1"/>
  <c r="Q693" i="1"/>
  <c r="S693" i="1" s="1"/>
  <c r="Q694" i="1"/>
  <c r="S694" i="1" s="1"/>
  <c r="Q695" i="1"/>
  <c r="R695" i="1" s="1"/>
  <c r="Q696" i="1"/>
  <c r="S696" i="1" s="1"/>
  <c r="Q697" i="1"/>
  <c r="S697" i="1" s="1"/>
  <c r="Q698" i="1"/>
  <c r="S698" i="1" s="1"/>
  <c r="Q699" i="1"/>
  <c r="R699" i="1" s="1"/>
  <c r="Q700" i="1"/>
  <c r="S700" i="1" s="1"/>
  <c r="Q701" i="1"/>
  <c r="S701" i="1" s="1"/>
  <c r="Q702" i="1"/>
  <c r="S702" i="1" s="1"/>
  <c r="Q703" i="1"/>
  <c r="R703" i="1" s="1"/>
  <c r="Q704" i="1"/>
  <c r="S704" i="1" s="1"/>
  <c r="Q705" i="1"/>
  <c r="S705" i="1" s="1"/>
  <c r="Q706" i="1"/>
  <c r="S706" i="1" s="1"/>
  <c r="Q707" i="1"/>
  <c r="R707" i="1" s="1"/>
  <c r="Q708" i="1"/>
  <c r="S708" i="1" s="1"/>
  <c r="Q709" i="1"/>
  <c r="S709" i="1" s="1"/>
  <c r="Q710" i="1"/>
  <c r="S710" i="1" s="1"/>
  <c r="Q711" i="1"/>
  <c r="R711" i="1" s="1"/>
  <c r="Q712" i="1"/>
  <c r="S712" i="1" s="1"/>
  <c r="Q713" i="1"/>
  <c r="S713" i="1" s="1"/>
  <c r="Q714" i="1"/>
  <c r="S714" i="1" s="1"/>
  <c r="Q715" i="1"/>
  <c r="R715" i="1" s="1"/>
  <c r="Q716" i="1"/>
  <c r="S716" i="1" s="1"/>
  <c r="Q717" i="1"/>
  <c r="S717" i="1" s="1"/>
  <c r="Q718" i="1"/>
  <c r="S718" i="1" s="1"/>
  <c r="Q719" i="1"/>
  <c r="R719" i="1" s="1"/>
  <c r="Q720" i="1"/>
  <c r="S720" i="1" s="1"/>
  <c r="Q721" i="1"/>
  <c r="S721" i="1" s="1"/>
  <c r="Q722" i="1"/>
  <c r="S722" i="1" s="1"/>
  <c r="Q723" i="1"/>
  <c r="R723" i="1" s="1"/>
  <c r="Q724" i="1"/>
  <c r="S724" i="1" s="1"/>
  <c r="Q725" i="1"/>
  <c r="S725" i="1" s="1"/>
  <c r="Q726" i="1"/>
  <c r="S726" i="1" s="1"/>
  <c r="Q727" i="1"/>
  <c r="R727" i="1" s="1"/>
  <c r="Q728" i="1"/>
  <c r="S728" i="1" s="1"/>
  <c r="Q729" i="1"/>
  <c r="S729" i="1" s="1"/>
  <c r="Q730" i="1"/>
  <c r="S730" i="1" s="1"/>
  <c r="Q731" i="1"/>
  <c r="R731" i="1" s="1"/>
  <c r="Q732" i="1"/>
  <c r="S732" i="1" s="1"/>
  <c r="Q733" i="1"/>
  <c r="S733" i="1" s="1"/>
  <c r="Q734" i="1"/>
  <c r="S734" i="1" s="1"/>
  <c r="Q735" i="1"/>
  <c r="R735" i="1" s="1"/>
  <c r="Q736" i="1"/>
  <c r="S736" i="1" s="1"/>
  <c r="Q737" i="1"/>
  <c r="S737" i="1" s="1"/>
  <c r="Q738" i="1"/>
  <c r="S738" i="1" s="1"/>
  <c r="Q739" i="1"/>
  <c r="R739" i="1" s="1"/>
  <c r="Q740" i="1"/>
  <c r="S740" i="1" s="1"/>
  <c r="Q741" i="1"/>
  <c r="S741" i="1" s="1"/>
  <c r="Q742" i="1"/>
  <c r="S742" i="1" s="1"/>
  <c r="Q743" i="1"/>
  <c r="R743" i="1" s="1"/>
  <c r="Q744" i="1"/>
  <c r="S744" i="1" s="1"/>
  <c r="Q745" i="1"/>
  <c r="S745" i="1" s="1"/>
  <c r="Q746" i="1"/>
  <c r="S746" i="1" s="1"/>
  <c r="Q747" i="1"/>
  <c r="R747" i="1" s="1"/>
  <c r="Q748" i="1"/>
  <c r="S748" i="1" s="1"/>
  <c r="Q749" i="1"/>
  <c r="S749" i="1" s="1"/>
  <c r="Q750" i="1"/>
  <c r="S750" i="1" s="1"/>
  <c r="Q751" i="1"/>
  <c r="R751" i="1" s="1"/>
  <c r="Q752" i="1"/>
  <c r="S752" i="1" s="1"/>
  <c r="Q753" i="1"/>
  <c r="S753" i="1" s="1"/>
  <c r="Q754" i="1"/>
  <c r="S754" i="1" s="1"/>
  <c r="Q755" i="1"/>
  <c r="R755" i="1" s="1"/>
  <c r="Q756" i="1"/>
  <c r="S756" i="1" s="1"/>
  <c r="Q757" i="1"/>
  <c r="S757" i="1" s="1"/>
  <c r="Q758" i="1"/>
  <c r="S758" i="1" s="1"/>
  <c r="Q759" i="1"/>
  <c r="R759" i="1" s="1"/>
  <c r="Q760" i="1"/>
  <c r="S760" i="1" s="1"/>
  <c r="Q761" i="1"/>
  <c r="S761" i="1" s="1"/>
  <c r="Q762" i="1"/>
  <c r="S762" i="1" s="1"/>
  <c r="Q763" i="1"/>
  <c r="R763" i="1" s="1"/>
  <c r="Q764" i="1"/>
  <c r="S764" i="1" s="1"/>
  <c r="Q765" i="1"/>
  <c r="S765" i="1" s="1"/>
  <c r="Q766" i="1"/>
  <c r="S766" i="1" s="1"/>
  <c r="Q767" i="1"/>
  <c r="R767" i="1" s="1"/>
  <c r="Q768" i="1"/>
  <c r="S768" i="1" s="1"/>
  <c r="Q769" i="1"/>
  <c r="S769" i="1" s="1"/>
  <c r="Q770" i="1"/>
  <c r="S770" i="1" s="1"/>
  <c r="Q771" i="1"/>
  <c r="R771" i="1" s="1"/>
  <c r="Q772" i="1"/>
  <c r="S772" i="1" s="1"/>
  <c r="Q773" i="1"/>
  <c r="S773" i="1" s="1"/>
  <c r="Q774" i="1"/>
  <c r="S774" i="1" s="1"/>
  <c r="Q775" i="1"/>
  <c r="R775" i="1" s="1"/>
  <c r="Q776" i="1"/>
  <c r="S776" i="1" s="1"/>
  <c r="Q777" i="1"/>
  <c r="S777" i="1" s="1"/>
  <c r="Q778" i="1"/>
  <c r="S778" i="1" s="1"/>
  <c r="Q779" i="1"/>
  <c r="R779" i="1" s="1"/>
  <c r="Q780" i="1"/>
  <c r="S780" i="1" s="1"/>
  <c r="Q781" i="1"/>
  <c r="S781" i="1" s="1"/>
  <c r="Q782" i="1"/>
  <c r="S782" i="1" s="1"/>
  <c r="Q783" i="1"/>
  <c r="R783" i="1" s="1"/>
  <c r="Q784" i="1"/>
  <c r="S784" i="1" s="1"/>
  <c r="Q785" i="1"/>
  <c r="S785" i="1" s="1"/>
  <c r="Q786" i="1"/>
  <c r="S786" i="1" s="1"/>
  <c r="Q787" i="1"/>
  <c r="R787" i="1" s="1"/>
  <c r="Q788" i="1"/>
  <c r="S788" i="1" s="1"/>
  <c r="Q789" i="1"/>
  <c r="S789" i="1" s="1"/>
  <c r="Q790" i="1"/>
  <c r="S790" i="1" s="1"/>
  <c r="Q791" i="1"/>
  <c r="R791" i="1" s="1"/>
  <c r="Q792" i="1"/>
  <c r="S792" i="1" s="1"/>
  <c r="Q793" i="1"/>
  <c r="S793" i="1" s="1"/>
  <c r="Q794" i="1"/>
  <c r="S794" i="1" s="1"/>
  <c r="Q795" i="1"/>
  <c r="R795" i="1" s="1"/>
  <c r="Q796" i="1"/>
  <c r="S796" i="1" s="1"/>
  <c r="Q797" i="1"/>
  <c r="S797" i="1" s="1"/>
  <c r="Q798" i="1"/>
  <c r="S798" i="1" s="1"/>
  <c r="Q799" i="1"/>
  <c r="R799" i="1" s="1"/>
  <c r="Q800" i="1"/>
  <c r="S800" i="1" s="1"/>
  <c r="Q801" i="1"/>
  <c r="S801" i="1" s="1"/>
  <c r="Q802" i="1"/>
  <c r="S802" i="1" s="1"/>
  <c r="Q803" i="1"/>
  <c r="R803" i="1" s="1"/>
  <c r="Q804" i="1"/>
  <c r="S804" i="1" s="1"/>
  <c r="Q805" i="1"/>
  <c r="S805" i="1" s="1"/>
  <c r="Q806" i="1"/>
  <c r="S806" i="1" s="1"/>
  <c r="Q807" i="1"/>
  <c r="R807" i="1" s="1"/>
  <c r="Q808" i="1"/>
  <c r="S808" i="1" s="1"/>
  <c r="Q809" i="1"/>
  <c r="S809" i="1" s="1"/>
  <c r="Q810" i="1"/>
  <c r="S810" i="1" s="1"/>
  <c r="Q811" i="1"/>
  <c r="R811" i="1" s="1"/>
  <c r="Q812" i="1"/>
  <c r="S812" i="1" s="1"/>
  <c r="Q813" i="1"/>
  <c r="S813" i="1" s="1"/>
  <c r="Q814" i="1"/>
  <c r="S814" i="1" s="1"/>
  <c r="Q815" i="1"/>
  <c r="R815" i="1" s="1"/>
  <c r="Q816" i="1"/>
  <c r="S816" i="1" s="1"/>
  <c r="Q817" i="1"/>
  <c r="S817" i="1" s="1"/>
  <c r="Q818" i="1"/>
  <c r="S818" i="1" s="1"/>
  <c r="Q819" i="1"/>
  <c r="R819" i="1" s="1"/>
  <c r="Q820" i="1"/>
  <c r="S820" i="1" s="1"/>
  <c r="Q821" i="1"/>
  <c r="S821" i="1" s="1"/>
  <c r="Q822" i="1"/>
  <c r="S822" i="1" s="1"/>
  <c r="Q823" i="1"/>
  <c r="R823" i="1" s="1"/>
  <c r="Q824" i="1"/>
  <c r="S824" i="1" s="1"/>
  <c r="Q825" i="1"/>
  <c r="S825" i="1" s="1"/>
  <c r="Q826" i="1"/>
  <c r="S826" i="1" s="1"/>
  <c r="Q827" i="1"/>
  <c r="R827" i="1" s="1"/>
  <c r="Q828" i="1"/>
  <c r="S828" i="1" s="1"/>
  <c r="Q829" i="1"/>
  <c r="S829" i="1" s="1"/>
  <c r="Q830" i="1"/>
  <c r="S830" i="1" s="1"/>
  <c r="Q831" i="1"/>
  <c r="R831" i="1" s="1"/>
  <c r="Q832" i="1"/>
  <c r="S832" i="1" s="1"/>
  <c r="Q833" i="1"/>
  <c r="S833" i="1" s="1"/>
  <c r="Q834" i="1"/>
  <c r="S834" i="1" s="1"/>
  <c r="Q835" i="1"/>
  <c r="R835" i="1" s="1"/>
  <c r="Q836" i="1"/>
  <c r="S836" i="1" s="1"/>
  <c r="Q837" i="1"/>
  <c r="S837" i="1" s="1"/>
  <c r="Q838" i="1"/>
  <c r="S838" i="1" s="1"/>
  <c r="Q839" i="1"/>
  <c r="R839" i="1" s="1"/>
  <c r="Q840" i="1"/>
  <c r="S840" i="1" s="1"/>
  <c r="Q841" i="1"/>
  <c r="S841" i="1" s="1"/>
  <c r="Q842" i="1"/>
  <c r="S842" i="1" s="1"/>
  <c r="Q843" i="1"/>
  <c r="R843" i="1" s="1"/>
  <c r="Q844" i="1"/>
  <c r="S844" i="1" s="1"/>
  <c r="Q845" i="1"/>
  <c r="S845" i="1" s="1"/>
  <c r="Q846" i="1"/>
  <c r="S846" i="1" s="1"/>
  <c r="Q847" i="1"/>
  <c r="R847" i="1" s="1"/>
  <c r="Q848" i="1"/>
  <c r="S848" i="1" s="1"/>
  <c r="Q849" i="1"/>
  <c r="S849" i="1" s="1"/>
  <c r="Q850" i="1"/>
  <c r="S850" i="1" s="1"/>
  <c r="Q851" i="1"/>
  <c r="R851" i="1" s="1"/>
  <c r="Q852" i="1"/>
  <c r="S852" i="1" s="1"/>
  <c r="Q853" i="1"/>
  <c r="S853" i="1" s="1"/>
  <c r="Q854" i="1"/>
  <c r="S854" i="1" s="1"/>
  <c r="Q855" i="1"/>
  <c r="R855" i="1" s="1"/>
  <c r="Q856" i="1"/>
  <c r="S856" i="1" s="1"/>
  <c r="Q857" i="1"/>
  <c r="S857" i="1" s="1"/>
  <c r="Q858" i="1"/>
  <c r="S858" i="1" s="1"/>
  <c r="Q859" i="1"/>
  <c r="R859" i="1" s="1"/>
  <c r="Q860" i="1"/>
  <c r="S860" i="1" s="1"/>
  <c r="Q861" i="1"/>
  <c r="S861" i="1" s="1"/>
  <c r="Q862" i="1"/>
  <c r="S862" i="1" s="1"/>
  <c r="Q863" i="1"/>
  <c r="R863" i="1" s="1"/>
  <c r="Q864" i="1"/>
  <c r="S864" i="1" s="1"/>
  <c r="Q865" i="1"/>
  <c r="S865" i="1" s="1"/>
  <c r="Q866" i="1"/>
  <c r="S866" i="1" s="1"/>
  <c r="Q867" i="1"/>
  <c r="R867" i="1" s="1"/>
  <c r="Q868" i="1"/>
  <c r="S868" i="1" s="1"/>
  <c r="Q869" i="1"/>
  <c r="S869" i="1" s="1"/>
  <c r="Q870" i="1"/>
  <c r="S870" i="1" s="1"/>
  <c r="Q871" i="1"/>
  <c r="R871" i="1" s="1"/>
  <c r="Q872" i="1"/>
  <c r="S872" i="1" s="1"/>
  <c r="Q873" i="1"/>
  <c r="S873" i="1" s="1"/>
  <c r="Q874" i="1"/>
  <c r="S874" i="1" s="1"/>
  <c r="Q875" i="1"/>
  <c r="R875" i="1" s="1"/>
  <c r="Q876" i="1"/>
  <c r="S876" i="1" s="1"/>
  <c r="Q877" i="1"/>
  <c r="S877" i="1" s="1"/>
  <c r="Q878" i="1"/>
  <c r="S878" i="1" s="1"/>
  <c r="Q879" i="1"/>
  <c r="R879" i="1" s="1"/>
  <c r="Q880" i="1"/>
  <c r="S880" i="1" s="1"/>
  <c r="Q881" i="1"/>
  <c r="S881" i="1" s="1"/>
  <c r="Q882" i="1"/>
  <c r="S882" i="1" s="1"/>
  <c r="Q883" i="1"/>
  <c r="R883" i="1" s="1"/>
  <c r="Q884" i="1"/>
  <c r="S884" i="1" s="1"/>
  <c r="Q885" i="1"/>
  <c r="S885" i="1" s="1"/>
  <c r="Q886" i="1"/>
  <c r="S886" i="1" s="1"/>
  <c r="Q887" i="1"/>
  <c r="R887" i="1" s="1"/>
  <c r="Q888" i="1"/>
  <c r="S888" i="1" s="1"/>
  <c r="Q889" i="1"/>
  <c r="S889" i="1" s="1"/>
  <c r="Q890" i="1"/>
  <c r="S890" i="1" s="1"/>
  <c r="Q891" i="1"/>
  <c r="R891" i="1" s="1"/>
  <c r="Q892" i="1"/>
  <c r="S892" i="1" s="1"/>
  <c r="Q893" i="1"/>
  <c r="S893" i="1" s="1"/>
  <c r="Q894" i="1"/>
  <c r="S894" i="1" s="1"/>
  <c r="Q895" i="1"/>
  <c r="R895" i="1" s="1"/>
  <c r="Q896" i="1"/>
  <c r="S896" i="1" s="1"/>
  <c r="Q897" i="1"/>
  <c r="S897" i="1" s="1"/>
  <c r="Q898" i="1"/>
  <c r="S898" i="1" s="1"/>
  <c r="Q899" i="1"/>
  <c r="R899" i="1" s="1"/>
  <c r="Q900" i="1"/>
  <c r="S900" i="1" s="1"/>
  <c r="Q901" i="1"/>
  <c r="S901" i="1" s="1"/>
  <c r="Q902" i="1"/>
  <c r="S902" i="1" s="1"/>
  <c r="Q903" i="1"/>
  <c r="R903" i="1" s="1"/>
  <c r="Q904" i="1"/>
  <c r="S904" i="1" s="1"/>
  <c r="Q905" i="1"/>
  <c r="S905" i="1" s="1"/>
  <c r="Q906" i="1"/>
  <c r="S906" i="1" s="1"/>
  <c r="Q907" i="1"/>
  <c r="R907" i="1" s="1"/>
  <c r="Q908" i="1"/>
  <c r="S908" i="1" s="1"/>
  <c r="Q909" i="1"/>
  <c r="S909" i="1" s="1"/>
  <c r="Q910" i="1"/>
  <c r="S910" i="1" s="1"/>
  <c r="Q911" i="1"/>
  <c r="S911" i="1" s="1"/>
  <c r="Q912" i="1"/>
  <c r="S912" i="1" s="1"/>
  <c r="Q913" i="1"/>
  <c r="S913" i="1" s="1"/>
  <c r="Q914" i="1"/>
  <c r="R914" i="1" s="1"/>
  <c r="Q915" i="1"/>
  <c r="R915" i="1" s="1"/>
  <c r="Q916" i="1"/>
  <c r="S916" i="1" s="1"/>
  <c r="Q917" i="1"/>
  <c r="R917" i="1" s="1"/>
  <c r="Q918" i="1"/>
  <c r="R918" i="1" s="1"/>
  <c r="Q919" i="1"/>
  <c r="R919" i="1" s="1"/>
  <c r="Q920" i="1"/>
  <c r="S920" i="1" s="1"/>
  <c r="Q921" i="1"/>
  <c r="S921" i="1" s="1"/>
  <c r="Q922" i="1"/>
  <c r="R922" i="1" s="1"/>
  <c r="Q923" i="1"/>
  <c r="R923" i="1" s="1"/>
  <c r="Q924" i="1"/>
  <c r="Q925" i="1"/>
  <c r="R925" i="1" s="1"/>
  <c r="Q926" i="1"/>
  <c r="R926" i="1" s="1"/>
  <c r="Q927" i="1"/>
  <c r="R927" i="1" s="1"/>
  <c r="Q928" i="1"/>
  <c r="Q929" i="1"/>
  <c r="R929" i="1" s="1"/>
  <c r="Q930" i="1"/>
  <c r="R930" i="1" s="1"/>
  <c r="Q931" i="1"/>
  <c r="R931" i="1" s="1"/>
  <c r="Q932" i="1"/>
  <c r="Q933" i="1"/>
  <c r="R933" i="1" s="1"/>
  <c r="Q934" i="1"/>
  <c r="R934" i="1" s="1"/>
  <c r="Q935" i="1"/>
  <c r="R935" i="1" s="1"/>
  <c r="Q936" i="1"/>
  <c r="Q937" i="1"/>
  <c r="R937" i="1" s="1"/>
  <c r="Q938" i="1"/>
  <c r="R938" i="1" s="1"/>
  <c r="Q939" i="1"/>
  <c r="R939" i="1" s="1"/>
  <c r="Q940" i="1"/>
  <c r="Q941" i="1"/>
  <c r="R941" i="1" s="1"/>
  <c r="Q942" i="1"/>
  <c r="Q943" i="1"/>
  <c r="R943" i="1" s="1"/>
  <c r="Q944" i="1"/>
  <c r="Q945" i="1"/>
  <c r="R945" i="1" s="1"/>
  <c r="Q946" i="1"/>
  <c r="Q947" i="1"/>
  <c r="R947" i="1" s="1"/>
  <c r="Q948" i="1"/>
  <c r="Q949" i="1"/>
  <c r="R949" i="1" s="1"/>
  <c r="Q950" i="1"/>
  <c r="Q951" i="1"/>
  <c r="R951" i="1" s="1"/>
  <c r="Q952" i="1"/>
  <c r="Q953" i="1"/>
  <c r="R953" i="1" s="1"/>
  <c r="Q954" i="1"/>
  <c r="Q955" i="1"/>
  <c r="R955" i="1" s="1"/>
  <c r="Q956" i="1"/>
  <c r="Q957" i="1"/>
  <c r="Q958" i="1"/>
  <c r="Q959" i="1"/>
  <c r="R959" i="1" s="1"/>
  <c r="Q960" i="1"/>
  <c r="Q961" i="1"/>
  <c r="Q962" i="1"/>
  <c r="Q963" i="1"/>
  <c r="R963" i="1" s="1"/>
  <c r="Q964" i="1"/>
  <c r="Q965" i="1"/>
  <c r="Q966" i="1"/>
  <c r="Q967" i="1"/>
  <c r="R967" i="1" s="1"/>
  <c r="Q968" i="1"/>
  <c r="Q969" i="1"/>
  <c r="Q970" i="1"/>
  <c r="Q971" i="1"/>
  <c r="R971" i="1" s="1"/>
  <c r="Q972" i="1"/>
  <c r="Q973" i="1"/>
  <c r="Q974" i="1"/>
  <c r="Q975" i="1"/>
  <c r="R975" i="1" s="1"/>
  <c r="Q976" i="1"/>
  <c r="Q977" i="1"/>
  <c r="Q978" i="1"/>
  <c r="Q979" i="1"/>
  <c r="R979" i="1" s="1"/>
  <c r="Q980" i="1"/>
  <c r="Q981" i="1"/>
  <c r="Q982" i="1"/>
  <c r="Q983" i="1"/>
  <c r="R983" i="1" s="1"/>
  <c r="Q984" i="1"/>
  <c r="Q985" i="1"/>
  <c r="Q986" i="1"/>
  <c r="Q987" i="1"/>
  <c r="R987" i="1" s="1"/>
  <c r="Q988" i="1"/>
  <c r="Q989" i="1"/>
  <c r="Q990" i="1"/>
  <c r="Q991" i="1"/>
  <c r="R991" i="1" s="1"/>
  <c r="Q992" i="1"/>
  <c r="Q993" i="1"/>
  <c r="Q994" i="1"/>
  <c r="Q995" i="1"/>
  <c r="R995" i="1" s="1"/>
  <c r="Q996" i="1"/>
  <c r="Q997" i="1"/>
  <c r="Q998" i="1"/>
  <c r="Q999" i="1"/>
  <c r="R999" i="1" s="1"/>
  <c r="Q1000" i="1"/>
  <c r="Q1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B22" i="8"/>
  <c r="B21" i="8"/>
  <c r="B20" i="8"/>
  <c r="B19" i="8"/>
  <c r="B18" i="8"/>
  <c r="B17" i="8"/>
  <c r="B10" i="8"/>
  <c r="B9" i="8"/>
  <c r="B8" i="8"/>
  <c r="B6" i="8"/>
  <c r="B5" i="8"/>
  <c r="B4" i="8"/>
  <c r="K5" i="4"/>
  <c r="I4" i="7"/>
  <c r="G4" i="7"/>
  <c r="E4" i="7"/>
  <c r="A4" i="7"/>
  <c r="K4" i="7"/>
  <c r="C4" i="7"/>
  <c r="S951" i="1" l="1"/>
  <c r="S695" i="1"/>
  <c r="S497" i="1"/>
  <c r="S887" i="1"/>
  <c r="T887" i="1" s="1"/>
  <c r="U887" i="1" s="1"/>
  <c r="S465" i="1"/>
  <c r="S823" i="1"/>
  <c r="S401" i="1"/>
  <c r="S759" i="1"/>
  <c r="T759" i="1" s="1"/>
  <c r="U759" i="1" s="1"/>
  <c r="S999" i="1"/>
  <c r="S935" i="1"/>
  <c r="S871" i="1"/>
  <c r="T871" i="1" s="1"/>
  <c r="U871" i="1" s="1"/>
  <c r="S807" i="1"/>
  <c r="T807" i="1" s="1"/>
  <c r="U807" i="1" s="1"/>
  <c r="S743" i="1"/>
  <c r="S679" i="1"/>
  <c r="S449" i="1"/>
  <c r="S385" i="1"/>
  <c r="T385" i="1" s="1"/>
  <c r="U385" i="1" s="1"/>
  <c r="S983" i="1"/>
  <c r="S919" i="1"/>
  <c r="S855" i="1"/>
  <c r="S791" i="1"/>
  <c r="T791" i="1" s="1"/>
  <c r="U791" i="1" s="1"/>
  <c r="S727" i="1"/>
  <c r="S513" i="1"/>
  <c r="S481" i="1"/>
  <c r="S433" i="1"/>
  <c r="T433" i="1" s="1"/>
  <c r="U433" i="1" s="1"/>
  <c r="S369" i="1"/>
  <c r="T999" i="1"/>
  <c r="U999" i="1" s="1"/>
  <c r="T935" i="1"/>
  <c r="U935" i="1" s="1"/>
  <c r="S967" i="1"/>
  <c r="T967" i="1" s="1"/>
  <c r="U967" i="1" s="1"/>
  <c r="S903" i="1"/>
  <c r="S839" i="1"/>
  <c r="S775" i="1"/>
  <c r="S711" i="1"/>
  <c r="T711" i="1" s="1"/>
  <c r="U711" i="1" s="1"/>
  <c r="S529" i="1"/>
  <c r="S417" i="1"/>
  <c r="S353" i="1"/>
  <c r="R1000" i="1"/>
  <c r="S1000" i="1"/>
  <c r="R996" i="1"/>
  <c r="S996" i="1"/>
  <c r="R992" i="1"/>
  <c r="S992" i="1"/>
  <c r="R988" i="1"/>
  <c r="S988" i="1"/>
  <c r="R984" i="1"/>
  <c r="T984" i="1" s="1"/>
  <c r="U984" i="1" s="1"/>
  <c r="S984" i="1"/>
  <c r="R980" i="1"/>
  <c r="S980" i="1"/>
  <c r="R976" i="1"/>
  <c r="T976" i="1" s="1"/>
  <c r="U976" i="1" s="1"/>
  <c r="S976" i="1"/>
  <c r="R972" i="1"/>
  <c r="S972" i="1"/>
  <c r="R968" i="1"/>
  <c r="T968" i="1" s="1"/>
  <c r="U968" i="1" s="1"/>
  <c r="S968" i="1"/>
  <c r="R964" i="1"/>
  <c r="S964" i="1"/>
  <c r="R960" i="1"/>
  <c r="T960" i="1" s="1"/>
  <c r="U960" i="1" s="1"/>
  <c r="S960" i="1"/>
  <c r="R956" i="1"/>
  <c r="S956" i="1"/>
  <c r="R952" i="1"/>
  <c r="T952" i="1" s="1"/>
  <c r="U952" i="1" s="1"/>
  <c r="S952" i="1"/>
  <c r="R948" i="1"/>
  <c r="S948" i="1"/>
  <c r="R944" i="1"/>
  <c r="T944" i="1" s="1"/>
  <c r="U944" i="1" s="1"/>
  <c r="S944" i="1"/>
  <c r="R940" i="1"/>
  <c r="S940" i="1"/>
  <c r="R936" i="1"/>
  <c r="T936" i="1" s="1"/>
  <c r="U936" i="1" s="1"/>
  <c r="S936" i="1"/>
  <c r="R932" i="1"/>
  <c r="S932" i="1"/>
  <c r="R928" i="1"/>
  <c r="T928" i="1" s="1"/>
  <c r="U928" i="1" s="1"/>
  <c r="S928" i="1"/>
  <c r="R924" i="1"/>
  <c r="S924" i="1"/>
  <c r="T983" i="1"/>
  <c r="U983" i="1" s="1"/>
  <c r="T951" i="1"/>
  <c r="U951" i="1" s="1"/>
  <c r="T919" i="1"/>
  <c r="U919" i="1" s="1"/>
  <c r="T903" i="1"/>
  <c r="U903" i="1" s="1"/>
  <c r="T855" i="1"/>
  <c r="U855" i="1" s="1"/>
  <c r="T839" i="1"/>
  <c r="U839" i="1" s="1"/>
  <c r="T823" i="1"/>
  <c r="U823" i="1" s="1"/>
  <c r="T775" i="1"/>
  <c r="U775" i="1" s="1"/>
  <c r="T743" i="1"/>
  <c r="U743" i="1" s="1"/>
  <c r="T727" i="1"/>
  <c r="U727" i="1" s="1"/>
  <c r="T695" i="1"/>
  <c r="U695" i="1" s="1"/>
  <c r="T679" i="1"/>
  <c r="U679" i="1" s="1"/>
  <c r="S995" i="1"/>
  <c r="T995" i="1" s="1"/>
  <c r="U995" i="1" s="1"/>
  <c r="S979" i="1"/>
  <c r="T979" i="1" s="1"/>
  <c r="U979" i="1" s="1"/>
  <c r="S963" i="1"/>
  <c r="T963" i="1" s="1"/>
  <c r="U963" i="1" s="1"/>
  <c r="S947" i="1"/>
  <c r="T947" i="1" s="1"/>
  <c r="U947" i="1" s="1"/>
  <c r="S931" i="1"/>
  <c r="T931" i="1" s="1"/>
  <c r="U931" i="1" s="1"/>
  <c r="S915" i="1"/>
  <c r="T915" i="1" s="1"/>
  <c r="U915" i="1" s="1"/>
  <c r="S899" i="1"/>
  <c r="T899" i="1" s="1"/>
  <c r="U899" i="1" s="1"/>
  <c r="S883" i="1"/>
  <c r="T883" i="1" s="1"/>
  <c r="U883" i="1" s="1"/>
  <c r="S867" i="1"/>
  <c r="T867" i="1" s="1"/>
  <c r="U867" i="1" s="1"/>
  <c r="S851" i="1"/>
  <c r="T851" i="1" s="1"/>
  <c r="U851" i="1" s="1"/>
  <c r="S835" i="1"/>
  <c r="T835" i="1" s="1"/>
  <c r="U835" i="1" s="1"/>
  <c r="S819" i="1"/>
  <c r="T819" i="1" s="1"/>
  <c r="U819" i="1" s="1"/>
  <c r="S803" i="1"/>
  <c r="T803" i="1" s="1"/>
  <c r="U803" i="1" s="1"/>
  <c r="S787" i="1"/>
  <c r="T787" i="1" s="1"/>
  <c r="U787" i="1" s="1"/>
  <c r="S771" i="1"/>
  <c r="T771" i="1" s="1"/>
  <c r="U771" i="1" s="1"/>
  <c r="S755" i="1"/>
  <c r="T755" i="1" s="1"/>
  <c r="U755" i="1" s="1"/>
  <c r="S739" i="1"/>
  <c r="T739" i="1" s="1"/>
  <c r="U739" i="1" s="1"/>
  <c r="S723" i="1"/>
  <c r="T723" i="1" s="1"/>
  <c r="U723" i="1" s="1"/>
  <c r="S707" i="1"/>
  <c r="T707" i="1" s="1"/>
  <c r="U707" i="1" s="1"/>
  <c r="S691" i="1"/>
  <c r="T691" i="1" s="1"/>
  <c r="U691" i="1" s="1"/>
  <c r="R998" i="1"/>
  <c r="S998" i="1"/>
  <c r="R994" i="1"/>
  <c r="S994" i="1"/>
  <c r="R990" i="1"/>
  <c r="S990" i="1"/>
  <c r="R986" i="1"/>
  <c r="S986" i="1"/>
  <c r="R982" i="1"/>
  <c r="S982" i="1"/>
  <c r="R978" i="1"/>
  <c r="S978" i="1"/>
  <c r="R974" i="1"/>
  <c r="S974" i="1"/>
  <c r="R970" i="1"/>
  <c r="S970" i="1"/>
  <c r="R966" i="1"/>
  <c r="S966" i="1"/>
  <c r="R962" i="1"/>
  <c r="S962" i="1"/>
  <c r="R958" i="1"/>
  <c r="S958" i="1"/>
  <c r="R954" i="1"/>
  <c r="S954" i="1"/>
  <c r="R950" i="1"/>
  <c r="S950" i="1"/>
  <c r="R946" i="1"/>
  <c r="S946" i="1"/>
  <c r="R942" i="1"/>
  <c r="S942" i="1"/>
  <c r="S991" i="1"/>
  <c r="T991" i="1" s="1"/>
  <c r="U991" i="1" s="1"/>
  <c r="S975" i="1"/>
  <c r="T975" i="1" s="1"/>
  <c r="U975" i="1" s="1"/>
  <c r="S959" i="1"/>
  <c r="T959" i="1" s="1"/>
  <c r="U959" i="1" s="1"/>
  <c r="S943" i="1"/>
  <c r="T943" i="1" s="1"/>
  <c r="U943" i="1" s="1"/>
  <c r="S927" i="1"/>
  <c r="T927" i="1" s="1"/>
  <c r="U927" i="1" s="1"/>
  <c r="S895" i="1"/>
  <c r="T895" i="1" s="1"/>
  <c r="U895" i="1" s="1"/>
  <c r="S879" i="1"/>
  <c r="T879" i="1" s="1"/>
  <c r="U879" i="1" s="1"/>
  <c r="S863" i="1"/>
  <c r="T863" i="1" s="1"/>
  <c r="U863" i="1" s="1"/>
  <c r="S847" i="1"/>
  <c r="T847" i="1" s="1"/>
  <c r="U847" i="1" s="1"/>
  <c r="S831" i="1"/>
  <c r="T831" i="1" s="1"/>
  <c r="U831" i="1" s="1"/>
  <c r="S815" i="1"/>
  <c r="T815" i="1" s="1"/>
  <c r="U815" i="1" s="1"/>
  <c r="S799" i="1"/>
  <c r="T799" i="1" s="1"/>
  <c r="U799" i="1" s="1"/>
  <c r="S783" i="1"/>
  <c r="T783" i="1" s="1"/>
  <c r="U783" i="1" s="1"/>
  <c r="S767" i="1"/>
  <c r="T767" i="1" s="1"/>
  <c r="U767" i="1" s="1"/>
  <c r="S751" i="1"/>
  <c r="T751" i="1" s="1"/>
  <c r="U751" i="1" s="1"/>
  <c r="S735" i="1"/>
  <c r="T735" i="1" s="1"/>
  <c r="U735" i="1" s="1"/>
  <c r="S719" i="1"/>
  <c r="T719" i="1" s="1"/>
  <c r="U719" i="1" s="1"/>
  <c r="S703" i="1"/>
  <c r="T703" i="1" s="1"/>
  <c r="U703" i="1" s="1"/>
  <c r="S687" i="1"/>
  <c r="T687" i="1" s="1"/>
  <c r="U687" i="1" s="1"/>
  <c r="R1001" i="1"/>
  <c r="S1001" i="1"/>
  <c r="R997" i="1"/>
  <c r="S997" i="1"/>
  <c r="R993" i="1"/>
  <c r="S993" i="1"/>
  <c r="R989" i="1"/>
  <c r="S989" i="1"/>
  <c r="R985" i="1"/>
  <c r="S985" i="1"/>
  <c r="R981" i="1"/>
  <c r="S981" i="1"/>
  <c r="R977" i="1"/>
  <c r="S977" i="1"/>
  <c r="R973" i="1"/>
  <c r="S973" i="1"/>
  <c r="R969" i="1"/>
  <c r="S969" i="1"/>
  <c r="R965" i="1"/>
  <c r="S965" i="1"/>
  <c r="R961" i="1"/>
  <c r="S961" i="1"/>
  <c r="R957" i="1"/>
  <c r="S957" i="1"/>
  <c r="S987" i="1"/>
  <c r="T987" i="1" s="1"/>
  <c r="U987" i="1" s="1"/>
  <c r="S971" i="1"/>
  <c r="T971" i="1" s="1"/>
  <c r="U971" i="1" s="1"/>
  <c r="S955" i="1"/>
  <c r="T955" i="1" s="1"/>
  <c r="U955" i="1" s="1"/>
  <c r="S939" i="1"/>
  <c r="T939" i="1" s="1"/>
  <c r="U939" i="1" s="1"/>
  <c r="S923" i="1"/>
  <c r="T923" i="1" s="1"/>
  <c r="U923" i="1" s="1"/>
  <c r="S907" i="1"/>
  <c r="T907" i="1" s="1"/>
  <c r="U907" i="1" s="1"/>
  <c r="S891" i="1"/>
  <c r="T891" i="1" s="1"/>
  <c r="U891" i="1" s="1"/>
  <c r="S875" i="1"/>
  <c r="T875" i="1" s="1"/>
  <c r="U875" i="1" s="1"/>
  <c r="S859" i="1"/>
  <c r="T859" i="1" s="1"/>
  <c r="U859" i="1" s="1"/>
  <c r="S843" i="1"/>
  <c r="T843" i="1" s="1"/>
  <c r="U843" i="1" s="1"/>
  <c r="S827" i="1"/>
  <c r="T827" i="1" s="1"/>
  <c r="U827" i="1" s="1"/>
  <c r="S811" i="1"/>
  <c r="T811" i="1" s="1"/>
  <c r="U811" i="1" s="1"/>
  <c r="S795" i="1"/>
  <c r="T795" i="1" s="1"/>
  <c r="U795" i="1" s="1"/>
  <c r="S779" i="1"/>
  <c r="T779" i="1" s="1"/>
  <c r="U779" i="1" s="1"/>
  <c r="S763" i="1"/>
  <c r="T763" i="1" s="1"/>
  <c r="U763" i="1" s="1"/>
  <c r="S747" i="1"/>
  <c r="T747" i="1" s="1"/>
  <c r="U747" i="1" s="1"/>
  <c r="S731" i="1"/>
  <c r="T731" i="1" s="1"/>
  <c r="U731" i="1" s="1"/>
  <c r="S715" i="1"/>
  <c r="T715" i="1" s="1"/>
  <c r="U715" i="1" s="1"/>
  <c r="S699" i="1"/>
  <c r="T699" i="1" s="1"/>
  <c r="U699" i="1" s="1"/>
  <c r="S683" i="1"/>
  <c r="T683" i="1" s="1"/>
  <c r="U683" i="1" s="1"/>
  <c r="S571" i="1"/>
  <c r="T571" i="1" s="1"/>
  <c r="U571" i="1" s="1"/>
  <c r="S938" i="1"/>
  <c r="T938" i="1" s="1"/>
  <c r="U938" i="1" s="1"/>
  <c r="S934" i="1"/>
  <c r="T934" i="1" s="1"/>
  <c r="U934" i="1" s="1"/>
  <c r="S930" i="1"/>
  <c r="T930" i="1" s="1"/>
  <c r="U930" i="1" s="1"/>
  <c r="S926" i="1"/>
  <c r="T926" i="1" s="1"/>
  <c r="U926" i="1" s="1"/>
  <c r="S922" i="1"/>
  <c r="T922" i="1" s="1"/>
  <c r="U922" i="1" s="1"/>
  <c r="S918" i="1"/>
  <c r="T918" i="1" s="1"/>
  <c r="U918" i="1" s="1"/>
  <c r="S914" i="1"/>
  <c r="T914" i="1" s="1"/>
  <c r="U914" i="1" s="1"/>
  <c r="T529" i="1"/>
  <c r="U529" i="1" s="1"/>
  <c r="T513" i="1"/>
  <c r="U513" i="1" s="1"/>
  <c r="T497" i="1"/>
  <c r="U497" i="1" s="1"/>
  <c r="T481" i="1"/>
  <c r="U481" i="1" s="1"/>
  <c r="T465" i="1"/>
  <c r="U465" i="1" s="1"/>
  <c r="T449" i="1"/>
  <c r="U449" i="1" s="1"/>
  <c r="T417" i="1"/>
  <c r="U417" i="1" s="1"/>
  <c r="T401" i="1"/>
  <c r="U401" i="1" s="1"/>
  <c r="T369" i="1"/>
  <c r="U369" i="1" s="1"/>
  <c r="T353" i="1"/>
  <c r="U353" i="1" s="1"/>
  <c r="S953" i="1"/>
  <c r="T953" i="1" s="1"/>
  <c r="U953" i="1" s="1"/>
  <c r="S949" i="1"/>
  <c r="T949" i="1" s="1"/>
  <c r="U949" i="1" s="1"/>
  <c r="S945" i="1"/>
  <c r="T945" i="1" s="1"/>
  <c r="U945" i="1" s="1"/>
  <c r="S941" i="1"/>
  <c r="T941" i="1" s="1"/>
  <c r="U941" i="1" s="1"/>
  <c r="S937" i="1"/>
  <c r="T937" i="1" s="1"/>
  <c r="U937" i="1" s="1"/>
  <c r="S933" i="1"/>
  <c r="T933" i="1" s="1"/>
  <c r="U933" i="1" s="1"/>
  <c r="S929" i="1"/>
  <c r="T929" i="1" s="1"/>
  <c r="U929" i="1" s="1"/>
  <c r="S925" i="1"/>
  <c r="T925" i="1" s="1"/>
  <c r="U925" i="1" s="1"/>
  <c r="S917" i="1"/>
  <c r="T917" i="1" s="1"/>
  <c r="U917" i="1" s="1"/>
  <c r="S673" i="1"/>
  <c r="T673" i="1" s="1"/>
  <c r="U673" i="1" s="1"/>
  <c r="S665" i="1"/>
  <c r="T665" i="1" s="1"/>
  <c r="U665" i="1" s="1"/>
  <c r="S657" i="1"/>
  <c r="T657" i="1" s="1"/>
  <c r="U657" i="1" s="1"/>
  <c r="S649" i="1"/>
  <c r="T649" i="1" s="1"/>
  <c r="U649" i="1" s="1"/>
  <c r="S641" i="1"/>
  <c r="T641" i="1" s="1"/>
  <c r="U641" i="1" s="1"/>
  <c r="S633" i="1"/>
  <c r="T633" i="1" s="1"/>
  <c r="U633" i="1" s="1"/>
  <c r="S625" i="1"/>
  <c r="T625" i="1" s="1"/>
  <c r="U625" i="1" s="1"/>
  <c r="S617" i="1"/>
  <c r="T617" i="1" s="1"/>
  <c r="U617" i="1" s="1"/>
  <c r="S609" i="1"/>
  <c r="T609" i="1" s="1"/>
  <c r="U609" i="1" s="1"/>
  <c r="S601" i="1"/>
  <c r="T601" i="1" s="1"/>
  <c r="U601" i="1" s="1"/>
  <c r="S593" i="1"/>
  <c r="T593" i="1" s="1"/>
  <c r="U593" i="1" s="1"/>
  <c r="S577" i="1"/>
  <c r="T577" i="1" s="1"/>
  <c r="U577" i="1" s="1"/>
  <c r="S561" i="1"/>
  <c r="T561" i="1" s="1"/>
  <c r="U561" i="1" s="1"/>
  <c r="S545" i="1"/>
  <c r="T545" i="1" s="1"/>
  <c r="U545" i="1" s="1"/>
  <c r="R913" i="1"/>
  <c r="T913" i="1" s="1"/>
  <c r="U913" i="1" s="1"/>
  <c r="R901" i="1"/>
  <c r="T901" i="1" s="1"/>
  <c r="U901" i="1" s="1"/>
  <c r="R889" i="1"/>
  <c r="T889" i="1" s="1"/>
  <c r="U889" i="1" s="1"/>
  <c r="R885" i="1"/>
  <c r="T885" i="1" s="1"/>
  <c r="U885" i="1" s="1"/>
  <c r="R877" i="1"/>
  <c r="T877" i="1" s="1"/>
  <c r="U877" i="1" s="1"/>
  <c r="R873" i="1"/>
  <c r="T873" i="1" s="1"/>
  <c r="U873" i="1" s="1"/>
  <c r="R857" i="1"/>
  <c r="T857" i="1" s="1"/>
  <c r="U857" i="1" s="1"/>
  <c r="R845" i="1"/>
  <c r="T845" i="1" s="1"/>
  <c r="U845" i="1" s="1"/>
  <c r="R825" i="1"/>
  <c r="T825" i="1" s="1"/>
  <c r="U825" i="1" s="1"/>
  <c r="R809" i="1"/>
  <c r="T809" i="1" s="1"/>
  <c r="U809" i="1" s="1"/>
  <c r="R805" i="1"/>
  <c r="T805" i="1" s="1"/>
  <c r="U805" i="1" s="1"/>
  <c r="R797" i="1"/>
  <c r="T797" i="1" s="1"/>
  <c r="U797" i="1" s="1"/>
  <c r="R789" i="1"/>
  <c r="T789" i="1" s="1"/>
  <c r="U789" i="1" s="1"/>
  <c r="R781" i="1"/>
  <c r="T781" i="1" s="1"/>
  <c r="U781" i="1" s="1"/>
  <c r="R773" i="1"/>
  <c r="T773" i="1" s="1"/>
  <c r="U773" i="1" s="1"/>
  <c r="R757" i="1"/>
  <c r="T757" i="1" s="1"/>
  <c r="U757" i="1" s="1"/>
  <c r="R745" i="1"/>
  <c r="T745" i="1" s="1"/>
  <c r="U745" i="1" s="1"/>
  <c r="R741" i="1"/>
  <c r="T741" i="1" s="1"/>
  <c r="U741" i="1" s="1"/>
  <c r="R729" i="1"/>
  <c r="T729" i="1" s="1"/>
  <c r="U729" i="1" s="1"/>
  <c r="R721" i="1"/>
  <c r="T721" i="1" s="1"/>
  <c r="U721" i="1" s="1"/>
  <c r="R717" i="1"/>
  <c r="T717" i="1" s="1"/>
  <c r="U717" i="1" s="1"/>
  <c r="R709" i="1"/>
  <c r="T709" i="1" s="1"/>
  <c r="U709" i="1" s="1"/>
  <c r="R701" i="1"/>
  <c r="T701" i="1" s="1"/>
  <c r="U701" i="1" s="1"/>
  <c r="R689" i="1"/>
  <c r="T689" i="1" s="1"/>
  <c r="U689" i="1" s="1"/>
  <c r="R681" i="1"/>
  <c r="T681" i="1" s="1"/>
  <c r="U681" i="1" s="1"/>
  <c r="R653" i="1"/>
  <c r="T653" i="1" s="1"/>
  <c r="U653" i="1" s="1"/>
  <c r="R645" i="1"/>
  <c r="T645" i="1" s="1"/>
  <c r="U645" i="1" s="1"/>
  <c r="R637" i="1"/>
  <c r="T637" i="1" s="1"/>
  <c r="U637" i="1" s="1"/>
  <c r="R613" i="1"/>
  <c r="T613" i="1" s="1"/>
  <c r="U613" i="1" s="1"/>
  <c r="R597" i="1"/>
  <c r="T597" i="1" s="1"/>
  <c r="U597" i="1" s="1"/>
  <c r="R589" i="1"/>
  <c r="T589" i="1" s="1"/>
  <c r="U589" i="1" s="1"/>
  <c r="R569" i="1"/>
  <c r="T569" i="1" s="1"/>
  <c r="U569" i="1" s="1"/>
  <c r="R565" i="1"/>
  <c r="T565" i="1" s="1"/>
  <c r="U565" i="1" s="1"/>
  <c r="R553" i="1"/>
  <c r="T553" i="1" s="1"/>
  <c r="U553" i="1" s="1"/>
  <c r="R537" i="1"/>
  <c r="T537" i="1" s="1"/>
  <c r="U537" i="1" s="1"/>
  <c r="R517" i="1"/>
  <c r="T517" i="1" s="1"/>
  <c r="U517" i="1" s="1"/>
  <c r="R509" i="1"/>
  <c r="T509" i="1" s="1"/>
  <c r="U509" i="1" s="1"/>
  <c r="R505" i="1"/>
  <c r="T505" i="1" s="1"/>
  <c r="U505" i="1" s="1"/>
  <c r="R477" i="1"/>
  <c r="T477" i="1" s="1"/>
  <c r="U477" i="1" s="1"/>
  <c r="R469" i="1"/>
  <c r="T469" i="1" s="1"/>
  <c r="U469" i="1" s="1"/>
  <c r="R461" i="1"/>
  <c r="T461" i="1" s="1"/>
  <c r="U461" i="1" s="1"/>
  <c r="R457" i="1"/>
  <c r="T457" i="1" s="1"/>
  <c r="U457" i="1" s="1"/>
  <c r="R441" i="1"/>
  <c r="T441" i="1" s="1"/>
  <c r="U441" i="1" s="1"/>
  <c r="R425" i="1"/>
  <c r="T425" i="1" s="1"/>
  <c r="U425" i="1" s="1"/>
  <c r="R421" i="1"/>
  <c r="T421" i="1" s="1"/>
  <c r="U421" i="1" s="1"/>
  <c r="R413" i="1"/>
  <c r="T413" i="1" s="1"/>
  <c r="U413" i="1" s="1"/>
  <c r="R389" i="1"/>
  <c r="T389" i="1" s="1"/>
  <c r="U389" i="1" s="1"/>
  <c r="R373" i="1"/>
  <c r="T373" i="1" s="1"/>
  <c r="U373" i="1" s="1"/>
  <c r="R365" i="1"/>
  <c r="T365" i="1" s="1"/>
  <c r="U365" i="1" s="1"/>
  <c r="R345" i="1"/>
  <c r="T345" i="1" s="1"/>
  <c r="U345" i="1" s="1"/>
  <c r="R341" i="1"/>
  <c r="T341" i="1" s="1"/>
  <c r="U341" i="1" s="1"/>
  <c r="R333" i="1"/>
  <c r="T333" i="1" s="1"/>
  <c r="U333" i="1" s="1"/>
  <c r="R325" i="1"/>
  <c r="T325" i="1" s="1"/>
  <c r="U325" i="1" s="1"/>
  <c r="R313" i="1"/>
  <c r="T313" i="1" s="1"/>
  <c r="U313" i="1" s="1"/>
  <c r="R305" i="1"/>
  <c r="T305" i="1" s="1"/>
  <c r="U305" i="1" s="1"/>
  <c r="R297" i="1"/>
  <c r="T297" i="1" s="1"/>
  <c r="U297" i="1" s="1"/>
  <c r="R289" i="1"/>
  <c r="T289" i="1" s="1"/>
  <c r="U289" i="1" s="1"/>
  <c r="R281" i="1"/>
  <c r="T281" i="1" s="1"/>
  <c r="U281" i="1" s="1"/>
  <c r="R273" i="1"/>
  <c r="T273" i="1" s="1"/>
  <c r="U273" i="1" s="1"/>
  <c r="R265" i="1"/>
  <c r="T265" i="1" s="1"/>
  <c r="U265" i="1" s="1"/>
  <c r="R253" i="1"/>
  <c r="T253" i="1" s="1"/>
  <c r="U253" i="1" s="1"/>
  <c r="R249" i="1"/>
  <c r="T249" i="1" s="1"/>
  <c r="U249" i="1" s="1"/>
  <c r="R241" i="1"/>
  <c r="T241" i="1" s="1"/>
  <c r="U241" i="1" s="1"/>
  <c r="R233" i="1"/>
  <c r="T233" i="1" s="1"/>
  <c r="U233" i="1" s="1"/>
  <c r="R225" i="1"/>
  <c r="T225" i="1" s="1"/>
  <c r="U225" i="1" s="1"/>
  <c r="R217" i="1"/>
  <c r="T217" i="1" s="1"/>
  <c r="U217" i="1" s="1"/>
  <c r="R213" i="1"/>
  <c r="T213" i="1" s="1"/>
  <c r="U213" i="1" s="1"/>
  <c r="R205" i="1"/>
  <c r="T205" i="1" s="1"/>
  <c r="U205" i="1" s="1"/>
  <c r="R197" i="1"/>
  <c r="T197" i="1" s="1"/>
  <c r="U197" i="1" s="1"/>
  <c r="R189" i="1"/>
  <c r="T189" i="1" s="1"/>
  <c r="U189" i="1" s="1"/>
  <c r="R181" i="1"/>
  <c r="T181" i="1" s="1"/>
  <c r="U181" i="1" s="1"/>
  <c r="R177" i="1"/>
  <c r="T177" i="1" s="1"/>
  <c r="U177" i="1" s="1"/>
  <c r="R157" i="1"/>
  <c r="T157" i="1" s="1"/>
  <c r="U157" i="1" s="1"/>
  <c r="R149" i="1"/>
  <c r="T149" i="1" s="1"/>
  <c r="U149" i="1" s="1"/>
  <c r="R141" i="1"/>
  <c r="T141" i="1" s="1"/>
  <c r="U141" i="1" s="1"/>
  <c r="R133" i="1"/>
  <c r="T133" i="1" s="1"/>
  <c r="U133" i="1" s="1"/>
  <c r="R125" i="1"/>
  <c r="T125" i="1" s="1"/>
  <c r="U125" i="1" s="1"/>
  <c r="R113" i="1"/>
  <c r="T113" i="1" s="1"/>
  <c r="U113" i="1" s="1"/>
  <c r="R105" i="1"/>
  <c r="T105" i="1" s="1"/>
  <c r="U105" i="1" s="1"/>
  <c r="R97" i="1"/>
  <c r="T97" i="1" s="1"/>
  <c r="U97" i="1" s="1"/>
  <c r="R89" i="1"/>
  <c r="T89" i="1" s="1"/>
  <c r="U89" i="1" s="1"/>
  <c r="R81" i="1"/>
  <c r="T81" i="1" s="1"/>
  <c r="U81" i="1" s="1"/>
  <c r="R73" i="1"/>
  <c r="T73" i="1" s="1"/>
  <c r="U73" i="1" s="1"/>
  <c r="R65" i="1"/>
  <c r="T65" i="1" s="1"/>
  <c r="U65" i="1" s="1"/>
  <c r="R61" i="1"/>
  <c r="T61" i="1" s="1"/>
  <c r="U61" i="1" s="1"/>
  <c r="R49" i="1"/>
  <c r="T49" i="1" s="1"/>
  <c r="U49" i="1" s="1"/>
  <c r="R41" i="1"/>
  <c r="T41" i="1" s="1"/>
  <c r="U41" i="1" s="1"/>
  <c r="R29" i="1"/>
  <c r="T29" i="1" s="1"/>
  <c r="U29" i="1" s="1"/>
  <c r="R25" i="1"/>
  <c r="T25" i="1" s="1"/>
  <c r="U25" i="1" s="1"/>
  <c r="R17" i="1"/>
  <c r="T17" i="1" s="1"/>
  <c r="U17" i="1" s="1"/>
  <c r="R9" i="1"/>
  <c r="T9" i="1" s="1"/>
  <c r="U9" i="1" s="1"/>
  <c r="R849" i="1"/>
  <c r="T849" i="1" s="1"/>
  <c r="U849" i="1" s="1"/>
  <c r="R257" i="1"/>
  <c r="T257" i="1" s="1"/>
  <c r="U257" i="1" s="1"/>
  <c r="R920" i="1"/>
  <c r="T920" i="1" s="1"/>
  <c r="U920" i="1" s="1"/>
  <c r="R916" i="1"/>
  <c r="T916" i="1" s="1"/>
  <c r="U916" i="1" s="1"/>
  <c r="R912" i="1"/>
  <c r="T912" i="1" s="1"/>
  <c r="U912" i="1" s="1"/>
  <c r="R908" i="1"/>
  <c r="T908" i="1" s="1"/>
  <c r="U908" i="1" s="1"/>
  <c r="R904" i="1"/>
  <c r="T904" i="1" s="1"/>
  <c r="U904" i="1" s="1"/>
  <c r="R900" i="1"/>
  <c r="T900" i="1" s="1"/>
  <c r="U900" i="1" s="1"/>
  <c r="R896" i="1"/>
  <c r="T896" i="1" s="1"/>
  <c r="U896" i="1" s="1"/>
  <c r="R892" i="1"/>
  <c r="T892" i="1" s="1"/>
  <c r="U892" i="1" s="1"/>
  <c r="R888" i="1"/>
  <c r="T888" i="1" s="1"/>
  <c r="U888" i="1" s="1"/>
  <c r="R884" i="1"/>
  <c r="T884" i="1" s="1"/>
  <c r="U884" i="1" s="1"/>
  <c r="R880" i="1"/>
  <c r="T880" i="1" s="1"/>
  <c r="U880" i="1" s="1"/>
  <c r="R876" i="1"/>
  <c r="T876" i="1" s="1"/>
  <c r="U876" i="1" s="1"/>
  <c r="R872" i="1"/>
  <c r="T872" i="1" s="1"/>
  <c r="U872" i="1" s="1"/>
  <c r="R868" i="1"/>
  <c r="T868" i="1" s="1"/>
  <c r="U868" i="1" s="1"/>
  <c r="R864" i="1"/>
  <c r="T864" i="1" s="1"/>
  <c r="U864" i="1" s="1"/>
  <c r="R860" i="1"/>
  <c r="T860" i="1" s="1"/>
  <c r="U860" i="1" s="1"/>
  <c r="R856" i="1"/>
  <c r="T856" i="1" s="1"/>
  <c r="U856" i="1" s="1"/>
  <c r="R852" i="1"/>
  <c r="T852" i="1" s="1"/>
  <c r="U852" i="1" s="1"/>
  <c r="R848" i="1"/>
  <c r="T848" i="1" s="1"/>
  <c r="U848" i="1" s="1"/>
  <c r="R844" i="1"/>
  <c r="T844" i="1" s="1"/>
  <c r="U844" i="1" s="1"/>
  <c r="R840" i="1"/>
  <c r="T840" i="1" s="1"/>
  <c r="U840" i="1" s="1"/>
  <c r="R836" i="1"/>
  <c r="T836" i="1" s="1"/>
  <c r="U836" i="1" s="1"/>
  <c r="R832" i="1"/>
  <c r="T832" i="1" s="1"/>
  <c r="U832" i="1" s="1"/>
  <c r="R828" i="1"/>
  <c r="T828" i="1" s="1"/>
  <c r="U828" i="1" s="1"/>
  <c r="R824" i="1"/>
  <c r="T824" i="1" s="1"/>
  <c r="U824" i="1" s="1"/>
  <c r="R820" i="1"/>
  <c r="T820" i="1" s="1"/>
  <c r="U820" i="1" s="1"/>
  <c r="R816" i="1"/>
  <c r="T816" i="1" s="1"/>
  <c r="U816" i="1" s="1"/>
  <c r="R812" i="1"/>
  <c r="T812" i="1" s="1"/>
  <c r="U812" i="1" s="1"/>
  <c r="R808" i="1"/>
  <c r="T808" i="1" s="1"/>
  <c r="U808" i="1" s="1"/>
  <c r="R804" i="1"/>
  <c r="T804" i="1" s="1"/>
  <c r="U804" i="1" s="1"/>
  <c r="R800" i="1"/>
  <c r="T800" i="1" s="1"/>
  <c r="U800" i="1" s="1"/>
  <c r="R796" i="1"/>
  <c r="T796" i="1" s="1"/>
  <c r="U796" i="1" s="1"/>
  <c r="R792" i="1"/>
  <c r="T792" i="1" s="1"/>
  <c r="U792" i="1" s="1"/>
  <c r="R788" i="1"/>
  <c r="T788" i="1" s="1"/>
  <c r="U788" i="1" s="1"/>
  <c r="R784" i="1"/>
  <c r="T784" i="1" s="1"/>
  <c r="U784" i="1" s="1"/>
  <c r="R780" i="1"/>
  <c r="T780" i="1" s="1"/>
  <c r="U780" i="1" s="1"/>
  <c r="R776" i="1"/>
  <c r="T776" i="1" s="1"/>
  <c r="U776" i="1" s="1"/>
  <c r="R772" i="1"/>
  <c r="T772" i="1" s="1"/>
  <c r="U772" i="1" s="1"/>
  <c r="R768" i="1"/>
  <c r="T768" i="1" s="1"/>
  <c r="U768" i="1" s="1"/>
  <c r="R764" i="1"/>
  <c r="T764" i="1" s="1"/>
  <c r="U764" i="1" s="1"/>
  <c r="R760" i="1"/>
  <c r="T760" i="1" s="1"/>
  <c r="U760" i="1" s="1"/>
  <c r="R756" i="1"/>
  <c r="T756" i="1" s="1"/>
  <c r="U756" i="1" s="1"/>
  <c r="R752" i="1"/>
  <c r="T752" i="1" s="1"/>
  <c r="U752" i="1" s="1"/>
  <c r="R748" i="1"/>
  <c r="T748" i="1" s="1"/>
  <c r="U748" i="1" s="1"/>
  <c r="R744" i="1"/>
  <c r="T744" i="1" s="1"/>
  <c r="U744" i="1" s="1"/>
  <c r="R740" i="1"/>
  <c r="T740" i="1" s="1"/>
  <c r="U740" i="1" s="1"/>
  <c r="R736" i="1"/>
  <c r="T736" i="1" s="1"/>
  <c r="U736" i="1" s="1"/>
  <c r="R732" i="1"/>
  <c r="T732" i="1" s="1"/>
  <c r="U732" i="1" s="1"/>
  <c r="R728" i="1"/>
  <c r="T728" i="1" s="1"/>
  <c r="U728" i="1" s="1"/>
  <c r="R724" i="1"/>
  <c r="T724" i="1" s="1"/>
  <c r="U724" i="1" s="1"/>
  <c r="R720" i="1"/>
  <c r="T720" i="1" s="1"/>
  <c r="U720" i="1" s="1"/>
  <c r="R716" i="1"/>
  <c r="T716" i="1" s="1"/>
  <c r="U716" i="1" s="1"/>
  <c r="R712" i="1"/>
  <c r="T712" i="1" s="1"/>
  <c r="U712" i="1" s="1"/>
  <c r="R708" i="1"/>
  <c r="T708" i="1" s="1"/>
  <c r="U708" i="1" s="1"/>
  <c r="R704" i="1"/>
  <c r="T704" i="1" s="1"/>
  <c r="U704" i="1" s="1"/>
  <c r="R700" i="1"/>
  <c r="T700" i="1" s="1"/>
  <c r="U700" i="1" s="1"/>
  <c r="R696" i="1"/>
  <c r="T696" i="1" s="1"/>
  <c r="U696" i="1" s="1"/>
  <c r="R692" i="1"/>
  <c r="T692" i="1" s="1"/>
  <c r="U692" i="1" s="1"/>
  <c r="R688" i="1"/>
  <c r="T688" i="1" s="1"/>
  <c r="U688" i="1" s="1"/>
  <c r="R684" i="1"/>
  <c r="T684" i="1" s="1"/>
  <c r="U684" i="1" s="1"/>
  <c r="R680" i="1"/>
  <c r="T680" i="1" s="1"/>
  <c r="U680" i="1" s="1"/>
  <c r="R676" i="1"/>
  <c r="T676" i="1" s="1"/>
  <c r="U676" i="1" s="1"/>
  <c r="R672" i="1"/>
  <c r="T672" i="1" s="1"/>
  <c r="U672" i="1" s="1"/>
  <c r="R668" i="1"/>
  <c r="T668" i="1" s="1"/>
  <c r="U668" i="1" s="1"/>
  <c r="R664" i="1"/>
  <c r="T664" i="1" s="1"/>
  <c r="U664" i="1" s="1"/>
  <c r="R660" i="1"/>
  <c r="T660" i="1" s="1"/>
  <c r="U660" i="1" s="1"/>
  <c r="R656" i="1"/>
  <c r="T656" i="1" s="1"/>
  <c r="U656" i="1" s="1"/>
  <c r="R652" i="1"/>
  <c r="T652" i="1" s="1"/>
  <c r="U652" i="1" s="1"/>
  <c r="R648" i="1"/>
  <c r="T648" i="1" s="1"/>
  <c r="U648" i="1" s="1"/>
  <c r="R644" i="1"/>
  <c r="T644" i="1" s="1"/>
  <c r="U644" i="1" s="1"/>
  <c r="R640" i="1"/>
  <c r="T640" i="1" s="1"/>
  <c r="U640" i="1" s="1"/>
  <c r="R636" i="1"/>
  <c r="T636" i="1" s="1"/>
  <c r="U636" i="1" s="1"/>
  <c r="R632" i="1"/>
  <c r="T632" i="1" s="1"/>
  <c r="U632" i="1" s="1"/>
  <c r="R628" i="1"/>
  <c r="T628" i="1" s="1"/>
  <c r="U628" i="1" s="1"/>
  <c r="R624" i="1"/>
  <c r="T624" i="1" s="1"/>
  <c r="U624" i="1" s="1"/>
  <c r="R620" i="1"/>
  <c r="T620" i="1" s="1"/>
  <c r="U620" i="1" s="1"/>
  <c r="R616" i="1"/>
  <c r="T616" i="1" s="1"/>
  <c r="U616" i="1" s="1"/>
  <c r="R612" i="1"/>
  <c r="T612" i="1" s="1"/>
  <c r="U612" i="1" s="1"/>
  <c r="R608" i="1"/>
  <c r="T608" i="1" s="1"/>
  <c r="U608" i="1" s="1"/>
  <c r="R604" i="1"/>
  <c r="T604" i="1" s="1"/>
  <c r="U604" i="1" s="1"/>
  <c r="R600" i="1"/>
  <c r="T600" i="1" s="1"/>
  <c r="U600" i="1" s="1"/>
  <c r="R596" i="1"/>
  <c r="T596" i="1" s="1"/>
  <c r="U596" i="1" s="1"/>
  <c r="R592" i="1"/>
  <c r="T592" i="1" s="1"/>
  <c r="U592" i="1" s="1"/>
  <c r="R588" i="1"/>
  <c r="T588" i="1" s="1"/>
  <c r="U588" i="1" s="1"/>
  <c r="R584" i="1"/>
  <c r="T584" i="1" s="1"/>
  <c r="U584" i="1" s="1"/>
  <c r="R580" i="1"/>
  <c r="T580" i="1" s="1"/>
  <c r="U580" i="1" s="1"/>
  <c r="R576" i="1"/>
  <c r="T576" i="1" s="1"/>
  <c r="U576" i="1" s="1"/>
  <c r="R572" i="1"/>
  <c r="T572" i="1" s="1"/>
  <c r="U572" i="1" s="1"/>
  <c r="R568" i="1"/>
  <c r="T568" i="1" s="1"/>
  <c r="U568" i="1" s="1"/>
  <c r="R564" i="1"/>
  <c r="T564" i="1" s="1"/>
  <c r="U564" i="1" s="1"/>
  <c r="R560" i="1"/>
  <c r="T560" i="1" s="1"/>
  <c r="U560" i="1" s="1"/>
  <c r="R556" i="1"/>
  <c r="T556" i="1" s="1"/>
  <c r="U556" i="1" s="1"/>
  <c r="R552" i="1"/>
  <c r="T552" i="1" s="1"/>
  <c r="U552" i="1" s="1"/>
  <c r="R548" i="1"/>
  <c r="T548" i="1" s="1"/>
  <c r="U548" i="1" s="1"/>
  <c r="R544" i="1"/>
  <c r="T544" i="1" s="1"/>
  <c r="U544" i="1" s="1"/>
  <c r="R540" i="1"/>
  <c r="T540" i="1" s="1"/>
  <c r="U540" i="1" s="1"/>
  <c r="R536" i="1"/>
  <c r="T536" i="1" s="1"/>
  <c r="U536" i="1" s="1"/>
  <c r="R532" i="1"/>
  <c r="T532" i="1" s="1"/>
  <c r="U532" i="1" s="1"/>
  <c r="R528" i="1"/>
  <c r="T528" i="1" s="1"/>
  <c r="U528" i="1" s="1"/>
  <c r="R524" i="1"/>
  <c r="T524" i="1" s="1"/>
  <c r="U524" i="1" s="1"/>
  <c r="R520" i="1"/>
  <c r="T520" i="1" s="1"/>
  <c r="U520" i="1" s="1"/>
  <c r="R516" i="1"/>
  <c r="T516" i="1" s="1"/>
  <c r="U516" i="1" s="1"/>
  <c r="R512" i="1"/>
  <c r="T512" i="1" s="1"/>
  <c r="U512" i="1" s="1"/>
  <c r="R508" i="1"/>
  <c r="T508" i="1" s="1"/>
  <c r="U508" i="1" s="1"/>
  <c r="R504" i="1"/>
  <c r="T504" i="1" s="1"/>
  <c r="U504" i="1" s="1"/>
  <c r="R500" i="1"/>
  <c r="T500" i="1" s="1"/>
  <c r="U500" i="1" s="1"/>
  <c r="R496" i="1"/>
  <c r="T496" i="1" s="1"/>
  <c r="U496" i="1" s="1"/>
  <c r="R492" i="1"/>
  <c r="T492" i="1" s="1"/>
  <c r="U492" i="1" s="1"/>
  <c r="R488" i="1"/>
  <c r="T488" i="1" s="1"/>
  <c r="U488" i="1" s="1"/>
  <c r="R484" i="1"/>
  <c r="T484" i="1" s="1"/>
  <c r="U484" i="1" s="1"/>
  <c r="R480" i="1"/>
  <c r="T480" i="1" s="1"/>
  <c r="U480" i="1" s="1"/>
  <c r="R476" i="1"/>
  <c r="T476" i="1" s="1"/>
  <c r="U476" i="1" s="1"/>
  <c r="R472" i="1"/>
  <c r="T472" i="1" s="1"/>
  <c r="U472" i="1" s="1"/>
  <c r="R468" i="1"/>
  <c r="T468" i="1" s="1"/>
  <c r="U468" i="1" s="1"/>
  <c r="R464" i="1"/>
  <c r="T464" i="1" s="1"/>
  <c r="U464" i="1" s="1"/>
  <c r="R460" i="1"/>
  <c r="T460" i="1" s="1"/>
  <c r="U460" i="1" s="1"/>
  <c r="R456" i="1"/>
  <c r="T456" i="1" s="1"/>
  <c r="U456" i="1" s="1"/>
  <c r="R452" i="1"/>
  <c r="T452" i="1" s="1"/>
  <c r="U452" i="1" s="1"/>
  <c r="R448" i="1"/>
  <c r="T448" i="1" s="1"/>
  <c r="U448" i="1" s="1"/>
  <c r="R444" i="1"/>
  <c r="T444" i="1" s="1"/>
  <c r="U444" i="1" s="1"/>
  <c r="R440" i="1"/>
  <c r="T440" i="1" s="1"/>
  <c r="U440" i="1" s="1"/>
  <c r="R436" i="1"/>
  <c r="T436" i="1" s="1"/>
  <c r="U436" i="1" s="1"/>
  <c r="R432" i="1"/>
  <c r="T432" i="1" s="1"/>
  <c r="U432" i="1" s="1"/>
  <c r="R428" i="1"/>
  <c r="T428" i="1" s="1"/>
  <c r="U428" i="1" s="1"/>
  <c r="R424" i="1"/>
  <c r="T424" i="1" s="1"/>
  <c r="U424" i="1" s="1"/>
  <c r="R420" i="1"/>
  <c r="T420" i="1" s="1"/>
  <c r="U420" i="1" s="1"/>
  <c r="R416" i="1"/>
  <c r="T416" i="1" s="1"/>
  <c r="U416" i="1" s="1"/>
  <c r="R412" i="1"/>
  <c r="T412" i="1" s="1"/>
  <c r="U412" i="1" s="1"/>
  <c r="R408" i="1"/>
  <c r="T408" i="1" s="1"/>
  <c r="U408" i="1" s="1"/>
  <c r="R404" i="1"/>
  <c r="T404" i="1" s="1"/>
  <c r="U404" i="1" s="1"/>
  <c r="R400" i="1"/>
  <c r="T400" i="1" s="1"/>
  <c r="U400" i="1" s="1"/>
  <c r="R396" i="1"/>
  <c r="T396" i="1" s="1"/>
  <c r="U396" i="1" s="1"/>
  <c r="R392" i="1"/>
  <c r="T392" i="1" s="1"/>
  <c r="U392" i="1" s="1"/>
  <c r="R388" i="1"/>
  <c r="T388" i="1" s="1"/>
  <c r="U388" i="1" s="1"/>
  <c r="R384" i="1"/>
  <c r="T384" i="1" s="1"/>
  <c r="U384" i="1" s="1"/>
  <c r="R380" i="1"/>
  <c r="T380" i="1" s="1"/>
  <c r="U380" i="1" s="1"/>
  <c r="R376" i="1"/>
  <c r="T376" i="1" s="1"/>
  <c r="U376" i="1" s="1"/>
  <c r="R372" i="1"/>
  <c r="T372" i="1" s="1"/>
  <c r="U372" i="1" s="1"/>
  <c r="R368" i="1"/>
  <c r="T368" i="1" s="1"/>
  <c r="U368" i="1" s="1"/>
  <c r="R364" i="1"/>
  <c r="T364" i="1" s="1"/>
  <c r="U364" i="1" s="1"/>
  <c r="R360" i="1"/>
  <c r="T360" i="1" s="1"/>
  <c r="U360" i="1" s="1"/>
  <c r="R356" i="1"/>
  <c r="T356" i="1" s="1"/>
  <c r="U356" i="1" s="1"/>
  <c r="R352" i="1"/>
  <c r="T352" i="1" s="1"/>
  <c r="U352" i="1" s="1"/>
  <c r="R348" i="1"/>
  <c r="T348" i="1" s="1"/>
  <c r="U348" i="1" s="1"/>
  <c r="R344" i="1"/>
  <c r="T344" i="1" s="1"/>
  <c r="U344" i="1" s="1"/>
  <c r="R340" i="1"/>
  <c r="T340" i="1" s="1"/>
  <c r="U340" i="1" s="1"/>
  <c r="R336" i="1"/>
  <c r="T336" i="1" s="1"/>
  <c r="U336" i="1" s="1"/>
  <c r="R332" i="1"/>
  <c r="T332" i="1" s="1"/>
  <c r="U332" i="1" s="1"/>
  <c r="R328" i="1"/>
  <c r="T328" i="1" s="1"/>
  <c r="U328" i="1" s="1"/>
  <c r="R324" i="1"/>
  <c r="T324" i="1" s="1"/>
  <c r="U324" i="1" s="1"/>
  <c r="R320" i="1"/>
  <c r="T320" i="1" s="1"/>
  <c r="U320" i="1" s="1"/>
  <c r="R316" i="1"/>
  <c r="T316" i="1" s="1"/>
  <c r="U316" i="1" s="1"/>
  <c r="R312" i="1"/>
  <c r="T312" i="1" s="1"/>
  <c r="U312" i="1" s="1"/>
  <c r="R308" i="1"/>
  <c r="T308" i="1" s="1"/>
  <c r="U308" i="1" s="1"/>
  <c r="R304" i="1"/>
  <c r="T304" i="1" s="1"/>
  <c r="U304" i="1" s="1"/>
  <c r="R300" i="1"/>
  <c r="T300" i="1" s="1"/>
  <c r="U300" i="1" s="1"/>
  <c r="R296" i="1"/>
  <c r="T296" i="1" s="1"/>
  <c r="U296" i="1" s="1"/>
  <c r="R292" i="1"/>
  <c r="T292" i="1" s="1"/>
  <c r="U292" i="1" s="1"/>
  <c r="R288" i="1"/>
  <c r="T288" i="1" s="1"/>
  <c r="U288" i="1" s="1"/>
  <c r="R284" i="1"/>
  <c r="T284" i="1" s="1"/>
  <c r="U284" i="1" s="1"/>
  <c r="R280" i="1"/>
  <c r="T280" i="1" s="1"/>
  <c r="U280" i="1" s="1"/>
  <c r="R276" i="1"/>
  <c r="T276" i="1" s="1"/>
  <c r="U276" i="1" s="1"/>
  <c r="R272" i="1"/>
  <c r="T272" i="1" s="1"/>
  <c r="U272" i="1" s="1"/>
  <c r="R268" i="1"/>
  <c r="T268" i="1" s="1"/>
  <c r="U268" i="1" s="1"/>
  <c r="R264" i="1"/>
  <c r="T264" i="1" s="1"/>
  <c r="U264" i="1" s="1"/>
  <c r="R260" i="1"/>
  <c r="T260" i="1" s="1"/>
  <c r="U260" i="1" s="1"/>
  <c r="R256" i="1"/>
  <c r="T256" i="1" s="1"/>
  <c r="U256" i="1" s="1"/>
  <c r="R252" i="1"/>
  <c r="T252" i="1" s="1"/>
  <c r="U252" i="1" s="1"/>
  <c r="R248" i="1"/>
  <c r="T248" i="1" s="1"/>
  <c r="U248" i="1" s="1"/>
  <c r="R244" i="1"/>
  <c r="T244" i="1" s="1"/>
  <c r="U244" i="1" s="1"/>
  <c r="R240" i="1"/>
  <c r="T240" i="1" s="1"/>
  <c r="U240" i="1" s="1"/>
  <c r="R236" i="1"/>
  <c r="T236" i="1" s="1"/>
  <c r="U236" i="1" s="1"/>
  <c r="R232" i="1"/>
  <c r="T232" i="1" s="1"/>
  <c r="U232" i="1" s="1"/>
  <c r="R228" i="1"/>
  <c r="T228" i="1" s="1"/>
  <c r="U228" i="1" s="1"/>
  <c r="R224" i="1"/>
  <c r="T224" i="1" s="1"/>
  <c r="U224" i="1" s="1"/>
  <c r="R220" i="1"/>
  <c r="T220" i="1" s="1"/>
  <c r="U220" i="1" s="1"/>
  <c r="R216" i="1"/>
  <c r="T216" i="1" s="1"/>
  <c r="U216" i="1" s="1"/>
  <c r="R212" i="1"/>
  <c r="T212" i="1" s="1"/>
  <c r="U212" i="1" s="1"/>
  <c r="R208" i="1"/>
  <c r="T208" i="1" s="1"/>
  <c r="U208" i="1" s="1"/>
  <c r="R204" i="1"/>
  <c r="T204" i="1" s="1"/>
  <c r="U204" i="1" s="1"/>
  <c r="R200" i="1"/>
  <c r="T200" i="1" s="1"/>
  <c r="U200" i="1" s="1"/>
  <c r="R196" i="1"/>
  <c r="T196" i="1" s="1"/>
  <c r="U196" i="1" s="1"/>
  <c r="R192" i="1"/>
  <c r="T192" i="1" s="1"/>
  <c r="U192" i="1" s="1"/>
  <c r="R188" i="1"/>
  <c r="T188" i="1" s="1"/>
  <c r="U188" i="1" s="1"/>
  <c r="R184" i="1"/>
  <c r="T184" i="1" s="1"/>
  <c r="U184" i="1" s="1"/>
  <c r="R180" i="1"/>
  <c r="T180" i="1" s="1"/>
  <c r="U180" i="1" s="1"/>
  <c r="R176" i="1"/>
  <c r="T176" i="1" s="1"/>
  <c r="U176" i="1" s="1"/>
  <c r="R172" i="1"/>
  <c r="T172" i="1" s="1"/>
  <c r="U172" i="1" s="1"/>
  <c r="R168" i="1"/>
  <c r="T168" i="1" s="1"/>
  <c r="U168" i="1" s="1"/>
  <c r="R164" i="1"/>
  <c r="T164" i="1" s="1"/>
  <c r="U164" i="1" s="1"/>
  <c r="R160" i="1"/>
  <c r="T160" i="1" s="1"/>
  <c r="U160" i="1" s="1"/>
  <c r="R156" i="1"/>
  <c r="T156" i="1" s="1"/>
  <c r="U156" i="1" s="1"/>
  <c r="R152" i="1"/>
  <c r="T152" i="1" s="1"/>
  <c r="U152" i="1" s="1"/>
  <c r="R148" i="1"/>
  <c r="T148" i="1" s="1"/>
  <c r="U148" i="1" s="1"/>
  <c r="R144" i="1"/>
  <c r="T144" i="1" s="1"/>
  <c r="U144" i="1" s="1"/>
  <c r="R140" i="1"/>
  <c r="T140" i="1" s="1"/>
  <c r="U140" i="1" s="1"/>
  <c r="R136" i="1"/>
  <c r="T136" i="1" s="1"/>
  <c r="U136" i="1" s="1"/>
  <c r="R132" i="1"/>
  <c r="T132" i="1" s="1"/>
  <c r="U132" i="1" s="1"/>
  <c r="R128" i="1"/>
  <c r="T128" i="1" s="1"/>
  <c r="U128" i="1" s="1"/>
  <c r="R124" i="1"/>
  <c r="T124" i="1" s="1"/>
  <c r="U124" i="1" s="1"/>
  <c r="R120" i="1"/>
  <c r="T120" i="1" s="1"/>
  <c r="U120" i="1" s="1"/>
  <c r="R116" i="1"/>
  <c r="T116" i="1" s="1"/>
  <c r="U116" i="1" s="1"/>
  <c r="R112" i="1"/>
  <c r="T112" i="1" s="1"/>
  <c r="U112" i="1" s="1"/>
  <c r="R108" i="1"/>
  <c r="T108" i="1" s="1"/>
  <c r="U108" i="1" s="1"/>
  <c r="R104" i="1"/>
  <c r="T104" i="1" s="1"/>
  <c r="U104" i="1" s="1"/>
  <c r="R100" i="1"/>
  <c r="T100" i="1" s="1"/>
  <c r="U100" i="1" s="1"/>
  <c r="R96" i="1"/>
  <c r="T96" i="1" s="1"/>
  <c r="U96" i="1" s="1"/>
  <c r="R92" i="1"/>
  <c r="T92" i="1" s="1"/>
  <c r="U92" i="1" s="1"/>
  <c r="R88" i="1"/>
  <c r="T88" i="1" s="1"/>
  <c r="U88" i="1" s="1"/>
  <c r="R84" i="1"/>
  <c r="T84" i="1" s="1"/>
  <c r="U84" i="1" s="1"/>
  <c r="R80" i="1"/>
  <c r="T80" i="1" s="1"/>
  <c r="U80" i="1" s="1"/>
  <c r="R76" i="1"/>
  <c r="T76" i="1" s="1"/>
  <c r="U76" i="1" s="1"/>
  <c r="R72" i="1"/>
  <c r="T72" i="1" s="1"/>
  <c r="U72" i="1" s="1"/>
  <c r="R68" i="1"/>
  <c r="T68" i="1" s="1"/>
  <c r="U68" i="1" s="1"/>
  <c r="R64" i="1"/>
  <c r="T64" i="1" s="1"/>
  <c r="U64" i="1" s="1"/>
  <c r="R60" i="1"/>
  <c r="T60" i="1" s="1"/>
  <c r="U60" i="1" s="1"/>
  <c r="R56" i="1"/>
  <c r="T56" i="1" s="1"/>
  <c r="U56" i="1" s="1"/>
  <c r="R52" i="1"/>
  <c r="T52" i="1" s="1"/>
  <c r="U52" i="1" s="1"/>
  <c r="R48" i="1"/>
  <c r="T48" i="1" s="1"/>
  <c r="U48" i="1" s="1"/>
  <c r="R44" i="1"/>
  <c r="T44" i="1" s="1"/>
  <c r="U44" i="1" s="1"/>
  <c r="R40" i="1"/>
  <c r="T40" i="1" s="1"/>
  <c r="U40" i="1" s="1"/>
  <c r="R36" i="1"/>
  <c r="T36" i="1" s="1"/>
  <c r="U36" i="1" s="1"/>
  <c r="R32" i="1"/>
  <c r="T32" i="1" s="1"/>
  <c r="U32" i="1" s="1"/>
  <c r="R28" i="1"/>
  <c r="T28" i="1" s="1"/>
  <c r="U28" i="1" s="1"/>
  <c r="R24" i="1"/>
  <c r="T24" i="1" s="1"/>
  <c r="U24" i="1" s="1"/>
  <c r="R20" i="1"/>
  <c r="T20" i="1" s="1"/>
  <c r="U20" i="1" s="1"/>
  <c r="R16" i="1"/>
  <c r="T16" i="1" s="1"/>
  <c r="U16" i="1" s="1"/>
  <c r="R12" i="1"/>
  <c r="T12" i="1" s="1"/>
  <c r="U12" i="1" s="1"/>
  <c r="R8" i="1"/>
  <c r="T8" i="1" s="1"/>
  <c r="U8" i="1" s="1"/>
  <c r="R4" i="1"/>
  <c r="T4" i="1" s="1"/>
  <c r="U4" i="1" s="1"/>
  <c r="R921" i="1"/>
  <c r="T921" i="1" s="1"/>
  <c r="U921" i="1" s="1"/>
  <c r="R833" i="1"/>
  <c r="T833" i="1" s="1"/>
  <c r="U833" i="1" s="1"/>
  <c r="R769" i="1"/>
  <c r="T769" i="1" s="1"/>
  <c r="U769" i="1" s="1"/>
  <c r="R669" i="1"/>
  <c r="T669" i="1" s="1"/>
  <c r="U669" i="1" s="1"/>
  <c r="R507" i="1"/>
  <c r="T507" i="1" s="1"/>
  <c r="U507" i="1" s="1"/>
  <c r="R909" i="1"/>
  <c r="T909" i="1" s="1"/>
  <c r="U909" i="1" s="1"/>
  <c r="R897" i="1"/>
  <c r="T897" i="1" s="1"/>
  <c r="U897" i="1" s="1"/>
  <c r="R893" i="1"/>
  <c r="T893" i="1" s="1"/>
  <c r="U893" i="1" s="1"/>
  <c r="R869" i="1"/>
  <c r="T869" i="1" s="1"/>
  <c r="U869" i="1" s="1"/>
  <c r="R861" i="1"/>
  <c r="T861" i="1" s="1"/>
  <c r="U861" i="1" s="1"/>
  <c r="R853" i="1"/>
  <c r="T853" i="1" s="1"/>
  <c r="U853" i="1" s="1"/>
  <c r="R841" i="1"/>
  <c r="T841" i="1" s="1"/>
  <c r="U841" i="1" s="1"/>
  <c r="R837" i="1"/>
  <c r="T837" i="1" s="1"/>
  <c r="U837" i="1" s="1"/>
  <c r="R829" i="1"/>
  <c r="T829" i="1" s="1"/>
  <c r="U829" i="1" s="1"/>
  <c r="R821" i="1"/>
  <c r="T821" i="1" s="1"/>
  <c r="U821" i="1" s="1"/>
  <c r="R813" i="1"/>
  <c r="T813" i="1" s="1"/>
  <c r="U813" i="1" s="1"/>
  <c r="R793" i="1"/>
  <c r="T793" i="1" s="1"/>
  <c r="U793" i="1" s="1"/>
  <c r="R777" i="1"/>
  <c r="T777" i="1" s="1"/>
  <c r="U777" i="1" s="1"/>
  <c r="R765" i="1"/>
  <c r="T765" i="1" s="1"/>
  <c r="U765" i="1" s="1"/>
  <c r="R761" i="1"/>
  <c r="T761" i="1" s="1"/>
  <c r="U761" i="1" s="1"/>
  <c r="R749" i="1"/>
  <c r="T749" i="1" s="1"/>
  <c r="U749" i="1" s="1"/>
  <c r="R737" i="1"/>
  <c r="T737" i="1" s="1"/>
  <c r="U737" i="1" s="1"/>
  <c r="R725" i="1"/>
  <c r="T725" i="1" s="1"/>
  <c r="U725" i="1" s="1"/>
  <c r="R713" i="1"/>
  <c r="T713" i="1" s="1"/>
  <c r="U713" i="1" s="1"/>
  <c r="R705" i="1"/>
  <c r="T705" i="1" s="1"/>
  <c r="U705" i="1" s="1"/>
  <c r="R697" i="1"/>
  <c r="T697" i="1" s="1"/>
  <c r="U697" i="1" s="1"/>
  <c r="R693" i="1"/>
  <c r="T693" i="1" s="1"/>
  <c r="U693" i="1" s="1"/>
  <c r="R685" i="1"/>
  <c r="T685" i="1" s="1"/>
  <c r="U685" i="1" s="1"/>
  <c r="R677" i="1"/>
  <c r="T677" i="1" s="1"/>
  <c r="U677" i="1" s="1"/>
  <c r="R661" i="1"/>
  <c r="T661" i="1" s="1"/>
  <c r="U661" i="1" s="1"/>
  <c r="R629" i="1"/>
  <c r="T629" i="1" s="1"/>
  <c r="U629" i="1" s="1"/>
  <c r="R621" i="1"/>
  <c r="T621" i="1" s="1"/>
  <c r="U621" i="1" s="1"/>
  <c r="R585" i="1"/>
  <c r="T585" i="1" s="1"/>
  <c r="U585" i="1" s="1"/>
  <c r="R581" i="1"/>
  <c r="T581" i="1" s="1"/>
  <c r="U581" i="1" s="1"/>
  <c r="R573" i="1"/>
  <c r="T573" i="1" s="1"/>
  <c r="U573" i="1" s="1"/>
  <c r="R557" i="1"/>
  <c r="T557" i="1" s="1"/>
  <c r="U557" i="1" s="1"/>
  <c r="R549" i="1"/>
  <c r="T549" i="1" s="1"/>
  <c r="U549" i="1" s="1"/>
  <c r="R541" i="1"/>
  <c r="T541" i="1" s="1"/>
  <c r="U541" i="1" s="1"/>
  <c r="R533" i="1"/>
  <c r="T533" i="1" s="1"/>
  <c r="U533" i="1" s="1"/>
  <c r="R525" i="1"/>
  <c r="T525" i="1" s="1"/>
  <c r="U525" i="1" s="1"/>
  <c r="R521" i="1"/>
  <c r="T521" i="1" s="1"/>
  <c r="U521" i="1" s="1"/>
  <c r="R501" i="1"/>
  <c r="T501" i="1" s="1"/>
  <c r="U501" i="1" s="1"/>
  <c r="R493" i="1"/>
  <c r="T493" i="1" s="1"/>
  <c r="U493" i="1" s="1"/>
  <c r="R489" i="1"/>
  <c r="T489" i="1" s="1"/>
  <c r="U489" i="1" s="1"/>
  <c r="R485" i="1"/>
  <c r="T485" i="1" s="1"/>
  <c r="U485" i="1" s="1"/>
  <c r="R473" i="1"/>
  <c r="T473" i="1" s="1"/>
  <c r="U473" i="1" s="1"/>
  <c r="R453" i="1"/>
  <c r="T453" i="1" s="1"/>
  <c r="U453" i="1" s="1"/>
  <c r="R445" i="1"/>
  <c r="T445" i="1" s="1"/>
  <c r="U445" i="1" s="1"/>
  <c r="R437" i="1"/>
  <c r="T437" i="1" s="1"/>
  <c r="U437" i="1" s="1"/>
  <c r="R429" i="1"/>
  <c r="T429" i="1" s="1"/>
  <c r="U429" i="1" s="1"/>
  <c r="R409" i="1"/>
  <c r="T409" i="1" s="1"/>
  <c r="U409" i="1" s="1"/>
  <c r="R405" i="1"/>
  <c r="T405" i="1" s="1"/>
  <c r="U405" i="1" s="1"/>
  <c r="R397" i="1"/>
  <c r="T397" i="1" s="1"/>
  <c r="U397" i="1" s="1"/>
  <c r="R393" i="1"/>
  <c r="T393" i="1" s="1"/>
  <c r="U393" i="1" s="1"/>
  <c r="R381" i="1"/>
  <c r="T381" i="1" s="1"/>
  <c r="U381" i="1" s="1"/>
  <c r="R377" i="1"/>
  <c r="T377" i="1" s="1"/>
  <c r="U377" i="1" s="1"/>
  <c r="R361" i="1"/>
  <c r="T361" i="1" s="1"/>
  <c r="U361" i="1" s="1"/>
  <c r="R357" i="1"/>
  <c r="T357" i="1" s="1"/>
  <c r="U357" i="1" s="1"/>
  <c r="R349" i="1"/>
  <c r="T349" i="1" s="1"/>
  <c r="U349" i="1" s="1"/>
  <c r="R337" i="1"/>
  <c r="T337" i="1" s="1"/>
  <c r="U337" i="1" s="1"/>
  <c r="R329" i="1"/>
  <c r="T329" i="1" s="1"/>
  <c r="U329" i="1" s="1"/>
  <c r="R321" i="1"/>
  <c r="T321" i="1" s="1"/>
  <c r="U321" i="1" s="1"/>
  <c r="R317" i="1"/>
  <c r="T317" i="1" s="1"/>
  <c r="U317" i="1" s="1"/>
  <c r="R309" i="1"/>
  <c r="T309" i="1" s="1"/>
  <c r="U309" i="1" s="1"/>
  <c r="R301" i="1"/>
  <c r="T301" i="1" s="1"/>
  <c r="U301" i="1" s="1"/>
  <c r="R293" i="1"/>
  <c r="T293" i="1" s="1"/>
  <c r="U293" i="1" s="1"/>
  <c r="R285" i="1"/>
  <c r="T285" i="1" s="1"/>
  <c r="U285" i="1" s="1"/>
  <c r="R277" i="1"/>
  <c r="T277" i="1" s="1"/>
  <c r="U277" i="1" s="1"/>
  <c r="R269" i="1"/>
  <c r="T269" i="1" s="1"/>
  <c r="U269" i="1" s="1"/>
  <c r="R261" i="1"/>
  <c r="T261" i="1" s="1"/>
  <c r="U261" i="1" s="1"/>
  <c r="R245" i="1"/>
  <c r="T245" i="1" s="1"/>
  <c r="U245" i="1" s="1"/>
  <c r="R237" i="1"/>
  <c r="T237" i="1" s="1"/>
  <c r="U237" i="1" s="1"/>
  <c r="R229" i="1"/>
  <c r="T229" i="1" s="1"/>
  <c r="U229" i="1" s="1"/>
  <c r="R221" i="1"/>
  <c r="T221" i="1" s="1"/>
  <c r="U221" i="1" s="1"/>
  <c r="R209" i="1"/>
  <c r="T209" i="1" s="1"/>
  <c r="U209" i="1" s="1"/>
  <c r="R201" i="1"/>
  <c r="T201" i="1" s="1"/>
  <c r="U201" i="1" s="1"/>
  <c r="R193" i="1"/>
  <c r="T193" i="1" s="1"/>
  <c r="U193" i="1" s="1"/>
  <c r="R185" i="1"/>
  <c r="T185" i="1" s="1"/>
  <c r="U185" i="1" s="1"/>
  <c r="R173" i="1"/>
  <c r="T173" i="1" s="1"/>
  <c r="U173" i="1" s="1"/>
  <c r="R169" i="1"/>
  <c r="T169" i="1" s="1"/>
  <c r="U169" i="1" s="1"/>
  <c r="R165" i="1"/>
  <c r="T165" i="1" s="1"/>
  <c r="U165" i="1" s="1"/>
  <c r="R161" i="1"/>
  <c r="T161" i="1" s="1"/>
  <c r="U161" i="1" s="1"/>
  <c r="R153" i="1"/>
  <c r="T153" i="1" s="1"/>
  <c r="U153" i="1" s="1"/>
  <c r="R145" i="1"/>
  <c r="T145" i="1" s="1"/>
  <c r="U145" i="1" s="1"/>
  <c r="R137" i="1"/>
  <c r="T137" i="1" s="1"/>
  <c r="U137" i="1" s="1"/>
  <c r="R129" i="1"/>
  <c r="T129" i="1" s="1"/>
  <c r="U129" i="1" s="1"/>
  <c r="R121" i="1"/>
  <c r="T121" i="1" s="1"/>
  <c r="U121" i="1" s="1"/>
  <c r="R117" i="1"/>
  <c r="T117" i="1" s="1"/>
  <c r="U117" i="1" s="1"/>
  <c r="R109" i="1"/>
  <c r="T109" i="1" s="1"/>
  <c r="U109" i="1" s="1"/>
  <c r="R101" i="1"/>
  <c r="T101" i="1" s="1"/>
  <c r="U101" i="1" s="1"/>
  <c r="R93" i="1"/>
  <c r="T93" i="1" s="1"/>
  <c r="U93" i="1" s="1"/>
  <c r="R85" i="1"/>
  <c r="T85" i="1" s="1"/>
  <c r="U85" i="1" s="1"/>
  <c r="R77" i="1"/>
  <c r="T77" i="1" s="1"/>
  <c r="U77" i="1" s="1"/>
  <c r="R69" i="1"/>
  <c r="T69" i="1" s="1"/>
  <c r="U69" i="1" s="1"/>
  <c r="R57" i="1"/>
  <c r="T57" i="1" s="1"/>
  <c r="U57" i="1" s="1"/>
  <c r="R53" i="1"/>
  <c r="T53" i="1" s="1"/>
  <c r="U53" i="1" s="1"/>
  <c r="R45" i="1"/>
  <c r="T45" i="1" s="1"/>
  <c r="U45" i="1" s="1"/>
  <c r="R37" i="1"/>
  <c r="T37" i="1" s="1"/>
  <c r="U37" i="1" s="1"/>
  <c r="R33" i="1"/>
  <c r="T33" i="1" s="1"/>
  <c r="U33" i="1" s="1"/>
  <c r="R21" i="1"/>
  <c r="T21" i="1" s="1"/>
  <c r="U21" i="1" s="1"/>
  <c r="R13" i="1"/>
  <c r="T13" i="1" s="1"/>
  <c r="U13" i="1" s="1"/>
  <c r="R5" i="1"/>
  <c r="T5" i="1" s="1"/>
  <c r="U5" i="1" s="1"/>
  <c r="R785" i="1"/>
  <c r="T785" i="1" s="1"/>
  <c r="U785" i="1" s="1"/>
  <c r="R675" i="1"/>
  <c r="T675" i="1" s="1"/>
  <c r="U675" i="1" s="1"/>
  <c r="R671" i="1"/>
  <c r="T671" i="1" s="1"/>
  <c r="U671" i="1" s="1"/>
  <c r="R667" i="1"/>
  <c r="T667" i="1" s="1"/>
  <c r="U667" i="1" s="1"/>
  <c r="R663" i="1"/>
  <c r="T663" i="1" s="1"/>
  <c r="U663" i="1" s="1"/>
  <c r="R659" i="1"/>
  <c r="T659" i="1" s="1"/>
  <c r="U659" i="1" s="1"/>
  <c r="R655" i="1"/>
  <c r="T655" i="1" s="1"/>
  <c r="U655" i="1" s="1"/>
  <c r="R651" i="1"/>
  <c r="T651" i="1" s="1"/>
  <c r="U651" i="1" s="1"/>
  <c r="R647" i="1"/>
  <c r="T647" i="1" s="1"/>
  <c r="U647" i="1" s="1"/>
  <c r="R643" i="1"/>
  <c r="T643" i="1" s="1"/>
  <c r="U643" i="1" s="1"/>
  <c r="R639" i="1"/>
  <c r="T639" i="1" s="1"/>
  <c r="U639" i="1" s="1"/>
  <c r="R635" i="1"/>
  <c r="T635" i="1" s="1"/>
  <c r="U635" i="1" s="1"/>
  <c r="R631" i="1"/>
  <c r="T631" i="1" s="1"/>
  <c r="U631" i="1" s="1"/>
  <c r="R623" i="1"/>
  <c r="T623" i="1" s="1"/>
  <c r="U623" i="1" s="1"/>
  <c r="R619" i="1"/>
  <c r="T619" i="1" s="1"/>
  <c r="U619" i="1" s="1"/>
  <c r="R615" i="1"/>
  <c r="T615" i="1" s="1"/>
  <c r="U615" i="1" s="1"/>
  <c r="R611" i="1"/>
  <c r="T611" i="1" s="1"/>
  <c r="U611" i="1" s="1"/>
  <c r="R607" i="1"/>
  <c r="T607" i="1" s="1"/>
  <c r="U607" i="1" s="1"/>
  <c r="R603" i="1"/>
  <c r="T603" i="1" s="1"/>
  <c r="U603" i="1" s="1"/>
  <c r="R599" i="1"/>
  <c r="T599" i="1" s="1"/>
  <c r="U599" i="1" s="1"/>
  <c r="R595" i="1"/>
  <c r="T595" i="1" s="1"/>
  <c r="U595" i="1" s="1"/>
  <c r="R591" i="1"/>
  <c r="T591" i="1" s="1"/>
  <c r="U591" i="1" s="1"/>
  <c r="R587" i="1"/>
  <c r="T587" i="1" s="1"/>
  <c r="U587" i="1" s="1"/>
  <c r="R583" i="1"/>
  <c r="T583" i="1" s="1"/>
  <c r="U583" i="1" s="1"/>
  <c r="R579" i="1"/>
  <c r="T579" i="1" s="1"/>
  <c r="U579" i="1" s="1"/>
  <c r="R575" i="1"/>
  <c r="T575" i="1" s="1"/>
  <c r="U575" i="1" s="1"/>
  <c r="R567" i="1"/>
  <c r="T567" i="1" s="1"/>
  <c r="U567" i="1" s="1"/>
  <c r="R563" i="1"/>
  <c r="T563" i="1" s="1"/>
  <c r="U563" i="1" s="1"/>
  <c r="R559" i="1"/>
  <c r="T559" i="1" s="1"/>
  <c r="U559" i="1" s="1"/>
  <c r="R555" i="1"/>
  <c r="T555" i="1" s="1"/>
  <c r="U555" i="1" s="1"/>
  <c r="R551" i="1"/>
  <c r="T551" i="1" s="1"/>
  <c r="U551" i="1" s="1"/>
  <c r="R547" i="1"/>
  <c r="T547" i="1" s="1"/>
  <c r="U547" i="1" s="1"/>
  <c r="R543" i="1"/>
  <c r="T543" i="1" s="1"/>
  <c r="U543" i="1" s="1"/>
  <c r="R539" i="1"/>
  <c r="T539" i="1" s="1"/>
  <c r="U539" i="1" s="1"/>
  <c r="R535" i="1"/>
  <c r="T535" i="1" s="1"/>
  <c r="U535" i="1" s="1"/>
  <c r="R531" i="1"/>
  <c r="T531" i="1" s="1"/>
  <c r="U531" i="1" s="1"/>
  <c r="R527" i="1"/>
  <c r="T527" i="1" s="1"/>
  <c r="U527" i="1" s="1"/>
  <c r="R523" i="1"/>
  <c r="T523" i="1" s="1"/>
  <c r="U523" i="1" s="1"/>
  <c r="R519" i="1"/>
  <c r="T519" i="1" s="1"/>
  <c r="U519" i="1" s="1"/>
  <c r="R515" i="1"/>
  <c r="T515" i="1" s="1"/>
  <c r="U515" i="1" s="1"/>
  <c r="R511" i="1"/>
  <c r="T511" i="1" s="1"/>
  <c r="U511" i="1" s="1"/>
  <c r="R503" i="1"/>
  <c r="T503" i="1" s="1"/>
  <c r="U503" i="1" s="1"/>
  <c r="R499" i="1"/>
  <c r="T499" i="1" s="1"/>
  <c r="U499" i="1" s="1"/>
  <c r="R495" i="1"/>
  <c r="T495" i="1" s="1"/>
  <c r="U495" i="1" s="1"/>
  <c r="R491" i="1"/>
  <c r="T491" i="1" s="1"/>
  <c r="U491" i="1" s="1"/>
  <c r="R487" i="1"/>
  <c r="T487" i="1" s="1"/>
  <c r="U487" i="1" s="1"/>
  <c r="R483" i="1"/>
  <c r="T483" i="1" s="1"/>
  <c r="U483" i="1" s="1"/>
  <c r="R479" i="1"/>
  <c r="T479" i="1" s="1"/>
  <c r="U479" i="1" s="1"/>
  <c r="R475" i="1"/>
  <c r="T475" i="1" s="1"/>
  <c r="U475" i="1" s="1"/>
  <c r="R471" i="1"/>
  <c r="T471" i="1" s="1"/>
  <c r="U471" i="1" s="1"/>
  <c r="R467" i="1"/>
  <c r="T467" i="1" s="1"/>
  <c r="U467" i="1" s="1"/>
  <c r="R463" i="1"/>
  <c r="T463" i="1" s="1"/>
  <c r="U463" i="1" s="1"/>
  <c r="R459" i="1"/>
  <c r="T459" i="1" s="1"/>
  <c r="U459" i="1" s="1"/>
  <c r="R455" i="1"/>
  <c r="T455" i="1" s="1"/>
  <c r="U455" i="1" s="1"/>
  <c r="R451" i="1"/>
  <c r="T451" i="1" s="1"/>
  <c r="U451" i="1" s="1"/>
  <c r="R447" i="1"/>
  <c r="T447" i="1" s="1"/>
  <c r="U447" i="1" s="1"/>
  <c r="R439" i="1"/>
  <c r="T439" i="1" s="1"/>
  <c r="U439" i="1" s="1"/>
  <c r="R435" i="1"/>
  <c r="T435" i="1" s="1"/>
  <c r="U435" i="1" s="1"/>
  <c r="R431" i="1"/>
  <c r="T431" i="1" s="1"/>
  <c r="U431" i="1" s="1"/>
  <c r="R427" i="1"/>
  <c r="T427" i="1" s="1"/>
  <c r="U427" i="1" s="1"/>
  <c r="R423" i="1"/>
  <c r="T423" i="1" s="1"/>
  <c r="U423" i="1" s="1"/>
  <c r="R419" i="1"/>
  <c r="T419" i="1" s="1"/>
  <c r="U419" i="1" s="1"/>
  <c r="R415" i="1"/>
  <c r="T415" i="1" s="1"/>
  <c r="U415" i="1" s="1"/>
  <c r="R411" i="1"/>
  <c r="T411" i="1" s="1"/>
  <c r="U411" i="1" s="1"/>
  <c r="R407" i="1"/>
  <c r="T407" i="1" s="1"/>
  <c r="U407" i="1" s="1"/>
  <c r="R403" i="1"/>
  <c r="T403" i="1" s="1"/>
  <c r="U403" i="1" s="1"/>
  <c r="R399" i="1"/>
  <c r="T399" i="1" s="1"/>
  <c r="U399" i="1" s="1"/>
  <c r="R395" i="1"/>
  <c r="T395" i="1" s="1"/>
  <c r="U395" i="1" s="1"/>
  <c r="R391" i="1"/>
  <c r="T391" i="1" s="1"/>
  <c r="U391" i="1" s="1"/>
  <c r="R387" i="1"/>
  <c r="T387" i="1" s="1"/>
  <c r="U387" i="1" s="1"/>
  <c r="R383" i="1"/>
  <c r="T383" i="1" s="1"/>
  <c r="U383" i="1" s="1"/>
  <c r="R375" i="1"/>
  <c r="T375" i="1" s="1"/>
  <c r="U375" i="1" s="1"/>
  <c r="R371" i="1"/>
  <c r="T371" i="1" s="1"/>
  <c r="U371" i="1" s="1"/>
  <c r="R367" i="1"/>
  <c r="T367" i="1" s="1"/>
  <c r="U367" i="1" s="1"/>
  <c r="R363" i="1"/>
  <c r="T363" i="1" s="1"/>
  <c r="U363" i="1" s="1"/>
  <c r="R359" i="1"/>
  <c r="T359" i="1" s="1"/>
  <c r="U359" i="1" s="1"/>
  <c r="R355" i="1"/>
  <c r="T355" i="1" s="1"/>
  <c r="U355" i="1" s="1"/>
  <c r="R351" i="1"/>
  <c r="T351" i="1" s="1"/>
  <c r="U351" i="1" s="1"/>
  <c r="R347" i="1"/>
  <c r="T347" i="1" s="1"/>
  <c r="U347" i="1" s="1"/>
  <c r="R343" i="1"/>
  <c r="T343" i="1" s="1"/>
  <c r="U343" i="1" s="1"/>
  <c r="R339" i="1"/>
  <c r="T339" i="1" s="1"/>
  <c r="U339" i="1" s="1"/>
  <c r="R335" i="1"/>
  <c r="T335" i="1" s="1"/>
  <c r="U335" i="1" s="1"/>
  <c r="R331" i="1"/>
  <c r="T331" i="1" s="1"/>
  <c r="U331" i="1" s="1"/>
  <c r="R327" i="1"/>
  <c r="T327" i="1" s="1"/>
  <c r="U327" i="1" s="1"/>
  <c r="R323" i="1"/>
  <c r="T323" i="1" s="1"/>
  <c r="U323" i="1" s="1"/>
  <c r="R319" i="1"/>
  <c r="T319" i="1" s="1"/>
  <c r="U319" i="1" s="1"/>
  <c r="R315" i="1"/>
  <c r="T315" i="1" s="1"/>
  <c r="U315" i="1" s="1"/>
  <c r="R311" i="1"/>
  <c r="T311" i="1" s="1"/>
  <c r="U311" i="1" s="1"/>
  <c r="R307" i="1"/>
  <c r="T307" i="1" s="1"/>
  <c r="U307" i="1" s="1"/>
  <c r="R303" i="1"/>
  <c r="T303" i="1" s="1"/>
  <c r="U303" i="1" s="1"/>
  <c r="R299" i="1"/>
  <c r="T299" i="1" s="1"/>
  <c r="U299" i="1" s="1"/>
  <c r="R295" i="1"/>
  <c r="T295" i="1" s="1"/>
  <c r="U295" i="1" s="1"/>
  <c r="R291" i="1"/>
  <c r="T291" i="1" s="1"/>
  <c r="U291" i="1" s="1"/>
  <c r="R287" i="1"/>
  <c r="T287" i="1" s="1"/>
  <c r="U287" i="1" s="1"/>
  <c r="R283" i="1"/>
  <c r="T283" i="1" s="1"/>
  <c r="U283" i="1" s="1"/>
  <c r="R279" i="1"/>
  <c r="T279" i="1" s="1"/>
  <c r="U279" i="1" s="1"/>
  <c r="R275" i="1"/>
  <c r="T275" i="1" s="1"/>
  <c r="U275" i="1" s="1"/>
  <c r="R271" i="1"/>
  <c r="T271" i="1" s="1"/>
  <c r="U271" i="1" s="1"/>
  <c r="R267" i="1"/>
  <c r="T267" i="1" s="1"/>
  <c r="U267" i="1" s="1"/>
  <c r="R263" i="1"/>
  <c r="T263" i="1" s="1"/>
  <c r="U263" i="1" s="1"/>
  <c r="R259" i="1"/>
  <c r="T259" i="1" s="1"/>
  <c r="U259" i="1" s="1"/>
  <c r="R255" i="1"/>
  <c r="T255" i="1" s="1"/>
  <c r="U255" i="1" s="1"/>
  <c r="R251" i="1"/>
  <c r="T251" i="1" s="1"/>
  <c r="U251" i="1" s="1"/>
  <c r="R247" i="1"/>
  <c r="T247" i="1" s="1"/>
  <c r="U247" i="1" s="1"/>
  <c r="R243" i="1"/>
  <c r="T243" i="1" s="1"/>
  <c r="U243" i="1" s="1"/>
  <c r="R239" i="1"/>
  <c r="T239" i="1" s="1"/>
  <c r="U239" i="1" s="1"/>
  <c r="R235" i="1"/>
  <c r="T235" i="1" s="1"/>
  <c r="U235" i="1" s="1"/>
  <c r="R231" i="1"/>
  <c r="T231" i="1" s="1"/>
  <c r="U231" i="1" s="1"/>
  <c r="R227" i="1"/>
  <c r="T227" i="1" s="1"/>
  <c r="U227" i="1" s="1"/>
  <c r="R223" i="1"/>
  <c r="T223" i="1" s="1"/>
  <c r="U223" i="1" s="1"/>
  <c r="R219" i="1"/>
  <c r="T219" i="1" s="1"/>
  <c r="U219" i="1" s="1"/>
  <c r="R215" i="1"/>
  <c r="T215" i="1" s="1"/>
  <c r="U215" i="1" s="1"/>
  <c r="R211" i="1"/>
  <c r="T211" i="1" s="1"/>
  <c r="U211" i="1" s="1"/>
  <c r="R207" i="1"/>
  <c r="T207" i="1" s="1"/>
  <c r="U207" i="1" s="1"/>
  <c r="R203" i="1"/>
  <c r="T203" i="1" s="1"/>
  <c r="U203" i="1" s="1"/>
  <c r="R199" i="1"/>
  <c r="T199" i="1" s="1"/>
  <c r="U199" i="1" s="1"/>
  <c r="R195" i="1"/>
  <c r="T195" i="1" s="1"/>
  <c r="U195" i="1" s="1"/>
  <c r="R191" i="1"/>
  <c r="T191" i="1" s="1"/>
  <c r="U191" i="1" s="1"/>
  <c r="R187" i="1"/>
  <c r="T187" i="1" s="1"/>
  <c r="U187" i="1" s="1"/>
  <c r="R183" i="1"/>
  <c r="T183" i="1" s="1"/>
  <c r="U183" i="1" s="1"/>
  <c r="R179" i="1"/>
  <c r="T179" i="1" s="1"/>
  <c r="U179" i="1" s="1"/>
  <c r="R175" i="1"/>
  <c r="T175" i="1" s="1"/>
  <c r="U175" i="1" s="1"/>
  <c r="R171" i="1"/>
  <c r="T171" i="1" s="1"/>
  <c r="U171" i="1" s="1"/>
  <c r="R167" i="1"/>
  <c r="T167" i="1" s="1"/>
  <c r="U167" i="1" s="1"/>
  <c r="R163" i="1"/>
  <c r="T163" i="1" s="1"/>
  <c r="U163" i="1" s="1"/>
  <c r="R159" i="1"/>
  <c r="T159" i="1" s="1"/>
  <c r="U159" i="1" s="1"/>
  <c r="R155" i="1"/>
  <c r="T155" i="1" s="1"/>
  <c r="U155" i="1" s="1"/>
  <c r="R151" i="1"/>
  <c r="T151" i="1" s="1"/>
  <c r="U151" i="1" s="1"/>
  <c r="R147" i="1"/>
  <c r="T147" i="1" s="1"/>
  <c r="U147" i="1" s="1"/>
  <c r="R143" i="1"/>
  <c r="T143" i="1" s="1"/>
  <c r="U143" i="1" s="1"/>
  <c r="R139" i="1"/>
  <c r="T139" i="1" s="1"/>
  <c r="U139" i="1" s="1"/>
  <c r="R135" i="1"/>
  <c r="T135" i="1" s="1"/>
  <c r="U135" i="1" s="1"/>
  <c r="R131" i="1"/>
  <c r="T131" i="1" s="1"/>
  <c r="U131" i="1" s="1"/>
  <c r="R127" i="1"/>
  <c r="T127" i="1" s="1"/>
  <c r="U127" i="1" s="1"/>
  <c r="R123" i="1"/>
  <c r="T123" i="1" s="1"/>
  <c r="U123" i="1" s="1"/>
  <c r="R119" i="1"/>
  <c r="T119" i="1" s="1"/>
  <c r="U119" i="1" s="1"/>
  <c r="R115" i="1"/>
  <c r="T115" i="1" s="1"/>
  <c r="U115" i="1" s="1"/>
  <c r="R111" i="1"/>
  <c r="T111" i="1" s="1"/>
  <c r="U111" i="1" s="1"/>
  <c r="R107" i="1"/>
  <c r="T107" i="1" s="1"/>
  <c r="U107" i="1" s="1"/>
  <c r="R103" i="1"/>
  <c r="T103" i="1" s="1"/>
  <c r="U103" i="1" s="1"/>
  <c r="R99" i="1"/>
  <c r="T99" i="1" s="1"/>
  <c r="U99" i="1" s="1"/>
  <c r="R95" i="1"/>
  <c r="T95" i="1" s="1"/>
  <c r="U95" i="1" s="1"/>
  <c r="R91" i="1"/>
  <c r="T91" i="1" s="1"/>
  <c r="U91" i="1" s="1"/>
  <c r="R87" i="1"/>
  <c r="T87" i="1" s="1"/>
  <c r="U87" i="1" s="1"/>
  <c r="R83" i="1"/>
  <c r="T83" i="1" s="1"/>
  <c r="U83" i="1" s="1"/>
  <c r="R79" i="1"/>
  <c r="T79" i="1" s="1"/>
  <c r="U79" i="1" s="1"/>
  <c r="R75" i="1"/>
  <c r="T75" i="1" s="1"/>
  <c r="U75" i="1" s="1"/>
  <c r="R71" i="1"/>
  <c r="T71" i="1" s="1"/>
  <c r="U71" i="1" s="1"/>
  <c r="R67" i="1"/>
  <c r="T67" i="1" s="1"/>
  <c r="U67" i="1" s="1"/>
  <c r="R63" i="1"/>
  <c r="T63" i="1" s="1"/>
  <c r="U63" i="1" s="1"/>
  <c r="R59" i="1"/>
  <c r="T59" i="1" s="1"/>
  <c r="U59" i="1" s="1"/>
  <c r="R55" i="1"/>
  <c r="T55" i="1" s="1"/>
  <c r="U55" i="1" s="1"/>
  <c r="R51" i="1"/>
  <c r="T51" i="1" s="1"/>
  <c r="U51" i="1" s="1"/>
  <c r="R47" i="1"/>
  <c r="T47" i="1" s="1"/>
  <c r="U47" i="1" s="1"/>
  <c r="R43" i="1"/>
  <c r="T43" i="1" s="1"/>
  <c r="U43" i="1" s="1"/>
  <c r="R39" i="1"/>
  <c r="T39" i="1" s="1"/>
  <c r="U39" i="1" s="1"/>
  <c r="R35" i="1"/>
  <c r="T35" i="1" s="1"/>
  <c r="U35" i="1" s="1"/>
  <c r="R31" i="1"/>
  <c r="T31" i="1" s="1"/>
  <c r="U31" i="1" s="1"/>
  <c r="R27" i="1"/>
  <c r="T27" i="1" s="1"/>
  <c r="U27" i="1" s="1"/>
  <c r="R23" i="1"/>
  <c r="T23" i="1" s="1"/>
  <c r="U23" i="1" s="1"/>
  <c r="R19" i="1"/>
  <c r="T19" i="1" s="1"/>
  <c r="U19" i="1" s="1"/>
  <c r="R15" i="1"/>
  <c r="T15" i="1" s="1"/>
  <c r="U15" i="1" s="1"/>
  <c r="R11" i="1"/>
  <c r="T11" i="1" s="1"/>
  <c r="U11" i="1" s="1"/>
  <c r="R7" i="1"/>
  <c r="T7" i="1" s="1"/>
  <c r="U7" i="1" s="1"/>
  <c r="R3" i="1"/>
  <c r="T3" i="1" s="1"/>
  <c r="U3" i="1" s="1"/>
  <c r="R911" i="1"/>
  <c r="T911" i="1" s="1"/>
  <c r="U911" i="1" s="1"/>
  <c r="R881" i="1"/>
  <c r="T881" i="1" s="1"/>
  <c r="U881" i="1" s="1"/>
  <c r="R817" i="1"/>
  <c r="T817" i="1" s="1"/>
  <c r="U817" i="1" s="1"/>
  <c r="R753" i="1"/>
  <c r="T753" i="1" s="1"/>
  <c r="U753" i="1" s="1"/>
  <c r="R627" i="1"/>
  <c r="T627" i="1" s="1"/>
  <c r="U627" i="1" s="1"/>
  <c r="R443" i="1"/>
  <c r="T443" i="1" s="1"/>
  <c r="U443" i="1" s="1"/>
  <c r="R910" i="1"/>
  <c r="T910" i="1" s="1"/>
  <c r="U910" i="1" s="1"/>
  <c r="R906" i="1"/>
  <c r="T906" i="1" s="1"/>
  <c r="U906" i="1" s="1"/>
  <c r="R902" i="1"/>
  <c r="T902" i="1" s="1"/>
  <c r="U902" i="1" s="1"/>
  <c r="R898" i="1"/>
  <c r="T898" i="1" s="1"/>
  <c r="U898" i="1" s="1"/>
  <c r="R894" i="1"/>
  <c r="T894" i="1" s="1"/>
  <c r="U894" i="1" s="1"/>
  <c r="R890" i="1"/>
  <c r="T890" i="1" s="1"/>
  <c r="U890" i="1" s="1"/>
  <c r="R886" i="1"/>
  <c r="T886" i="1" s="1"/>
  <c r="U886" i="1" s="1"/>
  <c r="R882" i="1"/>
  <c r="T882" i="1" s="1"/>
  <c r="U882" i="1" s="1"/>
  <c r="R878" i="1"/>
  <c r="T878" i="1" s="1"/>
  <c r="U878" i="1" s="1"/>
  <c r="R874" i="1"/>
  <c r="T874" i="1" s="1"/>
  <c r="U874" i="1" s="1"/>
  <c r="R870" i="1"/>
  <c r="T870" i="1" s="1"/>
  <c r="U870" i="1" s="1"/>
  <c r="R866" i="1"/>
  <c r="T866" i="1" s="1"/>
  <c r="U866" i="1" s="1"/>
  <c r="R862" i="1"/>
  <c r="T862" i="1" s="1"/>
  <c r="U862" i="1" s="1"/>
  <c r="R858" i="1"/>
  <c r="T858" i="1" s="1"/>
  <c r="U858" i="1" s="1"/>
  <c r="R854" i="1"/>
  <c r="T854" i="1" s="1"/>
  <c r="U854" i="1" s="1"/>
  <c r="R850" i="1"/>
  <c r="T850" i="1" s="1"/>
  <c r="U850" i="1" s="1"/>
  <c r="R846" i="1"/>
  <c r="T846" i="1" s="1"/>
  <c r="U846" i="1" s="1"/>
  <c r="R842" i="1"/>
  <c r="T842" i="1" s="1"/>
  <c r="U842" i="1" s="1"/>
  <c r="R838" i="1"/>
  <c r="T838" i="1" s="1"/>
  <c r="U838" i="1" s="1"/>
  <c r="R834" i="1"/>
  <c r="T834" i="1" s="1"/>
  <c r="U834" i="1" s="1"/>
  <c r="R830" i="1"/>
  <c r="T830" i="1" s="1"/>
  <c r="U830" i="1" s="1"/>
  <c r="R826" i="1"/>
  <c r="T826" i="1" s="1"/>
  <c r="U826" i="1" s="1"/>
  <c r="R822" i="1"/>
  <c r="T822" i="1" s="1"/>
  <c r="U822" i="1" s="1"/>
  <c r="R818" i="1"/>
  <c r="T818" i="1" s="1"/>
  <c r="U818" i="1" s="1"/>
  <c r="R814" i="1"/>
  <c r="T814" i="1" s="1"/>
  <c r="U814" i="1" s="1"/>
  <c r="R810" i="1"/>
  <c r="T810" i="1" s="1"/>
  <c r="U810" i="1" s="1"/>
  <c r="R806" i="1"/>
  <c r="T806" i="1" s="1"/>
  <c r="U806" i="1" s="1"/>
  <c r="R802" i="1"/>
  <c r="T802" i="1" s="1"/>
  <c r="U802" i="1" s="1"/>
  <c r="R798" i="1"/>
  <c r="T798" i="1" s="1"/>
  <c r="U798" i="1" s="1"/>
  <c r="R794" i="1"/>
  <c r="T794" i="1" s="1"/>
  <c r="U794" i="1" s="1"/>
  <c r="R790" i="1"/>
  <c r="T790" i="1" s="1"/>
  <c r="U790" i="1" s="1"/>
  <c r="R786" i="1"/>
  <c r="T786" i="1" s="1"/>
  <c r="U786" i="1" s="1"/>
  <c r="R782" i="1"/>
  <c r="T782" i="1" s="1"/>
  <c r="U782" i="1" s="1"/>
  <c r="R778" i="1"/>
  <c r="T778" i="1" s="1"/>
  <c r="U778" i="1" s="1"/>
  <c r="R774" i="1"/>
  <c r="T774" i="1" s="1"/>
  <c r="U774" i="1" s="1"/>
  <c r="R770" i="1"/>
  <c r="T770" i="1" s="1"/>
  <c r="U770" i="1" s="1"/>
  <c r="R766" i="1"/>
  <c r="T766" i="1" s="1"/>
  <c r="U766" i="1" s="1"/>
  <c r="R762" i="1"/>
  <c r="T762" i="1" s="1"/>
  <c r="U762" i="1" s="1"/>
  <c r="R758" i="1"/>
  <c r="T758" i="1" s="1"/>
  <c r="U758" i="1" s="1"/>
  <c r="R754" i="1"/>
  <c r="T754" i="1" s="1"/>
  <c r="U754" i="1" s="1"/>
  <c r="R750" i="1"/>
  <c r="T750" i="1" s="1"/>
  <c r="U750" i="1" s="1"/>
  <c r="R746" i="1"/>
  <c r="T746" i="1" s="1"/>
  <c r="U746" i="1" s="1"/>
  <c r="R742" i="1"/>
  <c r="T742" i="1" s="1"/>
  <c r="U742" i="1" s="1"/>
  <c r="R738" i="1"/>
  <c r="T738" i="1" s="1"/>
  <c r="U738" i="1" s="1"/>
  <c r="R734" i="1"/>
  <c r="T734" i="1" s="1"/>
  <c r="U734" i="1" s="1"/>
  <c r="R730" i="1"/>
  <c r="T730" i="1" s="1"/>
  <c r="U730" i="1" s="1"/>
  <c r="R726" i="1"/>
  <c r="T726" i="1" s="1"/>
  <c r="U726" i="1" s="1"/>
  <c r="R722" i="1"/>
  <c r="T722" i="1" s="1"/>
  <c r="U722" i="1" s="1"/>
  <c r="R718" i="1"/>
  <c r="T718" i="1" s="1"/>
  <c r="U718" i="1" s="1"/>
  <c r="R714" i="1"/>
  <c r="T714" i="1" s="1"/>
  <c r="U714" i="1" s="1"/>
  <c r="R710" i="1"/>
  <c r="T710" i="1" s="1"/>
  <c r="U710" i="1" s="1"/>
  <c r="R706" i="1"/>
  <c r="T706" i="1" s="1"/>
  <c r="U706" i="1" s="1"/>
  <c r="R702" i="1"/>
  <c r="T702" i="1" s="1"/>
  <c r="U702" i="1" s="1"/>
  <c r="R698" i="1"/>
  <c r="T698" i="1" s="1"/>
  <c r="U698" i="1" s="1"/>
  <c r="R694" i="1"/>
  <c r="T694" i="1" s="1"/>
  <c r="U694" i="1" s="1"/>
  <c r="R690" i="1"/>
  <c r="T690" i="1" s="1"/>
  <c r="U690" i="1" s="1"/>
  <c r="R686" i="1"/>
  <c r="T686" i="1" s="1"/>
  <c r="U686" i="1" s="1"/>
  <c r="R682" i="1"/>
  <c r="T682" i="1" s="1"/>
  <c r="U682" i="1" s="1"/>
  <c r="R678" i="1"/>
  <c r="T678" i="1" s="1"/>
  <c r="U678" i="1" s="1"/>
  <c r="R674" i="1"/>
  <c r="T674" i="1" s="1"/>
  <c r="U674" i="1" s="1"/>
  <c r="R670" i="1"/>
  <c r="T670" i="1" s="1"/>
  <c r="U670" i="1" s="1"/>
  <c r="R666" i="1"/>
  <c r="T666" i="1" s="1"/>
  <c r="U666" i="1" s="1"/>
  <c r="R662" i="1"/>
  <c r="T662" i="1" s="1"/>
  <c r="U662" i="1" s="1"/>
  <c r="R658" i="1"/>
  <c r="T658" i="1" s="1"/>
  <c r="U658" i="1" s="1"/>
  <c r="R654" i="1"/>
  <c r="T654" i="1" s="1"/>
  <c r="U654" i="1" s="1"/>
  <c r="R650" i="1"/>
  <c r="T650" i="1" s="1"/>
  <c r="U650" i="1" s="1"/>
  <c r="R646" i="1"/>
  <c r="T646" i="1" s="1"/>
  <c r="U646" i="1" s="1"/>
  <c r="R642" i="1"/>
  <c r="T642" i="1" s="1"/>
  <c r="U642" i="1" s="1"/>
  <c r="R638" i="1"/>
  <c r="T638" i="1" s="1"/>
  <c r="U638" i="1" s="1"/>
  <c r="R634" i="1"/>
  <c r="T634" i="1" s="1"/>
  <c r="U634" i="1" s="1"/>
  <c r="R630" i="1"/>
  <c r="T630" i="1" s="1"/>
  <c r="U630" i="1" s="1"/>
  <c r="R626" i="1"/>
  <c r="T626" i="1" s="1"/>
  <c r="U626" i="1" s="1"/>
  <c r="R622" i="1"/>
  <c r="T622" i="1" s="1"/>
  <c r="U622" i="1" s="1"/>
  <c r="R618" i="1"/>
  <c r="T618" i="1" s="1"/>
  <c r="U618" i="1" s="1"/>
  <c r="R614" i="1"/>
  <c r="T614" i="1" s="1"/>
  <c r="U614" i="1" s="1"/>
  <c r="R610" i="1"/>
  <c r="T610" i="1" s="1"/>
  <c r="U610" i="1" s="1"/>
  <c r="R606" i="1"/>
  <c r="T606" i="1" s="1"/>
  <c r="U606" i="1" s="1"/>
  <c r="R602" i="1"/>
  <c r="T602" i="1" s="1"/>
  <c r="U602" i="1" s="1"/>
  <c r="R598" i="1"/>
  <c r="T598" i="1" s="1"/>
  <c r="U598" i="1" s="1"/>
  <c r="R594" i="1"/>
  <c r="T594" i="1" s="1"/>
  <c r="U594" i="1" s="1"/>
  <c r="R590" i="1"/>
  <c r="T590" i="1" s="1"/>
  <c r="U590" i="1" s="1"/>
  <c r="R586" i="1"/>
  <c r="T586" i="1" s="1"/>
  <c r="U586" i="1" s="1"/>
  <c r="R582" i="1"/>
  <c r="T582" i="1" s="1"/>
  <c r="U582" i="1" s="1"/>
  <c r="R578" i="1"/>
  <c r="T578" i="1" s="1"/>
  <c r="U578" i="1" s="1"/>
  <c r="R574" i="1"/>
  <c r="T574" i="1" s="1"/>
  <c r="U574" i="1" s="1"/>
  <c r="R570" i="1"/>
  <c r="T570" i="1" s="1"/>
  <c r="U570" i="1" s="1"/>
  <c r="R566" i="1"/>
  <c r="T566" i="1" s="1"/>
  <c r="U566" i="1" s="1"/>
  <c r="R562" i="1"/>
  <c r="T562" i="1" s="1"/>
  <c r="U562" i="1" s="1"/>
  <c r="R558" i="1"/>
  <c r="T558" i="1" s="1"/>
  <c r="U558" i="1" s="1"/>
  <c r="R554" i="1"/>
  <c r="T554" i="1" s="1"/>
  <c r="U554" i="1" s="1"/>
  <c r="R550" i="1"/>
  <c r="T550" i="1" s="1"/>
  <c r="U550" i="1" s="1"/>
  <c r="R546" i="1"/>
  <c r="T546" i="1" s="1"/>
  <c r="U546" i="1" s="1"/>
  <c r="R542" i="1"/>
  <c r="T542" i="1" s="1"/>
  <c r="U542" i="1" s="1"/>
  <c r="R538" i="1"/>
  <c r="T538" i="1" s="1"/>
  <c r="U538" i="1" s="1"/>
  <c r="R534" i="1"/>
  <c r="T534" i="1" s="1"/>
  <c r="U534" i="1" s="1"/>
  <c r="R530" i="1"/>
  <c r="T530" i="1" s="1"/>
  <c r="U530" i="1" s="1"/>
  <c r="R526" i="1"/>
  <c r="T526" i="1" s="1"/>
  <c r="U526" i="1" s="1"/>
  <c r="R522" i="1"/>
  <c r="T522" i="1" s="1"/>
  <c r="U522" i="1" s="1"/>
  <c r="R518" i="1"/>
  <c r="T518" i="1" s="1"/>
  <c r="U518" i="1" s="1"/>
  <c r="R514" i="1"/>
  <c r="T514" i="1" s="1"/>
  <c r="U514" i="1" s="1"/>
  <c r="R510" i="1"/>
  <c r="T510" i="1" s="1"/>
  <c r="U510" i="1" s="1"/>
  <c r="R506" i="1"/>
  <c r="T506" i="1" s="1"/>
  <c r="U506" i="1" s="1"/>
  <c r="R502" i="1"/>
  <c r="T502" i="1" s="1"/>
  <c r="U502" i="1" s="1"/>
  <c r="R498" i="1"/>
  <c r="T498" i="1" s="1"/>
  <c r="U498" i="1" s="1"/>
  <c r="R494" i="1"/>
  <c r="T494" i="1" s="1"/>
  <c r="U494" i="1" s="1"/>
  <c r="R490" i="1"/>
  <c r="T490" i="1" s="1"/>
  <c r="U490" i="1" s="1"/>
  <c r="R486" i="1"/>
  <c r="T486" i="1" s="1"/>
  <c r="U486" i="1" s="1"/>
  <c r="R482" i="1"/>
  <c r="T482" i="1" s="1"/>
  <c r="U482" i="1" s="1"/>
  <c r="R478" i="1"/>
  <c r="T478" i="1" s="1"/>
  <c r="U478" i="1" s="1"/>
  <c r="R474" i="1"/>
  <c r="T474" i="1" s="1"/>
  <c r="U474" i="1" s="1"/>
  <c r="R470" i="1"/>
  <c r="T470" i="1" s="1"/>
  <c r="U470" i="1" s="1"/>
  <c r="R466" i="1"/>
  <c r="T466" i="1" s="1"/>
  <c r="U466" i="1" s="1"/>
  <c r="R462" i="1"/>
  <c r="T462" i="1" s="1"/>
  <c r="U462" i="1" s="1"/>
  <c r="R458" i="1"/>
  <c r="T458" i="1" s="1"/>
  <c r="U458" i="1" s="1"/>
  <c r="R454" i="1"/>
  <c r="T454" i="1" s="1"/>
  <c r="U454" i="1" s="1"/>
  <c r="R450" i="1"/>
  <c r="T450" i="1" s="1"/>
  <c r="U450" i="1" s="1"/>
  <c r="R446" i="1"/>
  <c r="T446" i="1" s="1"/>
  <c r="U446" i="1" s="1"/>
  <c r="R442" i="1"/>
  <c r="T442" i="1" s="1"/>
  <c r="U442" i="1" s="1"/>
  <c r="R438" i="1"/>
  <c r="T438" i="1" s="1"/>
  <c r="U438" i="1" s="1"/>
  <c r="R434" i="1"/>
  <c r="T434" i="1" s="1"/>
  <c r="U434" i="1" s="1"/>
  <c r="R430" i="1"/>
  <c r="T430" i="1" s="1"/>
  <c r="U430" i="1" s="1"/>
  <c r="R426" i="1"/>
  <c r="T426" i="1" s="1"/>
  <c r="U426" i="1" s="1"/>
  <c r="R422" i="1"/>
  <c r="T422" i="1" s="1"/>
  <c r="U422" i="1" s="1"/>
  <c r="R418" i="1"/>
  <c r="T418" i="1" s="1"/>
  <c r="U418" i="1" s="1"/>
  <c r="R414" i="1"/>
  <c r="T414" i="1" s="1"/>
  <c r="U414" i="1" s="1"/>
  <c r="R410" i="1"/>
  <c r="T410" i="1" s="1"/>
  <c r="U410" i="1" s="1"/>
  <c r="R406" i="1"/>
  <c r="T406" i="1" s="1"/>
  <c r="U406" i="1" s="1"/>
  <c r="R402" i="1"/>
  <c r="T402" i="1" s="1"/>
  <c r="U402" i="1" s="1"/>
  <c r="R398" i="1"/>
  <c r="T398" i="1" s="1"/>
  <c r="U398" i="1" s="1"/>
  <c r="R394" i="1"/>
  <c r="T394" i="1" s="1"/>
  <c r="U394" i="1" s="1"/>
  <c r="R390" i="1"/>
  <c r="T390" i="1" s="1"/>
  <c r="U390" i="1" s="1"/>
  <c r="R386" i="1"/>
  <c r="T386" i="1" s="1"/>
  <c r="U386" i="1" s="1"/>
  <c r="R382" i="1"/>
  <c r="T382" i="1" s="1"/>
  <c r="U382" i="1" s="1"/>
  <c r="R378" i="1"/>
  <c r="T378" i="1" s="1"/>
  <c r="U378" i="1" s="1"/>
  <c r="R374" i="1"/>
  <c r="T374" i="1" s="1"/>
  <c r="U374" i="1" s="1"/>
  <c r="R370" i="1"/>
  <c r="T370" i="1" s="1"/>
  <c r="U370" i="1" s="1"/>
  <c r="R366" i="1"/>
  <c r="T366" i="1" s="1"/>
  <c r="U366" i="1" s="1"/>
  <c r="R362" i="1"/>
  <c r="T362" i="1" s="1"/>
  <c r="U362" i="1" s="1"/>
  <c r="R358" i="1"/>
  <c r="T358" i="1" s="1"/>
  <c r="U358" i="1" s="1"/>
  <c r="R354" i="1"/>
  <c r="T354" i="1" s="1"/>
  <c r="U354" i="1" s="1"/>
  <c r="R350" i="1"/>
  <c r="T350" i="1" s="1"/>
  <c r="U350" i="1" s="1"/>
  <c r="R346" i="1"/>
  <c r="T346" i="1" s="1"/>
  <c r="U346" i="1" s="1"/>
  <c r="R342" i="1"/>
  <c r="T342" i="1" s="1"/>
  <c r="U342" i="1" s="1"/>
  <c r="R338" i="1"/>
  <c r="T338" i="1" s="1"/>
  <c r="U338" i="1" s="1"/>
  <c r="R334" i="1"/>
  <c r="T334" i="1" s="1"/>
  <c r="U334" i="1" s="1"/>
  <c r="R330" i="1"/>
  <c r="T330" i="1" s="1"/>
  <c r="U330" i="1" s="1"/>
  <c r="R326" i="1"/>
  <c r="T326" i="1" s="1"/>
  <c r="U326" i="1" s="1"/>
  <c r="R322" i="1"/>
  <c r="T322" i="1" s="1"/>
  <c r="U322" i="1" s="1"/>
  <c r="R318" i="1"/>
  <c r="T318" i="1" s="1"/>
  <c r="U318" i="1" s="1"/>
  <c r="R314" i="1"/>
  <c r="T314" i="1" s="1"/>
  <c r="U314" i="1" s="1"/>
  <c r="R310" i="1"/>
  <c r="T310" i="1" s="1"/>
  <c r="U310" i="1" s="1"/>
  <c r="R306" i="1"/>
  <c r="T306" i="1" s="1"/>
  <c r="U306" i="1" s="1"/>
  <c r="R302" i="1"/>
  <c r="T302" i="1" s="1"/>
  <c r="U302" i="1" s="1"/>
  <c r="R298" i="1"/>
  <c r="T298" i="1" s="1"/>
  <c r="U298" i="1" s="1"/>
  <c r="R294" i="1"/>
  <c r="T294" i="1" s="1"/>
  <c r="U294" i="1" s="1"/>
  <c r="R290" i="1"/>
  <c r="T290" i="1" s="1"/>
  <c r="U290" i="1" s="1"/>
  <c r="R286" i="1"/>
  <c r="T286" i="1" s="1"/>
  <c r="U286" i="1" s="1"/>
  <c r="R282" i="1"/>
  <c r="T282" i="1" s="1"/>
  <c r="U282" i="1" s="1"/>
  <c r="R278" i="1"/>
  <c r="T278" i="1" s="1"/>
  <c r="U278" i="1" s="1"/>
  <c r="R274" i="1"/>
  <c r="T274" i="1" s="1"/>
  <c r="U274" i="1" s="1"/>
  <c r="R270" i="1"/>
  <c r="T270" i="1" s="1"/>
  <c r="U270" i="1" s="1"/>
  <c r="R266" i="1"/>
  <c r="T266" i="1" s="1"/>
  <c r="U266" i="1" s="1"/>
  <c r="R262" i="1"/>
  <c r="T262" i="1" s="1"/>
  <c r="U262" i="1" s="1"/>
  <c r="R258" i="1"/>
  <c r="T258" i="1" s="1"/>
  <c r="U258" i="1" s="1"/>
  <c r="R254" i="1"/>
  <c r="T254" i="1" s="1"/>
  <c r="U254" i="1" s="1"/>
  <c r="R250" i="1"/>
  <c r="T250" i="1" s="1"/>
  <c r="U250" i="1" s="1"/>
  <c r="R246" i="1"/>
  <c r="T246" i="1" s="1"/>
  <c r="U246" i="1" s="1"/>
  <c r="R242" i="1"/>
  <c r="T242" i="1" s="1"/>
  <c r="U242" i="1" s="1"/>
  <c r="R238" i="1"/>
  <c r="T238" i="1" s="1"/>
  <c r="U238" i="1" s="1"/>
  <c r="R234" i="1"/>
  <c r="T234" i="1" s="1"/>
  <c r="U234" i="1" s="1"/>
  <c r="R230" i="1"/>
  <c r="T230" i="1" s="1"/>
  <c r="U230" i="1" s="1"/>
  <c r="R226" i="1"/>
  <c r="T226" i="1" s="1"/>
  <c r="U226" i="1" s="1"/>
  <c r="R222" i="1"/>
  <c r="T222" i="1" s="1"/>
  <c r="U222" i="1" s="1"/>
  <c r="R218" i="1"/>
  <c r="T218" i="1" s="1"/>
  <c r="U218" i="1" s="1"/>
  <c r="R214" i="1"/>
  <c r="T214" i="1" s="1"/>
  <c r="U214" i="1" s="1"/>
  <c r="R210" i="1"/>
  <c r="T210" i="1" s="1"/>
  <c r="U210" i="1" s="1"/>
  <c r="R206" i="1"/>
  <c r="T206" i="1" s="1"/>
  <c r="U206" i="1" s="1"/>
  <c r="R202" i="1"/>
  <c r="T202" i="1" s="1"/>
  <c r="U202" i="1" s="1"/>
  <c r="R198" i="1"/>
  <c r="T198" i="1" s="1"/>
  <c r="U198" i="1" s="1"/>
  <c r="R194" i="1"/>
  <c r="T194" i="1" s="1"/>
  <c r="U194" i="1" s="1"/>
  <c r="R190" i="1"/>
  <c r="T190" i="1" s="1"/>
  <c r="U190" i="1" s="1"/>
  <c r="R186" i="1"/>
  <c r="T186" i="1" s="1"/>
  <c r="U186" i="1" s="1"/>
  <c r="R182" i="1"/>
  <c r="T182" i="1" s="1"/>
  <c r="U182" i="1" s="1"/>
  <c r="R178" i="1"/>
  <c r="T178" i="1" s="1"/>
  <c r="U178" i="1" s="1"/>
  <c r="R174" i="1"/>
  <c r="T174" i="1" s="1"/>
  <c r="U174" i="1" s="1"/>
  <c r="R170" i="1"/>
  <c r="T170" i="1" s="1"/>
  <c r="U170" i="1" s="1"/>
  <c r="R166" i="1"/>
  <c r="T166" i="1" s="1"/>
  <c r="U166" i="1" s="1"/>
  <c r="R162" i="1"/>
  <c r="T162" i="1" s="1"/>
  <c r="U162" i="1" s="1"/>
  <c r="R158" i="1"/>
  <c r="T158" i="1" s="1"/>
  <c r="U158" i="1" s="1"/>
  <c r="R154" i="1"/>
  <c r="T154" i="1" s="1"/>
  <c r="U154" i="1" s="1"/>
  <c r="R150" i="1"/>
  <c r="T150" i="1" s="1"/>
  <c r="U150" i="1" s="1"/>
  <c r="R146" i="1"/>
  <c r="T146" i="1" s="1"/>
  <c r="U146" i="1" s="1"/>
  <c r="R142" i="1"/>
  <c r="T142" i="1" s="1"/>
  <c r="U142" i="1" s="1"/>
  <c r="R138" i="1"/>
  <c r="T138" i="1" s="1"/>
  <c r="U138" i="1" s="1"/>
  <c r="R134" i="1"/>
  <c r="T134" i="1" s="1"/>
  <c r="U134" i="1" s="1"/>
  <c r="R130" i="1"/>
  <c r="T130" i="1" s="1"/>
  <c r="U130" i="1" s="1"/>
  <c r="R126" i="1"/>
  <c r="T126" i="1" s="1"/>
  <c r="U126" i="1" s="1"/>
  <c r="R122" i="1"/>
  <c r="T122" i="1" s="1"/>
  <c r="U122" i="1" s="1"/>
  <c r="R118" i="1"/>
  <c r="T118" i="1" s="1"/>
  <c r="U118" i="1" s="1"/>
  <c r="R114" i="1"/>
  <c r="T114" i="1" s="1"/>
  <c r="U114" i="1" s="1"/>
  <c r="R110" i="1"/>
  <c r="T110" i="1" s="1"/>
  <c r="U110" i="1" s="1"/>
  <c r="R106" i="1"/>
  <c r="T106" i="1" s="1"/>
  <c r="U106" i="1" s="1"/>
  <c r="R102" i="1"/>
  <c r="T102" i="1" s="1"/>
  <c r="U102" i="1" s="1"/>
  <c r="R98" i="1"/>
  <c r="T98" i="1" s="1"/>
  <c r="U98" i="1" s="1"/>
  <c r="R94" i="1"/>
  <c r="T94" i="1" s="1"/>
  <c r="U94" i="1" s="1"/>
  <c r="R90" i="1"/>
  <c r="T90" i="1" s="1"/>
  <c r="U90" i="1" s="1"/>
  <c r="R86" i="1"/>
  <c r="T86" i="1" s="1"/>
  <c r="U86" i="1" s="1"/>
  <c r="R82" i="1"/>
  <c r="T82" i="1" s="1"/>
  <c r="U82" i="1" s="1"/>
  <c r="R78" i="1"/>
  <c r="T78" i="1" s="1"/>
  <c r="U78" i="1" s="1"/>
  <c r="R74" i="1"/>
  <c r="T74" i="1" s="1"/>
  <c r="U74" i="1" s="1"/>
  <c r="R70" i="1"/>
  <c r="T70" i="1" s="1"/>
  <c r="U70" i="1" s="1"/>
  <c r="R66" i="1"/>
  <c r="T66" i="1" s="1"/>
  <c r="U66" i="1" s="1"/>
  <c r="R62" i="1"/>
  <c r="T62" i="1" s="1"/>
  <c r="U62" i="1" s="1"/>
  <c r="R58" i="1"/>
  <c r="T58" i="1" s="1"/>
  <c r="U58" i="1" s="1"/>
  <c r="R54" i="1"/>
  <c r="T54" i="1" s="1"/>
  <c r="U54" i="1" s="1"/>
  <c r="R50" i="1"/>
  <c r="T50" i="1" s="1"/>
  <c r="U50" i="1" s="1"/>
  <c r="R46" i="1"/>
  <c r="T46" i="1" s="1"/>
  <c r="U46" i="1" s="1"/>
  <c r="R42" i="1"/>
  <c r="T42" i="1" s="1"/>
  <c r="U42" i="1" s="1"/>
  <c r="R38" i="1"/>
  <c r="T38" i="1" s="1"/>
  <c r="U38" i="1" s="1"/>
  <c r="R34" i="1"/>
  <c r="T34" i="1" s="1"/>
  <c r="U34" i="1" s="1"/>
  <c r="R30" i="1"/>
  <c r="T30" i="1" s="1"/>
  <c r="U30" i="1" s="1"/>
  <c r="R26" i="1"/>
  <c r="T26" i="1" s="1"/>
  <c r="U26" i="1" s="1"/>
  <c r="R22" i="1"/>
  <c r="T22" i="1" s="1"/>
  <c r="U22" i="1" s="1"/>
  <c r="R18" i="1"/>
  <c r="T18" i="1" s="1"/>
  <c r="U18" i="1" s="1"/>
  <c r="R14" i="1"/>
  <c r="T14" i="1" s="1"/>
  <c r="U14" i="1" s="1"/>
  <c r="R10" i="1"/>
  <c r="T10" i="1" s="1"/>
  <c r="U10" i="1" s="1"/>
  <c r="R6" i="1"/>
  <c r="T6" i="1" s="1"/>
  <c r="U6" i="1" s="1"/>
  <c r="R2" i="1"/>
  <c r="T2" i="1" s="1"/>
  <c r="U2" i="1" s="1"/>
  <c r="R905" i="1"/>
  <c r="T905" i="1" s="1"/>
  <c r="U905" i="1" s="1"/>
  <c r="R865" i="1"/>
  <c r="T865" i="1" s="1"/>
  <c r="U865" i="1" s="1"/>
  <c r="R801" i="1"/>
  <c r="T801" i="1" s="1"/>
  <c r="U801" i="1" s="1"/>
  <c r="R733" i="1"/>
  <c r="T733" i="1" s="1"/>
  <c r="U733" i="1" s="1"/>
  <c r="R605" i="1"/>
  <c r="T605" i="1" s="1"/>
  <c r="U605" i="1" s="1"/>
  <c r="R379" i="1"/>
  <c r="T379" i="1" s="1"/>
  <c r="U379" i="1" s="1"/>
  <c r="I7" i="2"/>
  <c r="T961" i="1" l="1"/>
  <c r="U961" i="1" s="1"/>
  <c r="T969" i="1"/>
  <c r="U969" i="1" s="1"/>
  <c r="T977" i="1"/>
  <c r="U977" i="1" s="1"/>
  <c r="T985" i="1"/>
  <c r="U985" i="1" s="1"/>
  <c r="T993" i="1"/>
  <c r="U993" i="1" s="1"/>
  <c r="T1001" i="1"/>
  <c r="U1001" i="1" s="1"/>
  <c r="T957" i="1"/>
  <c r="U957" i="1" s="1"/>
  <c r="T965" i="1"/>
  <c r="U965" i="1" s="1"/>
  <c r="T924" i="1"/>
  <c r="U924" i="1" s="1"/>
  <c r="T932" i="1"/>
  <c r="U932" i="1" s="1"/>
  <c r="T940" i="1"/>
  <c r="U940" i="1" s="1"/>
  <c r="T942" i="1"/>
  <c r="U942" i="1" s="1"/>
  <c r="T950" i="1"/>
  <c r="U950" i="1" s="1"/>
  <c r="T958" i="1"/>
  <c r="U958" i="1" s="1"/>
  <c r="T966" i="1"/>
  <c r="U966" i="1" s="1"/>
  <c r="T974" i="1"/>
  <c r="U974" i="1" s="1"/>
  <c r="T982" i="1"/>
  <c r="U982" i="1" s="1"/>
  <c r="T990" i="1"/>
  <c r="U990" i="1" s="1"/>
  <c r="T998" i="1"/>
  <c r="U998" i="1" s="1"/>
  <c r="T973" i="1"/>
  <c r="U973" i="1" s="1"/>
  <c r="T981" i="1"/>
  <c r="U981" i="1" s="1"/>
  <c r="T989" i="1"/>
  <c r="U989" i="1" s="1"/>
  <c r="T997" i="1"/>
  <c r="U997" i="1" s="1"/>
  <c r="T948" i="1"/>
  <c r="U948" i="1" s="1"/>
  <c r="T956" i="1"/>
  <c r="U956" i="1" s="1"/>
  <c r="T964" i="1"/>
  <c r="U964" i="1" s="1"/>
  <c r="T972" i="1"/>
  <c r="U972" i="1" s="1"/>
  <c r="T980" i="1"/>
  <c r="U980" i="1" s="1"/>
  <c r="T988" i="1"/>
  <c r="U988" i="1" s="1"/>
  <c r="T996" i="1"/>
  <c r="U996" i="1" s="1"/>
  <c r="T946" i="1"/>
  <c r="U946" i="1" s="1"/>
  <c r="T954" i="1"/>
  <c r="U954" i="1" s="1"/>
  <c r="T962" i="1"/>
  <c r="U962" i="1" s="1"/>
  <c r="T970" i="1"/>
  <c r="U970" i="1" s="1"/>
  <c r="T978" i="1"/>
  <c r="U978" i="1" s="1"/>
  <c r="T986" i="1"/>
  <c r="U986" i="1" s="1"/>
  <c r="T994" i="1"/>
  <c r="U994" i="1" s="1"/>
  <c r="T992" i="1"/>
  <c r="U992" i="1" s="1"/>
  <c r="T1000" i="1"/>
  <c r="U1000"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FF01F1-B1FB-458E-BE8D-B773E24B8A58}"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2" xr16:uid="{4C53F9B1-335D-4F8B-B0BE-C16FD08D1CDE}"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 id="3" xr16:uid="{213BCB34-5E99-45E1-ABB8-88B909B10A51}" keepAlive="1" name="Query - products" description="Connection to the 'products' query in the workbook." type="5" refreshedVersion="7"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<sst xmlns="http://schemas.openxmlformats.org/spreadsheetml/2006/main" count="7471" uniqueCount="1057">
  <si>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</si>
  <si>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</si>
  <si>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</si>
  <si>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</si>
  <si>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</si>
  <si>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</si>
  <si>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</si>
  <si>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</si>
  <si>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</si>
  <si>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</si>
  <si>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</si>
  <si>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</si>
  <si>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</si>
  <si>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</si>
  <si>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</si>
  <si>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</si>
  <si>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</si>
  <si>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</si>
  <si>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</si>
  <si>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</si>
  <si>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</si>
  <si>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</si>
  <si>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</si>
  <si>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</si>
  <si>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</si>
  <si>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</si>
  <si>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</si>
  <si>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</si>
  <si>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</si>
  <si>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</si>
  <si>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</si>
  <si>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</si>
  <si>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</si>
  <si>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</si>
  <si>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</si>
  <si>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</si>
  <si>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</si>
  <si>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</si>
  <si>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</si>
  <si>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</si>
  <si>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</si>
  <si>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</si>
  <si>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</si>
  <si>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</si>
  <si>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</si>
  <si>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</si>
  <si>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</si>
  <si>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</si>
  <si>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</si>
  <si>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</si>
  <si>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</si>
  <si>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</si>
  <si>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</si>
  <si>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</si>
  <si>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</si>
  <si>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</si>
  <si>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</si>
  <si>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</si>
  <si>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</si>
  <si>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</si>
  <si>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</si>
  <si>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</si>
  <si>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</si>
  <si>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</si>
  <si>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</si>
  <si>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</si>
  <si>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</si>
  <si>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</si>
  <si>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</si>
  <si>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</si>
  <si>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</si>
  <si>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</si>
  <si>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</si>
  <si>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</si>
  <si>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</si>
  <si>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</si>
  <si>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</si>
  <si>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</si>
  <si>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</si>
  <si>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</si>
  <si>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</si>
  <si>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</si>
  <si>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</si>
  <si>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</si>
  <si>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</si>
  <si>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</si>
  <si>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</si>
  <si>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</si>
  <si>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</si>
  <si>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</si>
  <si>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</si>
  <si>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</si>
  <si>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</si>
  <si>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</si>
  <si>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</si>
  <si>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</si>
  <si>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</si>
  <si>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</si>
  <si>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</si>
  <si>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</si>
  <si>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</si>
  <si>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</si>
  <si>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</si>
  <si>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</si>
  <si>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</si>
  <si>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</si>
  <si>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</si>
  <si>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</si>
  <si>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</si>
  <si>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</si>
  <si>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</si>
  <si>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</si>
  <si>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</si>
  <si>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</si>
  <si>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</si>
  <si>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</si>
  <si>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</si>
  <si>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</si>
  <si>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</si>
  <si>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</si>
  <si>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</si>
  <si>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</si>
  <si>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</si>
  <si>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</si>
  <si>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</si>
  <si>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</si>
  <si>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</si>
  <si>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</si>
  <si>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</si>
  <si>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</si>
  <si>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</si>
  <si>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</si>
  <si>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</si>
  <si>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</si>
  <si>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</si>
  <si>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</si>
  <si>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</si>
  <si>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</si>
  <si>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</si>
  <si>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</si>
  <si>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</si>
  <si>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</si>
  <si>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</si>
  <si>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</si>
  <si>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</si>
  <si>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</si>
  <si>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</si>
  <si>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</si>
  <si>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</si>
  <si>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</si>
  <si>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</si>
  <si>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</si>
  <si>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</si>
  <si>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</si>
  <si>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</si>
  <si>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</si>
  <si>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</si>
  <si>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</si>
  <si>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Customer_ID</t>
  </si>
  <si>
    <t>Quantity</t>
  </si>
  <si>
    <t>Order_Date</t>
  </si>
  <si>
    <t>Order_Time</t>
  </si>
  <si>
    <t>Delivery_Date</t>
  </si>
  <si>
    <t>Delivery_Time</t>
  </si>
  <si>
    <t>Location</t>
  </si>
  <si>
    <t>Number of days for delivery</t>
  </si>
  <si>
    <t>C037</t>
  </si>
  <si>
    <t>Bardhaman</t>
  </si>
  <si>
    <t>C019</t>
  </si>
  <si>
    <t>Jaipur</t>
  </si>
  <si>
    <t>C029</t>
  </si>
  <si>
    <t>Bilaspur</t>
  </si>
  <si>
    <t>C012</t>
  </si>
  <si>
    <t>Guwahati</t>
  </si>
  <si>
    <t>C078</t>
  </si>
  <si>
    <t>Rajkot</t>
  </si>
  <si>
    <t>C040</t>
  </si>
  <si>
    <t>Sirsa</t>
  </si>
  <si>
    <t>C009</t>
  </si>
  <si>
    <t>Nanded</t>
  </si>
  <si>
    <t>C097</t>
  </si>
  <si>
    <t>Morena</t>
  </si>
  <si>
    <t>C044</t>
  </si>
  <si>
    <t>C099</t>
  </si>
  <si>
    <t>Ambala</t>
  </si>
  <si>
    <t>C065</t>
  </si>
  <si>
    <t>Belgaum</t>
  </si>
  <si>
    <t>Karnal</t>
  </si>
  <si>
    <t>C024</t>
  </si>
  <si>
    <t>Gandhidham</t>
  </si>
  <si>
    <t>C042</t>
  </si>
  <si>
    <t>C069</t>
  </si>
  <si>
    <t>Pune</t>
  </si>
  <si>
    <t>C013</t>
  </si>
  <si>
    <t>Khammam</t>
  </si>
  <si>
    <t>C056</t>
  </si>
  <si>
    <t>Kota</t>
  </si>
  <si>
    <t>C072</t>
  </si>
  <si>
    <t>Moradabad</t>
  </si>
  <si>
    <t>Vijayanagaram</t>
  </si>
  <si>
    <t>C011</t>
  </si>
  <si>
    <t>Madurai</t>
  </si>
  <si>
    <t>C090</t>
  </si>
  <si>
    <t>Bathinda</t>
  </si>
  <si>
    <t>C054</t>
  </si>
  <si>
    <t>Tenali</t>
  </si>
  <si>
    <t>C041</t>
  </si>
  <si>
    <t>Ludhiana</t>
  </si>
  <si>
    <t>C018</t>
  </si>
  <si>
    <t>Durg</t>
  </si>
  <si>
    <t>C091</t>
  </si>
  <si>
    <t>Panipat</t>
  </si>
  <si>
    <t>Amroha</t>
  </si>
  <si>
    <t>C063</t>
  </si>
  <si>
    <t>Raipur</t>
  </si>
  <si>
    <t>C088</t>
  </si>
  <si>
    <t>C064</t>
  </si>
  <si>
    <t>Kollam</t>
  </si>
  <si>
    <t>Bulandshahr</t>
  </si>
  <si>
    <t>Nandyal</t>
  </si>
  <si>
    <t>Pudukkottai</t>
  </si>
  <si>
    <t>C047</t>
  </si>
  <si>
    <t>C071</t>
  </si>
  <si>
    <t>Tirupati</t>
  </si>
  <si>
    <t>C055</t>
  </si>
  <si>
    <t>Asansol</t>
  </si>
  <si>
    <t>New Delhi</t>
  </si>
  <si>
    <t>C096</t>
  </si>
  <si>
    <t>Katni</t>
  </si>
  <si>
    <t>C067</t>
  </si>
  <si>
    <t>Indore</t>
  </si>
  <si>
    <t>Vellore</t>
  </si>
  <si>
    <t>C066</t>
  </si>
  <si>
    <t>Raiganj</t>
  </si>
  <si>
    <t>Saharsa</t>
  </si>
  <si>
    <t>C080</t>
  </si>
  <si>
    <t>Faridabad</t>
  </si>
  <si>
    <t>C046</t>
  </si>
  <si>
    <t>Sambalpur</t>
  </si>
  <si>
    <t>C006</t>
  </si>
  <si>
    <t>Bhavnagar</t>
  </si>
  <si>
    <t>Haldia</t>
  </si>
  <si>
    <t>C059</t>
  </si>
  <si>
    <t>Guna</t>
  </si>
  <si>
    <t>C031</t>
  </si>
  <si>
    <t>Delhi</t>
  </si>
  <si>
    <t>C020</t>
  </si>
  <si>
    <t>Nangloi Jat</t>
  </si>
  <si>
    <t>C014</t>
  </si>
  <si>
    <t>Jamalpur</t>
  </si>
  <si>
    <t>C036</t>
  </si>
  <si>
    <t>Agartala</t>
  </si>
  <si>
    <t>C023</t>
  </si>
  <si>
    <t>Hospet</t>
  </si>
  <si>
    <t>C045</t>
  </si>
  <si>
    <t>Kozhikode</t>
  </si>
  <si>
    <t>Ratlam</t>
  </si>
  <si>
    <t>Kottayam</t>
  </si>
  <si>
    <t>C095</t>
  </si>
  <si>
    <t>Danapur</t>
  </si>
  <si>
    <t>Ahmedabad</t>
  </si>
  <si>
    <t>C077</t>
  </si>
  <si>
    <t>Amravati</t>
  </si>
  <si>
    <t>Thiruvananthapuram</t>
  </si>
  <si>
    <t>Darbhanga</t>
  </si>
  <si>
    <t>C058</t>
  </si>
  <si>
    <t>Panihati</t>
  </si>
  <si>
    <t>C074</t>
  </si>
  <si>
    <t>Jorhat</t>
  </si>
  <si>
    <t>Munger</t>
  </si>
  <si>
    <t>C015</t>
  </si>
  <si>
    <t>Chittoor</t>
  </si>
  <si>
    <t>C033</t>
  </si>
  <si>
    <t>Berhampur</t>
  </si>
  <si>
    <t>C017</t>
  </si>
  <si>
    <t>Thrissur</t>
  </si>
  <si>
    <t>C050</t>
  </si>
  <si>
    <t>Hyderabad</t>
  </si>
  <si>
    <t>Bally</t>
  </si>
  <si>
    <t>C057</t>
  </si>
  <si>
    <t>Farrukhabad</t>
  </si>
  <si>
    <t>Shivpuri</t>
  </si>
  <si>
    <t>Anand</t>
  </si>
  <si>
    <t>C028</t>
  </si>
  <si>
    <t>Kanpur</t>
  </si>
  <si>
    <t>C062</t>
  </si>
  <si>
    <t>Pallavaram</t>
  </si>
  <si>
    <t>C010</t>
  </si>
  <si>
    <t>Varanasi</t>
  </si>
  <si>
    <t>C008</t>
  </si>
  <si>
    <t>Salem</t>
  </si>
  <si>
    <t>C053</t>
  </si>
  <si>
    <t>Kalyan-Dombivli</t>
  </si>
  <si>
    <t>C038</t>
  </si>
  <si>
    <t>Gwalior</t>
  </si>
  <si>
    <t>C032</t>
  </si>
  <si>
    <t>Agra</t>
  </si>
  <si>
    <t>Malda</t>
  </si>
  <si>
    <t>Avadi</t>
  </si>
  <si>
    <t>C060</t>
  </si>
  <si>
    <t>Aurangabad</t>
  </si>
  <si>
    <t>Shahjahanpur</t>
  </si>
  <si>
    <t>C061</t>
  </si>
  <si>
    <t>Mahbubnagar</t>
  </si>
  <si>
    <t>C100</t>
  </si>
  <si>
    <t>Rohtak</t>
  </si>
  <si>
    <t>Warangal</t>
  </si>
  <si>
    <t>Purnia</t>
  </si>
  <si>
    <t>C039</t>
  </si>
  <si>
    <t>Narasaraopet</t>
  </si>
  <si>
    <t>Latur</t>
  </si>
  <si>
    <t>Burhanpur</t>
  </si>
  <si>
    <t>Bhiwani</t>
  </si>
  <si>
    <t>C081</t>
  </si>
  <si>
    <t>Ozhukarai</t>
  </si>
  <si>
    <t>Ichalkaranji</t>
  </si>
  <si>
    <t>C082</t>
  </si>
  <si>
    <t>Ahmednagar</t>
  </si>
  <si>
    <t>Chinsurah</t>
  </si>
  <si>
    <t>Gorakhpur</t>
  </si>
  <si>
    <t>Berhampore</t>
  </si>
  <si>
    <t>C075</t>
  </si>
  <si>
    <t>Kishanganj</t>
  </si>
  <si>
    <t>Ramgarh</t>
  </si>
  <si>
    <t>Kochi</t>
  </si>
  <si>
    <t>Kirari Suleman Nagar</t>
  </si>
  <si>
    <t>Jhansi</t>
  </si>
  <si>
    <t>Howrah</t>
  </si>
  <si>
    <t>Loni</t>
  </si>
  <si>
    <t>C035</t>
  </si>
  <si>
    <t>Fatehpur</t>
  </si>
  <si>
    <t>C048</t>
  </si>
  <si>
    <t>Guntur</t>
  </si>
  <si>
    <t>C083</t>
  </si>
  <si>
    <t>Gulbarga</t>
  </si>
  <si>
    <t>C026</t>
  </si>
  <si>
    <t>Malegaon</t>
  </si>
  <si>
    <t>C030</t>
  </si>
  <si>
    <t>Bhilwara</t>
  </si>
  <si>
    <t>Kolkata</t>
  </si>
  <si>
    <t>Dharmavaram</t>
  </si>
  <si>
    <t>C051</t>
  </si>
  <si>
    <t>Dhanbad</t>
  </si>
  <si>
    <t>C070</t>
  </si>
  <si>
    <t>Satara</t>
  </si>
  <si>
    <t>Thoothukudi</t>
  </si>
  <si>
    <t>Tiruppur</t>
  </si>
  <si>
    <t>C087</t>
  </si>
  <si>
    <t>Bokaro</t>
  </si>
  <si>
    <t>C022</t>
  </si>
  <si>
    <t>Siliguri</t>
  </si>
  <si>
    <t>Amritsar</t>
  </si>
  <si>
    <t>Bharatpur</t>
  </si>
  <si>
    <t>Allahabad</t>
  </si>
  <si>
    <t>Ramagundam</t>
  </si>
  <si>
    <t>Srinagar</t>
  </si>
  <si>
    <t>Kumbakonam</t>
  </si>
  <si>
    <t>Vijayawada</t>
  </si>
  <si>
    <t>Jodhpur</t>
  </si>
  <si>
    <t>Gopalpur</t>
  </si>
  <si>
    <t>Mangalore</t>
  </si>
  <si>
    <t>C092</t>
  </si>
  <si>
    <t>Bidar</t>
  </si>
  <si>
    <t>Jalna</t>
  </si>
  <si>
    <t>C084</t>
  </si>
  <si>
    <t>C094</t>
  </si>
  <si>
    <t>Rewa</t>
  </si>
  <si>
    <t>C049</t>
  </si>
  <si>
    <t>Sambhal</t>
  </si>
  <si>
    <t>C007</t>
  </si>
  <si>
    <t>Medininagar</t>
  </si>
  <si>
    <t>Davanagere</t>
  </si>
  <si>
    <t>Karaikudi</t>
  </si>
  <si>
    <t>Barasat</t>
  </si>
  <si>
    <t>Ujjain</t>
  </si>
  <si>
    <t>Lucknow</t>
  </si>
  <si>
    <t>Madanapalle</t>
  </si>
  <si>
    <t>Kamarhati</t>
  </si>
  <si>
    <t>Tiruvottiyur</t>
  </si>
  <si>
    <t>Patiala</t>
  </si>
  <si>
    <t>Deoghar</t>
  </si>
  <si>
    <t>Navi Mumbai</t>
  </si>
  <si>
    <t>C085</t>
  </si>
  <si>
    <t>Bhilai</t>
  </si>
  <si>
    <t>Nellore</t>
  </si>
  <si>
    <t>Chennai</t>
  </si>
  <si>
    <t>Bahraich</t>
  </si>
  <si>
    <t>C027</t>
  </si>
  <si>
    <t>C068</t>
  </si>
  <si>
    <t>Raurkela Industrial Township</t>
  </si>
  <si>
    <t>Anantapur</t>
  </si>
  <si>
    <t>Serampore</t>
  </si>
  <si>
    <t>C016</t>
  </si>
  <si>
    <t>Srikakulam</t>
  </si>
  <si>
    <t>Etawah</t>
  </si>
  <si>
    <t>Pondicherry</t>
  </si>
  <si>
    <t>Begusarai</t>
  </si>
  <si>
    <t>Phagwara</t>
  </si>
  <si>
    <t>C093</t>
  </si>
  <si>
    <t>Bareilly</t>
  </si>
  <si>
    <t>C004</t>
  </si>
  <si>
    <t>Dewas</t>
  </si>
  <si>
    <t>C089</t>
  </si>
  <si>
    <t>Bhimavaram</t>
  </si>
  <si>
    <t>Ulhasnagar</t>
  </si>
  <si>
    <t>C001</t>
  </si>
  <si>
    <t>Kulti</t>
  </si>
  <si>
    <t>Hajipur</t>
  </si>
  <si>
    <t>Aligarh</t>
  </si>
  <si>
    <t>C043</t>
  </si>
  <si>
    <t>Orai</t>
  </si>
  <si>
    <t>Dehradun</t>
  </si>
  <si>
    <t>Durgapur</t>
  </si>
  <si>
    <t>C098</t>
  </si>
  <si>
    <t>Bhatpara</t>
  </si>
  <si>
    <t>Gurgaon</t>
  </si>
  <si>
    <t>Jalandhar</t>
  </si>
  <si>
    <t>C076</t>
  </si>
  <si>
    <t>Naihati</t>
  </si>
  <si>
    <t>Bhalswa Jahangir Pur</t>
  </si>
  <si>
    <t>Suryapet</t>
  </si>
  <si>
    <t>Arrah</t>
  </si>
  <si>
    <t>Surat</t>
  </si>
  <si>
    <t>Bijapur</t>
  </si>
  <si>
    <t>C079</t>
  </si>
  <si>
    <t>Junagadh</t>
  </si>
  <si>
    <t>Mehsana</t>
  </si>
  <si>
    <t>Proddatur</t>
  </si>
  <si>
    <t>Nadiad</t>
  </si>
  <si>
    <t>Nizamabad</t>
  </si>
  <si>
    <t>Khandwa</t>
  </si>
  <si>
    <t>Panvel</t>
  </si>
  <si>
    <t>Sasaram</t>
  </si>
  <si>
    <t>Jammu</t>
  </si>
  <si>
    <t>Siwan</t>
  </si>
  <si>
    <t>Guntakal</t>
  </si>
  <si>
    <t>Noida</t>
  </si>
  <si>
    <t>C052</t>
  </si>
  <si>
    <t>Gudivada</t>
  </si>
  <si>
    <t>Alwar</t>
  </si>
  <si>
    <t>C003</t>
  </si>
  <si>
    <t>C086</t>
  </si>
  <si>
    <t>Korba</t>
  </si>
  <si>
    <t xml:space="preserve">Khora </t>
  </si>
  <si>
    <t>Bangalore</t>
  </si>
  <si>
    <t>Tirunelveli</t>
  </si>
  <si>
    <t>Sonipat</t>
  </si>
  <si>
    <t>Chandrapur</t>
  </si>
  <si>
    <t>Raebareli</t>
  </si>
  <si>
    <t>Patna</t>
  </si>
  <si>
    <t>Ranchi</t>
  </si>
  <si>
    <t>Muzaffarpur</t>
  </si>
  <si>
    <t>Ballia</t>
  </si>
  <si>
    <t>Erode</t>
  </si>
  <si>
    <t>Mango</t>
  </si>
  <si>
    <t>Muzaffarnagar</t>
  </si>
  <si>
    <t>Imphal</t>
  </si>
  <si>
    <t>Tezpur</t>
  </si>
  <si>
    <t>Nagpur</t>
  </si>
  <si>
    <t>Tadepalligudem</t>
  </si>
  <si>
    <t>Tinsukia</t>
  </si>
  <si>
    <t>Tiruchirappalli</t>
  </si>
  <si>
    <t>Bellary</t>
  </si>
  <si>
    <t>C005</t>
  </si>
  <si>
    <t>Akola</t>
  </si>
  <si>
    <t>Thane</t>
  </si>
  <si>
    <t>Ambattur</t>
  </si>
  <si>
    <t>Hosur</t>
  </si>
  <si>
    <t>Bikaner</t>
  </si>
  <si>
    <t>Rampur</t>
  </si>
  <si>
    <t>Udaipur</t>
  </si>
  <si>
    <t>C073</t>
  </si>
  <si>
    <t>North Dumdum</t>
  </si>
  <si>
    <t>Panchkula</t>
  </si>
  <si>
    <t>Maheshtala</t>
  </si>
  <si>
    <t>Nashik</t>
  </si>
  <si>
    <t>South Dumdum</t>
  </si>
  <si>
    <t>Sri Ganganagar</t>
  </si>
  <si>
    <t>Ongole</t>
  </si>
  <si>
    <t>Parbhani</t>
  </si>
  <si>
    <t>C034</t>
  </si>
  <si>
    <t>Shimoga</t>
  </si>
  <si>
    <t>Kavali</t>
  </si>
  <si>
    <t>Secunderabad</t>
  </si>
  <si>
    <t>Mysore</t>
  </si>
  <si>
    <t>Ghaziabad</t>
  </si>
  <si>
    <t>Hindupur</t>
  </si>
  <si>
    <t>Bidhannagar</t>
  </si>
  <si>
    <t>C002</t>
  </si>
  <si>
    <t>Gangtok</t>
  </si>
  <si>
    <t>Solapur</t>
  </si>
  <si>
    <t>Chapra</t>
  </si>
  <si>
    <t>C025</t>
  </si>
  <si>
    <t>Surendranagar Dudhrej</t>
  </si>
  <si>
    <t>Saharanpur</t>
  </si>
  <si>
    <t>Karimnagar</t>
  </si>
  <si>
    <t>Eluru</t>
  </si>
  <si>
    <t>Alappuzha</t>
  </si>
  <si>
    <t>Kharagpur</t>
  </si>
  <si>
    <t>Rourkela</t>
  </si>
  <si>
    <t>Mira-Bhayandar</t>
  </si>
  <si>
    <t>Uluberia</t>
  </si>
  <si>
    <t>Kurnool</t>
  </si>
  <si>
    <t>C021</t>
  </si>
  <si>
    <t>Mirzapur</t>
  </si>
  <si>
    <t>Kolhapur</t>
  </si>
  <si>
    <t>Hazaribagh</t>
  </si>
  <si>
    <t>Buxar</t>
  </si>
  <si>
    <t>Rajahmundry</t>
  </si>
  <si>
    <t>Giridih</t>
  </si>
  <si>
    <t>Dibrugarh</t>
  </si>
  <si>
    <t>Jalgaon</t>
  </si>
  <si>
    <t>Ambarnath</t>
  </si>
  <si>
    <t>Sagar</t>
  </si>
  <si>
    <t>Bhiwandi</t>
  </si>
  <si>
    <t>Bhubaneswar</t>
  </si>
  <si>
    <t>Pimpri-Chinchwad</t>
  </si>
  <si>
    <t>Bhusawal</t>
  </si>
  <si>
    <t>Bongaigaon</t>
  </si>
  <si>
    <t>Dehri</t>
  </si>
  <si>
    <t>Meerut</t>
  </si>
  <si>
    <t>Unnao</t>
  </si>
  <si>
    <t>Gaya</t>
  </si>
  <si>
    <t>Bhagalpur</t>
  </si>
  <si>
    <t>Jehanabad</t>
  </si>
  <si>
    <t>Morbi</t>
  </si>
  <si>
    <t>Motihari</t>
  </si>
  <si>
    <t>Bettiah</t>
  </si>
  <si>
    <t>Sangli-Miraj &amp; Kupwad</t>
  </si>
  <si>
    <t>Cuttack</t>
  </si>
  <si>
    <t>Mau</t>
  </si>
  <si>
    <t>Gandhinagar</t>
  </si>
  <si>
    <t>Satna</t>
  </si>
  <si>
    <t>Phusro</t>
  </si>
  <si>
    <t>Shimla</t>
  </si>
  <si>
    <t>Tadipatri</t>
  </si>
  <si>
    <t>Kakinada</t>
  </si>
  <si>
    <t>Aizawl</t>
  </si>
  <si>
    <t>Adoni</t>
  </si>
  <si>
    <t>Amaravati</t>
  </si>
  <si>
    <t>Anantapuram</t>
  </si>
  <si>
    <t>Silchar</t>
  </si>
  <si>
    <t>Ajmer</t>
  </si>
  <si>
    <t>Bhopal</t>
  </si>
  <si>
    <t>Pali</t>
  </si>
  <si>
    <t>Tumkur</t>
  </si>
  <si>
    <t>Sikar</t>
  </si>
  <si>
    <t>Raichur</t>
  </si>
  <si>
    <t>Jaunpur</t>
  </si>
  <si>
    <t>Rajpur Sonarpur</t>
  </si>
  <si>
    <t>Dhule</t>
  </si>
  <si>
    <t>Yamunanagar</t>
  </si>
  <si>
    <t>Jabalpur</t>
  </si>
  <si>
    <t>Vasai-Virar</t>
  </si>
  <si>
    <t>Mathura</t>
  </si>
  <si>
    <t>Machilipatnam</t>
  </si>
  <si>
    <t>Visakhapatnam</t>
  </si>
  <si>
    <t>Sultan Pur Majra</t>
  </si>
  <si>
    <t>Dindigul</t>
  </si>
  <si>
    <t>Bhind</t>
  </si>
  <si>
    <t>Hapur</t>
  </si>
  <si>
    <t>Udupi</t>
  </si>
  <si>
    <t>Singrauli</t>
  </si>
  <si>
    <t>Kadapa</t>
  </si>
  <si>
    <t>Bihar Sharif</t>
  </si>
  <si>
    <t>Chandigarh</t>
  </si>
  <si>
    <t>Miryalaguda</t>
  </si>
  <si>
    <t>Name</t>
  </si>
  <si>
    <t>City</t>
  </si>
  <si>
    <t>Contact_Number</t>
  </si>
  <si>
    <t>Email</t>
  </si>
  <si>
    <t>Gender</t>
  </si>
  <si>
    <t>Address</t>
  </si>
  <si>
    <t>Tara Krishnan</t>
  </si>
  <si>
    <t>+917193971454</t>
  </si>
  <si>
    <t>mandrati@chad.org</t>
  </si>
  <si>
    <t>Female</t>
  </si>
  <si>
    <t>65/04
Dhawan Marg, Rajpur Sonarpur 590551</t>
  </si>
  <si>
    <t>Myra Edwin</t>
  </si>
  <si>
    <t>08915420519</t>
  </si>
  <si>
    <t>yshukla@hotmail.com</t>
  </si>
  <si>
    <t>H.No. 78
Sharaf Ganj
Indore 928261</t>
  </si>
  <si>
    <t>Jayesh Lanka</t>
  </si>
  <si>
    <t>07400208126</t>
  </si>
  <si>
    <t>kavyabarad@hotmail.com</t>
  </si>
  <si>
    <t>Male</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</si>
  <si>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</si>
  <si>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</si>
  <si>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</si>
  <si>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</si>
  <si>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</si>
  <si>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</si>
  <si>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</si>
  <si>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</si>
  <si>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</si>
  <si>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</si>
  <si>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</si>
  <si>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</si>
  <si>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</si>
  <si>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</si>
  <si>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</si>
  <si>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</si>
  <si>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</si>
  <si>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</si>
  <si>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</si>
  <si>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</si>
  <si>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</si>
  <si>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</si>
  <si>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</si>
  <si>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</si>
  <si>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</si>
  <si>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</si>
  <si>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</si>
  <si>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</si>
  <si>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</si>
  <si>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</si>
  <si>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</si>
  <si>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</si>
  <si>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</si>
  <si>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</si>
  <si>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</si>
  <si>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</si>
  <si>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</si>
  <si>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</si>
  <si>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</si>
  <si>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</si>
  <si>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</si>
  <si>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</si>
  <si>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</si>
  <si>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</si>
  <si>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</si>
  <si>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</si>
  <si>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</si>
  <si>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</si>
  <si>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</si>
  <si>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</si>
  <si>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</si>
  <si>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</si>
  <si>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</si>
  <si>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</si>
  <si>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</si>
  <si>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</si>
  <si>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</si>
  <si>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</si>
  <si>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</si>
  <si>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</si>
  <si>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</si>
  <si>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</si>
  <si>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</si>
  <si>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</si>
  <si>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</si>
  <si>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</si>
  <si>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</si>
  <si>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</si>
  <si>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</si>
  <si>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</si>
  <si>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</si>
  <si>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</si>
  <si>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</si>
  <si>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</si>
  <si>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</si>
  <si>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</si>
  <si>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</si>
  <si>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</si>
  <si>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</si>
  <si>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</si>
  <si>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</si>
  <si>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</si>
  <si>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</si>
  <si>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</si>
  <si>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</si>
  <si>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</si>
  <si>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</si>
  <si>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</si>
  <si>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</si>
  <si>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</si>
  <si>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</si>
  <si>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</si>
  <si>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</si>
  <si>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</si>
  <si>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</si>
  <si>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</si>
  <si>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</si>
  <si>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</si>
  <si>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</si>
  <si>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</si>
  <si>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</si>
  <si>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</si>
  <si>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Haridwar</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</si>
  <si>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</si>
  <si>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</si>
  <si>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</si>
  <si>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</si>
  <si>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</si>
  <si>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</si>
  <si>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</si>
  <si>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</si>
  <si>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</si>
  <si>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</si>
  <si>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</si>
  <si>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</si>
  <si>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</si>
  <si>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</si>
  <si>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</si>
  <si>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</si>
  <si>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</si>
  <si>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</si>
  <si>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</si>
  <si>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</si>
  <si>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</si>
  <si>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</si>
  <si>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</si>
  <si>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</si>
  <si>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</si>
  <si>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</si>
  <si>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</si>
  <si>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</si>
  <si>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</si>
  <si>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</si>
  <si>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</si>
  <si>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</si>
  <si>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</si>
  <si>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</si>
  <si>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</si>
  <si>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</si>
  <si>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</si>
  <si>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</si>
  <si>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</si>
  <si>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</si>
  <si>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</si>
  <si>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</si>
  <si>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</si>
  <si>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</si>
  <si>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</si>
  <si>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</si>
  <si>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</si>
  <si>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</si>
  <si>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</si>
  <si>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</si>
  <si>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</si>
  <si>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</si>
  <si>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</si>
  <si>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</si>
  <si>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</si>
  <si>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</si>
  <si>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</si>
  <si>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</si>
  <si>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</si>
  <si>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</si>
  <si>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</si>
  <si>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</si>
  <si>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</si>
  <si>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</si>
  <si>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</si>
  <si>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</si>
  <si>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</si>
  <si>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</si>
  <si>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</si>
  <si>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</si>
  <si>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</si>
  <si>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</si>
  <si>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</si>
  <si>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</si>
  <si>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</si>
  <si>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</si>
  <si>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</si>
  <si>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</si>
  <si>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</si>
  <si>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</si>
  <si>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</si>
  <si>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</si>
  <si>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</si>
  <si>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</si>
  <si>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</si>
  <si>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</si>
  <si>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</si>
  <si>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</si>
  <si>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</si>
  <si>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</si>
  <si>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</si>
  <si>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</si>
  <si>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</si>
  <si>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</si>
  <si>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</si>
  <si>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</si>
  <si>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</si>
  <si>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</si>
  <si>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</si>
  <si>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</si>
  <si>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</si>
  <si>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</si>
  <si>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</si>
  <si>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</si>
  <si>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</si>
  <si>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</si>
  <si>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</si>
  <si>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</si>
  <si>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</si>
  <si>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</si>
  <si>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</si>
  <si>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</si>
  <si>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</si>
  <si>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</si>
  <si>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</si>
  <si>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</si>
  <si>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</si>
  <si>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</si>
  <si>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</si>
  <si>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</si>
  <si>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</si>
  <si>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</si>
  <si>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</si>
  <si>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</si>
  <si>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</si>
  <si>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</si>
  <si>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</si>
  <si>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</si>
  <si>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</si>
  <si>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</si>
  <si>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</si>
  <si>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</si>
  <si>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</si>
  <si>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</si>
  <si>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</si>
  <si>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</si>
  <si>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</si>
  <si>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</si>
  <si>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</si>
  <si>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</si>
  <si>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</si>
  <si>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</si>
  <si>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</si>
  <si>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</si>
  <si>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</si>
  <si>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</si>
  <si>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</si>
  <si>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</si>
  <si>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</si>
  <si>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</si>
  <si>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</si>
  <si>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</si>
  <si>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</si>
  <si>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</si>
  <si>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</si>
  <si>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</si>
  <si>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</si>
  <si>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</si>
  <si>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</si>
  <si>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</si>
  <si>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</si>
  <si>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</si>
  <si>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</si>
  <si>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</si>
  <si>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</si>
  <si>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</si>
  <si>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</si>
  <si>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</si>
  <si>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</si>
  <si>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</si>
  <si>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</si>
  <si>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</si>
  <si>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</si>
  <si>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</si>
  <si>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</si>
  <si>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</si>
  <si>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</si>
  <si>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</si>
  <si>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</si>
  <si>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</si>
  <si>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</si>
  <si>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</si>
  <si>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</si>
  <si>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</si>
  <si>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</si>
  <si>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</si>
  <si>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</si>
  <si>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</si>
  <si>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</si>
  <si>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</si>
  <si>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</si>
  <si>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</si>
  <si>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</si>
  <si>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</si>
  <si>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</si>
  <si>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</si>
  <si>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</si>
  <si>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</si>
  <si>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</si>
  <si>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</si>
  <si>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</si>
  <si>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</si>
  <si>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</si>
  <si>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</si>
  <si>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</si>
  <si>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</si>
  <si>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</si>
  <si>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</si>
  <si>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</si>
  <si>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</si>
  <si>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</si>
  <si>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</si>
  <si>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</si>
  <si>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</si>
  <si>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</si>
  <si>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</si>
  <si>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</si>
  <si>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</si>
  <si>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</si>
  <si>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</si>
  <si>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</si>
  <si>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</si>
  <si>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</si>
  <si>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</si>
  <si>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</si>
  <si>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</si>
  <si>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</si>
  <si>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</si>
  <si>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</si>
  <si>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</si>
  <si>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</si>
  <si>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</si>
  <si>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</si>
  <si>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</si>
  <si>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</si>
  <si>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</si>
  <si>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</si>
  <si>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</si>
  <si>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</si>
  <si>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</si>
  <si>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</si>
  <si>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</si>
  <si>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</si>
  <si>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</si>
  <si>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</si>
  <si>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</si>
  <si>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</si>
  <si>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</si>
  <si>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</si>
  <si>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</si>
  <si>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</si>
  <si>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</si>
  <si>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</si>
  <si>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</si>
  <si>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</si>
  <si>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</si>
  <si>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</si>
  <si>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</si>
  <si>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</si>
  <si>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</si>
  <si>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</si>
  <si>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</si>
  <si>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</si>
  <si>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</si>
  <si>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</si>
  <si>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</si>
  <si>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</si>
  <si>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</si>
  <si>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</si>
  <si>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</si>
  <si>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</si>
  <si>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</si>
  <si>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</si>
  <si>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</si>
  <si>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</si>
  <si>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</si>
  <si>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</si>
  <si>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</si>
  <si>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</si>
  <si>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</si>
  <si>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</si>
  <si>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</si>
  <si>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</si>
  <si>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</si>
  <si>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</si>
  <si>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</si>
  <si>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</si>
  <si>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</si>
  <si>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</si>
  <si>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Metric</t>
  </si>
  <si>
    <t>Value</t>
  </si>
  <si>
    <t>Number of Orders</t>
  </si>
  <si>
    <t>Number of Customers</t>
  </si>
  <si>
    <t>Number of Products</t>
  </si>
  <si>
    <t>Order Date Range</t>
  </si>
  <si>
    <t>Number of Cities</t>
  </si>
  <si>
    <t>Number of Product Categories</t>
  </si>
  <si>
    <t>Number of Occasions</t>
  </si>
  <si>
    <t>Dataset  Info</t>
  </si>
  <si>
    <t>Duplicate Orders</t>
  </si>
  <si>
    <t>Duplicate Products</t>
  </si>
  <si>
    <t>Duplicate Customers</t>
  </si>
  <si>
    <t>Column</t>
  </si>
  <si>
    <t xml:space="preserve"> Values</t>
  </si>
  <si>
    <t>Missing Order ID</t>
  </si>
  <si>
    <t>Missing Product ID</t>
  </si>
  <si>
    <t>Missing Customer ID</t>
  </si>
  <si>
    <t>Missing Quantities</t>
  </si>
  <si>
    <t>Missing Order Date</t>
  </si>
  <si>
    <t>Missing Delivery Date</t>
  </si>
  <si>
    <t>Invalid Dates</t>
  </si>
  <si>
    <t>Invalid Quantities</t>
  </si>
  <si>
    <t>Invalid Prices</t>
  </si>
  <si>
    <t>Quantity_Check</t>
  </si>
  <si>
    <t>Price_Check</t>
  </si>
  <si>
    <t>Date_Check</t>
  </si>
  <si>
    <t>Customer Name</t>
  </si>
  <si>
    <t>Product Name</t>
  </si>
  <si>
    <t>Occasion2</t>
  </si>
  <si>
    <t>Price</t>
  </si>
  <si>
    <t>Revenue</t>
  </si>
  <si>
    <t>Profit</t>
  </si>
  <si>
    <t xml:space="preserve">Estimated Cost (at 70%) </t>
  </si>
  <si>
    <t>Profit Margin</t>
  </si>
  <si>
    <t>Delivery Time</t>
  </si>
  <si>
    <t>Month</t>
  </si>
  <si>
    <t>Month Number</t>
  </si>
  <si>
    <t>Quarter</t>
  </si>
  <si>
    <t>Year</t>
  </si>
  <si>
    <t>Day of Week</t>
  </si>
  <si>
    <t>Order Value Category</t>
  </si>
  <si>
    <t>Total Orders</t>
  </si>
  <si>
    <t>Total Revenue</t>
  </si>
  <si>
    <t>Total Profit</t>
  </si>
  <si>
    <t>Average Order Value</t>
  </si>
  <si>
    <t>Grand Total</t>
  </si>
  <si>
    <t>KPIs</t>
  </si>
  <si>
    <t>Product</t>
  </si>
  <si>
    <t>January</t>
  </si>
  <si>
    <t>February</t>
  </si>
  <si>
    <t>March</t>
  </si>
  <si>
    <t>April</t>
  </si>
  <si>
    <t>May</t>
  </si>
  <si>
    <t>June</t>
  </si>
  <si>
    <t>July</t>
  </si>
  <si>
    <t>August</t>
  </si>
  <si>
    <t>September</t>
  </si>
  <si>
    <t>October</t>
  </si>
  <si>
    <t>November</t>
  </si>
  <si>
    <t>December</t>
  </si>
  <si>
    <t>Average Delivery Time</t>
  </si>
  <si>
    <t>High</t>
  </si>
  <si>
    <t>Low</t>
  </si>
  <si>
    <t>Medium</t>
  </si>
  <si>
    <t>Order Size</t>
  </si>
  <si>
    <t>Monday</t>
  </si>
  <si>
    <t>Tuesday</t>
  </si>
  <si>
    <t>Wednesday</t>
  </si>
  <si>
    <t>Thursday</t>
  </si>
  <si>
    <t>Friday</t>
  </si>
  <si>
    <t>Saturday</t>
  </si>
  <si>
    <t>Sunday</t>
  </si>
  <si>
    <t>Weekday</t>
  </si>
  <si>
    <t>Sales Performance Analysis Dashboard</t>
  </si>
  <si>
    <t>Average Delivery Days</t>
  </si>
  <si>
    <t>Average Cost</t>
  </si>
  <si>
    <t>Average Price</t>
  </si>
  <si>
    <t>Average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</si>
</sst>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7" x14ac:knownFonts="1">
    <font>
      <sz val="11"/>
      <color theme="1"/>
      <name val="Calibri"/>
      <family val="2"/>
      <scheme val="minor"/>
    </font>
    <font>
      <b/>
      <sz val="11"/>
      <color theme="0"/>
      <name val="Calibri"/>
      <family val="2"/>
      <scheme val="minor"/>
    </font>
    <font>
      <b/>
      <sz val="14"/>
      <color theme="1"/>
      <name val="Arial Black"/>
      <family val="2"/>
    </font>
    <font>
      <sz val="8"/>
      <name val="Calibri"/>
      <family val="2"/>
      <scheme val="minor"/>
    </font>
    <font>
      <b/>
      <sz val="16"/>
      <color theme="1"/>
      <name val="Calibri"/>
      <family val="2"/>
      <scheme val="minor"/>
    </font>
    <font>
      <b/>
      <sz val="12"/>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
    <xf numFmtId="0" fontId="0" fillId="0" borderId="0"/>
  </cellStyleXfs>
  <cellXfs count="34">
    <xf numFmtId="0" fontId="0" fillId="0" borderId="0" xfId="0"/>
    <xf numFmtId="0" fontId="0" fillId="0" borderId="0" xfId="0" applyNumberFormat="1"/>
    <xf numFmtId="14" fontId="0" fillId="0" borderId="0" xfId="0" applyNumberFormat="1"/>
    <xf numFmtId="164" fontId="0" fillId="0" borderId="0" xfId="0" applyNumberFormat="1"/>
    <xf numFmtId="0" fontId="0" fillId="3" borderId="1" xfId="0" applyFont="1" applyFill="1" applyBorder="1"/>
    <xf numFmtId="0" fontId="0" fillId="0" borderId="1" xfId="0" applyFont="1" applyBorder="1"/>
    <xf numFmtId="0" fontId="0" fillId="0" borderId="0" xfId="0" applyAlignment="1"/>
    <xf numFmtId="0" fontId="0" fillId="3" borderId="1" xfId="0" applyNumberFormat="1" applyFont="1" applyFill="1" applyBorder="1"/>
    <xf numFmtId="14" fontId="0" fillId="3" borderId="1" xfId="0" applyNumberFormat="1" applyFont="1" applyFill="1" applyBorder="1"/>
    <xf numFmtId="164" fontId="0" fillId="3" borderId="1" xfId="0" applyNumberFormat="1" applyFont="1" applyFill="1" applyBorder="1"/>
    <xf numFmtId="0" fontId="0" fillId="0" borderId="1" xfId="0" applyNumberFormat="1" applyFont="1" applyBorder="1"/>
    <xf numFmtId="14" fontId="0" fillId="0" borderId="1" xfId="0" applyNumberFormat="1" applyFont="1" applyBorder="1"/>
    <xf numFmtId="164" fontId="0" fillId="0" borderId="1" xfId="0" applyNumberFormat="1" applyFont="1" applyBorder="1"/>
    <xf numFmtId="0" fontId="1" fillId="2" borderId="2" xfId="0" applyFont="1" applyFill="1" applyBorder="1"/>
    <xf numFmtId="0" fontId="0" fillId="0" borderId="3" xfId="0" applyNumberFormat="1" applyFont="1" applyBorder="1"/>
    <xf numFmtId="0" fontId="0" fillId="0" borderId="3" xfId="0" applyFont="1" applyBorder="1"/>
    <xf numFmtId="14" fontId="0" fillId="0" borderId="3" xfId="0" applyNumberFormat="1" applyFont="1" applyBorder="1"/>
    <xf numFmtId="164" fontId="0" fillId="0" borderId="3" xfId="0" applyNumberFormat="1" applyFont="1" applyBorder="1"/>
    <xf numFmtId="0" fontId="0" fillId="0" borderId="0" xfId="0" applyFont="1"/>
    <xf numFmtId="0" fontId="0" fillId="0" borderId="0" xfId="0" applyNumberFormat="1" applyFont="1"/>
    <xf numFmtId="0" fontId="0" fillId="0" borderId="0" xfId="0" applyNumberFormat="1" applyFont="1" applyAlignment="1">
      <alignment vertical="center"/>
    </xf>
    <xf numFmtId="0" fontId="0" fillId="0" borderId="0" xfId="0" pivotButton="1"/>
    <xf numFmtId="0" fontId="0" fillId="0" borderId="0" xfId="0" applyAlignment="1">
      <alignment horizontal="left"/>
    </xf>
    <xf numFmtId="2" fontId="0" fillId="0" borderId="0" xfId="0" applyNumberFormat="1"/>
    <xf numFmtId="0" fontId="2" fillId="0" borderId="0" xfId="0" applyFont="1" applyAlignment="1">
      <alignment horizontal="center"/>
    </xf>
    <xf numFmtId="0" fontId="5" fillId="0" borderId="0" xfId="0" applyFont="1" applyAlignment="1">
      <alignment horizontal="center"/>
    </xf>
    <xf numFmtId="2" fontId="4" fillId="0" borderId="0" xfId="0" applyNumberFormat="1" applyFont="1" applyAlignment="1">
      <alignment horizontal="center"/>
    </xf>
    <xf numFmtId="0" fontId="0" fillId="0" borderId="0" xfId="0" applyAlignment="1">
      <alignment horizontal="center"/>
    </xf>
    <xf numFmtId="0" fontId="4" fillId="0" borderId="0" xfId="0" applyFont="1" applyAlignment="1">
      <alignment horizontal="center"/>
    </xf>
    <xf numFmtId="0" fontId="0" fillId="0" borderId="0" xfId="0" applyNumberFormat="1" applyBorder="1"/>
    <xf numFmtId="0" fontId="0" fillId="0" borderId="0" xfId="0" applyBorder="1" applyAlignment="1">
      <alignment horizontal="left"/>
    </xf>
    <xf numFmtId="0" fontId="6" fillId="0" borderId="0" xfId="0" applyFont="1" applyAlignment="1">
      <alignment horizontal="center"/>
    </xf>
    <xf numFmtId="0" fontId="0" fillId="0" borderId="0" xfId="0" pivotButton="1" applyBorder="1"/>
    <xf numFmtId="0" fontId="0" fillId="0" borderId="0" xfId="0" applyBorder="1"/>
  </cellXfs>
  <cellStyles count="1">
    <cellStyle name="Normal" xfId="0" builtinId="0"/>
  </cellStyles>
  <dxfs count="59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2" formatCode="0.00"/>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right/>
        <top/>
        <bottom/>
        <vertical/>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F400]h:mm:ss\ AM/PM"/>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9" formatCode="d/mm/yyyy"/>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F400]h:mm:ss\ AM/PM"/>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9" formatCode="d/mm/yyyy"/>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mm/yyyy"/>
    </dxf>
    <dxf>
      <numFmt numFmtId="164" formatCode="[$-F400]h:mm:ss\ AM/PM"/>
    </dxf>
    <dxf>
      <numFmt numFmtId="19" formatCode="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Tables!Revenue by Ocassions</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73312534046453"/>
          <c:y val="0.19384833652550187"/>
          <c:w val="0.59433665131481206"/>
          <c:h val="0.36486912108959357"/>
        </c:manualLayout>
      </c:layout>
      <c:barChart>
        <c:barDir val="col"/>
        <c:grouping val="clustered"/>
        <c:varyColors val="0"/>
        <c:ser>
          <c:idx val="0"/>
          <c:order val="0"/>
          <c:tx>
            <c:strRef>
              <c:f>'Pivot Tables'!$B$13</c:f>
              <c:strCache>
                <c:ptCount val="1"/>
                <c:pt idx="0">
                  <c:v>Total Revenue</c:v>
                </c:pt>
              </c:strCache>
            </c:strRef>
          </c:tx>
          <c:spPr>
            <a:solidFill>
              <a:schemeClr val="accent1"/>
            </a:solidFill>
            <a:ln>
              <a:noFill/>
            </a:ln>
            <a:effectLst/>
          </c:spPr>
          <c:invertIfNegative val="0"/>
          <c:cat>
            <c:strRef>
              <c:f>'Pivot Tables'!$A$14:$A$21</c:f>
              <c:strCache>
                <c:ptCount val="7"/>
                <c:pt idx="0">
                  <c:v>All Occasions</c:v>
                </c:pt>
                <c:pt idx="1">
                  <c:v>Anniversary</c:v>
                </c:pt>
                <c:pt idx="2">
                  <c:v>Birthday</c:v>
                </c:pt>
                <c:pt idx="3">
                  <c:v>Diwali</c:v>
                </c:pt>
                <c:pt idx="4">
                  <c:v>Holi</c:v>
                </c:pt>
                <c:pt idx="5">
                  <c:v>Raksha Bandhan</c:v>
                </c:pt>
                <c:pt idx="6">
                  <c:v>Valentine's Day</c:v>
                </c:pt>
              </c:strCache>
            </c:strRef>
          </c:cat>
          <c:val>
            <c:numRef>
              <c:f>'Pivot Tables'!$B$14:$B$21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89B-4299-9050-2BF874CE1416}"/>
            </c:ext>
          </c:extLst>
        </c:ser>
        <c:ser>
          <c:idx val="1"/>
          <c:order val="1"/>
          <c:tx>
            <c:strRef>
              <c:f>'Pivot Tables'!$C$13</c:f>
              <c:strCache>
                <c:ptCount val="1"/>
                <c:pt idx="0">
                  <c:v>Total Profit</c:v>
                </c:pt>
              </c:strCache>
            </c:strRef>
          </c:tx>
          <c:spPr>
            <a:solidFill>
              <a:schemeClr val="accent2"/>
            </a:solidFill>
            <a:ln>
              <a:noFill/>
            </a:ln>
            <a:effectLst/>
          </c:spPr>
          <c:invertIfNegative val="0"/>
          <c:cat>
            <c:strRef>
              <c:f>'Pivot Tables'!$A$14:$A$21</c:f>
              <c:strCache>
                <c:ptCount val="7"/>
                <c:pt idx="0">
                  <c:v>All Occasions</c:v>
                </c:pt>
                <c:pt idx="1">
                  <c:v>Anniversary</c:v>
                </c:pt>
                <c:pt idx="2">
                  <c:v>Birthday</c:v>
                </c:pt>
                <c:pt idx="3">
                  <c:v>Diwali</c:v>
                </c:pt>
                <c:pt idx="4">
                  <c:v>Holi</c:v>
                </c:pt>
                <c:pt idx="5">
                  <c:v>Raksha Bandhan</c:v>
                </c:pt>
                <c:pt idx="6">
                  <c:v>Valentine's Day</c:v>
                </c:pt>
              </c:strCache>
            </c:strRef>
          </c:cat>
          <c:val>
            <c:numRef>
              <c:f>'Pivot Tables'!$C$14:$C$21</c:f>
              <c:numCache>
                <c:formatCode>General</c:formatCode>
                <c:ptCount val="7"/>
                <c:pt idx="0">
                  <c:v>175852.7999999999</c:v>
                </c:pt>
                <c:pt idx="1">
                  <c:v>202390.19999999995</c:v>
                </c:pt>
                <c:pt idx="2">
                  <c:v>122458.20000000003</c:v>
                </c:pt>
                <c:pt idx="3">
                  <c:v>94134.900000000009</c:v>
                </c:pt>
                <c:pt idx="4">
                  <c:v>172404.6</c:v>
                </c:pt>
                <c:pt idx="5">
                  <c:v>189475.49999999994</c:v>
                </c:pt>
                <c:pt idx="6">
                  <c:v>99579</c:v>
                </c:pt>
              </c:numCache>
            </c:numRef>
          </c:val>
          <c:extLst>
            <c:ext xmlns:c16="http://schemas.microsoft.com/office/drawing/2014/chart" uri="{C3380CC4-5D6E-409C-BE32-E72D297353CC}">
              <c16:uniqueId val="{00000001-889B-4299-9050-2BF874CE1416}"/>
            </c:ext>
          </c:extLst>
        </c:ser>
        <c:dLbls>
          <c:showLegendKey val="0"/>
          <c:showVal val="0"/>
          <c:showCatName val="0"/>
          <c:showSerName val="0"/>
          <c:showPercent val="0"/>
          <c:showBubbleSize val="0"/>
        </c:dLbls>
        <c:gapWidth val="219"/>
        <c:overlap val="-27"/>
        <c:axId val="1444941344"/>
        <c:axId val="1444942176"/>
      </c:barChart>
      <c:catAx>
        <c:axId val="144494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42176"/>
        <c:crosses val="autoZero"/>
        <c:auto val="1"/>
        <c:lblAlgn val="ctr"/>
        <c:lblOffset val="100"/>
        <c:noMultiLvlLbl val="0"/>
      </c:catAx>
      <c:valAx>
        <c:axId val="144494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41344"/>
        <c:crosses val="autoZero"/>
        <c:crossBetween val="between"/>
      </c:valAx>
      <c:spPr>
        <a:noFill/>
        <a:ln>
          <a:noFill/>
        </a:ln>
        <a:effectLst/>
      </c:spPr>
    </c:plotArea>
    <c:legend>
      <c:legendPos val="r"/>
      <c:layout>
        <c:manualLayout>
          <c:xMode val="edge"/>
          <c:yMode val="edge"/>
          <c:x val="0.78928716000052235"/>
          <c:y val="6.740196078431341E-4"/>
          <c:w val="0.21071280570507769"/>
          <c:h val="0.780394144953635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Tables!PivotTable7</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Tables'!$B$37</c:f>
              <c:strCache>
                <c:ptCount val="1"/>
                <c:pt idx="0">
                  <c:v>Total Revenue</c:v>
                </c:pt>
              </c:strCache>
            </c:strRef>
          </c:tx>
          <c:spPr>
            <a:ln w="28575" cap="rnd">
              <a:solidFill>
                <a:schemeClr val="accent1"/>
              </a:solidFill>
              <a:round/>
            </a:ln>
            <a:effectLst/>
          </c:spPr>
          <c:marker>
            <c:symbol val="none"/>
          </c:marker>
          <c:cat>
            <c:strRef>
              <c:f>'Pivot Tables'!$A$38:$A$50</c:f>
              <c:strCache>
                <c:ptCount val="12"/>
                <c:pt idx="0">
                  <c:v>August</c:v>
                </c:pt>
                <c:pt idx="1">
                  <c:v>February</c:v>
                </c:pt>
                <c:pt idx="2">
                  <c:v>March</c:v>
                </c:pt>
                <c:pt idx="3">
                  <c:v>November</c:v>
                </c:pt>
                <c:pt idx="4">
                  <c:v>June</c:v>
                </c:pt>
                <c:pt idx="5">
                  <c:v>October</c:v>
                </c:pt>
                <c:pt idx="6">
                  <c:v>May</c:v>
                </c:pt>
                <c:pt idx="7">
                  <c:v>December</c:v>
                </c:pt>
                <c:pt idx="8">
                  <c:v>April</c:v>
                </c:pt>
                <c:pt idx="9">
                  <c:v>September</c:v>
                </c:pt>
                <c:pt idx="10">
                  <c:v>July</c:v>
                </c:pt>
                <c:pt idx="11">
                  <c:v>January</c:v>
                </c:pt>
              </c:strCache>
            </c:strRef>
          </c:cat>
          <c:val>
            <c:numRef>
              <c:f>'Pivot Tables'!$B$38:$B$50</c:f>
              <c:numCache>
                <c:formatCode>General</c:formatCode>
                <c:ptCount val="12"/>
                <c:pt idx="0">
                  <c:v>737389</c:v>
                </c:pt>
                <c:pt idx="1">
                  <c:v>704509</c:v>
                </c:pt>
                <c:pt idx="2">
                  <c:v>511823</c:v>
                </c:pt>
                <c:pt idx="3">
                  <c:v>449169</c:v>
                </c:pt>
                <c:pt idx="4">
                  <c:v>157913</c:v>
                </c:pt>
                <c:pt idx="5">
                  <c:v>151619</c:v>
                </c:pt>
                <c:pt idx="6">
                  <c:v>150346</c:v>
                </c:pt>
                <c:pt idx="7">
                  <c:v>149591</c:v>
                </c:pt>
                <c:pt idx="8">
                  <c:v>140393</c:v>
                </c:pt>
                <c:pt idx="9">
                  <c:v>136938</c:v>
                </c:pt>
                <c:pt idx="10">
                  <c:v>135826</c:v>
                </c:pt>
                <c:pt idx="11">
                  <c:v>95468</c:v>
                </c:pt>
              </c:numCache>
            </c:numRef>
          </c:val>
          <c:smooth val="0"/>
          <c:extLst>
            <c:ext xmlns:c16="http://schemas.microsoft.com/office/drawing/2014/chart" uri="{C3380CC4-5D6E-409C-BE32-E72D297353CC}">
              <c16:uniqueId val="{00000000-4A8B-4C08-A3AB-A81BFFBABDBB}"/>
            </c:ext>
          </c:extLst>
        </c:ser>
        <c:ser>
          <c:idx val="1"/>
          <c:order val="1"/>
          <c:tx>
            <c:strRef>
              <c:f>'Pivot Tables'!$C$37</c:f>
              <c:strCache>
                <c:ptCount val="1"/>
                <c:pt idx="0">
                  <c:v>Total Profit</c:v>
                </c:pt>
              </c:strCache>
            </c:strRef>
          </c:tx>
          <c:spPr>
            <a:ln w="28575" cap="rnd">
              <a:solidFill>
                <a:schemeClr val="accent2"/>
              </a:solidFill>
              <a:round/>
            </a:ln>
            <a:effectLst/>
          </c:spPr>
          <c:marker>
            <c:symbol val="none"/>
          </c:marker>
          <c:cat>
            <c:strRef>
              <c:f>'Pivot Tables'!$A$38:$A$50</c:f>
              <c:strCache>
                <c:ptCount val="12"/>
                <c:pt idx="0">
                  <c:v>August</c:v>
                </c:pt>
                <c:pt idx="1">
                  <c:v>February</c:v>
                </c:pt>
                <c:pt idx="2">
                  <c:v>March</c:v>
                </c:pt>
                <c:pt idx="3">
                  <c:v>November</c:v>
                </c:pt>
                <c:pt idx="4">
                  <c:v>June</c:v>
                </c:pt>
                <c:pt idx="5">
                  <c:v>October</c:v>
                </c:pt>
                <c:pt idx="6">
                  <c:v>May</c:v>
                </c:pt>
                <c:pt idx="7">
                  <c:v>December</c:v>
                </c:pt>
                <c:pt idx="8">
                  <c:v>April</c:v>
                </c:pt>
                <c:pt idx="9">
                  <c:v>September</c:v>
                </c:pt>
                <c:pt idx="10">
                  <c:v>July</c:v>
                </c:pt>
                <c:pt idx="11">
                  <c:v>January</c:v>
                </c:pt>
              </c:strCache>
            </c:strRef>
          </c:cat>
          <c:val>
            <c:numRef>
              <c:f>'Pivot Tables'!$C$38:$C$50</c:f>
              <c:numCache>
                <c:formatCode>General</c:formatCode>
                <c:ptCount val="12"/>
                <c:pt idx="0">
                  <c:v>221216.69999999995</c:v>
                </c:pt>
                <c:pt idx="1">
                  <c:v>211352.7000000001</c:v>
                </c:pt>
                <c:pt idx="2">
                  <c:v>153546.90000000002</c:v>
                </c:pt>
                <c:pt idx="3">
                  <c:v>134750.70000000004</c:v>
                </c:pt>
                <c:pt idx="4">
                  <c:v>47373.9</c:v>
                </c:pt>
                <c:pt idx="5">
                  <c:v>45485.700000000012</c:v>
                </c:pt>
                <c:pt idx="6">
                  <c:v>45103.799999999996</c:v>
                </c:pt>
                <c:pt idx="7">
                  <c:v>44877.30000000001</c:v>
                </c:pt>
                <c:pt idx="8">
                  <c:v>42117.900000000009</c:v>
                </c:pt>
                <c:pt idx="9">
                  <c:v>41081.400000000009</c:v>
                </c:pt>
                <c:pt idx="10">
                  <c:v>40747.800000000003</c:v>
                </c:pt>
                <c:pt idx="11">
                  <c:v>28640.400000000005</c:v>
                </c:pt>
              </c:numCache>
            </c:numRef>
          </c:val>
          <c:smooth val="0"/>
          <c:extLst>
            <c:ext xmlns:c16="http://schemas.microsoft.com/office/drawing/2014/chart" uri="{C3380CC4-5D6E-409C-BE32-E72D297353CC}">
              <c16:uniqueId val="{00000001-4A8B-4C08-A3AB-A81BFFBABDBB}"/>
            </c:ext>
          </c:extLst>
        </c:ser>
        <c:dLbls>
          <c:showLegendKey val="0"/>
          <c:showVal val="0"/>
          <c:showCatName val="0"/>
          <c:showSerName val="0"/>
          <c:showPercent val="0"/>
          <c:showBubbleSize val="0"/>
        </c:dLbls>
        <c:smooth val="0"/>
        <c:axId val="1654631824"/>
        <c:axId val="1654621008"/>
      </c:lineChart>
      <c:catAx>
        <c:axId val="165463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21008"/>
        <c:crosses val="autoZero"/>
        <c:auto val="1"/>
        <c:lblAlgn val="ctr"/>
        <c:lblOffset val="100"/>
        <c:noMultiLvlLbl val="0"/>
      </c:catAx>
      <c:valAx>
        <c:axId val="165462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31824"/>
        <c:crosses val="autoZero"/>
        <c:crossBetween val="between"/>
      </c:valAx>
      <c:spPr>
        <a:noFill/>
        <a:ln>
          <a:noFill/>
        </a:ln>
        <a:effectLst/>
      </c:spPr>
    </c:plotArea>
    <c:legend>
      <c:legendPos val="r"/>
      <c:layout>
        <c:manualLayout>
          <c:xMode val="edge"/>
          <c:yMode val="edge"/>
          <c:x val="0.75880478087649406"/>
          <c:y val="1.2610083050403479E-3"/>
          <c:w val="0.23770241867176961"/>
          <c:h val="0.524568978991430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84660232077457"/>
          <c:y val="0.2645336962318281"/>
          <c:w val="0.40233619558185468"/>
          <c:h val="0.53962472497136404"/>
        </c:manualLayout>
      </c:layout>
      <c:barChart>
        <c:barDir val="bar"/>
        <c:grouping val="clustered"/>
        <c:varyColors val="0"/>
        <c:ser>
          <c:idx val="0"/>
          <c:order val="0"/>
          <c:tx>
            <c:strRef>
              <c:f>'Pivot Tables'!$B$128</c:f>
              <c:strCache>
                <c:ptCount val="1"/>
                <c:pt idx="0">
                  <c:v>Total Revenue</c:v>
                </c:pt>
              </c:strCache>
            </c:strRef>
          </c:tx>
          <c:spPr>
            <a:solidFill>
              <a:schemeClr val="accent1"/>
            </a:solidFill>
            <a:ln>
              <a:noFill/>
            </a:ln>
            <a:effectLst/>
          </c:spPr>
          <c:invertIfNegative val="0"/>
          <c:cat>
            <c:strRef>
              <c:f>'Pivot Tables'!$A$129:$A$215</c:f>
              <c:strCache>
                <c:ptCount val="86"/>
                <c:pt idx="0">
                  <c:v>Agra</c:v>
                </c:pt>
                <c:pt idx="1">
                  <c:v>Ahmednagar</c:v>
                </c:pt>
                <c:pt idx="2">
                  <c:v>Aizawl</c:v>
                </c:pt>
                <c:pt idx="3">
                  <c:v>Ajmer</c:v>
                </c:pt>
                <c:pt idx="4">
                  <c:v>Aligarh</c:v>
                </c:pt>
                <c:pt idx="5">
                  <c:v>Anand</c:v>
                </c:pt>
                <c:pt idx="6">
                  <c:v>Anantapuram</c:v>
                </c:pt>
                <c:pt idx="7">
                  <c:v>Berhampore</c:v>
                </c:pt>
                <c:pt idx="8">
                  <c:v>Bharatpur</c:v>
                </c:pt>
                <c:pt idx="9">
                  <c:v>Bhatpara</c:v>
                </c:pt>
                <c:pt idx="10">
                  <c:v>Bhilai</c:v>
                </c:pt>
                <c:pt idx="11">
                  <c:v>Bhopal</c:v>
                </c:pt>
                <c:pt idx="12">
                  <c:v>Bhubaneswar</c:v>
                </c:pt>
                <c:pt idx="13">
                  <c:v>Bidhannagar</c:v>
                </c:pt>
                <c:pt idx="14">
                  <c:v>Bilaspur</c:v>
                </c:pt>
                <c:pt idx="15">
                  <c:v>Bulandshahr</c:v>
                </c:pt>
                <c:pt idx="16">
                  <c:v>Chinsurah</c:v>
                </c:pt>
                <c:pt idx="17">
                  <c:v>Cuttack</c:v>
                </c:pt>
                <c:pt idx="18">
                  <c:v>Danapur</c:v>
                </c:pt>
                <c:pt idx="19">
                  <c:v>Davanagere</c:v>
                </c:pt>
                <c:pt idx="20">
                  <c:v>Delhi</c:v>
                </c:pt>
                <c:pt idx="21">
                  <c:v>Deoghar</c:v>
                </c:pt>
                <c:pt idx="22">
                  <c:v>Dhanbad</c:v>
                </c:pt>
                <c:pt idx="23">
                  <c:v>Dibrugarh</c:v>
                </c:pt>
                <c:pt idx="24">
                  <c:v>Farrukhabad</c:v>
                </c:pt>
                <c:pt idx="25">
                  <c:v>Gangtok</c:v>
                </c:pt>
                <c:pt idx="26">
                  <c:v>Gaya</c:v>
                </c:pt>
                <c:pt idx="27">
                  <c:v>Guna</c:v>
                </c:pt>
                <c:pt idx="28">
                  <c:v>Guntakal</c:v>
                </c:pt>
                <c:pt idx="29">
                  <c:v>Haridwar</c:v>
                </c:pt>
                <c:pt idx="30">
                  <c:v>Hyderabad</c:v>
                </c:pt>
                <c:pt idx="31">
                  <c:v>Imphal</c:v>
                </c:pt>
                <c:pt idx="32">
                  <c:v>Indore</c:v>
                </c:pt>
                <c:pt idx="33">
                  <c:v>Jamnagar</c:v>
                </c:pt>
                <c:pt idx="34">
                  <c:v>Jorhat</c:v>
                </c:pt>
                <c:pt idx="35">
                  <c:v>Kalyan-Dombivli</c:v>
                </c:pt>
                <c:pt idx="36">
                  <c:v>Kamarhati</c:v>
                </c:pt>
                <c:pt idx="37">
                  <c:v>Kanpur</c:v>
                </c:pt>
                <c:pt idx="38">
                  <c:v>Karaikudi</c:v>
                </c:pt>
                <c:pt idx="39">
                  <c:v>Karimnagar</c:v>
                </c:pt>
                <c:pt idx="40">
                  <c:v>Kavali</c:v>
                </c:pt>
                <c:pt idx="41">
                  <c:v>Khandwa</c:v>
                </c:pt>
                <c:pt idx="42">
                  <c:v>Khora </c:v>
                </c:pt>
                <c:pt idx="43">
                  <c:v>Kolkata</c:v>
                </c:pt>
                <c:pt idx="44">
                  <c:v>Kota</c:v>
                </c:pt>
                <c:pt idx="45">
                  <c:v>Kottayam</c:v>
                </c:pt>
                <c:pt idx="46">
                  <c:v>Machilipatnam</c:v>
                </c:pt>
                <c:pt idx="47">
                  <c:v>Madhyamgram</c:v>
                </c:pt>
                <c:pt idx="48">
                  <c:v>Madurai</c:v>
                </c:pt>
                <c:pt idx="49">
                  <c:v>Maheshtala</c:v>
                </c:pt>
                <c:pt idx="50">
                  <c:v>Malegaon</c:v>
                </c:pt>
                <c:pt idx="51">
                  <c:v>Mangalore</c:v>
                </c:pt>
                <c:pt idx="52">
                  <c:v>Medininagar</c:v>
                </c:pt>
                <c:pt idx="53">
                  <c:v>Mehsana</c:v>
                </c:pt>
                <c:pt idx="54">
                  <c:v>Miryalaguda</c:v>
                </c:pt>
                <c:pt idx="55">
                  <c:v>Nagpur</c:v>
                </c:pt>
                <c:pt idx="56">
                  <c:v>Nellore</c:v>
                </c:pt>
                <c:pt idx="57">
                  <c:v>New Delhi</c:v>
                </c:pt>
                <c:pt idx="58">
                  <c:v>Nizamabad</c:v>
                </c:pt>
                <c:pt idx="59">
                  <c:v>Noida</c:v>
                </c:pt>
                <c:pt idx="60">
                  <c:v>North Dumdum</c:v>
                </c:pt>
                <c:pt idx="61">
                  <c:v>Orai</c:v>
                </c:pt>
                <c:pt idx="62">
                  <c:v>Pallavaram</c:v>
                </c:pt>
                <c:pt idx="63">
                  <c:v>Panchkula</c:v>
                </c:pt>
                <c:pt idx="64">
                  <c:v>Panvel</c:v>
                </c:pt>
                <c:pt idx="65">
                  <c:v>Parbhani</c:v>
                </c:pt>
                <c:pt idx="66">
                  <c:v>Phagwara</c:v>
                </c:pt>
                <c:pt idx="67">
                  <c:v>Purnia</c:v>
                </c:pt>
                <c:pt idx="68">
                  <c:v>Raipur</c:v>
                </c:pt>
                <c:pt idx="69">
                  <c:v>Ratlam</c:v>
                </c:pt>
                <c:pt idx="70">
                  <c:v>Raurkela Industrial Township</c:v>
                </c:pt>
                <c:pt idx="71">
                  <c:v>Sambhal</c:v>
                </c:pt>
                <c:pt idx="72">
                  <c:v>Sasaram</c:v>
                </c:pt>
                <c:pt idx="73">
                  <c:v>Satara</c:v>
                </c:pt>
                <c:pt idx="74">
                  <c:v>Serampore</c:v>
                </c:pt>
                <c:pt idx="75">
                  <c:v>Singrauli</c:v>
                </c:pt>
                <c:pt idx="76">
                  <c:v>Sri Ganganagar</c:v>
                </c:pt>
                <c:pt idx="77">
                  <c:v>Srikakulam</c:v>
                </c:pt>
                <c:pt idx="78">
                  <c:v>Sultan Pur Majra</c:v>
                </c:pt>
                <c:pt idx="79">
                  <c:v>Surat</c:v>
                </c:pt>
                <c:pt idx="80">
                  <c:v>Tenali</c:v>
                </c:pt>
                <c:pt idx="81">
                  <c:v>Tiruchirappalli</c:v>
                </c:pt>
                <c:pt idx="82">
                  <c:v>Tiruppur</c:v>
                </c:pt>
                <c:pt idx="83">
                  <c:v>Tumkur</c:v>
                </c:pt>
                <c:pt idx="84">
                  <c:v>Vellore</c:v>
                </c:pt>
                <c:pt idx="85">
                  <c:v>Warangal</c:v>
                </c:pt>
              </c:strCache>
            </c:strRef>
          </c:cat>
          <c:val>
            <c:numRef>
              <c:f>'Pivot Tables'!$B$129:$B$215</c:f>
              <c:numCache>
                <c:formatCode>General</c:formatCode>
                <c:ptCount val="86"/>
                <c:pt idx="0">
                  <c:v>70409</c:v>
                </c:pt>
                <c:pt idx="1">
                  <c:v>26728</c:v>
                </c:pt>
                <c:pt idx="2">
                  <c:v>40160</c:v>
                </c:pt>
                <c:pt idx="3">
                  <c:v>28243</c:v>
                </c:pt>
                <c:pt idx="4">
                  <c:v>13859</c:v>
                </c:pt>
                <c:pt idx="5">
                  <c:v>38028</c:v>
                </c:pt>
                <c:pt idx="6">
                  <c:v>32456</c:v>
                </c:pt>
                <c:pt idx="7">
                  <c:v>34438</c:v>
                </c:pt>
                <c:pt idx="8">
                  <c:v>32732</c:v>
                </c:pt>
                <c:pt idx="9">
                  <c:v>72973</c:v>
                </c:pt>
                <c:pt idx="10">
                  <c:v>21593</c:v>
                </c:pt>
                <c:pt idx="11">
                  <c:v>22226</c:v>
                </c:pt>
                <c:pt idx="12">
                  <c:v>44597</c:v>
                </c:pt>
                <c:pt idx="13">
                  <c:v>69117</c:v>
                </c:pt>
                <c:pt idx="14">
                  <c:v>58462</c:v>
                </c:pt>
                <c:pt idx="15">
                  <c:v>23860</c:v>
                </c:pt>
                <c:pt idx="16">
                  <c:v>50151</c:v>
                </c:pt>
                <c:pt idx="17">
                  <c:v>40556</c:v>
                </c:pt>
                <c:pt idx="18">
                  <c:v>40031</c:v>
                </c:pt>
                <c:pt idx="19">
                  <c:v>35693</c:v>
                </c:pt>
                <c:pt idx="20">
                  <c:v>28825</c:v>
                </c:pt>
                <c:pt idx="21">
                  <c:v>31041</c:v>
                </c:pt>
                <c:pt idx="22">
                  <c:v>93813</c:v>
                </c:pt>
                <c:pt idx="23">
                  <c:v>76822</c:v>
                </c:pt>
                <c:pt idx="24">
                  <c:v>31319</c:v>
                </c:pt>
                <c:pt idx="25">
                  <c:v>42855</c:v>
                </c:pt>
                <c:pt idx="26">
                  <c:v>25892</c:v>
                </c:pt>
                <c:pt idx="27">
                  <c:v>29150</c:v>
                </c:pt>
                <c:pt idx="28">
                  <c:v>60143</c:v>
                </c:pt>
                <c:pt idx="29">
                  <c:v>80733</c:v>
                </c:pt>
                <c:pt idx="30">
                  <c:v>33067</c:v>
                </c:pt>
                <c:pt idx="31">
                  <c:v>125854</c:v>
                </c:pt>
                <c:pt idx="32">
                  <c:v>32998</c:v>
                </c:pt>
                <c:pt idx="33">
                  <c:v>43857</c:v>
                </c:pt>
                <c:pt idx="34">
                  <c:v>28829</c:v>
                </c:pt>
                <c:pt idx="35">
                  <c:v>56296</c:v>
                </c:pt>
                <c:pt idx="36">
                  <c:v>30237</c:v>
                </c:pt>
                <c:pt idx="37">
                  <c:v>24931</c:v>
                </c:pt>
                <c:pt idx="38">
                  <c:v>41595</c:v>
                </c:pt>
                <c:pt idx="39">
                  <c:v>35959</c:v>
                </c:pt>
                <c:pt idx="40">
                  <c:v>109979</c:v>
                </c:pt>
                <c:pt idx="41">
                  <c:v>40262</c:v>
                </c:pt>
                <c:pt idx="42">
                  <c:v>39375</c:v>
                </c:pt>
                <c:pt idx="43">
                  <c:v>22045</c:v>
                </c:pt>
                <c:pt idx="44">
                  <c:v>50856</c:v>
                </c:pt>
                <c:pt idx="45">
                  <c:v>8403</c:v>
                </c:pt>
                <c:pt idx="46">
                  <c:v>75029</c:v>
                </c:pt>
                <c:pt idx="47">
                  <c:v>38017</c:v>
                </c:pt>
                <c:pt idx="48">
                  <c:v>42882</c:v>
                </c:pt>
                <c:pt idx="49">
                  <c:v>61294</c:v>
                </c:pt>
                <c:pt idx="50">
                  <c:v>23870</c:v>
                </c:pt>
                <c:pt idx="51">
                  <c:v>46738</c:v>
                </c:pt>
                <c:pt idx="52">
                  <c:v>12240</c:v>
                </c:pt>
                <c:pt idx="53">
                  <c:v>23641</c:v>
                </c:pt>
                <c:pt idx="54">
                  <c:v>35894</c:v>
                </c:pt>
                <c:pt idx="55">
                  <c:v>29721</c:v>
                </c:pt>
                <c:pt idx="56">
                  <c:v>43844</c:v>
                </c:pt>
                <c:pt idx="57">
                  <c:v>32001</c:v>
                </c:pt>
                <c:pt idx="58">
                  <c:v>33717</c:v>
                </c:pt>
                <c:pt idx="59">
                  <c:v>37013</c:v>
                </c:pt>
                <c:pt idx="60">
                  <c:v>81663</c:v>
                </c:pt>
                <c:pt idx="61">
                  <c:v>15042</c:v>
                </c:pt>
                <c:pt idx="62">
                  <c:v>41660</c:v>
                </c:pt>
                <c:pt idx="63">
                  <c:v>58010</c:v>
                </c:pt>
                <c:pt idx="64">
                  <c:v>37235</c:v>
                </c:pt>
                <c:pt idx="65">
                  <c:v>12863</c:v>
                </c:pt>
                <c:pt idx="66">
                  <c:v>34509</c:v>
                </c:pt>
                <c:pt idx="67">
                  <c:v>16532</c:v>
                </c:pt>
                <c:pt idx="68">
                  <c:v>23373</c:v>
                </c:pt>
                <c:pt idx="69">
                  <c:v>22223</c:v>
                </c:pt>
                <c:pt idx="70">
                  <c:v>42088</c:v>
                </c:pt>
                <c:pt idx="71">
                  <c:v>48097</c:v>
                </c:pt>
                <c:pt idx="72">
                  <c:v>30814</c:v>
                </c:pt>
                <c:pt idx="73">
                  <c:v>45635</c:v>
                </c:pt>
                <c:pt idx="74">
                  <c:v>33149</c:v>
                </c:pt>
                <c:pt idx="75">
                  <c:v>26463</c:v>
                </c:pt>
                <c:pt idx="76">
                  <c:v>24253</c:v>
                </c:pt>
                <c:pt idx="77">
                  <c:v>36991</c:v>
                </c:pt>
                <c:pt idx="78">
                  <c:v>29303</c:v>
                </c:pt>
                <c:pt idx="79">
                  <c:v>49494</c:v>
                </c:pt>
                <c:pt idx="80">
                  <c:v>37655</c:v>
                </c:pt>
                <c:pt idx="81">
                  <c:v>49100</c:v>
                </c:pt>
                <c:pt idx="82">
                  <c:v>35825</c:v>
                </c:pt>
                <c:pt idx="83">
                  <c:v>34849</c:v>
                </c:pt>
                <c:pt idx="84">
                  <c:v>51117</c:v>
                </c:pt>
                <c:pt idx="85">
                  <c:v>45692</c:v>
                </c:pt>
              </c:numCache>
            </c:numRef>
          </c:val>
          <c:extLst>
            <c:ext xmlns:c16="http://schemas.microsoft.com/office/drawing/2014/chart" uri="{C3380CC4-5D6E-409C-BE32-E72D297353CC}">
              <c16:uniqueId val="{00000000-DA8B-40BC-9805-D7584B666BCC}"/>
            </c:ext>
          </c:extLst>
        </c:ser>
        <c:ser>
          <c:idx val="1"/>
          <c:order val="1"/>
          <c:tx>
            <c:strRef>
              <c:f>'Pivot Tables'!$C$128</c:f>
              <c:strCache>
                <c:ptCount val="1"/>
                <c:pt idx="0">
                  <c:v>Total Profit</c:v>
                </c:pt>
              </c:strCache>
            </c:strRef>
          </c:tx>
          <c:spPr>
            <a:solidFill>
              <a:schemeClr val="accent2"/>
            </a:solidFill>
            <a:ln>
              <a:noFill/>
            </a:ln>
            <a:effectLst/>
          </c:spPr>
          <c:invertIfNegative val="0"/>
          <c:cat>
            <c:strRef>
              <c:f>'Pivot Tables'!$A$129:$A$215</c:f>
              <c:strCache>
                <c:ptCount val="86"/>
                <c:pt idx="0">
                  <c:v>Agra</c:v>
                </c:pt>
                <c:pt idx="1">
                  <c:v>Ahmednagar</c:v>
                </c:pt>
                <c:pt idx="2">
                  <c:v>Aizawl</c:v>
                </c:pt>
                <c:pt idx="3">
                  <c:v>Ajmer</c:v>
                </c:pt>
                <c:pt idx="4">
                  <c:v>Aligarh</c:v>
                </c:pt>
                <c:pt idx="5">
                  <c:v>Anand</c:v>
                </c:pt>
                <c:pt idx="6">
                  <c:v>Anantapuram</c:v>
                </c:pt>
                <c:pt idx="7">
                  <c:v>Berhampore</c:v>
                </c:pt>
                <c:pt idx="8">
                  <c:v>Bharatpur</c:v>
                </c:pt>
                <c:pt idx="9">
                  <c:v>Bhatpara</c:v>
                </c:pt>
                <c:pt idx="10">
                  <c:v>Bhilai</c:v>
                </c:pt>
                <c:pt idx="11">
                  <c:v>Bhopal</c:v>
                </c:pt>
                <c:pt idx="12">
                  <c:v>Bhubaneswar</c:v>
                </c:pt>
                <c:pt idx="13">
                  <c:v>Bidhannagar</c:v>
                </c:pt>
                <c:pt idx="14">
                  <c:v>Bilaspur</c:v>
                </c:pt>
                <c:pt idx="15">
                  <c:v>Bulandshahr</c:v>
                </c:pt>
                <c:pt idx="16">
                  <c:v>Chinsurah</c:v>
                </c:pt>
                <c:pt idx="17">
                  <c:v>Cuttack</c:v>
                </c:pt>
                <c:pt idx="18">
                  <c:v>Danapur</c:v>
                </c:pt>
                <c:pt idx="19">
                  <c:v>Davanagere</c:v>
                </c:pt>
                <c:pt idx="20">
                  <c:v>Delhi</c:v>
                </c:pt>
                <c:pt idx="21">
                  <c:v>Deoghar</c:v>
                </c:pt>
                <c:pt idx="22">
                  <c:v>Dhanbad</c:v>
                </c:pt>
                <c:pt idx="23">
                  <c:v>Dibrugarh</c:v>
                </c:pt>
                <c:pt idx="24">
                  <c:v>Farrukhabad</c:v>
                </c:pt>
                <c:pt idx="25">
                  <c:v>Gangtok</c:v>
                </c:pt>
                <c:pt idx="26">
                  <c:v>Gaya</c:v>
                </c:pt>
                <c:pt idx="27">
                  <c:v>Guna</c:v>
                </c:pt>
                <c:pt idx="28">
                  <c:v>Guntakal</c:v>
                </c:pt>
                <c:pt idx="29">
                  <c:v>Haridwar</c:v>
                </c:pt>
                <c:pt idx="30">
                  <c:v>Hyderabad</c:v>
                </c:pt>
                <c:pt idx="31">
                  <c:v>Imphal</c:v>
                </c:pt>
                <c:pt idx="32">
                  <c:v>Indore</c:v>
                </c:pt>
                <c:pt idx="33">
                  <c:v>Jamnagar</c:v>
                </c:pt>
                <c:pt idx="34">
                  <c:v>Jorhat</c:v>
                </c:pt>
                <c:pt idx="35">
                  <c:v>Kalyan-Dombivli</c:v>
                </c:pt>
                <c:pt idx="36">
                  <c:v>Kamarhati</c:v>
                </c:pt>
                <c:pt idx="37">
                  <c:v>Kanpur</c:v>
                </c:pt>
                <c:pt idx="38">
                  <c:v>Karaikudi</c:v>
                </c:pt>
                <c:pt idx="39">
                  <c:v>Karimnagar</c:v>
                </c:pt>
                <c:pt idx="40">
                  <c:v>Kavali</c:v>
                </c:pt>
                <c:pt idx="41">
                  <c:v>Khandwa</c:v>
                </c:pt>
                <c:pt idx="42">
                  <c:v>Khora </c:v>
                </c:pt>
                <c:pt idx="43">
                  <c:v>Kolkata</c:v>
                </c:pt>
                <c:pt idx="44">
                  <c:v>Kota</c:v>
                </c:pt>
                <c:pt idx="45">
                  <c:v>Kottayam</c:v>
                </c:pt>
                <c:pt idx="46">
                  <c:v>Machilipatnam</c:v>
                </c:pt>
                <c:pt idx="47">
                  <c:v>Madhyamgram</c:v>
                </c:pt>
                <c:pt idx="48">
                  <c:v>Madurai</c:v>
                </c:pt>
                <c:pt idx="49">
                  <c:v>Maheshtala</c:v>
                </c:pt>
                <c:pt idx="50">
                  <c:v>Malegaon</c:v>
                </c:pt>
                <c:pt idx="51">
                  <c:v>Mangalore</c:v>
                </c:pt>
                <c:pt idx="52">
                  <c:v>Medininagar</c:v>
                </c:pt>
                <c:pt idx="53">
                  <c:v>Mehsana</c:v>
                </c:pt>
                <c:pt idx="54">
                  <c:v>Miryalaguda</c:v>
                </c:pt>
                <c:pt idx="55">
                  <c:v>Nagpur</c:v>
                </c:pt>
                <c:pt idx="56">
                  <c:v>Nellore</c:v>
                </c:pt>
                <c:pt idx="57">
                  <c:v>New Delhi</c:v>
                </c:pt>
                <c:pt idx="58">
                  <c:v>Nizamabad</c:v>
                </c:pt>
                <c:pt idx="59">
                  <c:v>Noida</c:v>
                </c:pt>
                <c:pt idx="60">
                  <c:v>North Dumdum</c:v>
                </c:pt>
                <c:pt idx="61">
                  <c:v>Orai</c:v>
                </c:pt>
                <c:pt idx="62">
                  <c:v>Pallavaram</c:v>
                </c:pt>
                <c:pt idx="63">
                  <c:v>Panchkula</c:v>
                </c:pt>
                <c:pt idx="64">
                  <c:v>Panvel</c:v>
                </c:pt>
                <c:pt idx="65">
                  <c:v>Parbhani</c:v>
                </c:pt>
                <c:pt idx="66">
                  <c:v>Phagwara</c:v>
                </c:pt>
                <c:pt idx="67">
                  <c:v>Purnia</c:v>
                </c:pt>
                <c:pt idx="68">
                  <c:v>Raipur</c:v>
                </c:pt>
                <c:pt idx="69">
                  <c:v>Ratlam</c:v>
                </c:pt>
                <c:pt idx="70">
                  <c:v>Raurkela Industrial Township</c:v>
                </c:pt>
                <c:pt idx="71">
                  <c:v>Sambhal</c:v>
                </c:pt>
                <c:pt idx="72">
                  <c:v>Sasaram</c:v>
                </c:pt>
                <c:pt idx="73">
                  <c:v>Satara</c:v>
                </c:pt>
                <c:pt idx="74">
                  <c:v>Serampore</c:v>
                </c:pt>
                <c:pt idx="75">
                  <c:v>Singrauli</c:v>
                </c:pt>
                <c:pt idx="76">
                  <c:v>Sri Ganganagar</c:v>
                </c:pt>
                <c:pt idx="77">
                  <c:v>Srikakulam</c:v>
                </c:pt>
                <c:pt idx="78">
                  <c:v>Sultan Pur Majra</c:v>
                </c:pt>
                <c:pt idx="79">
                  <c:v>Surat</c:v>
                </c:pt>
                <c:pt idx="80">
                  <c:v>Tenali</c:v>
                </c:pt>
                <c:pt idx="81">
                  <c:v>Tiruchirappalli</c:v>
                </c:pt>
                <c:pt idx="82">
                  <c:v>Tiruppur</c:v>
                </c:pt>
                <c:pt idx="83">
                  <c:v>Tumkur</c:v>
                </c:pt>
                <c:pt idx="84">
                  <c:v>Vellore</c:v>
                </c:pt>
                <c:pt idx="85">
                  <c:v>Warangal</c:v>
                </c:pt>
              </c:strCache>
            </c:strRef>
          </c:cat>
          <c:val>
            <c:numRef>
              <c:f>'Pivot Tables'!$C$129:$C$215</c:f>
              <c:numCache>
                <c:formatCode>General</c:formatCode>
                <c:ptCount val="86"/>
                <c:pt idx="0">
                  <c:v>21122.7</c:v>
                </c:pt>
                <c:pt idx="1">
                  <c:v>8018.4000000000024</c:v>
                </c:pt>
                <c:pt idx="2">
                  <c:v>12048.000000000002</c:v>
                </c:pt>
                <c:pt idx="3">
                  <c:v>8472.9000000000015</c:v>
                </c:pt>
                <c:pt idx="4">
                  <c:v>4157.7000000000007</c:v>
                </c:pt>
                <c:pt idx="5">
                  <c:v>11408.400000000003</c:v>
                </c:pt>
                <c:pt idx="6">
                  <c:v>9736.8000000000011</c:v>
                </c:pt>
                <c:pt idx="7">
                  <c:v>10331.4</c:v>
                </c:pt>
                <c:pt idx="8">
                  <c:v>9819.6000000000022</c:v>
                </c:pt>
                <c:pt idx="9">
                  <c:v>21891.900000000005</c:v>
                </c:pt>
                <c:pt idx="10">
                  <c:v>6477.9000000000015</c:v>
                </c:pt>
                <c:pt idx="11">
                  <c:v>6667.800000000002</c:v>
                </c:pt>
                <c:pt idx="12">
                  <c:v>13379.100000000002</c:v>
                </c:pt>
                <c:pt idx="13">
                  <c:v>20735.100000000006</c:v>
                </c:pt>
                <c:pt idx="14">
                  <c:v>17538.600000000002</c:v>
                </c:pt>
                <c:pt idx="15">
                  <c:v>7158.0000000000018</c:v>
                </c:pt>
                <c:pt idx="16">
                  <c:v>15045.300000000003</c:v>
                </c:pt>
                <c:pt idx="17">
                  <c:v>12166.800000000001</c:v>
                </c:pt>
                <c:pt idx="18">
                  <c:v>12009.300000000001</c:v>
                </c:pt>
                <c:pt idx="19">
                  <c:v>10707.900000000001</c:v>
                </c:pt>
                <c:pt idx="20">
                  <c:v>8647.5</c:v>
                </c:pt>
                <c:pt idx="21">
                  <c:v>9312.3000000000011</c:v>
                </c:pt>
                <c:pt idx="22">
                  <c:v>28143.899999999998</c:v>
                </c:pt>
                <c:pt idx="23">
                  <c:v>23046.600000000006</c:v>
                </c:pt>
                <c:pt idx="24">
                  <c:v>9395.7000000000025</c:v>
                </c:pt>
                <c:pt idx="25">
                  <c:v>12856.5</c:v>
                </c:pt>
                <c:pt idx="26">
                  <c:v>7767.6</c:v>
                </c:pt>
                <c:pt idx="27">
                  <c:v>8745.0000000000018</c:v>
                </c:pt>
                <c:pt idx="28">
                  <c:v>18042.900000000001</c:v>
                </c:pt>
                <c:pt idx="29">
                  <c:v>24219.900000000005</c:v>
                </c:pt>
                <c:pt idx="30">
                  <c:v>9920.1000000000022</c:v>
                </c:pt>
                <c:pt idx="31">
                  <c:v>37756.200000000012</c:v>
                </c:pt>
                <c:pt idx="32">
                  <c:v>9899.4000000000015</c:v>
                </c:pt>
                <c:pt idx="33">
                  <c:v>13157.1</c:v>
                </c:pt>
                <c:pt idx="34">
                  <c:v>8648.7000000000007</c:v>
                </c:pt>
                <c:pt idx="35">
                  <c:v>16888.800000000003</c:v>
                </c:pt>
                <c:pt idx="36">
                  <c:v>9071.1</c:v>
                </c:pt>
                <c:pt idx="37">
                  <c:v>7479.3000000000011</c:v>
                </c:pt>
                <c:pt idx="38">
                  <c:v>12478.5</c:v>
                </c:pt>
                <c:pt idx="39">
                  <c:v>10787.7</c:v>
                </c:pt>
                <c:pt idx="40">
                  <c:v>32993.699999999997</c:v>
                </c:pt>
                <c:pt idx="41">
                  <c:v>12078.6</c:v>
                </c:pt>
                <c:pt idx="42">
                  <c:v>11812.500000000002</c:v>
                </c:pt>
                <c:pt idx="43">
                  <c:v>6613.5000000000009</c:v>
                </c:pt>
                <c:pt idx="44">
                  <c:v>15256.800000000001</c:v>
                </c:pt>
                <c:pt idx="45">
                  <c:v>2520.9000000000005</c:v>
                </c:pt>
                <c:pt idx="46">
                  <c:v>22508.700000000004</c:v>
                </c:pt>
                <c:pt idx="47">
                  <c:v>11405.100000000002</c:v>
                </c:pt>
                <c:pt idx="48">
                  <c:v>12864.599999999999</c:v>
                </c:pt>
                <c:pt idx="49">
                  <c:v>18388.2</c:v>
                </c:pt>
                <c:pt idx="50">
                  <c:v>7161.0000000000009</c:v>
                </c:pt>
                <c:pt idx="51">
                  <c:v>14021.400000000003</c:v>
                </c:pt>
                <c:pt idx="52">
                  <c:v>3672</c:v>
                </c:pt>
                <c:pt idx="53">
                  <c:v>7092.3000000000011</c:v>
                </c:pt>
                <c:pt idx="54">
                  <c:v>10768.2</c:v>
                </c:pt>
                <c:pt idx="55">
                  <c:v>8916.3000000000011</c:v>
                </c:pt>
                <c:pt idx="56">
                  <c:v>13153.2</c:v>
                </c:pt>
                <c:pt idx="57">
                  <c:v>9600.3000000000011</c:v>
                </c:pt>
                <c:pt idx="58">
                  <c:v>10115.100000000002</c:v>
                </c:pt>
                <c:pt idx="59">
                  <c:v>11103.900000000001</c:v>
                </c:pt>
                <c:pt idx="60">
                  <c:v>24498.900000000005</c:v>
                </c:pt>
                <c:pt idx="61">
                  <c:v>4512.6000000000004</c:v>
                </c:pt>
                <c:pt idx="62">
                  <c:v>12498.000000000004</c:v>
                </c:pt>
                <c:pt idx="63">
                  <c:v>17403.000000000004</c:v>
                </c:pt>
                <c:pt idx="64">
                  <c:v>11170.5</c:v>
                </c:pt>
                <c:pt idx="65">
                  <c:v>3858.9000000000005</c:v>
                </c:pt>
                <c:pt idx="66">
                  <c:v>10352.700000000001</c:v>
                </c:pt>
                <c:pt idx="67">
                  <c:v>4959.6000000000004</c:v>
                </c:pt>
                <c:pt idx="68">
                  <c:v>7011.9000000000015</c:v>
                </c:pt>
                <c:pt idx="69">
                  <c:v>6666.9000000000015</c:v>
                </c:pt>
                <c:pt idx="70">
                  <c:v>12626.4</c:v>
                </c:pt>
                <c:pt idx="71">
                  <c:v>14429.100000000002</c:v>
                </c:pt>
                <c:pt idx="72">
                  <c:v>9244.2000000000007</c:v>
                </c:pt>
                <c:pt idx="73">
                  <c:v>13690.500000000004</c:v>
                </c:pt>
                <c:pt idx="74">
                  <c:v>9944.7000000000007</c:v>
                </c:pt>
                <c:pt idx="75">
                  <c:v>7938.9000000000024</c:v>
                </c:pt>
                <c:pt idx="76">
                  <c:v>7275.9000000000015</c:v>
                </c:pt>
                <c:pt idx="77">
                  <c:v>11097.3</c:v>
                </c:pt>
                <c:pt idx="78">
                  <c:v>8790.9000000000015</c:v>
                </c:pt>
                <c:pt idx="79">
                  <c:v>14848.200000000004</c:v>
                </c:pt>
                <c:pt idx="80">
                  <c:v>11296.5</c:v>
                </c:pt>
                <c:pt idx="81">
                  <c:v>14730.000000000002</c:v>
                </c:pt>
                <c:pt idx="82">
                  <c:v>10747.5</c:v>
                </c:pt>
                <c:pt idx="83">
                  <c:v>10454.699999999999</c:v>
                </c:pt>
                <c:pt idx="84">
                  <c:v>15335.099999999999</c:v>
                </c:pt>
                <c:pt idx="85">
                  <c:v>13707.600000000002</c:v>
                </c:pt>
              </c:numCache>
            </c:numRef>
          </c:val>
          <c:extLst>
            <c:ext xmlns:c16="http://schemas.microsoft.com/office/drawing/2014/chart" uri="{C3380CC4-5D6E-409C-BE32-E72D297353CC}">
              <c16:uniqueId val="{00000001-DA8B-40BC-9805-D7584B666BCC}"/>
            </c:ext>
          </c:extLst>
        </c:ser>
        <c:dLbls>
          <c:showLegendKey val="0"/>
          <c:showVal val="0"/>
          <c:showCatName val="0"/>
          <c:showSerName val="0"/>
          <c:showPercent val="0"/>
          <c:showBubbleSize val="0"/>
        </c:dLbls>
        <c:gapWidth val="182"/>
        <c:axId val="1840363040"/>
        <c:axId val="1840356800"/>
      </c:barChart>
      <c:catAx>
        <c:axId val="184036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356800"/>
        <c:crosses val="autoZero"/>
        <c:auto val="1"/>
        <c:lblAlgn val="ctr"/>
        <c:lblOffset val="100"/>
        <c:noMultiLvlLbl val="0"/>
      </c:catAx>
      <c:valAx>
        <c:axId val="1840356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36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Tables!PivotTable18</c:name>
    <c:fmtId val="2"/>
  </c:pivotSource>
  <c:chart>
    <c:title>
      <c:layout>
        <c:manualLayout>
          <c:xMode val="edge"/>
          <c:yMode val="edge"/>
          <c:x val="0.40703278152188338"/>
          <c:y val="8.1326990342939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7293583388257"/>
          <c:y val="0.25553130465363849"/>
          <c:w val="0.70376070752231357"/>
          <c:h val="0.28603278743061367"/>
        </c:manualLayout>
      </c:layout>
      <c:barChart>
        <c:barDir val="col"/>
        <c:grouping val="clustered"/>
        <c:varyColors val="0"/>
        <c:ser>
          <c:idx val="0"/>
          <c:order val="0"/>
          <c:tx>
            <c:strRef>
              <c:f>'Pivot Tables'!$H$55</c:f>
              <c:strCache>
                <c:ptCount val="1"/>
                <c:pt idx="0">
                  <c:v>Total</c:v>
                </c:pt>
              </c:strCache>
            </c:strRef>
          </c:tx>
          <c:spPr>
            <a:solidFill>
              <a:schemeClr val="accent1"/>
            </a:solidFill>
            <a:ln>
              <a:noFill/>
            </a:ln>
            <a:effectLst/>
          </c:spPr>
          <c:invertIfNegative val="0"/>
          <c:cat>
            <c:strRef>
              <c:f>'Pivot Tables'!$G$56:$G$124</c:f>
              <c:strCache>
                <c:ptCount val="68"/>
                <c:pt idx="0">
                  <c:v>Accusantium Gift</c:v>
                </c:pt>
                <c:pt idx="1">
                  <c:v>Accusantium Set</c:v>
                </c:pt>
                <c:pt idx="2">
                  <c:v>Ad Box</c:v>
                </c:pt>
                <c:pt idx="3">
                  <c:v>Adipisci Set</c:v>
                </c:pt>
                <c:pt idx="4">
                  <c:v>Aliquam Box</c:v>
                </c:pt>
                <c:pt idx="5">
                  <c:v>Aperiam Box</c:v>
                </c:pt>
                <c:pt idx="6">
                  <c:v>Architecto Gift</c:v>
                </c:pt>
                <c:pt idx="7">
                  <c:v>Aut Box</c:v>
                </c:pt>
                <c:pt idx="8">
                  <c:v>Cum Gift</c:v>
                </c:pt>
                <c:pt idx="9">
                  <c:v>Delectus Gift</c:v>
                </c:pt>
                <c:pt idx="10">
                  <c:v>Deserunt Box</c:v>
                </c:pt>
                <c:pt idx="11">
                  <c:v>Dignissimos Pack</c:v>
                </c:pt>
                <c:pt idx="12">
                  <c:v>Dolores Gift</c:v>
                </c:pt>
                <c:pt idx="13">
                  <c:v>Dolorum Box</c:v>
                </c:pt>
                <c:pt idx="14">
                  <c:v>Dolorum Set</c:v>
                </c:pt>
                <c:pt idx="15">
                  <c:v>Ea Set</c:v>
                </c:pt>
                <c:pt idx="16">
                  <c:v>Earum Set</c:v>
                </c:pt>
                <c:pt idx="17">
                  <c:v>Eius Gift</c:v>
                </c:pt>
                <c:pt idx="18">
                  <c:v>Eligendi Set</c:v>
                </c:pt>
                <c:pt idx="19">
                  <c:v>Error Gift</c:v>
                </c:pt>
                <c:pt idx="20">
                  <c:v>Et Set</c:v>
                </c:pt>
                <c:pt idx="21">
                  <c:v>Exercitationem Pack</c:v>
                </c:pt>
                <c:pt idx="22">
                  <c:v>Expedita Gift</c:v>
                </c:pt>
                <c:pt idx="23">
                  <c:v>Fuga Set</c:v>
                </c:pt>
                <c:pt idx="24">
                  <c:v>Fugit Set</c:v>
                </c:pt>
                <c:pt idx="25">
                  <c:v>Harum Pack</c:v>
                </c:pt>
                <c:pt idx="26">
                  <c:v>Id Box</c:v>
                </c:pt>
                <c:pt idx="27">
                  <c:v>In Set</c:v>
                </c:pt>
                <c:pt idx="28">
                  <c:v>Ipsam Set</c:v>
                </c:pt>
                <c:pt idx="29">
                  <c:v>Iure Gift</c:v>
                </c:pt>
                <c:pt idx="30">
                  <c:v>Iusto Box</c:v>
                </c:pt>
                <c:pt idx="31">
                  <c:v>Iusto Set</c:v>
                </c:pt>
                <c:pt idx="32">
                  <c:v>Magnam Set</c:v>
                </c:pt>
                <c:pt idx="33">
                  <c:v>Maiores Box</c:v>
                </c:pt>
                <c:pt idx="34">
                  <c:v>Maiores Gift</c:v>
                </c:pt>
                <c:pt idx="35">
                  <c:v>Maxime Set</c:v>
                </c:pt>
                <c:pt idx="36">
                  <c:v>Mollitia Set</c:v>
                </c:pt>
                <c:pt idx="37">
                  <c:v>Nam Gift</c:v>
                </c:pt>
                <c:pt idx="38">
                  <c:v>Natus Gift</c:v>
                </c:pt>
                <c:pt idx="39">
                  <c:v>Nemo Set</c:v>
                </c:pt>
                <c:pt idx="40">
                  <c:v>Nihil Box</c:v>
                </c:pt>
                <c:pt idx="41">
                  <c:v>Non Set</c:v>
                </c:pt>
                <c:pt idx="42">
                  <c:v>Nostrum Box</c:v>
                </c:pt>
                <c:pt idx="43">
                  <c:v>Occaecati Gift</c:v>
                </c:pt>
                <c:pt idx="44">
                  <c:v>Officiis Pack</c:v>
                </c:pt>
                <c:pt idx="45">
                  <c:v>Pariatur Box</c:v>
                </c:pt>
                <c:pt idx="46">
                  <c:v>Pariatur Set</c:v>
                </c:pt>
                <c:pt idx="47">
                  <c:v>Placeat Pack</c:v>
                </c:pt>
                <c:pt idx="48">
                  <c:v>Provident Pack</c:v>
                </c:pt>
                <c:pt idx="49">
                  <c:v>Quas Box</c:v>
                </c:pt>
                <c:pt idx="50">
                  <c:v>Quas Gift</c:v>
                </c:pt>
                <c:pt idx="51">
                  <c:v>Qui Box</c:v>
                </c:pt>
                <c:pt idx="52">
                  <c:v>Qui Gift</c:v>
                </c:pt>
                <c:pt idx="53">
                  <c:v>Quia Gift</c:v>
                </c:pt>
                <c:pt idx="54">
                  <c:v>Quisquam Pack</c:v>
                </c:pt>
                <c:pt idx="55">
                  <c:v>Quos Box</c:v>
                </c:pt>
                <c:pt idx="56">
                  <c:v>Quos Set</c:v>
                </c:pt>
                <c:pt idx="57">
                  <c:v>Recusandae Pack</c:v>
                </c:pt>
                <c:pt idx="58">
                  <c:v>Reiciendis Box</c:v>
                </c:pt>
                <c:pt idx="59">
                  <c:v>Repudiandae Box</c:v>
                </c:pt>
                <c:pt idx="60">
                  <c:v>Sed Pack</c:v>
                </c:pt>
                <c:pt idx="61">
                  <c:v>Sed Set</c:v>
                </c:pt>
                <c:pt idx="62">
                  <c:v>Ut Pack</c:v>
                </c:pt>
                <c:pt idx="63">
                  <c:v>Velit Set</c:v>
                </c:pt>
                <c:pt idx="64">
                  <c:v>Voluptas Box</c:v>
                </c:pt>
                <c:pt idx="65">
                  <c:v>Voluptate Pack</c:v>
                </c:pt>
                <c:pt idx="66">
                  <c:v>Voluptate Set</c:v>
                </c:pt>
                <c:pt idx="67">
                  <c:v>Voluptatem Box</c:v>
                </c:pt>
              </c:strCache>
            </c:strRef>
          </c:cat>
          <c:val>
            <c:numRef>
              <c:f>'Pivot Tables'!$H$56:$H$124</c:f>
              <c:numCache>
                <c:formatCode>0.00</c:formatCode>
                <c:ptCount val="68"/>
                <c:pt idx="0">
                  <c:v>6.4</c:v>
                </c:pt>
                <c:pt idx="1">
                  <c:v>5.0625</c:v>
                </c:pt>
                <c:pt idx="2">
                  <c:v>4.8695652173913047</c:v>
                </c:pt>
                <c:pt idx="3">
                  <c:v>6.7777777777777777</c:v>
                </c:pt>
                <c:pt idx="4">
                  <c:v>6.0869565217391308</c:v>
                </c:pt>
                <c:pt idx="5">
                  <c:v>5.9444444444444446</c:v>
                </c:pt>
                <c:pt idx="6">
                  <c:v>6.5384615384615383</c:v>
                </c:pt>
                <c:pt idx="7">
                  <c:v>5.0714285714285712</c:v>
                </c:pt>
                <c:pt idx="8">
                  <c:v>4.9230769230769234</c:v>
                </c:pt>
                <c:pt idx="9">
                  <c:v>5.117647058823529</c:v>
                </c:pt>
                <c:pt idx="10">
                  <c:v>4.6470588235294121</c:v>
                </c:pt>
                <c:pt idx="11">
                  <c:v>5.4444444444444446</c:v>
                </c:pt>
                <c:pt idx="12">
                  <c:v>4.7647058823529411</c:v>
                </c:pt>
                <c:pt idx="13">
                  <c:v>5.2727272727272725</c:v>
                </c:pt>
                <c:pt idx="14">
                  <c:v>3.0769230769230771</c:v>
                </c:pt>
                <c:pt idx="15">
                  <c:v>6.7692307692307692</c:v>
                </c:pt>
                <c:pt idx="16">
                  <c:v>4.6923076923076925</c:v>
                </c:pt>
                <c:pt idx="17">
                  <c:v>4.8235294117647056</c:v>
                </c:pt>
                <c:pt idx="18">
                  <c:v>5.5714285714285712</c:v>
                </c:pt>
                <c:pt idx="19">
                  <c:v>5.4545454545454541</c:v>
                </c:pt>
                <c:pt idx="20">
                  <c:v>5.8421052631578947</c:v>
                </c:pt>
                <c:pt idx="21">
                  <c:v>5.6470588235294121</c:v>
                </c:pt>
                <c:pt idx="22">
                  <c:v>5.5625</c:v>
                </c:pt>
                <c:pt idx="23">
                  <c:v>4.9333333333333336</c:v>
                </c:pt>
                <c:pt idx="24">
                  <c:v>4.6956521739130439</c:v>
                </c:pt>
                <c:pt idx="25">
                  <c:v>5.6</c:v>
                </c:pt>
                <c:pt idx="26">
                  <c:v>6.4</c:v>
                </c:pt>
                <c:pt idx="27">
                  <c:v>5.5714285714285712</c:v>
                </c:pt>
                <c:pt idx="28">
                  <c:v>5.6875</c:v>
                </c:pt>
                <c:pt idx="29">
                  <c:v>6.1538461538461542</c:v>
                </c:pt>
                <c:pt idx="30">
                  <c:v>4.6363636363636367</c:v>
                </c:pt>
                <c:pt idx="31">
                  <c:v>5.7058823529411766</c:v>
                </c:pt>
                <c:pt idx="32">
                  <c:v>6.4210526315789478</c:v>
                </c:pt>
                <c:pt idx="33">
                  <c:v>5.6875</c:v>
                </c:pt>
                <c:pt idx="34">
                  <c:v>4.333333333333333</c:v>
                </c:pt>
                <c:pt idx="35">
                  <c:v>3.4444444444444446</c:v>
                </c:pt>
                <c:pt idx="36">
                  <c:v>6.4545454545454541</c:v>
                </c:pt>
                <c:pt idx="37">
                  <c:v>6.7777777777777777</c:v>
                </c:pt>
                <c:pt idx="38">
                  <c:v>5.625</c:v>
                </c:pt>
                <c:pt idx="39">
                  <c:v>6.416666666666667</c:v>
                </c:pt>
                <c:pt idx="40">
                  <c:v>6</c:v>
                </c:pt>
                <c:pt idx="41">
                  <c:v>5.9285714285714288</c:v>
                </c:pt>
                <c:pt idx="42">
                  <c:v>5.7777777777777777</c:v>
                </c:pt>
                <c:pt idx="43">
                  <c:v>6.5</c:v>
                </c:pt>
                <c:pt idx="44">
                  <c:v>5.2</c:v>
                </c:pt>
                <c:pt idx="45">
                  <c:v>6</c:v>
                </c:pt>
                <c:pt idx="46">
                  <c:v>4.0769230769230766</c:v>
                </c:pt>
                <c:pt idx="47">
                  <c:v>5.4285714285714288</c:v>
                </c:pt>
                <c:pt idx="48">
                  <c:v>5.4666666666666668</c:v>
                </c:pt>
                <c:pt idx="49">
                  <c:v>6.625</c:v>
                </c:pt>
                <c:pt idx="50">
                  <c:v>5.1818181818181817</c:v>
                </c:pt>
                <c:pt idx="51">
                  <c:v>6.5</c:v>
                </c:pt>
                <c:pt idx="52">
                  <c:v>5.0666666666666664</c:v>
                </c:pt>
                <c:pt idx="53">
                  <c:v>5.2592592592592595</c:v>
                </c:pt>
                <c:pt idx="54">
                  <c:v>4.95</c:v>
                </c:pt>
                <c:pt idx="55">
                  <c:v>5.5882352941176467</c:v>
                </c:pt>
                <c:pt idx="56">
                  <c:v>4.2</c:v>
                </c:pt>
                <c:pt idx="57">
                  <c:v>6.2666666666666666</c:v>
                </c:pt>
                <c:pt idx="58">
                  <c:v>5.8181818181818183</c:v>
                </c:pt>
                <c:pt idx="59">
                  <c:v>5</c:v>
                </c:pt>
                <c:pt idx="60">
                  <c:v>6.3571428571428568</c:v>
                </c:pt>
                <c:pt idx="61">
                  <c:v>5.9230769230769234</c:v>
                </c:pt>
                <c:pt idx="62">
                  <c:v>5.2222222222222223</c:v>
                </c:pt>
                <c:pt idx="63">
                  <c:v>6.5</c:v>
                </c:pt>
                <c:pt idx="64">
                  <c:v>5.2857142857142856</c:v>
                </c:pt>
                <c:pt idx="65">
                  <c:v>6</c:v>
                </c:pt>
                <c:pt idx="66">
                  <c:v>6.2</c:v>
                </c:pt>
                <c:pt idx="67">
                  <c:v>5.5714285714285712</c:v>
                </c:pt>
              </c:numCache>
            </c:numRef>
          </c:val>
          <c:extLst>
            <c:ext xmlns:c16="http://schemas.microsoft.com/office/drawing/2014/chart" uri="{C3380CC4-5D6E-409C-BE32-E72D297353CC}">
              <c16:uniqueId val="{00000000-78F5-40CB-8EFC-44BFE6766BAD}"/>
            </c:ext>
          </c:extLst>
        </c:ser>
        <c:dLbls>
          <c:showLegendKey val="0"/>
          <c:showVal val="0"/>
          <c:showCatName val="0"/>
          <c:showSerName val="0"/>
          <c:showPercent val="0"/>
          <c:showBubbleSize val="0"/>
        </c:dLbls>
        <c:gapWidth val="219"/>
        <c:overlap val="-27"/>
        <c:axId val="1654619344"/>
        <c:axId val="1654637232"/>
      </c:barChart>
      <c:catAx>
        <c:axId val="165461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37232"/>
        <c:crosses val="autoZero"/>
        <c:auto val="1"/>
        <c:lblAlgn val="ctr"/>
        <c:lblOffset val="100"/>
        <c:noMultiLvlLbl val="0"/>
      </c:catAx>
      <c:valAx>
        <c:axId val="1654637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1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Tables!Revenue by Category</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77221926720941"/>
          <c:y val="5.6510963819894795E-2"/>
          <c:w val="0.56372076466357945"/>
          <c:h val="0.56608279703094166"/>
        </c:manualLayout>
      </c:layout>
      <c:barChart>
        <c:barDir val="col"/>
        <c:grouping val="clustered"/>
        <c:varyColors val="0"/>
        <c:ser>
          <c:idx val="0"/>
          <c:order val="0"/>
          <c:tx>
            <c:strRef>
              <c:f>'Pivot Tables'!$B$25</c:f>
              <c:strCache>
                <c:ptCount val="1"/>
                <c:pt idx="0">
                  <c:v>Total Revenue</c:v>
                </c:pt>
              </c:strCache>
            </c:strRef>
          </c:tx>
          <c:spPr>
            <a:solidFill>
              <a:schemeClr val="accent1"/>
            </a:solidFill>
            <a:ln>
              <a:noFill/>
            </a:ln>
            <a:effectLst/>
          </c:spPr>
          <c:invertIfNegative val="0"/>
          <c:cat>
            <c:strRef>
              <c:f>'Pivot Tables'!$A$26:$A$33</c:f>
              <c:strCache>
                <c:ptCount val="7"/>
                <c:pt idx="0">
                  <c:v>Cake</c:v>
                </c:pt>
                <c:pt idx="1">
                  <c:v>Colors</c:v>
                </c:pt>
                <c:pt idx="2">
                  <c:v>Mugs</c:v>
                </c:pt>
                <c:pt idx="3">
                  <c:v>Plants</c:v>
                </c:pt>
                <c:pt idx="4">
                  <c:v>Raksha Bandhan</c:v>
                </c:pt>
                <c:pt idx="5">
                  <c:v>Soft Toys</c:v>
                </c:pt>
                <c:pt idx="6">
                  <c:v>Sweets</c:v>
                </c:pt>
              </c:strCache>
            </c:strRef>
          </c:cat>
          <c:val>
            <c:numRef>
              <c:f>'Pivot Tables'!$B$26:$B$33</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99D-4D0F-A218-9A5D745079DF}"/>
            </c:ext>
          </c:extLst>
        </c:ser>
        <c:ser>
          <c:idx val="1"/>
          <c:order val="1"/>
          <c:tx>
            <c:strRef>
              <c:f>'Pivot Tables'!$C$25</c:f>
              <c:strCache>
                <c:ptCount val="1"/>
                <c:pt idx="0">
                  <c:v>Total Profit</c:v>
                </c:pt>
              </c:strCache>
            </c:strRef>
          </c:tx>
          <c:spPr>
            <a:solidFill>
              <a:schemeClr val="accent2"/>
            </a:solidFill>
            <a:ln>
              <a:noFill/>
            </a:ln>
            <a:effectLst/>
          </c:spPr>
          <c:invertIfNegative val="0"/>
          <c:cat>
            <c:strRef>
              <c:f>'Pivot Tables'!$A$26:$A$33</c:f>
              <c:strCache>
                <c:ptCount val="7"/>
                <c:pt idx="0">
                  <c:v>Cake</c:v>
                </c:pt>
                <c:pt idx="1">
                  <c:v>Colors</c:v>
                </c:pt>
                <c:pt idx="2">
                  <c:v>Mugs</c:v>
                </c:pt>
                <c:pt idx="3">
                  <c:v>Plants</c:v>
                </c:pt>
                <c:pt idx="4">
                  <c:v>Raksha Bandhan</c:v>
                </c:pt>
                <c:pt idx="5">
                  <c:v>Soft Toys</c:v>
                </c:pt>
                <c:pt idx="6">
                  <c:v>Sweets</c:v>
                </c:pt>
              </c:strCache>
            </c:strRef>
          </c:cat>
          <c:val>
            <c:numRef>
              <c:f>'Pivot Tables'!$C$26:$C$33</c:f>
              <c:numCache>
                <c:formatCode>General</c:formatCode>
                <c:ptCount val="7"/>
                <c:pt idx="0">
                  <c:v>98958.600000000035</c:v>
                </c:pt>
                <c:pt idx="1">
                  <c:v>301693.49999999994</c:v>
                </c:pt>
                <c:pt idx="2">
                  <c:v>60345.299999999996</c:v>
                </c:pt>
                <c:pt idx="3">
                  <c:v>63684.299999999988</c:v>
                </c:pt>
                <c:pt idx="4">
                  <c:v>89211.6</c:v>
                </c:pt>
                <c:pt idx="5">
                  <c:v>222249.3</c:v>
                </c:pt>
                <c:pt idx="6">
                  <c:v>220152.59999999989</c:v>
                </c:pt>
              </c:numCache>
            </c:numRef>
          </c:val>
          <c:extLst>
            <c:ext xmlns:c16="http://schemas.microsoft.com/office/drawing/2014/chart" uri="{C3380CC4-5D6E-409C-BE32-E72D297353CC}">
              <c16:uniqueId val="{00000001-299D-4D0F-A218-9A5D745079DF}"/>
            </c:ext>
          </c:extLst>
        </c:ser>
        <c:dLbls>
          <c:showLegendKey val="0"/>
          <c:showVal val="0"/>
          <c:showCatName val="0"/>
          <c:showSerName val="0"/>
          <c:showPercent val="0"/>
          <c:showBubbleSize val="0"/>
        </c:dLbls>
        <c:gapWidth val="219"/>
        <c:overlap val="-27"/>
        <c:axId val="152791888"/>
        <c:axId val="152792304"/>
      </c:barChart>
      <c:catAx>
        <c:axId val="15279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2304"/>
        <c:crosses val="autoZero"/>
        <c:auto val="1"/>
        <c:lblAlgn val="ctr"/>
        <c:lblOffset val="100"/>
        <c:noMultiLvlLbl val="0"/>
      </c:catAx>
      <c:valAx>
        <c:axId val="15279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4</xdr:row>
      <xdr:rowOff>104773</xdr:rowOff>
    </xdr:from>
    <xdr:to>
      <xdr:col>6</xdr:col>
      <xdr:colOff>103909</xdr:colOff>
      <xdr:row>11</xdr:row>
      <xdr:rowOff>86591</xdr:rowOff>
    </xdr:to>
    <xdr:graphicFrame macro="">
      <xdr:nvGraphicFramePr>
        <xdr:cNvPr id="2" name="Chart 1">
          <a:extLst>
            <a:ext uri="{FF2B5EF4-FFF2-40B4-BE49-F238E27FC236}">
              <a16:creationId xmlns:a16="http://schemas.microsoft.com/office/drawing/2014/main" id="{937E8533-0FAF-480E-A453-5E63C8EA8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155864</xdr:colOff>
      <xdr:row>4</xdr:row>
      <xdr:rowOff>103907</xdr:rowOff>
    </xdr:from>
    <xdr:to>
      <xdr:col>17</xdr:col>
      <xdr:colOff>606137</xdr:colOff>
      <xdr:row>11</xdr:row>
      <xdr:rowOff>95250</xdr:rowOff>
    </xdr:to>
    <xdr:graphicFrame macro="">
      <xdr:nvGraphicFramePr>
        <xdr:cNvPr id="9" name="Chart 8">
          <a:extLst>
            <a:ext uri="{FF2B5EF4-FFF2-40B4-BE49-F238E27FC236}">
              <a16:creationId xmlns:a16="http://schemas.microsoft.com/office/drawing/2014/main" id="{74968474-120B-4DAB-B073-13C7056C8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9523</xdr:colOff>
      <xdr:row>11</xdr:row>
      <xdr:rowOff>119495</xdr:rowOff>
    </xdr:from>
    <xdr:to>
      <xdr:col>6</xdr:col>
      <xdr:colOff>129886</xdr:colOff>
      <xdr:row>20</xdr:row>
      <xdr:rowOff>103909</xdr:rowOff>
    </xdr:to>
    <xdr:graphicFrame macro="">
      <xdr:nvGraphicFramePr>
        <xdr:cNvPr id="10" name="Chart 9">
          <a:extLst>
            <a:ext uri="{FF2B5EF4-FFF2-40B4-BE49-F238E27FC236}">
              <a16:creationId xmlns:a16="http://schemas.microsoft.com/office/drawing/2014/main" id="{4BB79CB3-9DD1-44C3-93B7-D8AD18E56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181842</xdr:colOff>
      <xdr:row>11</xdr:row>
      <xdr:rowOff>117764</xdr:rowOff>
    </xdr:from>
    <xdr:to>
      <xdr:col>11</xdr:col>
      <xdr:colOff>95250</xdr:colOff>
      <xdr:row>20</xdr:row>
      <xdr:rowOff>86592</xdr:rowOff>
    </xdr:to>
    <xdr:graphicFrame macro="">
      <xdr:nvGraphicFramePr>
        <xdr:cNvPr id="11" name="Chart 10">
          <a:extLst>
            <a:ext uri="{FF2B5EF4-FFF2-40B4-BE49-F238E27FC236}">
              <a16:creationId xmlns:a16="http://schemas.microsoft.com/office/drawing/2014/main" id="{CFE785B0-FC1D-4A96-87F3-1D531EABF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129886</xdr:colOff>
      <xdr:row>16</xdr:row>
      <xdr:rowOff>25977</xdr:rowOff>
    </xdr:from>
    <xdr:to>
      <xdr:col>13</xdr:col>
      <xdr:colOff>242455</xdr:colOff>
      <xdr:row>20</xdr:row>
      <xdr:rowOff>86592</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48B00AD6-745B-41DF-9FB0-25F728771C4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368886" y="3325091"/>
              <a:ext cx="1368137" cy="82261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311727</xdr:colOff>
      <xdr:row>11</xdr:row>
      <xdr:rowOff>112569</xdr:rowOff>
    </xdr:from>
    <xdr:to>
      <xdr:col>15</xdr:col>
      <xdr:colOff>216477</xdr:colOff>
      <xdr:row>16</xdr:row>
      <xdr:rowOff>17318</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2677BA45-3771-4C7B-B159-B74EB8FA1D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06295" y="2459183"/>
              <a:ext cx="1125682" cy="85724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311724</xdr:colOff>
      <xdr:row>16</xdr:row>
      <xdr:rowOff>25977</xdr:rowOff>
    </xdr:from>
    <xdr:to>
      <xdr:col>15</xdr:col>
      <xdr:colOff>233793</xdr:colOff>
      <xdr:row>20</xdr:row>
      <xdr:rowOff>77932</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9680ABB1-5E10-414C-AEE0-C816B13507A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806292" y="3325091"/>
              <a:ext cx="1143001" cy="81395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233795</xdr:colOff>
      <xdr:row>11</xdr:row>
      <xdr:rowOff>121229</xdr:rowOff>
    </xdr:from>
    <xdr:to>
      <xdr:col>17</xdr:col>
      <xdr:colOff>554181</xdr:colOff>
      <xdr:row>16</xdr:row>
      <xdr:rowOff>17319</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1DF7F022-E916-4AAA-AE38-553328DC741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949295" y="2467843"/>
              <a:ext cx="1134341" cy="84859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129886</xdr:colOff>
      <xdr:row>11</xdr:row>
      <xdr:rowOff>121229</xdr:rowOff>
    </xdr:from>
    <xdr:to>
      <xdr:col>13</xdr:col>
      <xdr:colOff>251114</xdr:colOff>
      <xdr:row>16</xdr:row>
      <xdr:rowOff>17318</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3B63AB3A-2EC7-4BC7-A959-36C5410A6BD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7368886" y="2467843"/>
              <a:ext cx="1376796" cy="848589"/>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233796</xdr:colOff>
      <xdr:row>16</xdr:row>
      <xdr:rowOff>25977</xdr:rowOff>
    </xdr:from>
    <xdr:to>
      <xdr:col>17</xdr:col>
      <xdr:colOff>554182</xdr:colOff>
      <xdr:row>20</xdr:row>
      <xdr:rowOff>77932</xdr:rowOff>
    </xdr:to>
    <mc:AlternateContent xmlns:mc="http://schemas.openxmlformats.org/markup-compatibility/2006">
      <mc:Choice xmlns:a14="http://schemas.microsoft.com/office/drawing/2010/main" Requires="a14">
        <xdr:graphicFrame macro="">
          <xdr:nvGraphicFramePr>
            <xdr:cNvPr id="15" name="Order Value Category">
              <a:extLst>
                <a:ext uri="{FF2B5EF4-FFF2-40B4-BE49-F238E27FC236}">
                  <a16:creationId xmlns:a16="http://schemas.microsoft.com/office/drawing/2014/main" id="{E4476CA5-2869-48FF-9C23-E12B31B38B04}"/>
                </a:ext>
              </a:extLst>
            </xdr:cNvPr>
            <xdr:cNvGraphicFramePr/>
          </xdr:nvGraphicFramePr>
          <xdr:xfrm>
            <a:off x="0" y="0"/>
            <a:ext cx="0" cy="0"/>
          </xdr:xfrm>
          <a:graphic>
            <a:graphicData uri="http://schemas.microsoft.com/office/drawing/2010/slicer">
              <sle:slicer xmlns:sle="http://schemas.microsoft.com/office/drawing/2010/slicer" name="Order Value Category"/>
            </a:graphicData>
          </a:graphic>
        </xdr:graphicFrame>
      </mc:Choice>
      <mc:Fallback>
        <xdr:sp macro="" textlink="">
          <xdr:nvSpPr>
            <xdr:cNvPr id="0" name=""/>
            <xdr:cNvSpPr>
              <a:spLocks noTextEdit="1"/>
            </xdr:cNvSpPr>
          </xdr:nvSpPr>
          <xdr:spPr>
            <a:xfrm>
              <a:off x="9949296" y="3325091"/>
              <a:ext cx="1134341" cy="81395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121227</xdr:colOff>
      <xdr:row>4</xdr:row>
      <xdr:rowOff>121226</xdr:rowOff>
    </xdr:from>
    <xdr:to>
      <xdr:col>11</xdr:col>
      <xdr:colOff>138545</xdr:colOff>
      <xdr:row>11</xdr:row>
      <xdr:rowOff>86589</xdr:rowOff>
    </xdr:to>
    <xdr:graphicFrame macro="">
      <xdr:nvGraphicFramePr>
        <xdr:cNvPr id="16" name="Chart 15">
          <a:extLst>
            <a:ext uri="{FF2B5EF4-FFF2-40B4-BE49-F238E27FC236}">
              <a16:creationId xmlns:a16="http://schemas.microsoft.com/office/drawing/2014/main" id="{71E6CB3A-BEE7-4158-AC16-0D1140F93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4.938920138891" createdVersion="7" refreshedVersion="7" minRefreshableVersion="3" recordCount="1000" xr:uid="{DAFF824D-9DB5-41FA-928E-704F3793B19A}">
  <cacheSource type="worksheet">
    <worksheetSource name="tblMaster"/>
  </cacheSource>
  <cacheFields count="28">
    <cacheField name="Order_ID" numFmtId="0">
      <sharedItems containsSemiMixedTypes="0" containsString="0" containsNumber="1" containsInteger="1" minValue="1" maxValue="1000"/>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acheField>
    <cacheField name="Order_Date" numFmtId="14">
      <sharedItems containsSemiMixedTypes="0" containsNonDate="0" containsDate="1" containsString="0" minDate="2023-01-01T00:00:00" maxDate="2023-12-30T00:00:00"/>
    </cacheField>
    <cacheField name="Order_Time" numFmtId="164">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acheField>
    <cacheField name="Delivery_Time" numFmtId="164">
      <sharedItems containsSemiMixedTypes="0" containsNonDate="0" containsDate="1" containsString="0" minDate="1899-12-30T00:00:30" maxDate="1899-12-30T23:59:54"/>
    </cacheField>
    <cacheField name="Location" numFmtId="0">
      <sharedItems/>
    </cacheField>
    <cacheField name="Occasion" numFmtId="0">
      <sharedItems count="7">
        <s v="Anniversary"/>
        <s v="Diwali"/>
        <s v="Birthday"/>
        <s v="Valentine's Day"/>
        <s v="Raksha Bandhan"/>
        <s v="Holi"/>
        <s v="All Occasions"/>
      </sharedItems>
    </cacheField>
    <cacheField name="City" numFmtId="0">
      <sharedItems count="86">
        <s v="Davanagere"/>
        <s v="Danapur"/>
        <s v="Haridwar"/>
        <s v="Bilaspur"/>
        <s v="Bhubaneswar"/>
        <s v="Pallavaram"/>
        <s v="Madurai"/>
        <s v="Sri Ganganagar"/>
        <s v="Agra"/>
        <s v="Dhanbad"/>
        <s v="North Dumdum"/>
        <s v="Kavali"/>
        <s v="Ajmer"/>
        <s v="Madhyamgram"/>
        <s v="Mangalore"/>
        <s v="Hyderabad"/>
        <s v="Orai"/>
        <s v="Anantapuram"/>
        <s v="Bidhannagar"/>
        <s v="Karaikudi"/>
        <s v="Nizamabad"/>
        <s v="New Delhi"/>
        <s v="Jamnagar"/>
        <s v="Khora "/>
        <s v="Srikakulam"/>
        <s v="Jorhat"/>
        <s v="Tiruppur"/>
        <s v="Imphal"/>
        <s v="Medininagar"/>
        <s v="Anand"/>
        <s v="Malegaon"/>
        <s v="Bhopal"/>
        <s v="Guna"/>
        <s v="Karimnagar"/>
        <s v="Kalyan-Dombivli"/>
        <s v="Sasaram"/>
        <s v="Machilipatnam"/>
        <s v="Panvel"/>
        <s v="Dibrugarh"/>
        <s v="Maheshtala"/>
        <s v="Warangal"/>
        <s v="Panchkula"/>
        <s v="Guntakal"/>
        <s v="Sultan Pur Majra"/>
        <s v="Kolkata"/>
        <s v="Indore"/>
        <s v="Gangtok"/>
        <s v="Delhi"/>
        <s v="Noida"/>
        <s v="Nagpur"/>
        <s v="Kanpur"/>
        <s v="Chinsurah"/>
        <s v="Bharatpur"/>
        <s v="Aizawl"/>
        <s v="Surat"/>
        <s v="Satara"/>
        <s v="Phagwara"/>
        <s v="Kamarhati"/>
        <s v="Ratlam"/>
        <s v="Ahmednagar"/>
        <s v="Aligarh"/>
        <s v="Vellore"/>
        <s v="Raurkela Industrial Township"/>
        <s v="Farrukhabad"/>
        <s v="Sambhal"/>
        <s v="Kota"/>
        <s v="Bhatpara"/>
        <s v="Khandwa"/>
        <s v="Tiruchirappalli"/>
        <s v="Deoghar"/>
        <s v="Berhampore"/>
        <s v="Raipur"/>
        <s v="Serampore"/>
        <s v="Tenali"/>
        <s v="Tumkur"/>
        <s v="Miryalaguda"/>
        <s v="Nellore"/>
        <s v="Cuttack"/>
        <s v="Gaya"/>
        <s v="Bhilai"/>
        <s v="Purnia"/>
        <s v="Kottayam"/>
        <s v="Parbhani"/>
        <s v="Bulandshahr"/>
        <s v="Singrauli"/>
        <s v="Mehsana"/>
      </sharedItems>
    </cacheField>
    <cacheField name="Customer Name" numFmtId="0">
      <sharedItems/>
    </cacheField>
    <cacheField name="Gender" numFmtId="0">
      <sharedItems count="2">
        <s v="Male"/>
        <s v="Female"/>
      </sharedItems>
    </cacheField>
    <cacheField name="Product Name" numFmtId="0">
      <sharedItems count="68">
        <s v="Maiores Box"/>
        <s v="Aut Box"/>
        <s v="Deserunt Box"/>
        <s v="Sed Pack"/>
        <s v="Velit Set"/>
        <s v="Iusto Set"/>
        <s v="Quisquam Pack"/>
        <s v="Architecto Gift"/>
        <s v="Quia Gift"/>
        <s v="Ut Pack"/>
        <s v="Mollitia Set"/>
        <s v="Reiciendis Box"/>
        <s v="Ea Set"/>
        <s v="Dignissimos Pack"/>
        <s v="Sed Set"/>
        <s v="Dolorum Box"/>
        <s v="Fuga Set"/>
        <s v="Non Set"/>
        <s v="Expedita Gift"/>
        <s v="Recusandae Pack"/>
        <s v="Quos Box"/>
        <s v="Aperiam Box"/>
        <s v="Accusantium Gift"/>
        <s v="Quos Set"/>
        <s v="Qui Box"/>
        <s v="Delectus Gift"/>
        <s v="Quas Box"/>
        <s v="Iure Gift"/>
        <s v="Officiis Pack"/>
        <s v="Maiores Gift"/>
        <s v="Occaecati Gift"/>
        <s v="Nam Gift"/>
        <s v="Voluptate Pack"/>
        <s v="Iusto Box"/>
        <s v="Exercitationem Pack"/>
        <s v="Error Gift"/>
        <s v="Natus Gift"/>
        <s v="Cum Gift"/>
        <s v="Fugit Set"/>
        <s v="Dolorum Set"/>
        <s v="Qui Gift"/>
        <s v="Placeat Pack"/>
        <s v="Aliquam Box"/>
        <s v="Nihil Box"/>
        <s v="Accusantium Set"/>
        <s v="Maxime Set"/>
        <s v="Provident Pack"/>
        <s v="Voluptate Set"/>
        <s v="Magnam Set"/>
        <s v="Harum Pack"/>
        <s v="Voluptas Box"/>
        <s v="Repudiandae Box"/>
        <s v="Eius Gift"/>
        <s v="Nemo Set"/>
        <s v="Ad Box"/>
        <s v="Id Box"/>
        <s v="Eligendi Set"/>
        <s v="Voluptatem Box"/>
        <s v="Pariatur Box"/>
        <s v="Earum Set"/>
        <s v="Dolores Gift"/>
        <s v="Nostrum Box"/>
        <s v="Pariatur Set"/>
        <s v="Quas Gift"/>
        <s v="Et Set"/>
        <s v="Ipsam Set"/>
        <s v="In Set"/>
        <s v="Adipisci Set"/>
      </sharedItems>
    </cacheField>
    <cacheField name="Category" numFmtId="0">
      <sharedItems count="7">
        <s v="Raksha Bandhan"/>
        <s v="Sweets"/>
        <s v="Colors"/>
        <s v="Cake"/>
        <s v="Soft Toys"/>
        <s v="Plants"/>
        <s v="Mugs"/>
      </sharedItems>
    </cacheField>
    <cacheField name="Occasion2" numFmtId="0">
      <sharedItems count="7">
        <s v="Anniversary"/>
        <s v="Diwali"/>
        <s v="Birthday"/>
        <s v="Valentine's Day"/>
        <s v="Raksha Bandhan"/>
        <s v="Holi"/>
        <s v="All Occasions"/>
      </sharedItems>
    </cacheField>
    <cacheField name="Price" numFmtId="0">
      <sharedItems containsSemiMixedTypes="0" containsString="0" containsNumber="1" containsInteger="1" minValue="203" maxValue="1977"/>
    </cacheField>
    <cacheField name="Revenue" numFmtId="0">
      <sharedItems containsSemiMixedTypes="0" containsString="0" containsNumber="1" containsInteger="1" minValue="203" maxValue="9885" count="325">
        <n v="6870"/>
        <n v="3954"/>
        <n v="9575"/>
        <n v="2984"/>
        <n v="7112"/>
        <n v="1444"/>
        <n v="2250"/>
        <n v="2192"/>
        <n v="3816"/>
        <n v="6884"/>
        <n v="1686"/>
        <n v="2091"/>
        <n v="827"/>
        <n v="7805"/>
        <n v="1654"/>
        <n v="4392"/>
        <n v="5424"/>
        <n v="236"/>
        <n v="1792"/>
        <n v="750"/>
        <n v="2016"/>
        <n v="5232"/>
        <n v="2253"/>
        <n v="3336"/>
        <n v="3210"/>
        <n v="1295"/>
        <n v="2045"/>
        <n v="756"/>
        <n v="3798"/>
        <n v="610"/>
        <n v="6170"/>
        <n v="4284"/>
        <n v="1500"/>
        <n v="1732"/>
        <n v="4944"/>
        <n v="1865"/>
        <n v="2709"/>
        <n v="1915"/>
        <n v="4050"/>
        <n v="6556"/>
        <n v="7580"/>
        <n v="7908"/>
        <n v="259"/>
        <n v="1605"/>
        <n v="8025"/>
        <n v="751"/>
        <n v="7460"/>
        <n v="9325"/>
        <n v="203"/>
        <n v="5420"/>
        <n v="2888"/>
        <n v="1588"/>
        <n v="4448"/>
        <n v="1202"/>
        <n v="2472"/>
        <n v="518"/>
        <n v="5340"/>
        <n v="2688"/>
        <n v="1899"/>
        <n v="867"/>
        <n v="289"/>
        <n v="5412"/>
        <n v="3790"/>
        <n v="1199"/>
        <n v="3846"/>
        <n v="1548"/>
        <n v="9675"/>
        <n v="2598"/>
        <n v="1638"/>
        <n v="578"/>
        <n v="2205"/>
        <n v="5952"/>
        <n v="7670"/>
        <n v="5931"/>
        <n v="2224"/>
        <n v="3905"/>
        <n v="2140"/>
        <n v="4990"/>
        <n v="3464"/>
        <n v="3606"/>
        <n v="1977"/>
        <n v="252"/>
        <n v="8720"/>
        <n v="777"/>
        <n v="2343"/>
        <n v="3252"/>
        <n v="406"/>
        <n v="3597"/>
        <n v="1156"/>
        <n v="2110"/>
        <n v="5805"/>
        <n v="7692"/>
        <n v="1582"/>
        <n v="2433"/>
        <n v="1356"/>
        <n v="810"/>
        <n v="942"/>
        <n v="2675"/>
        <n v="562"/>
        <n v="5496"/>
        <n v="3608"/>
        <n v="3308"/>
        <n v="2748"/>
        <n v="3612"/>
        <n v="3750"/>
        <n v="1502"/>
        <n v="1272"/>
        <n v="3276"/>
        <n v="6328"/>
        <n v="2196"/>
        <n v="1220"/>
        <n v="4055"/>
        <n v="1180"/>
        <n v="1008"/>
        <n v="4332"/>
        <n v="2740"/>
        <n v="2168"/>
        <n v="3610"/>
        <n v="3294"/>
        <n v="1620"/>
        <n v="5595"/>
        <n v="3730"/>
        <n v="609"/>
        <n v="4476"/>
        <n v="5712"/>
        <n v="9615"/>
        <n v="3068"/>
        <n v="3584"/>
        <n v="3708"/>
        <n v="1804"/>
        <n v="4914"/>
        <n v="3808"/>
        <n v="1036"/>
        <n v="441"/>
        <n v="1299"/>
        <n v="708"/>
        <n v="781"/>
        <n v="4515"/>
        <n v="8195"/>
        <n v="4135"/>
        <n v="9390"/>
        <n v="6976"/>
        <n v="5968"/>
        <n v="1070"/>
        <n v="4330"/>
        <n v="5490"/>
        <n v="7616"/>
        <n v="1015"/>
        <n v="1791"/>
        <n v="7168"/>
        <n v="9020"/>
        <n v="818"/>
        <n v="3423"/>
        <n v="1098"/>
        <n v="6688"/>
        <n v="7216"/>
        <n v="8605"/>
        <n v="5560"/>
        <n v="1806"/>
        <n v="1335"/>
        <n v="3830"/>
        <n v="5634"/>
        <n v="5334"/>
        <n v="7512"/>
        <n v="1744"/>
        <n v="2544"/>
        <n v="1904"/>
        <n v="1644"/>
        <n v="7220"/>
        <n v="1394"/>
        <n v="1561"/>
        <n v="1534"/>
        <n v="5685"/>
        <n v="1266"/>
        <n v="7140"/>
        <n v="1636"/>
        <n v="1996"/>
        <n v="1194"/>
        <n v="5995"/>
        <n v="4683"/>
        <n v="1492"/>
        <n v="672"/>
        <n v="9885"/>
        <n v="1252"/>
        <n v="2976"/>
        <n v="6675"/>
        <n v="3870"/>
        <n v="3702"/>
        <n v="4464"/>
        <n v="2670"/>
        <n v="3004"/>
        <n v="2994"/>
        <n v="1236"/>
        <n v="7740"/>
        <n v="1445"/>
        <n v="1260"/>
        <n v="1639"/>
        <n v="4808"/>
        <n v="4122"/>
        <n v="774"/>
        <n v="3000"/>
        <n v="3756"/>
        <n v="1878"/>
        <n v="1141"/>
        <n v="3360"/>
        <n v="1488"/>
        <n v="4005"/>
        <n v="1084"/>
        <n v="5697"/>
        <n v="1622"/>
        <n v="3485"/>
        <n v="1672"/>
        <n v="1830"/>
        <n v="8890"/>
        <n v="422"/>
        <n v="3176"/>
        <n v="1935"/>
        <n v="1778"/>
        <n v="5705"/>
        <n v="6552"/>
        <n v="4602"/>
        <n v="8190"/>
        <n v="4044"/>
        <n v="758"/>
        <n v="535"/>
        <n v="1428"/>
        <n v="1688"/>
        <n v="5776"/>
        <n v="2504"/>
        <n v="2398"/>
        <n v="9495"/>
        <n v="2810"/>
        <n v="597"/>
        <n v="2166"/>
        <n v="903"/>
        <n v="433"/>
        <n v="7660"/>
        <n v="2248"/>
        <n v="3344"/>
        <n v="1234"/>
        <n v="882"/>
        <n v="2165"/>
        <n v="1096"/>
        <n v="4336"/>
        <n v="4564"/>
        <n v="2481"/>
        <n v="3755"/>
        <n v="1570"/>
        <n v="1721"/>
        <n v="628"/>
        <n v="1344"/>
        <n v="9520"/>
        <n v="4917"/>
        <n v="1516"/>
        <n v="1256"/>
        <n v="5480"/>
        <n v="6244"/>
        <n v="697"/>
        <n v="4384"/>
        <n v="4936"/>
        <n v="811"/>
        <n v="998"/>
        <n v="6180"/>
        <n v="3278"/>
        <n v="944"/>
        <n v="722"/>
        <n v="3442"/>
        <n v="5745"/>
        <n v="2404"/>
        <n v="6260"/>
        <n v="1374"/>
        <n v="5008"/>
        <n v="5088"/>
        <n v="1923"/>
        <n v="1112"/>
        <n v="6010"/>
        <n v="2788"/>
        <n v="3124"/>
        <n v="1562"/>
        <n v="6136"/>
        <n v="6740"/>
        <n v="5769"/>
        <n v="1161"/>
        <n v="3556"/>
        <n v="3970"/>
        <n v="4796"/>
        <n v="2856"/>
        <n v="8360"/>
        <n v="4746"/>
        <n v="387"/>
        <n v="5376"/>
        <n v="3122"/>
        <n v="7596"/>
        <n v="6780"/>
        <n v="2382"/>
        <n v="2985"/>
        <n v="3032"/>
        <n v="2440"/>
        <n v="866"/>
        <n v="409"/>
        <n v="4068"/>
        <n v="9475"/>
        <n v="2696"/>
        <n v="472"/>
        <n v="794"/>
        <n v="1323"/>
        <n v="2282"/>
        <n v="3240"/>
        <n v="5016"/>
        <n v="8960"/>
        <n v="2430"/>
        <n v="6360"/>
        <n v="7910"/>
        <n v="1348"/>
        <n v="7440"/>
        <n v="812"/>
        <n v="3488"/>
        <n v="1764"/>
        <n v="6420"/>
        <n v="2468"/>
        <n v="5163"/>
        <n v="2388"/>
        <n v="2712"/>
        <n v="1895"/>
        <n v="3164"/>
      </sharedItems>
    </cacheField>
    <cacheField name="Estimated Cost (at 70%) " numFmtId="0">
      <sharedItems containsSemiMixedTypes="0" containsString="0" containsNumber="1" minValue="142.1" maxValue="6919.4999999999991"/>
    </cacheField>
    <cacheField name="Profit" numFmtId="0">
      <sharedItems containsSemiMixedTypes="0" containsString="0" containsNumber="1" minValue="60.900000000000006" maxValue="2965.5000000000009"/>
    </cacheField>
    <cacheField name="Profit Margin" numFmtId="0">
      <sharedItems containsSemiMixedTypes="0" containsString="0" containsNumber="1" minValue="0.3" maxValue="0.30000000000000016"/>
    </cacheField>
    <cacheField name="Delivery Time" numFmtId="0">
      <sharedItems containsSemiMixedTypes="0" containsString="0" containsNumber="1" containsInteger="1" minValue="1" maxValue="10"/>
    </cacheField>
    <cacheField name="Month" numFmtId="0">
      <sharedItems count="12">
        <s v="February"/>
        <s v="November"/>
        <s v="July"/>
        <s v="August"/>
        <s v="May"/>
        <s v="March"/>
        <s v="December"/>
        <s v="September"/>
        <s v="January"/>
        <s v="April"/>
        <s v="October"/>
        <s v="June"/>
      </sharedItems>
    </cacheField>
    <cacheField name="Month Number" numFmtId="0">
      <sharedItems containsSemiMixedTypes="0" containsString="0" containsNumber="1" containsInteger="1" minValue="1" maxValue="12"/>
    </cacheField>
    <cacheField name="Quarter" numFmtId="0">
      <sharedItems/>
    </cacheField>
    <cacheField name="Year" numFmtId="0">
      <sharedItems containsSemiMixedTypes="0" containsString="0" containsNumber="1" containsInteger="1" minValue="2023" maxValue="2023"/>
    </cacheField>
    <cacheField name="Day of Week" numFmtId="0">
      <sharedItems count="7">
        <s v="Tuesday"/>
        <s v="Saturday"/>
        <s v="Wednesday"/>
        <s v="Friday"/>
        <s v="Sunday"/>
        <s v="Thursday"/>
        <s v="Monday"/>
      </sharedItems>
    </cacheField>
    <cacheField name="Order Value Category" numFmtId="0">
      <sharedItems count="3">
        <s v="High"/>
        <s v="Medium"/>
        <s v="Low"/>
      </sharedItems>
    </cacheField>
  </cacheFields>
  <extLst>
    <ext xmlns:x14="http://schemas.microsoft.com/office/spreadsheetml/2009/9/main" uri="{725AE2AE-9491-48be-B2B4-4EB974FC3084}">
      <x14:pivotCacheDefinition pivotCacheId="1939067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037"/>
    <n v="67"/>
    <n v="5"/>
    <d v="2023-02-24T00:00:00"/>
    <d v="1899-12-30T23:48:13"/>
    <d v="2023-03-05T00:00:00"/>
    <d v="1899-12-30T07:27:10"/>
    <s v="Bardhaman"/>
    <x v="0"/>
    <x v="0"/>
    <s v="Aradhya Kumar"/>
    <x v="0"/>
    <x v="0"/>
    <x v="0"/>
    <x v="0"/>
    <n v="1374"/>
    <x v="0"/>
    <n v="4809"/>
    <n v="2061"/>
    <n v="0.3"/>
    <n v="9"/>
    <x v="0"/>
    <n v="2"/>
    <s v="Q1"/>
    <n v="2023"/>
    <x v="0"/>
    <x v="0"/>
  </r>
  <r>
    <n v="2"/>
    <s v="C019"/>
    <n v="41"/>
    <n v="2"/>
    <d v="2023-11-07T00:00:00"/>
    <d v="1899-12-30T23:30:18"/>
    <d v="2023-11-13T00:00:00"/>
    <d v="1899-12-30T07:16:17"/>
    <s v="Jaipur"/>
    <x v="1"/>
    <x v="1"/>
    <s v="Amira Sengupta"/>
    <x v="0"/>
    <x v="1"/>
    <x v="1"/>
    <x v="1"/>
    <n v="1977"/>
    <x v="1"/>
    <n v="2767.7999999999997"/>
    <n v="1186.2000000000003"/>
    <n v="0.30000000000000004"/>
    <n v="6"/>
    <x v="1"/>
    <n v="11"/>
    <s v="Q4"/>
    <n v="2023"/>
    <x v="1"/>
    <x v="1"/>
  </r>
  <r>
    <n v="3"/>
    <s v="C029"/>
    <n v="67"/>
    <n v="5"/>
    <d v="2023-07-14T00:00:00"/>
    <d v="1899-12-30T19:12:03"/>
    <d v="2023-07-19T00:00:00"/>
    <d v="1899-12-30T17:39:00"/>
    <s v="Bilaspur"/>
    <x v="0"/>
    <x v="2"/>
    <s v="Badal Sathe"/>
    <x v="1"/>
    <x v="0"/>
    <x v="0"/>
    <x v="0"/>
    <n v="1374"/>
    <x v="0"/>
    <n v="4809"/>
    <n v="2061"/>
    <n v="0.3"/>
    <n v="5"/>
    <x v="2"/>
    <n v="7"/>
    <s v="Q3"/>
    <n v="2023"/>
    <x v="1"/>
    <x v="0"/>
  </r>
  <r>
    <n v="4"/>
    <s v="C012"/>
    <n v="14"/>
    <n v="5"/>
    <d v="2023-07-10T00:00:00"/>
    <d v="1899-12-30T04:44:29"/>
    <d v="2023-07-19T00:00:00"/>
    <d v="1899-12-30T06:33:23"/>
    <s v="Guwahati"/>
    <x v="2"/>
    <x v="3"/>
    <s v="Onkar Mangat"/>
    <x v="0"/>
    <x v="2"/>
    <x v="2"/>
    <x v="2"/>
    <n v="1915"/>
    <x v="2"/>
    <n v="6702.5"/>
    <n v="2872.5"/>
    <n v="0.3"/>
    <n v="9"/>
    <x v="2"/>
    <n v="7"/>
    <s v="Q3"/>
    <n v="2023"/>
    <x v="0"/>
    <x v="0"/>
  </r>
  <r>
    <n v="5"/>
    <s v="C078"/>
    <n v="58"/>
    <n v="2"/>
    <d v="2023-02-11T00:00:00"/>
    <d v="1899-12-30T19:44:48"/>
    <d v="2023-02-18T00:00:00"/>
    <d v="1899-12-30T11:08:52"/>
    <s v="Rajkot"/>
    <x v="3"/>
    <x v="4"/>
    <s v="Jivika Rajan"/>
    <x v="1"/>
    <x v="3"/>
    <x v="3"/>
    <x v="3"/>
    <n v="1492"/>
    <x v="3"/>
    <n v="2088.7999999999997"/>
    <n v="895.20000000000027"/>
    <n v="0.3000000000000001"/>
    <n v="7"/>
    <x v="0"/>
    <n v="2"/>
    <s v="Q1"/>
    <n v="2023"/>
    <x v="2"/>
    <x v="1"/>
  </r>
  <r>
    <n v="6"/>
    <s v="C040"/>
    <n v="28"/>
    <n v="4"/>
    <d v="2023-08-20T00:00:00"/>
    <d v="1899-12-30T22:11:35"/>
    <d v="2023-08-26T00:00:00"/>
    <d v="1899-12-30T19:06:46"/>
    <s v="Sirsa"/>
    <x v="4"/>
    <x v="5"/>
    <s v="Hazel Mangat"/>
    <x v="1"/>
    <x v="4"/>
    <x v="1"/>
    <x v="4"/>
    <n v="1778"/>
    <x v="4"/>
    <n v="4978.3999999999996"/>
    <n v="2133.6000000000004"/>
    <n v="0.30000000000000004"/>
    <n v="6"/>
    <x v="3"/>
    <n v="8"/>
    <s v="Q3"/>
    <n v="2023"/>
    <x v="3"/>
    <x v="0"/>
  </r>
  <r>
    <n v="7"/>
    <s v="C009"/>
    <n v="45"/>
    <n v="2"/>
    <d v="2023-05-08T00:00:00"/>
    <d v="1899-12-30T01:45:13"/>
    <d v="2023-05-13T00:00:00"/>
    <d v="1899-12-30T10:07:17"/>
    <s v="Nanded"/>
    <x v="2"/>
    <x v="6"/>
    <s v="Ritvik Borah"/>
    <x v="1"/>
    <x v="5"/>
    <x v="0"/>
    <x v="2"/>
    <n v="722"/>
    <x v="5"/>
    <n v="1010.8"/>
    <n v="433.20000000000005"/>
    <n v="0.30000000000000004"/>
    <n v="5"/>
    <x v="4"/>
    <n v="5"/>
    <s v="Q2"/>
    <n v="2023"/>
    <x v="4"/>
    <x v="2"/>
  </r>
  <r>
    <n v="8"/>
    <s v="C097"/>
    <n v="43"/>
    <n v="3"/>
    <d v="2023-11-08T00:00:00"/>
    <d v="1899-12-30T19:20:02"/>
    <d v="2023-11-14T00:00:00"/>
    <d v="1899-12-30T08:44:45"/>
    <s v="Morena"/>
    <x v="1"/>
    <x v="7"/>
    <s v="Nakul Randhawa"/>
    <x v="1"/>
    <x v="6"/>
    <x v="0"/>
    <x v="1"/>
    <n v="750"/>
    <x v="6"/>
    <n v="1575"/>
    <n v="675"/>
    <n v="0.3"/>
    <n v="6"/>
    <x v="1"/>
    <n v="11"/>
    <s v="Q4"/>
    <n v="2023"/>
    <x v="4"/>
    <x v="1"/>
  </r>
  <r>
    <n v="9"/>
    <s v="C044"/>
    <n v="27"/>
    <n v="4"/>
    <d v="2023-08-20T00:00:00"/>
    <d v="1899-12-30T23:39:51"/>
    <d v="2023-08-29T00:00:00"/>
    <d v="1899-12-30T23:59:54"/>
    <s v="Rajkot"/>
    <x v="4"/>
    <x v="8"/>
    <s v="Seher Mann"/>
    <x v="0"/>
    <x v="7"/>
    <x v="3"/>
    <x v="4"/>
    <n v="548"/>
    <x v="7"/>
    <n v="1534.3999999999999"/>
    <n v="657.60000000000014"/>
    <n v="0.30000000000000004"/>
    <n v="9"/>
    <x v="3"/>
    <n v="8"/>
    <s v="Q3"/>
    <n v="2023"/>
    <x v="3"/>
    <x v="1"/>
  </r>
  <r>
    <n v="10"/>
    <s v="C099"/>
    <n v="56"/>
    <n v="3"/>
    <d v="2023-02-26T00:00:00"/>
    <d v="1899-12-30T00:17:26"/>
    <d v="2023-03-08T00:00:00"/>
    <d v="1899-12-30T20:47:43"/>
    <s v="Ambala"/>
    <x v="0"/>
    <x v="9"/>
    <s v="Ranbir Loyal"/>
    <x v="1"/>
    <x v="8"/>
    <x v="0"/>
    <x v="0"/>
    <n v="1272"/>
    <x v="8"/>
    <n v="2671.2"/>
    <n v="1144.8000000000002"/>
    <n v="0.30000000000000004"/>
    <n v="10"/>
    <x v="0"/>
    <n v="2"/>
    <s v="Q1"/>
    <n v="2023"/>
    <x v="5"/>
    <x v="1"/>
  </r>
  <r>
    <n v="11"/>
    <s v="C065"/>
    <n v="16"/>
    <n v="4"/>
    <d v="2023-03-02T00:00:00"/>
    <d v="1899-12-30T20:14:55"/>
    <d v="2023-03-03T00:00:00"/>
    <d v="1899-12-30T23:19:47"/>
    <s v="Belgaum"/>
    <x v="5"/>
    <x v="10"/>
    <s v="Badal Vora"/>
    <x v="0"/>
    <x v="9"/>
    <x v="1"/>
    <x v="5"/>
    <n v="1721"/>
    <x v="9"/>
    <n v="4818.7999999999993"/>
    <n v="2065.2000000000007"/>
    <n v="0.3000000000000001"/>
    <n v="1"/>
    <x v="5"/>
    <n v="3"/>
    <s v="Q1"/>
    <n v="2023"/>
    <x v="6"/>
    <x v="0"/>
  </r>
  <r>
    <n v="12"/>
    <s v="C097"/>
    <n v="38"/>
    <n v="3"/>
    <d v="2023-07-12T00:00:00"/>
    <d v="1899-12-30T08:28:56"/>
    <d v="2023-07-20T00:00:00"/>
    <d v="1899-12-30T23:34:57"/>
    <s v="Karnal"/>
    <x v="2"/>
    <x v="7"/>
    <s v="Nakul Randhawa"/>
    <x v="1"/>
    <x v="10"/>
    <x v="3"/>
    <x v="2"/>
    <n v="562"/>
    <x v="10"/>
    <n v="1180.1999999999998"/>
    <n v="505.80000000000018"/>
    <n v="0.3000000000000001"/>
    <n v="8"/>
    <x v="2"/>
    <n v="7"/>
    <s v="Q3"/>
    <n v="2023"/>
    <x v="5"/>
    <x v="2"/>
  </r>
  <r>
    <n v="13"/>
    <s v="C024"/>
    <n v="20"/>
    <n v="3"/>
    <d v="2023-02-24T00:00:00"/>
    <d v="1899-12-30T16:47:16"/>
    <d v="2023-03-04T00:00:00"/>
    <d v="1899-12-30T02:27:37"/>
    <s v="Gandhidham"/>
    <x v="0"/>
    <x v="11"/>
    <s v="Jhanvi Chowdhury"/>
    <x v="1"/>
    <x v="11"/>
    <x v="2"/>
    <x v="0"/>
    <n v="697"/>
    <x v="11"/>
    <n v="1463.6999999999998"/>
    <n v="627.30000000000018"/>
    <n v="0.3000000000000001"/>
    <n v="8"/>
    <x v="0"/>
    <n v="2"/>
    <s v="Q1"/>
    <n v="2023"/>
    <x v="0"/>
    <x v="1"/>
  </r>
  <r>
    <n v="14"/>
    <s v="C042"/>
    <n v="60"/>
    <n v="1"/>
    <d v="2023-11-08T00:00:00"/>
    <d v="1899-12-30T03:46:06"/>
    <d v="2023-11-15T00:00:00"/>
    <d v="1899-12-30T12:08:02"/>
    <s v="Bilaspur"/>
    <x v="1"/>
    <x v="12"/>
    <s v="Eshani Sharma"/>
    <x v="0"/>
    <x v="12"/>
    <x v="1"/>
    <x v="1"/>
    <n v="827"/>
    <x v="12"/>
    <n v="578.9"/>
    <n v="248.10000000000002"/>
    <n v="0.30000000000000004"/>
    <n v="7"/>
    <x v="1"/>
    <n v="11"/>
    <s v="Q4"/>
    <n v="2023"/>
    <x v="4"/>
    <x v="2"/>
  </r>
  <r>
    <n v="15"/>
    <s v="C069"/>
    <n v="21"/>
    <n v="5"/>
    <d v="2023-08-26T00:00:00"/>
    <d v="1899-12-30T02:52:39"/>
    <d v="2023-08-30T00:00:00"/>
    <d v="1899-12-30T13:26:45"/>
    <s v="Pune"/>
    <x v="4"/>
    <x v="13"/>
    <s v="Hunar Tripathi"/>
    <x v="1"/>
    <x v="8"/>
    <x v="2"/>
    <x v="4"/>
    <n v="1561"/>
    <x v="13"/>
    <n v="5463.4999999999991"/>
    <n v="2341.5000000000009"/>
    <n v="0.3000000000000001"/>
    <n v="4"/>
    <x v="3"/>
    <n v="8"/>
    <s v="Q3"/>
    <n v="2023"/>
    <x v="5"/>
    <x v="0"/>
  </r>
  <r>
    <n v="16"/>
    <s v="C013"/>
    <n v="20"/>
    <n v="3"/>
    <d v="2023-02-16T00:00:00"/>
    <d v="1899-12-30T15:06:11"/>
    <d v="2023-02-20T00:00:00"/>
    <d v="1899-12-30T22:14:21"/>
    <s v="Khammam"/>
    <x v="0"/>
    <x v="14"/>
    <s v="Manikya Goswami"/>
    <x v="1"/>
    <x v="11"/>
    <x v="2"/>
    <x v="0"/>
    <n v="697"/>
    <x v="11"/>
    <n v="1463.6999999999998"/>
    <n v="627.30000000000018"/>
    <n v="0.3000000000000001"/>
    <n v="4"/>
    <x v="0"/>
    <n v="2"/>
    <s v="Q1"/>
    <n v="2023"/>
    <x v="6"/>
    <x v="1"/>
  </r>
  <r>
    <n v="17"/>
    <s v="C056"/>
    <n v="60"/>
    <n v="2"/>
    <d v="2023-11-04T00:00:00"/>
    <d v="1899-12-30T11:31:33"/>
    <d v="2023-11-13T00:00:00"/>
    <d v="1899-12-30T18:40:13"/>
    <s v="Kota"/>
    <x v="1"/>
    <x v="2"/>
    <s v="Pihu Choudhury"/>
    <x v="0"/>
    <x v="12"/>
    <x v="1"/>
    <x v="1"/>
    <n v="827"/>
    <x v="14"/>
    <n v="1157.8"/>
    <n v="496.20000000000005"/>
    <n v="0.30000000000000004"/>
    <n v="9"/>
    <x v="1"/>
    <n v="11"/>
    <s v="Q4"/>
    <n v="2023"/>
    <x v="2"/>
    <x v="2"/>
  </r>
  <r>
    <n v="18"/>
    <s v="C072"/>
    <n v="23"/>
    <n v="4"/>
    <d v="2023-12-10T00:00:00"/>
    <d v="1899-12-30T10:46:15"/>
    <d v="2023-12-11T00:00:00"/>
    <d v="1899-12-30T00:20:29"/>
    <s v="Moradabad"/>
    <x v="0"/>
    <x v="15"/>
    <s v="Charvi Karnik"/>
    <x v="0"/>
    <x v="13"/>
    <x v="1"/>
    <x v="0"/>
    <n v="1098"/>
    <x v="15"/>
    <n v="3074.3999999999996"/>
    <n v="1317.6000000000004"/>
    <n v="0.3000000000000001"/>
    <n v="1"/>
    <x v="6"/>
    <n v="12"/>
    <s v="Q4"/>
    <n v="2023"/>
    <x v="0"/>
    <x v="1"/>
  </r>
  <r>
    <n v="19"/>
    <s v="C072"/>
    <n v="62"/>
    <n v="4"/>
    <d v="2023-03-07T00:00:00"/>
    <d v="1899-12-30T07:59:48"/>
    <d v="2023-03-08T00:00:00"/>
    <d v="1899-12-30T03:04:34"/>
    <s v="Vijayanagaram"/>
    <x v="5"/>
    <x v="15"/>
    <s v="Charvi Karnik"/>
    <x v="0"/>
    <x v="14"/>
    <x v="2"/>
    <x v="5"/>
    <n v="1356"/>
    <x v="16"/>
    <n v="3796.7999999999997"/>
    <n v="1627.2000000000003"/>
    <n v="0.30000000000000004"/>
    <n v="1"/>
    <x v="5"/>
    <n v="3"/>
    <s v="Q1"/>
    <n v="2023"/>
    <x v="1"/>
    <x v="0"/>
  </r>
  <r>
    <n v="20"/>
    <s v="C011"/>
    <n v="52"/>
    <n v="1"/>
    <d v="2023-02-11T00:00:00"/>
    <d v="1899-12-30T14:36:57"/>
    <d v="2023-02-14T00:00:00"/>
    <d v="1899-12-30T01:34:16"/>
    <s v="Madurai"/>
    <x v="3"/>
    <x v="16"/>
    <s v="Lagan Kapoor"/>
    <x v="1"/>
    <x v="15"/>
    <x v="0"/>
    <x v="3"/>
    <n v="236"/>
    <x v="17"/>
    <n v="165.2"/>
    <n v="70.800000000000011"/>
    <n v="0.30000000000000004"/>
    <n v="3"/>
    <x v="0"/>
    <n v="2"/>
    <s v="Q1"/>
    <n v="2023"/>
    <x v="2"/>
    <x v="2"/>
  </r>
  <r>
    <n v="21"/>
    <s v="C090"/>
    <n v="32"/>
    <n v="1"/>
    <d v="2023-02-09T00:00:00"/>
    <d v="1899-12-30T11:20:52"/>
    <d v="2023-02-12T00:00:00"/>
    <d v="1899-12-30T11:36:26"/>
    <s v="Bathinda"/>
    <x v="2"/>
    <x v="17"/>
    <s v="Drishya De"/>
    <x v="1"/>
    <x v="16"/>
    <x v="4"/>
    <x v="2"/>
    <n v="1792"/>
    <x v="18"/>
    <n v="1254.3999999999999"/>
    <n v="537.60000000000014"/>
    <n v="0.3000000000000001"/>
    <n v="3"/>
    <x v="0"/>
    <n v="2"/>
    <s v="Q1"/>
    <n v="2023"/>
    <x v="6"/>
    <x v="2"/>
  </r>
  <r>
    <n v="22"/>
    <s v="C054"/>
    <n v="43"/>
    <n v="1"/>
    <d v="2023-11-09T00:00:00"/>
    <d v="1899-12-30T01:05:28"/>
    <d v="2023-11-14T00:00:00"/>
    <d v="1899-12-30T09:49:47"/>
    <s v="Tenali"/>
    <x v="1"/>
    <x v="18"/>
    <s v="Umang Ahuja"/>
    <x v="1"/>
    <x v="6"/>
    <x v="0"/>
    <x v="1"/>
    <n v="750"/>
    <x v="19"/>
    <n v="525"/>
    <n v="225"/>
    <n v="0.3"/>
    <n v="5"/>
    <x v="1"/>
    <n v="11"/>
    <s v="Q4"/>
    <n v="2023"/>
    <x v="6"/>
    <x v="2"/>
  </r>
  <r>
    <n v="23"/>
    <s v="C041"/>
    <n v="12"/>
    <n v="3"/>
    <d v="2023-05-05T00:00:00"/>
    <d v="1899-12-30T05:28:33"/>
    <d v="2023-05-06T00:00:00"/>
    <d v="1899-12-30T12:12:24"/>
    <s v="Ludhiana"/>
    <x v="0"/>
    <x v="19"/>
    <s v="Rati Dhingra"/>
    <x v="0"/>
    <x v="17"/>
    <x v="5"/>
    <x v="0"/>
    <n v="672"/>
    <x v="20"/>
    <n v="1411.1999999999998"/>
    <n v="604.80000000000018"/>
    <n v="0.3000000000000001"/>
    <n v="1"/>
    <x v="4"/>
    <n v="5"/>
    <s v="Q2"/>
    <n v="2023"/>
    <x v="5"/>
    <x v="1"/>
  </r>
  <r>
    <n v="24"/>
    <s v="C018"/>
    <n v="42"/>
    <n v="3"/>
    <d v="2023-07-25T00:00:00"/>
    <d v="1899-12-30T05:10:42"/>
    <d v="2023-08-03T00:00:00"/>
    <d v="1899-12-30T07:57:35"/>
    <s v="Durg"/>
    <x v="6"/>
    <x v="20"/>
    <s v="Eva Vaidya"/>
    <x v="0"/>
    <x v="18"/>
    <x v="1"/>
    <x v="6"/>
    <n v="1744"/>
    <x v="21"/>
    <n v="3662.3999999999996"/>
    <n v="1569.6000000000004"/>
    <n v="0.30000000000000004"/>
    <n v="9"/>
    <x v="2"/>
    <n v="7"/>
    <s v="Q3"/>
    <n v="2023"/>
    <x v="2"/>
    <x v="0"/>
  </r>
  <r>
    <n v="25"/>
    <s v="C091"/>
    <n v="30"/>
    <n v="3"/>
    <d v="2023-07-21T00:00:00"/>
    <d v="1899-12-30T10:46:57"/>
    <d v="2023-07-24T00:00:00"/>
    <d v="1899-12-30T14:28:42"/>
    <s v="Panipat"/>
    <x v="0"/>
    <x v="21"/>
    <s v="Adira Rajan"/>
    <x v="1"/>
    <x v="19"/>
    <x v="2"/>
    <x v="0"/>
    <n v="751"/>
    <x v="22"/>
    <n v="1577.1"/>
    <n v="675.90000000000009"/>
    <n v="0.30000000000000004"/>
    <n v="3"/>
    <x v="2"/>
    <n v="7"/>
    <s v="Q3"/>
    <n v="2023"/>
    <x v="1"/>
    <x v="1"/>
  </r>
  <r>
    <n v="26"/>
    <s v="C040"/>
    <n v="6"/>
    <n v="3"/>
    <d v="2023-03-06T00:00:00"/>
    <d v="1899-12-30T05:03:06"/>
    <d v="2023-03-12T00:00:00"/>
    <d v="1899-12-30T06:06:11"/>
    <s v="Amroha"/>
    <x v="5"/>
    <x v="5"/>
    <s v="Hazel Mangat"/>
    <x v="1"/>
    <x v="20"/>
    <x v="3"/>
    <x v="5"/>
    <n v="1112"/>
    <x v="23"/>
    <n v="2335.1999999999998"/>
    <n v="1000.8000000000002"/>
    <n v="0.30000000000000004"/>
    <n v="6"/>
    <x v="5"/>
    <n v="3"/>
    <s v="Q1"/>
    <n v="2023"/>
    <x v="3"/>
    <x v="1"/>
  </r>
  <r>
    <n v="27"/>
    <s v="C063"/>
    <n v="9"/>
    <n v="2"/>
    <d v="2023-08-22T00:00:00"/>
    <d v="1899-12-30T11:16:28"/>
    <d v="2023-08-30T00:00:00"/>
    <d v="1899-12-30T07:59:12"/>
    <s v="Raipur"/>
    <x v="4"/>
    <x v="22"/>
    <s v="Arhaan Ahluwalia"/>
    <x v="0"/>
    <x v="21"/>
    <x v="2"/>
    <x v="4"/>
    <n v="1605"/>
    <x v="24"/>
    <n v="2247"/>
    <n v="963"/>
    <n v="0.3"/>
    <n v="8"/>
    <x v="3"/>
    <n v="8"/>
    <s v="Q3"/>
    <n v="2023"/>
    <x v="4"/>
    <x v="1"/>
  </r>
  <r>
    <n v="28"/>
    <s v="C088"/>
    <n v="42"/>
    <n v="3"/>
    <d v="2023-05-05T00:00:00"/>
    <d v="1899-12-30T03:25:25"/>
    <d v="2023-05-10T00:00:00"/>
    <d v="1899-12-30T07:55:04"/>
    <s v="Guwahati"/>
    <x v="6"/>
    <x v="23"/>
    <s v="Shalv Kulkarni"/>
    <x v="1"/>
    <x v="18"/>
    <x v="1"/>
    <x v="6"/>
    <n v="1744"/>
    <x v="21"/>
    <n v="3662.3999999999996"/>
    <n v="1569.6000000000004"/>
    <n v="0.30000000000000004"/>
    <n v="5"/>
    <x v="4"/>
    <n v="5"/>
    <s v="Q2"/>
    <n v="2023"/>
    <x v="5"/>
    <x v="0"/>
  </r>
  <r>
    <n v="29"/>
    <s v="C064"/>
    <n v="10"/>
    <n v="5"/>
    <d v="2023-09-22T00:00:00"/>
    <d v="1899-12-30T01:06:22"/>
    <d v="2023-10-01T00:00:00"/>
    <d v="1899-12-30T14:29:16"/>
    <s v="Kollam"/>
    <x v="2"/>
    <x v="24"/>
    <s v="Indrajit Kale"/>
    <x v="0"/>
    <x v="22"/>
    <x v="3"/>
    <x v="2"/>
    <n v="259"/>
    <x v="25"/>
    <n v="906.49999999999989"/>
    <n v="388.50000000000011"/>
    <n v="0.3000000000000001"/>
    <n v="9"/>
    <x v="7"/>
    <n v="9"/>
    <s v="Q3"/>
    <n v="2023"/>
    <x v="4"/>
    <x v="2"/>
  </r>
  <r>
    <n v="30"/>
    <s v="C044"/>
    <n v="23"/>
    <n v="4"/>
    <d v="2023-01-13T00:00:00"/>
    <d v="1899-12-30T09:23:33"/>
    <d v="2023-01-15T00:00:00"/>
    <d v="1899-12-30T13:36:58"/>
    <s v="Bulandshahr"/>
    <x v="0"/>
    <x v="8"/>
    <s v="Seher Mann"/>
    <x v="0"/>
    <x v="13"/>
    <x v="1"/>
    <x v="0"/>
    <n v="1098"/>
    <x v="15"/>
    <n v="3074.3999999999996"/>
    <n v="1317.6000000000004"/>
    <n v="0.3000000000000001"/>
    <n v="2"/>
    <x v="8"/>
    <n v="1"/>
    <s v="Q1"/>
    <n v="2023"/>
    <x v="3"/>
    <x v="1"/>
  </r>
  <r>
    <n v="31"/>
    <s v="C029"/>
    <n v="7"/>
    <n v="5"/>
    <d v="2023-02-28T00:00:00"/>
    <d v="1899-12-30T13:13:22"/>
    <d v="2023-03-03T00:00:00"/>
    <d v="1899-12-30T23:35:49"/>
    <s v="Nandyal"/>
    <x v="5"/>
    <x v="2"/>
    <s v="Badal Sathe"/>
    <x v="1"/>
    <x v="23"/>
    <x v="4"/>
    <x v="5"/>
    <n v="409"/>
    <x v="26"/>
    <n v="1431.4999999999998"/>
    <n v="613.50000000000023"/>
    <n v="0.3000000000000001"/>
    <n v="3"/>
    <x v="0"/>
    <n v="2"/>
    <s v="Q1"/>
    <n v="2023"/>
    <x v="1"/>
    <x v="1"/>
  </r>
  <r>
    <n v="32"/>
    <s v="C065"/>
    <n v="7"/>
    <n v="5"/>
    <d v="2023-03-04T00:00:00"/>
    <d v="1899-12-30T15:36:41"/>
    <d v="2023-03-05T00:00:00"/>
    <d v="1899-12-30T15:54:10"/>
    <s v="Pudukkottai"/>
    <x v="5"/>
    <x v="10"/>
    <s v="Badal Vora"/>
    <x v="0"/>
    <x v="23"/>
    <x v="4"/>
    <x v="5"/>
    <n v="409"/>
    <x v="26"/>
    <n v="1431.4999999999998"/>
    <n v="613.50000000000023"/>
    <n v="0.3000000000000001"/>
    <n v="1"/>
    <x v="5"/>
    <n v="3"/>
    <s v="Q1"/>
    <n v="2023"/>
    <x v="2"/>
    <x v="1"/>
  </r>
  <r>
    <n v="33"/>
    <s v="C047"/>
    <n v="8"/>
    <n v="3"/>
    <d v="2023-04-15T00:00:00"/>
    <d v="1899-12-30T01:37:27"/>
    <d v="2023-04-25T00:00:00"/>
    <d v="1899-12-30T02:13:27"/>
    <s v="Amroha"/>
    <x v="0"/>
    <x v="25"/>
    <s v="Bhamini Ravi"/>
    <x v="0"/>
    <x v="24"/>
    <x v="1"/>
    <x v="0"/>
    <n v="252"/>
    <x v="27"/>
    <n v="529.19999999999993"/>
    <n v="226.80000000000007"/>
    <n v="0.3000000000000001"/>
    <n v="10"/>
    <x v="9"/>
    <n v="4"/>
    <s v="Q2"/>
    <n v="2023"/>
    <x v="4"/>
    <x v="2"/>
  </r>
  <r>
    <n v="34"/>
    <s v="C071"/>
    <n v="17"/>
    <n v="2"/>
    <d v="2023-10-01T00:00:00"/>
    <d v="1899-12-30T22:58:15"/>
    <d v="2023-10-05T00:00:00"/>
    <d v="1899-12-30T05:36:46"/>
    <s v="Tirupati"/>
    <x v="0"/>
    <x v="26"/>
    <s v="Purab Sheth"/>
    <x v="0"/>
    <x v="25"/>
    <x v="4"/>
    <x v="0"/>
    <n v="1899"/>
    <x v="28"/>
    <n v="2658.6"/>
    <n v="1139.4000000000001"/>
    <n v="0.30000000000000004"/>
    <n v="4"/>
    <x v="10"/>
    <n v="10"/>
    <s v="Q4"/>
    <n v="2023"/>
    <x v="4"/>
    <x v="1"/>
  </r>
  <r>
    <n v="35"/>
    <s v="C055"/>
    <n v="7"/>
    <n v="5"/>
    <d v="2023-03-02T00:00:00"/>
    <d v="1899-12-30T16:10:26"/>
    <d v="2023-03-05T00:00:00"/>
    <d v="1899-12-30T15:00:40"/>
    <s v="Asansol"/>
    <x v="5"/>
    <x v="27"/>
    <s v="Umang Luthra"/>
    <x v="0"/>
    <x v="23"/>
    <x v="4"/>
    <x v="5"/>
    <n v="409"/>
    <x v="26"/>
    <n v="1431.4999999999998"/>
    <n v="613.50000000000023"/>
    <n v="0.3000000000000001"/>
    <n v="3"/>
    <x v="5"/>
    <n v="3"/>
    <s v="Q1"/>
    <n v="2023"/>
    <x v="6"/>
    <x v="1"/>
  </r>
  <r>
    <n v="36"/>
    <s v="C029"/>
    <n v="66"/>
    <n v="1"/>
    <d v="2023-03-04T00:00:00"/>
    <d v="1899-12-30T10:28:53"/>
    <d v="2023-03-14T00:00:00"/>
    <d v="1899-12-30T08:14:49"/>
    <s v="New Delhi"/>
    <x v="5"/>
    <x v="2"/>
    <s v="Badal Sathe"/>
    <x v="1"/>
    <x v="26"/>
    <x v="2"/>
    <x v="5"/>
    <n v="610"/>
    <x v="29"/>
    <n v="427"/>
    <n v="183"/>
    <n v="0.3"/>
    <n v="10"/>
    <x v="5"/>
    <n v="3"/>
    <s v="Q1"/>
    <n v="2023"/>
    <x v="2"/>
    <x v="2"/>
  </r>
  <r>
    <n v="37"/>
    <s v="C096"/>
    <n v="19"/>
    <n v="5"/>
    <d v="2023-02-10T00:00:00"/>
    <d v="1899-12-30T11:01:04"/>
    <d v="2023-02-15T00:00:00"/>
    <d v="1899-12-30T21:19:36"/>
    <s v="Katni"/>
    <x v="3"/>
    <x v="28"/>
    <s v="Kavya Reddy"/>
    <x v="0"/>
    <x v="27"/>
    <x v="6"/>
    <x v="3"/>
    <n v="1234"/>
    <x v="30"/>
    <n v="4319"/>
    <n v="1851"/>
    <n v="0.3"/>
    <n v="5"/>
    <x v="0"/>
    <n v="2"/>
    <s v="Q1"/>
    <n v="2023"/>
    <x v="0"/>
    <x v="0"/>
  </r>
  <r>
    <n v="38"/>
    <s v="C067"/>
    <n v="37"/>
    <n v="3"/>
    <d v="2023-11-11T00:00:00"/>
    <d v="1899-12-30T12:30:28"/>
    <d v="2023-11-14T00:00:00"/>
    <d v="1899-12-30T12:24:51"/>
    <s v="Indore"/>
    <x v="1"/>
    <x v="29"/>
    <s v="Eva Sankaran"/>
    <x v="0"/>
    <x v="28"/>
    <x v="2"/>
    <x v="1"/>
    <n v="1428"/>
    <x v="31"/>
    <n v="2998.7999999999997"/>
    <n v="1285.2000000000003"/>
    <n v="0.30000000000000004"/>
    <n v="3"/>
    <x v="1"/>
    <n v="11"/>
    <s v="Q4"/>
    <n v="2023"/>
    <x v="2"/>
    <x v="1"/>
  </r>
  <r>
    <n v="39"/>
    <s v="C054"/>
    <n v="43"/>
    <n v="2"/>
    <d v="2023-11-02T00:00:00"/>
    <d v="1899-12-30T19:25:58"/>
    <d v="2023-11-04T00:00:00"/>
    <d v="1899-12-30T13:28:42"/>
    <s v="Vellore"/>
    <x v="1"/>
    <x v="18"/>
    <s v="Umang Ahuja"/>
    <x v="1"/>
    <x v="6"/>
    <x v="0"/>
    <x v="1"/>
    <n v="750"/>
    <x v="32"/>
    <n v="1050"/>
    <n v="450"/>
    <n v="0.3"/>
    <n v="2"/>
    <x v="1"/>
    <n v="11"/>
    <s v="Q4"/>
    <n v="2023"/>
    <x v="6"/>
    <x v="2"/>
  </r>
  <r>
    <n v="40"/>
    <s v="C066"/>
    <n v="48"/>
    <n v="4"/>
    <d v="2023-11-02T00:00:00"/>
    <d v="1899-12-30T14:15:10"/>
    <d v="2023-11-05T00:00:00"/>
    <d v="1899-12-30T04:29:54"/>
    <s v="Raiganj"/>
    <x v="1"/>
    <x v="30"/>
    <s v="Eshani Buch"/>
    <x v="1"/>
    <x v="29"/>
    <x v="2"/>
    <x v="1"/>
    <n v="433"/>
    <x v="33"/>
    <n v="1212.3999999999999"/>
    <n v="519.60000000000014"/>
    <n v="0.3000000000000001"/>
    <n v="3"/>
    <x v="1"/>
    <n v="11"/>
    <s v="Q4"/>
    <n v="2023"/>
    <x v="6"/>
    <x v="2"/>
  </r>
  <r>
    <n v="41"/>
    <s v="C047"/>
    <n v="54"/>
    <n v="4"/>
    <d v="2023-06-08T00:00:00"/>
    <d v="1899-12-30T19:19:50"/>
    <d v="2023-06-10T00:00:00"/>
    <d v="1899-12-30T14:29:42"/>
    <s v="Saharsa"/>
    <x v="0"/>
    <x v="25"/>
    <s v="Bhamini Ravi"/>
    <x v="0"/>
    <x v="30"/>
    <x v="3"/>
    <x v="0"/>
    <n v="1236"/>
    <x v="34"/>
    <n v="3460.7999999999997"/>
    <n v="1483.2000000000003"/>
    <n v="0.30000000000000004"/>
    <n v="2"/>
    <x v="11"/>
    <n v="6"/>
    <s v="Q2"/>
    <n v="2023"/>
    <x v="4"/>
    <x v="1"/>
  </r>
  <r>
    <n v="42"/>
    <s v="C080"/>
    <n v="35"/>
    <n v="1"/>
    <d v="2023-02-26T00:00:00"/>
    <d v="1899-12-30T00:08:38"/>
    <d v="2023-03-07T00:00:00"/>
    <d v="1899-12-30T17:18:28"/>
    <s v="Faridabad"/>
    <x v="5"/>
    <x v="31"/>
    <s v="Mohanlal Garde"/>
    <x v="0"/>
    <x v="31"/>
    <x v="2"/>
    <x v="5"/>
    <n v="1865"/>
    <x v="35"/>
    <n v="1305.5"/>
    <n v="559.5"/>
    <n v="0.3"/>
    <n v="9"/>
    <x v="0"/>
    <n v="2"/>
    <s v="Q1"/>
    <n v="2023"/>
    <x v="5"/>
    <x v="2"/>
  </r>
  <r>
    <n v="43"/>
    <s v="C046"/>
    <n v="49"/>
    <n v="3"/>
    <d v="2023-02-12T00:00:00"/>
    <d v="1899-12-30T22:31:16"/>
    <d v="2023-02-16T00:00:00"/>
    <d v="1899-12-30T02:47:47"/>
    <s v="Sambalpur"/>
    <x v="3"/>
    <x v="32"/>
    <s v="Tara Kannan"/>
    <x v="0"/>
    <x v="32"/>
    <x v="2"/>
    <x v="3"/>
    <n v="903"/>
    <x v="36"/>
    <n v="1896.2999999999997"/>
    <n v="812.70000000000027"/>
    <n v="0.3000000000000001"/>
    <n v="4"/>
    <x v="0"/>
    <n v="2"/>
    <s v="Q1"/>
    <n v="2023"/>
    <x v="5"/>
    <x v="1"/>
  </r>
  <r>
    <n v="44"/>
    <s v="C006"/>
    <n v="14"/>
    <n v="1"/>
    <d v="2023-07-17T00:00:00"/>
    <d v="1899-12-30T21:57:56"/>
    <d v="2023-07-27T00:00:00"/>
    <d v="1899-12-30T10:48:09"/>
    <s v="Bhavnagar"/>
    <x v="2"/>
    <x v="33"/>
    <s v="Rania Mann"/>
    <x v="1"/>
    <x v="2"/>
    <x v="2"/>
    <x v="2"/>
    <n v="1915"/>
    <x v="37"/>
    <n v="1340.5"/>
    <n v="574.5"/>
    <n v="0.3"/>
    <n v="10"/>
    <x v="2"/>
    <n v="7"/>
    <s v="Q3"/>
    <n v="2023"/>
    <x v="0"/>
    <x v="2"/>
  </r>
  <r>
    <n v="45"/>
    <s v="C097"/>
    <n v="61"/>
    <n v="5"/>
    <d v="2023-04-28T00:00:00"/>
    <d v="1899-12-30T14:26:26"/>
    <d v="2023-04-29T00:00:00"/>
    <d v="1899-12-30T06:16:36"/>
    <s v="Haldia"/>
    <x v="0"/>
    <x v="7"/>
    <s v="Nakul Randhawa"/>
    <x v="1"/>
    <x v="33"/>
    <x v="5"/>
    <x v="0"/>
    <n v="810"/>
    <x v="38"/>
    <n v="2835"/>
    <n v="1215"/>
    <n v="0.3"/>
    <n v="1"/>
    <x v="9"/>
    <n v="4"/>
    <s v="Q2"/>
    <n v="2023"/>
    <x v="1"/>
    <x v="1"/>
  </r>
  <r>
    <n v="46"/>
    <s v="C059"/>
    <n v="22"/>
    <n v="4"/>
    <d v="2023-04-18T00:00:00"/>
    <d v="1899-12-30T03:21:11"/>
    <d v="2023-04-23T00:00:00"/>
    <d v="1899-12-30T08:02:45"/>
    <s v="Guna"/>
    <x v="6"/>
    <x v="34"/>
    <s v="Nirvi Wagle"/>
    <x v="0"/>
    <x v="34"/>
    <x v="4"/>
    <x v="6"/>
    <n v="1639"/>
    <x v="39"/>
    <n v="4589.2"/>
    <n v="1966.8000000000002"/>
    <n v="0.30000000000000004"/>
    <n v="5"/>
    <x v="9"/>
    <n v="4"/>
    <s v="Q2"/>
    <n v="2023"/>
    <x v="2"/>
    <x v="0"/>
  </r>
  <r>
    <n v="47"/>
    <s v="C013"/>
    <n v="7"/>
    <n v="5"/>
    <d v="2023-02-26T00:00:00"/>
    <d v="1899-12-30T13:04:28"/>
    <d v="2023-02-28T00:00:00"/>
    <d v="1899-12-30T06:00:20"/>
    <s v="Jaipur"/>
    <x v="5"/>
    <x v="14"/>
    <s v="Manikya Goswami"/>
    <x v="1"/>
    <x v="23"/>
    <x v="4"/>
    <x v="5"/>
    <n v="409"/>
    <x v="26"/>
    <n v="1431.4999999999998"/>
    <n v="613.50000000000023"/>
    <n v="0.3000000000000001"/>
    <n v="2"/>
    <x v="0"/>
    <n v="2"/>
    <s v="Q1"/>
    <n v="2023"/>
    <x v="5"/>
    <x v="1"/>
  </r>
  <r>
    <n v="48"/>
    <s v="C031"/>
    <n v="65"/>
    <n v="4"/>
    <d v="2023-11-12T00:00:00"/>
    <d v="1899-12-30T20:00:30"/>
    <d v="2023-11-16T00:00:00"/>
    <d v="1899-12-30T05:31:42"/>
    <s v="Delhi"/>
    <x v="6"/>
    <x v="35"/>
    <s v="Madhup Wable"/>
    <x v="1"/>
    <x v="35"/>
    <x v="0"/>
    <x v="6"/>
    <n v="1895"/>
    <x v="40"/>
    <n v="5306"/>
    <n v="2274"/>
    <n v="0.3"/>
    <n v="4"/>
    <x v="1"/>
    <n v="11"/>
    <s v="Q4"/>
    <n v="2023"/>
    <x v="5"/>
    <x v="0"/>
  </r>
  <r>
    <n v="49"/>
    <s v="C020"/>
    <n v="43"/>
    <n v="1"/>
    <d v="2023-11-11T00:00:00"/>
    <d v="1899-12-30T17:44:30"/>
    <d v="2023-11-18T00:00:00"/>
    <d v="1899-12-30T13:49:52"/>
    <s v="Nangloi Jat"/>
    <x v="1"/>
    <x v="36"/>
    <s v="Samaira Ganesh"/>
    <x v="0"/>
    <x v="6"/>
    <x v="0"/>
    <x v="1"/>
    <n v="750"/>
    <x v="19"/>
    <n v="525"/>
    <n v="225"/>
    <n v="0.3"/>
    <n v="7"/>
    <x v="1"/>
    <n v="11"/>
    <s v="Q4"/>
    <n v="2023"/>
    <x v="2"/>
    <x v="2"/>
  </r>
  <r>
    <n v="50"/>
    <s v="C014"/>
    <n v="41"/>
    <n v="4"/>
    <d v="2023-11-09T00:00:00"/>
    <d v="1899-12-30T06:56:33"/>
    <d v="2023-11-16T00:00:00"/>
    <d v="1899-12-30T10:19:22"/>
    <s v="Jamalpur"/>
    <x v="1"/>
    <x v="37"/>
    <s v="Indrans Shukla"/>
    <x v="1"/>
    <x v="1"/>
    <x v="1"/>
    <x v="1"/>
    <n v="1977"/>
    <x v="41"/>
    <n v="5535.5999999999995"/>
    <n v="2372.4000000000005"/>
    <n v="0.30000000000000004"/>
    <n v="7"/>
    <x v="1"/>
    <n v="11"/>
    <s v="Q4"/>
    <n v="2023"/>
    <x v="6"/>
    <x v="0"/>
  </r>
  <r>
    <n v="51"/>
    <s v="C036"/>
    <n v="10"/>
    <n v="1"/>
    <d v="2023-03-15T00:00:00"/>
    <d v="1899-12-30T09:23:49"/>
    <d v="2023-03-19T00:00:00"/>
    <d v="1899-12-30T16:46:40"/>
    <s v="Agartala"/>
    <x v="2"/>
    <x v="38"/>
    <s v="Biju Bajwa"/>
    <x v="1"/>
    <x v="22"/>
    <x v="3"/>
    <x v="2"/>
    <n v="259"/>
    <x v="42"/>
    <n v="181.29999999999998"/>
    <n v="77.700000000000017"/>
    <n v="0.30000000000000004"/>
    <n v="4"/>
    <x v="5"/>
    <n v="3"/>
    <s v="Q1"/>
    <n v="2023"/>
    <x v="4"/>
    <x v="2"/>
  </r>
  <r>
    <n v="52"/>
    <s v="C023"/>
    <n v="9"/>
    <n v="1"/>
    <d v="2023-08-29T00:00:00"/>
    <d v="1899-12-30T19:55:22"/>
    <d v="2023-09-07T00:00:00"/>
    <d v="1899-12-30T04:22:02"/>
    <s v="Hospet"/>
    <x v="4"/>
    <x v="18"/>
    <s v="Abram Sandhu"/>
    <x v="0"/>
    <x v="21"/>
    <x v="2"/>
    <x v="4"/>
    <n v="1605"/>
    <x v="43"/>
    <n v="1123.5"/>
    <n v="481.5"/>
    <n v="0.3"/>
    <n v="9"/>
    <x v="3"/>
    <n v="8"/>
    <s v="Q3"/>
    <n v="2023"/>
    <x v="4"/>
    <x v="2"/>
  </r>
  <r>
    <n v="53"/>
    <s v="C045"/>
    <n v="9"/>
    <n v="5"/>
    <d v="2023-08-20T00:00:00"/>
    <d v="1899-12-30T08:25:45"/>
    <d v="2023-08-27T00:00:00"/>
    <d v="1899-12-30T05:59:31"/>
    <s v="Kozhikode"/>
    <x v="4"/>
    <x v="39"/>
    <s v="Divit Mahajan"/>
    <x v="1"/>
    <x v="21"/>
    <x v="2"/>
    <x v="4"/>
    <n v="1605"/>
    <x v="44"/>
    <n v="5617.5"/>
    <n v="2407.5"/>
    <n v="0.3"/>
    <n v="7"/>
    <x v="3"/>
    <n v="8"/>
    <s v="Q3"/>
    <n v="2023"/>
    <x v="3"/>
    <x v="0"/>
  </r>
  <r>
    <n v="54"/>
    <s v="C059"/>
    <n v="30"/>
    <n v="1"/>
    <d v="2023-04-13T00:00:00"/>
    <d v="1899-12-30T09:55:01"/>
    <d v="2023-04-23T00:00:00"/>
    <d v="1899-12-30T14:30:59"/>
    <s v="Ratlam"/>
    <x v="0"/>
    <x v="34"/>
    <s v="Nirvi Wagle"/>
    <x v="0"/>
    <x v="19"/>
    <x v="2"/>
    <x v="0"/>
    <n v="751"/>
    <x v="45"/>
    <n v="525.69999999999993"/>
    <n v="225.30000000000007"/>
    <n v="0.3000000000000001"/>
    <n v="10"/>
    <x v="9"/>
    <n v="4"/>
    <s v="Q2"/>
    <n v="2023"/>
    <x v="3"/>
    <x v="2"/>
  </r>
  <r>
    <n v="55"/>
    <s v="C040"/>
    <n v="5"/>
    <n v="1"/>
    <d v="2023-02-08T00:00:00"/>
    <d v="1899-12-30T08:01:07"/>
    <d v="2023-02-13T00:00:00"/>
    <d v="1899-12-30T07:42:58"/>
    <s v="Kottayam"/>
    <x v="6"/>
    <x v="5"/>
    <s v="Hazel Mangat"/>
    <x v="1"/>
    <x v="36"/>
    <x v="2"/>
    <x v="6"/>
    <n v="1444"/>
    <x v="5"/>
    <n v="1010.8"/>
    <n v="433.20000000000005"/>
    <n v="0.30000000000000004"/>
    <n v="5"/>
    <x v="0"/>
    <n v="2"/>
    <s v="Q1"/>
    <n v="2023"/>
    <x v="4"/>
    <x v="2"/>
  </r>
  <r>
    <n v="56"/>
    <s v="C095"/>
    <n v="58"/>
    <n v="5"/>
    <d v="2023-02-08T00:00:00"/>
    <d v="1899-12-30T12:11:48"/>
    <d v="2023-02-13T00:00:00"/>
    <d v="1899-12-30T18:51:59"/>
    <s v="Danapur"/>
    <x v="3"/>
    <x v="40"/>
    <s v="Mahika Cherian"/>
    <x v="1"/>
    <x v="3"/>
    <x v="3"/>
    <x v="3"/>
    <n v="1492"/>
    <x v="46"/>
    <n v="5221.9999999999991"/>
    <n v="2238.0000000000009"/>
    <n v="0.3000000000000001"/>
    <n v="5"/>
    <x v="0"/>
    <n v="2"/>
    <s v="Q1"/>
    <n v="2023"/>
    <x v="4"/>
    <x v="0"/>
  </r>
  <r>
    <n v="57"/>
    <s v="C090"/>
    <n v="35"/>
    <n v="5"/>
    <d v="2023-02-26T00:00:00"/>
    <d v="1899-12-30T08:00:15"/>
    <d v="2023-03-06T00:00:00"/>
    <d v="1899-12-30T12:27:32"/>
    <s v="Ahmedabad"/>
    <x v="5"/>
    <x v="17"/>
    <s v="Drishya De"/>
    <x v="1"/>
    <x v="31"/>
    <x v="2"/>
    <x v="5"/>
    <n v="1865"/>
    <x v="47"/>
    <n v="6527.5"/>
    <n v="2797.5"/>
    <n v="0.3"/>
    <n v="8"/>
    <x v="0"/>
    <n v="2"/>
    <s v="Q1"/>
    <n v="2023"/>
    <x v="5"/>
    <x v="0"/>
  </r>
  <r>
    <n v="58"/>
    <s v="C077"/>
    <n v="36"/>
    <n v="1"/>
    <d v="2023-01-06T00:00:00"/>
    <d v="1899-12-30T02:51:30"/>
    <d v="2023-01-15T00:00:00"/>
    <d v="1899-12-30T08:26:18"/>
    <s v="Amravati"/>
    <x v="2"/>
    <x v="41"/>
    <s v="Gokul Ahluwalia"/>
    <x v="1"/>
    <x v="37"/>
    <x v="5"/>
    <x v="2"/>
    <n v="203"/>
    <x v="48"/>
    <n v="142.1"/>
    <n v="60.900000000000006"/>
    <n v="0.30000000000000004"/>
    <n v="9"/>
    <x v="8"/>
    <n v="1"/>
    <s v="Q1"/>
    <n v="2023"/>
    <x v="3"/>
    <x v="2"/>
  </r>
  <r>
    <n v="59"/>
    <s v="C041"/>
    <n v="51"/>
    <n v="5"/>
    <d v="2023-06-26T00:00:00"/>
    <d v="1899-12-30T03:56:15"/>
    <d v="2023-06-28T00:00:00"/>
    <d v="1899-12-30T20:10:04"/>
    <s v="Thiruvananthapuram"/>
    <x v="6"/>
    <x v="19"/>
    <s v="Rati Dhingra"/>
    <x v="0"/>
    <x v="38"/>
    <x v="4"/>
    <x v="6"/>
    <n v="1084"/>
    <x v="49"/>
    <n v="3794"/>
    <n v="1626"/>
    <n v="0.3"/>
    <n v="2"/>
    <x v="11"/>
    <n v="6"/>
    <s v="Q2"/>
    <n v="2023"/>
    <x v="5"/>
    <x v="0"/>
  </r>
  <r>
    <n v="60"/>
    <s v="C023"/>
    <n v="5"/>
    <n v="2"/>
    <d v="2023-12-13T00:00:00"/>
    <d v="1899-12-30T06:46:45"/>
    <d v="2023-12-15T00:00:00"/>
    <d v="1899-12-30T13:03:56"/>
    <s v="Darbhanga"/>
    <x v="6"/>
    <x v="18"/>
    <s v="Abram Sandhu"/>
    <x v="0"/>
    <x v="36"/>
    <x v="2"/>
    <x v="6"/>
    <n v="1444"/>
    <x v="50"/>
    <n v="2021.6"/>
    <n v="866.40000000000009"/>
    <n v="0.30000000000000004"/>
    <n v="2"/>
    <x v="6"/>
    <n v="12"/>
    <s v="Q4"/>
    <n v="2023"/>
    <x v="3"/>
    <x v="1"/>
  </r>
  <r>
    <n v="61"/>
    <s v="C058"/>
    <n v="44"/>
    <n v="2"/>
    <d v="2023-11-08T00:00:00"/>
    <d v="1899-12-30T22:26:25"/>
    <d v="2023-11-10T00:00:00"/>
    <d v="1899-12-30T08:08:31"/>
    <s v="Panihati"/>
    <x v="1"/>
    <x v="42"/>
    <s v="Charvi Kanda"/>
    <x v="0"/>
    <x v="39"/>
    <x v="5"/>
    <x v="1"/>
    <n v="794"/>
    <x v="51"/>
    <n v="1111.5999999999999"/>
    <n v="476.40000000000009"/>
    <n v="0.30000000000000004"/>
    <n v="2"/>
    <x v="1"/>
    <n v="11"/>
    <s v="Q4"/>
    <n v="2023"/>
    <x v="4"/>
    <x v="2"/>
  </r>
  <r>
    <n v="62"/>
    <s v="C074"/>
    <n v="6"/>
    <n v="4"/>
    <d v="2023-03-02T00:00:00"/>
    <d v="1899-12-30T15:30:51"/>
    <d v="2023-03-06T00:00:00"/>
    <d v="1899-12-30T23:51:40"/>
    <s v="Jorhat"/>
    <x v="5"/>
    <x v="43"/>
    <s v="Vanya Apte"/>
    <x v="1"/>
    <x v="20"/>
    <x v="3"/>
    <x v="5"/>
    <n v="1112"/>
    <x v="52"/>
    <n v="3113.6"/>
    <n v="1334.4"/>
    <n v="0.30000000000000004"/>
    <n v="4"/>
    <x v="5"/>
    <n v="3"/>
    <s v="Q1"/>
    <n v="2023"/>
    <x v="6"/>
    <x v="1"/>
  </r>
  <r>
    <n v="63"/>
    <s v="C056"/>
    <n v="42"/>
    <n v="3"/>
    <d v="2023-06-25T00:00:00"/>
    <d v="1899-12-30T06:22:38"/>
    <d v="2023-06-26T00:00:00"/>
    <d v="1899-12-30T15:40:04"/>
    <s v="Munger"/>
    <x v="6"/>
    <x v="2"/>
    <s v="Pihu Choudhury"/>
    <x v="0"/>
    <x v="18"/>
    <x v="1"/>
    <x v="6"/>
    <n v="1744"/>
    <x v="21"/>
    <n v="3662.3999999999996"/>
    <n v="1569.6000000000004"/>
    <n v="0.30000000000000004"/>
    <n v="1"/>
    <x v="11"/>
    <n v="6"/>
    <s v="Q2"/>
    <n v="2023"/>
    <x v="2"/>
    <x v="0"/>
  </r>
  <r>
    <n v="64"/>
    <s v="C015"/>
    <n v="25"/>
    <n v="1"/>
    <d v="2023-06-12T00:00:00"/>
    <d v="1899-12-30T02:48:39"/>
    <d v="2023-06-15T00:00:00"/>
    <d v="1899-12-30T22:05:41"/>
    <s v="Chittoor"/>
    <x v="0"/>
    <x v="44"/>
    <s v="Romil Bajwa"/>
    <x v="1"/>
    <x v="40"/>
    <x v="5"/>
    <x v="0"/>
    <n v="1202"/>
    <x v="53"/>
    <n v="841.4"/>
    <n v="360.6"/>
    <n v="0.30000000000000004"/>
    <n v="3"/>
    <x v="11"/>
    <n v="6"/>
    <s v="Q2"/>
    <n v="2023"/>
    <x v="5"/>
    <x v="2"/>
  </r>
  <r>
    <n v="65"/>
    <s v="C033"/>
    <n v="54"/>
    <n v="2"/>
    <d v="2023-09-01T00:00:00"/>
    <d v="1899-12-30T13:02:28"/>
    <d v="2023-09-11T00:00:00"/>
    <d v="1899-12-30T06:33:52"/>
    <s v="Berhampur"/>
    <x v="0"/>
    <x v="45"/>
    <s v="Suhana Kurian"/>
    <x v="1"/>
    <x v="30"/>
    <x v="3"/>
    <x v="0"/>
    <n v="1236"/>
    <x v="54"/>
    <n v="1730.3999999999999"/>
    <n v="741.60000000000014"/>
    <n v="0.30000000000000004"/>
    <n v="10"/>
    <x v="7"/>
    <n v="9"/>
    <s v="Q3"/>
    <n v="2023"/>
    <x v="4"/>
    <x v="1"/>
  </r>
  <r>
    <n v="66"/>
    <s v="C017"/>
    <n v="35"/>
    <n v="5"/>
    <d v="2023-02-26T00:00:00"/>
    <d v="1899-12-30T21:00:44"/>
    <d v="2023-02-27T00:00:00"/>
    <d v="1899-12-30T06:25:58"/>
    <s v="Munger"/>
    <x v="5"/>
    <x v="46"/>
    <s v="Advika Dhar"/>
    <x v="0"/>
    <x v="31"/>
    <x v="2"/>
    <x v="5"/>
    <n v="1865"/>
    <x v="47"/>
    <n v="6527.5"/>
    <n v="2797.5"/>
    <n v="0.3"/>
    <n v="1"/>
    <x v="0"/>
    <n v="2"/>
    <s v="Q1"/>
    <n v="2023"/>
    <x v="5"/>
    <x v="0"/>
  </r>
  <r>
    <n v="67"/>
    <s v="C047"/>
    <n v="10"/>
    <n v="2"/>
    <d v="2023-07-06T00:00:00"/>
    <d v="1899-12-30T17:28:21"/>
    <d v="2023-07-14T00:00:00"/>
    <d v="1899-12-30T21:11:01"/>
    <s v="Thrissur"/>
    <x v="2"/>
    <x v="25"/>
    <s v="Bhamini Ravi"/>
    <x v="0"/>
    <x v="22"/>
    <x v="3"/>
    <x v="2"/>
    <n v="259"/>
    <x v="55"/>
    <n v="362.59999999999997"/>
    <n v="155.40000000000003"/>
    <n v="0.30000000000000004"/>
    <n v="8"/>
    <x v="2"/>
    <n v="7"/>
    <s v="Q3"/>
    <n v="2023"/>
    <x v="3"/>
    <x v="2"/>
  </r>
  <r>
    <n v="68"/>
    <s v="C050"/>
    <n v="34"/>
    <n v="4"/>
    <d v="2023-08-25T00:00:00"/>
    <d v="1899-12-30T22:43:58"/>
    <d v="2023-08-31T00:00:00"/>
    <d v="1899-12-30T21:31:14"/>
    <s v="Ahmedabad"/>
    <x v="4"/>
    <x v="27"/>
    <s v="Chirag Srinivas"/>
    <x v="1"/>
    <x v="41"/>
    <x v="4"/>
    <x v="4"/>
    <n v="1335"/>
    <x v="56"/>
    <n v="3737.9999999999995"/>
    <n v="1602.0000000000005"/>
    <n v="0.3000000000000001"/>
    <n v="6"/>
    <x v="3"/>
    <n v="8"/>
    <s v="Q3"/>
    <n v="2023"/>
    <x v="2"/>
    <x v="0"/>
  </r>
  <r>
    <n v="69"/>
    <s v="C091"/>
    <n v="12"/>
    <n v="4"/>
    <d v="2023-09-02T00:00:00"/>
    <d v="1899-12-30T19:21:41"/>
    <d v="2023-09-08T00:00:00"/>
    <d v="1899-12-30T09:30:02"/>
    <s v="Hyderabad"/>
    <x v="0"/>
    <x v="21"/>
    <s v="Adira Rajan"/>
    <x v="1"/>
    <x v="17"/>
    <x v="5"/>
    <x v="0"/>
    <n v="672"/>
    <x v="57"/>
    <n v="1881.6"/>
    <n v="806.40000000000009"/>
    <n v="0.30000000000000004"/>
    <n v="6"/>
    <x v="7"/>
    <n v="9"/>
    <s v="Q3"/>
    <n v="2023"/>
    <x v="6"/>
    <x v="1"/>
  </r>
  <r>
    <n v="70"/>
    <s v="C037"/>
    <n v="17"/>
    <n v="1"/>
    <d v="2023-09-28T00:00:00"/>
    <d v="1899-12-30T04:21:09"/>
    <d v="2023-10-03T00:00:00"/>
    <d v="1899-12-30T11:44:33"/>
    <s v="Vijayanagaram"/>
    <x v="0"/>
    <x v="0"/>
    <s v="Aradhya Kumar"/>
    <x v="0"/>
    <x v="25"/>
    <x v="4"/>
    <x v="0"/>
    <n v="1899"/>
    <x v="58"/>
    <n v="1329.3"/>
    <n v="569.70000000000005"/>
    <n v="0.30000000000000004"/>
    <n v="5"/>
    <x v="7"/>
    <n v="9"/>
    <s v="Q3"/>
    <n v="2023"/>
    <x v="1"/>
    <x v="2"/>
  </r>
  <r>
    <n v="71"/>
    <s v="C013"/>
    <n v="9"/>
    <n v="5"/>
    <d v="2023-08-20T00:00:00"/>
    <d v="1899-12-30T16:32:06"/>
    <d v="2023-08-28T00:00:00"/>
    <d v="1899-12-30T13:31:32"/>
    <s v="Karnal"/>
    <x v="4"/>
    <x v="14"/>
    <s v="Manikya Goswami"/>
    <x v="1"/>
    <x v="21"/>
    <x v="2"/>
    <x v="4"/>
    <n v="1605"/>
    <x v="44"/>
    <n v="5617.5"/>
    <n v="2407.5"/>
    <n v="0.3"/>
    <n v="8"/>
    <x v="3"/>
    <n v="8"/>
    <s v="Q3"/>
    <n v="2023"/>
    <x v="3"/>
    <x v="0"/>
  </r>
  <r>
    <n v="72"/>
    <s v="C058"/>
    <n v="26"/>
    <n v="3"/>
    <d v="2023-03-03T00:00:00"/>
    <d v="1899-12-30T15:49:26"/>
    <d v="2023-03-12T00:00:00"/>
    <d v="1899-12-30T17:34:10"/>
    <s v="Bally"/>
    <x v="5"/>
    <x v="42"/>
    <s v="Charvi Kanda"/>
    <x v="0"/>
    <x v="42"/>
    <x v="2"/>
    <x v="5"/>
    <n v="289"/>
    <x v="59"/>
    <n v="606.9"/>
    <n v="260.10000000000002"/>
    <n v="0.30000000000000004"/>
    <n v="9"/>
    <x v="5"/>
    <n v="3"/>
    <s v="Q1"/>
    <n v="2023"/>
    <x v="0"/>
    <x v="2"/>
  </r>
  <r>
    <n v="73"/>
    <s v="C057"/>
    <n v="26"/>
    <n v="1"/>
    <d v="2023-03-03T00:00:00"/>
    <d v="1899-12-30T12:52:36"/>
    <d v="2023-03-11T00:00:00"/>
    <d v="1899-12-30T01:28:36"/>
    <s v="Farrukhabad"/>
    <x v="5"/>
    <x v="47"/>
    <s v="Zain Hegde"/>
    <x v="1"/>
    <x v="42"/>
    <x v="2"/>
    <x v="5"/>
    <n v="289"/>
    <x v="60"/>
    <n v="202.29999999999998"/>
    <n v="86.700000000000017"/>
    <n v="0.30000000000000004"/>
    <n v="8"/>
    <x v="5"/>
    <n v="3"/>
    <s v="Q1"/>
    <n v="2023"/>
    <x v="0"/>
    <x v="2"/>
  </r>
  <r>
    <n v="74"/>
    <s v="C024"/>
    <n v="31"/>
    <n v="3"/>
    <d v="2023-01-01T00:00:00"/>
    <d v="1899-12-30T20:55:22"/>
    <d v="2023-01-07T00:00:00"/>
    <d v="1899-12-30T09:02:03"/>
    <s v="Shivpuri"/>
    <x v="6"/>
    <x v="11"/>
    <s v="Jhanvi Chowdhury"/>
    <x v="1"/>
    <x v="43"/>
    <x v="2"/>
    <x v="6"/>
    <n v="1804"/>
    <x v="61"/>
    <n v="3788.3999999999996"/>
    <n v="1623.6000000000004"/>
    <n v="0.30000000000000004"/>
    <n v="6"/>
    <x v="8"/>
    <n v="1"/>
    <s v="Q1"/>
    <n v="2023"/>
    <x v="4"/>
    <x v="0"/>
  </r>
  <r>
    <n v="75"/>
    <s v="C009"/>
    <n v="65"/>
    <n v="2"/>
    <d v="2023-04-06T00:00:00"/>
    <d v="1899-12-30T11:10:24"/>
    <d v="2023-04-09T00:00:00"/>
    <d v="1899-12-30T23:00:34"/>
    <s v="Bally"/>
    <x v="6"/>
    <x v="6"/>
    <s v="Ritvik Borah"/>
    <x v="1"/>
    <x v="35"/>
    <x v="0"/>
    <x v="6"/>
    <n v="1895"/>
    <x v="62"/>
    <n v="2653"/>
    <n v="1137"/>
    <n v="0.3"/>
    <n v="3"/>
    <x v="9"/>
    <n v="4"/>
    <s v="Q2"/>
    <n v="2023"/>
    <x v="3"/>
    <x v="1"/>
  </r>
  <r>
    <n v="76"/>
    <s v="C054"/>
    <n v="4"/>
    <n v="1"/>
    <d v="2023-11-09T00:00:00"/>
    <d v="1899-12-30T05:13:11"/>
    <d v="2023-11-12T00:00:00"/>
    <d v="1899-12-30T00:34:50"/>
    <s v="Anand"/>
    <x v="1"/>
    <x v="18"/>
    <s v="Umang Ahuja"/>
    <x v="1"/>
    <x v="44"/>
    <x v="1"/>
    <x v="1"/>
    <n v="1199"/>
    <x v="63"/>
    <n v="839.3"/>
    <n v="359.70000000000005"/>
    <n v="0.30000000000000004"/>
    <n v="3"/>
    <x v="1"/>
    <n v="11"/>
    <s v="Q4"/>
    <n v="2023"/>
    <x v="6"/>
    <x v="2"/>
  </r>
  <r>
    <n v="77"/>
    <s v="C028"/>
    <n v="42"/>
    <n v="3"/>
    <d v="2023-08-05T00:00:00"/>
    <d v="1899-12-30T01:07:11"/>
    <d v="2023-08-13T00:00:00"/>
    <d v="1899-12-30T16:20:52"/>
    <s v="Kanpur"/>
    <x v="6"/>
    <x v="48"/>
    <s v="Hridaan Rajagopalan"/>
    <x v="1"/>
    <x v="18"/>
    <x v="1"/>
    <x v="6"/>
    <n v="1744"/>
    <x v="21"/>
    <n v="3662.3999999999996"/>
    <n v="1569.6000000000004"/>
    <n v="0.30000000000000004"/>
    <n v="8"/>
    <x v="3"/>
    <n v="8"/>
    <s v="Q3"/>
    <n v="2023"/>
    <x v="5"/>
    <x v="0"/>
  </r>
  <r>
    <n v="78"/>
    <s v="C062"/>
    <n v="11"/>
    <n v="2"/>
    <d v="2023-02-04T00:00:00"/>
    <d v="1899-12-30T13:00:09"/>
    <d v="2023-02-08T00:00:00"/>
    <d v="1899-12-30T20:31:15"/>
    <s v="Pallavaram"/>
    <x v="3"/>
    <x v="49"/>
    <s v="Inaaya  Sarraf"/>
    <x v="0"/>
    <x v="45"/>
    <x v="6"/>
    <x v="3"/>
    <n v="1096"/>
    <x v="7"/>
    <n v="1534.3999999999999"/>
    <n v="657.60000000000014"/>
    <n v="0.30000000000000004"/>
    <n v="4"/>
    <x v="0"/>
    <n v="2"/>
    <s v="Q1"/>
    <n v="2023"/>
    <x v="2"/>
    <x v="1"/>
  </r>
  <r>
    <n v="79"/>
    <s v="C010"/>
    <n v="40"/>
    <n v="2"/>
    <d v="2023-06-01T00:00:00"/>
    <d v="1899-12-30T17:29:30"/>
    <d v="2023-06-11T00:00:00"/>
    <d v="1899-12-30T07:34:53"/>
    <s v="Varanasi"/>
    <x v="0"/>
    <x v="50"/>
    <s v="Darshit Dave"/>
    <x v="0"/>
    <x v="46"/>
    <x v="1"/>
    <x v="0"/>
    <n v="1923"/>
    <x v="64"/>
    <n v="2692.2"/>
    <n v="1153.8000000000002"/>
    <n v="0.30000000000000004"/>
    <n v="10"/>
    <x v="11"/>
    <n v="6"/>
    <s v="Q2"/>
    <n v="2023"/>
    <x v="4"/>
    <x v="1"/>
  </r>
  <r>
    <n v="80"/>
    <s v="C008"/>
    <n v="39"/>
    <n v="4"/>
    <d v="2023-01-02T00:00:00"/>
    <d v="1899-12-30T11:07:02"/>
    <d v="2023-01-11T00:00:00"/>
    <d v="1899-12-30T02:05:50"/>
    <s v="Salem"/>
    <x v="6"/>
    <x v="51"/>
    <s v="Veer Ray"/>
    <x v="1"/>
    <x v="47"/>
    <x v="6"/>
    <x v="6"/>
    <n v="387"/>
    <x v="65"/>
    <n v="1083.5999999999999"/>
    <n v="464.40000000000009"/>
    <n v="0.30000000000000004"/>
    <n v="9"/>
    <x v="8"/>
    <n v="1"/>
    <s v="Q1"/>
    <n v="2023"/>
    <x v="6"/>
    <x v="2"/>
  </r>
  <r>
    <n v="81"/>
    <s v="C053"/>
    <n v="1"/>
    <n v="5"/>
    <d v="2023-02-22T00:00:00"/>
    <d v="1899-12-30T18:29:21"/>
    <d v="2023-03-03T00:00:00"/>
    <d v="1899-12-30T07:09:32"/>
    <s v="Kalyan-Dombivli"/>
    <x v="6"/>
    <x v="52"/>
    <s v="Kismat Kapadia"/>
    <x v="1"/>
    <x v="48"/>
    <x v="4"/>
    <x v="6"/>
    <n v="1935"/>
    <x v="66"/>
    <n v="6772.5"/>
    <n v="2902.5"/>
    <n v="0.3"/>
    <n v="9"/>
    <x v="0"/>
    <n v="2"/>
    <s v="Q1"/>
    <n v="2023"/>
    <x v="4"/>
    <x v="0"/>
  </r>
  <r>
    <n v="82"/>
    <s v="C038"/>
    <n v="70"/>
    <n v="3"/>
    <d v="2023-08-04T00:00:00"/>
    <d v="1899-12-30T22:02:05"/>
    <d v="2023-08-05T00:00:00"/>
    <d v="1899-12-30T14:08:13"/>
    <s v="Gwalior"/>
    <x v="2"/>
    <x v="53"/>
    <s v="Yakshit Shah"/>
    <x v="1"/>
    <x v="35"/>
    <x v="1"/>
    <x v="2"/>
    <n v="866"/>
    <x v="67"/>
    <n v="1818.6"/>
    <n v="779.40000000000009"/>
    <n v="0.30000000000000004"/>
    <n v="1"/>
    <x v="3"/>
    <n v="8"/>
    <s v="Q3"/>
    <n v="2023"/>
    <x v="2"/>
    <x v="1"/>
  </r>
  <r>
    <n v="83"/>
    <s v="C036"/>
    <n v="27"/>
    <n v="4"/>
    <d v="2023-08-23T00:00:00"/>
    <d v="1899-12-30T19:12:01"/>
    <d v="2023-09-02T00:00:00"/>
    <d v="1899-12-30T14:44:00"/>
    <s v="Asansol"/>
    <x v="4"/>
    <x v="38"/>
    <s v="Biju Bajwa"/>
    <x v="1"/>
    <x v="7"/>
    <x v="3"/>
    <x v="4"/>
    <n v="548"/>
    <x v="7"/>
    <n v="1534.3999999999999"/>
    <n v="657.60000000000014"/>
    <n v="0.30000000000000004"/>
    <n v="10"/>
    <x v="3"/>
    <n v="8"/>
    <s v="Q3"/>
    <n v="2023"/>
    <x v="6"/>
    <x v="1"/>
  </r>
  <r>
    <n v="84"/>
    <s v="C032"/>
    <n v="47"/>
    <n v="1"/>
    <d v="2023-03-04T00:00:00"/>
    <d v="1899-12-30T03:31:50"/>
    <d v="2023-03-06T00:00:00"/>
    <d v="1899-12-30T07:02:20"/>
    <s v="Tirupati"/>
    <x v="5"/>
    <x v="54"/>
    <s v="Mannat Anand"/>
    <x v="0"/>
    <x v="49"/>
    <x v="2"/>
    <x v="5"/>
    <n v="1638"/>
    <x v="68"/>
    <n v="1146.5999999999999"/>
    <n v="491.40000000000009"/>
    <n v="0.30000000000000004"/>
    <n v="2"/>
    <x v="5"/>
    <n v="3"/>
    <s v="Q1"/>
    <n v="2023"/>
    <x v="2"/>
    <x v="2"/>
  </r>
  <r>
    <n v="85"/>
    <s v="C041"/>
    <n v="26"/>
    <n v="2"/>
    <d v="2023-03-04T00:00:00"/>
    <d v="1899-12-30T21:35:20"/>
    <d v="2023-03-14T00:00:00"/>
    <d v="1899-12-30T14:48:22"/>
    <s v="Agra"/>
    <x v="5"/>
    <x v="19"/>
    <s v="Rati Dhingra"/>
    <x v="0"/>
    <x v="42"/>
    <x v="2"/>
    <x v="5"/>
    <n v="289"/>
    <x v="69"/>
    <n v="404.59999999999997"/>
    <n v="173.40000000000003"/>
    <n v="0.30000000000000004"/>
    <n v="10"/>
    <x v="5"/>
    <n v="3"/>
    <s v="Q1"/>
    <n v="2023"/>
    <x v="2"/>
    <x v="2"/>
  </r>
  <r>
    <n v="86"/>
    <s v="C046"/>
    <n v="39"/>
    <n v="4"/>
    <d v="2023-09-13T00:00:00"/>
    <d v="1899-12-30T11:27:49"/>
    <d v="2023-09-22T00:00:00"/>
    <d v="1899-12-30T14:09:30"/>
    <s v="Sirsa"/>
    <x v="6"/>
    <x v="32"/>
    <s v="Tara Kannan"/>
    <x v="0"/>
    <x v="47"/>
    <x v="6"/>
    <x v="6"/>
    <n v="387"/>
    <x v="65"/>
    <n v="1083.5999999999999"/>
    <n v="464.40000000000009"/>
    <n v="0.30000000000000004"/>
    <n v="9"/>
    <x v="7"/>
    <n v="9"/>
    <s v="Q3"/>
    <n v="2023"/>
    <x v="3"/>
    <x v="2"/>
  </r>
  <r>
    <n v="87"/>
    <s v="C055"/>
    <n v="2"/>
    <n v="5"/>
    <d v="2023-02-04T00:00:00"/>
    <d v="1899-12-30T13:17:21"/>
    <d v="2023-02-11T00:00:00"/>
    <d v="1899-12-30T23:06:36"/>
    <s v="Malda"/>
    <x v="3"/>
    <x v="27"/>
    <s v="Umang Luthra"/>
    <x v="0"/>
    <x v="50"/>
    <x v="5"/>
    <x v="3"/>
    <n v="441"/>
    <x v="70"/>
    <n v="1543.5"/>
    <n v="661.5"/>
    <n v="0.3"/>
    <n v="7"/>
    <x v="0"/>
    <n v="2"/>
    <s v="Q1"/>
    <n v="2023"/>
    <x v="2"/>
    <x v="1"/>
  </r>
  <r>
    <n v="88"/>
    <s v="C008"/>
    <n v="15"/>
    <n v="4"/>
    <d v="2023-12-22T00:00:00"/>
    <d v="1899-12-30T10:02:31"/>
    <d v="2024-01-01T00:00:00"/>
    <d v="1899-12-30T12:17:55"/>
    <s v="Avadi"/>
    <x v="0"/>
    <x v="51"/>
    <s v="Veer Ray"/>
    <x v="1"/>
    <x v="51"/>
    <x v="0"/>
    <x v="0"/>
    <n v="1488"/>
    <x v="71"/>
    <n v="4166.3999999999996"/>
    <n v="1785.6000000000004"/>
    <n v="0.30000000000000004"/>
    <n v="10"/>
    <x v="6"/>
    <n v="12"/>
    <s v="Q4"/>
    <n v="2023"/>
    <x v="4"/>
    <x v="0"/>
  </r>
  <r>
    <n v="89"/>
    <s v="C060"/>
    <n v="3"/>
    <n v="5"/>
    <d v="2023-02-12T00:00:00"/>
    <d v="1899-12-30T22:56:52"/>
    <d v="2023-02-13T00:00:00"/>
    <d v="1899-12-30T14:41:41"/>
    <s v="Aurangabad"/>
    <x v="3"/>
    <x v="55"/>
    <s v="Riya Wagle"/>
    <x v="0"/>
    <x v="52"/>
    <x v="2"/>
    <x v="3"/>
    <n v="1534"/>
    <x v="72"/>
    <n v="5369"/>
    <n v="2301"/>
    <n v="0.3"/>
    <n v="1"/>
    <x v="0"/>
    <n v="2"/>
    <s v="Q1"/>
    <n v="2023"/>
    <x v="5"/>
    <x v="0"/>
  </r>
  <r>
    <n v="90"/>
    <s v="C088"/>
    <n v="41"/>
    <n v="3"/>
    <d v="2023-11-09T00:00:00"/>
    <d v="1899-12-30T20:54:16"/>
    <d v="2023-11-18T00:00:00"/>
    <d v="1899-12-30T17:48:35"/>
    <s v="Shahjahanpur"/>
    <x v="1"/>
    <x v="23"/>
    <s v="Shalv Kulkarni"/>
    <x v="1"/>
    <x v="1"/>
    <x v="1"/>
    <x v="1"/>
    <n v="1977"/>
    <x v="73"/>
    <n v="4151.7"/>
    <n v="1779.3000000000002"/>
    <n v="0.30000000000000004"/>
    <n v="9"/>
    <x v="1"/>
    <n v="11"/>
    <s v="Q4"/>
    <n v="2023"/>
    <x v="6"/>
    <x v="0"/>
  </r>
  <r>
    <n v="91"/>
    <s v="C061"/>
    <n v="6"/>
    <n v="2"/>
    <d v="2023-02-27T00:00:00"/>
    <d v="1899-12-30T13:52:56"/>
    <d v="2023-03-05T00:00:00"/>
    <d v="1899-12-30T13:23:25"/>
    <s v="Mahbubnagar"/>
    <x v="5"/>
    <x v="11"/>
    <s v="Akarsh Ramesh"/>
    <x v="1"/>
    <x v="20"/>
    <x v="3"/>
    <x v="5"/>
    <n v="1112"/>
    <x v="74"/>
    <n v="1556.8"/>
    <n v="667.2"/>
    <n v="0.30000000000000004"/>
    <n v="6"/>
    <x v="0"/>
    <n v="2"/>
    <s v="Q1"/>
    <n v="2023"/>
    <x v="3"/>
    <x v="1"/>
  </r>
  <r>
    <n v="92"/>
    <s v="C100"/>
    <n v="18"/>
    <n v="5"/>
    <d v="2023-05-15T00:00:00"/>
    <d v="1899-12-30T00:11:18"/>
    <d v="2023-05-25T00:00:00"/>
    <d v="1899-12-30T11:17:55"/>
    <s v="Rohtak"/>
    <x v="2"/>
    <x v="56"/>
    <s v="Pranay Chaudhary"/>
    <x v="1"/>
    <x v="53"/>
    <x v="5"/>
    <x v="2"/>
    <n v="781"/>
    <x v="75"/>
    <n v="2733.4999999999995"/>
    <n v="1171.5000000000005"/>
    <n v="0.3000000000000001"/>
    <n v="10"/>
    <x v="4"/>
    <n v="5"/>
    <s v="Q2"/>
    <n v="2023"/>
    <x v="4"/>
    <x v="1"/>
  </r>
  <r>
    <n v="93"/>
    <s v="C047"/>
    <n v="24"/>
    <n v="4"/>
    <d v="2023-05-01T00:00:00"/>
    <d v="1899-12-30T17:50:59"/>
    <d v="2023-05-03T00:00:00"/>
    <d v="1899-12-30T18:35:56"/>
    <s v="Warangal"/>
    <x v="2"/>
    <x v="25"/>
    <s v="Bhamini Ravi"/>
    <x v="0"/>
    <x v="54"/>
    <x v="6"/>
    <x v="2"/>
    <n v="535"/>
    <x v="76"/>
    <n v="1498"/>
    <n v="642"/>
    <n v="0.3"/>
    <n v="2"/>
    <x v="4"/>
    <n v="5"/>
    <s v="Q2"/>
    <n v="2023"/>
    <x v="4"/>
    <x v="1"/>
  </r>
  <r>
    <n v="94"/>
    <s v="C099"/>
    <n v="69"/>
    <n v="5"/>
    <d v="2023-03-02T00:00:00"/>
    <d v="1899-12-30T14:51:08"/>
    <d v="2023-03-11T00:00:00"/>
    <d v="1899-12-30T08:14:49"/>
    <s v="Purnia"/>
    <x v="5"/>
    <x v="9"/>
    <s v="Ranbir Loyal"/>
    <x v="1"/>
    <x v="55"/>
    <x v="3"/>
    <x v="5"/>
    <n v="998"/>
    <x v="77"/>
    <n v="3492.9999999999995"/>
    <n v="1497.0000000000005"/>
    <n v="0.3000000000000001"/>
    <n v="9"/>
    <x v="5"/>
    <n v="3"/>
    <s v="Q1"/>
    <n v="2023"/>
    <x v="6"/>
    <x v="1"/>
  </r>
  <r>
    <n v="95"/>
    <s v="C039"/>
    <n v="70"/>
    <n v="4"/>
    <d v="2023-05-29T00:00:00"/>
    <d v="1899-12-30T07:54:41"/>
    <d v="2023-06-03T00:00:00"/>
    <d v="1899-12-30T07:16:33"/>
    <s v="Narasaraopet"/>
    <x v="2"/>
    <x v="57"/>
    <s v="Kaira Bahl"/>
    <x v="0"/>
    <x v="35"/>
    <x v="1"/>
    <x v="2"/>
    <n v="866"/>
    <x v="78"/>
    <n v="2424.7999999999997"/>
    <n v="1039.2000000000003"/>
    <n v="0.3000000000000001"/>
    <n v="5"/>
    <x v="4"/>
    <n v="5"/>
    <s v="Q2"/>
    <n v="2023"/>
    <x v="4"/>
    <x v="1"/>
  </r>
  <r>
    <n v="96"/>
    <s v="C099"/>
    <n v="25"/>
    <n v="3"/>
    <d v="2023-03-14T00:00:00"/>
    <d v="1899-12-30T15:00:21"/>
    <d v="2023-03-23T00:00:00"/>
    <d v="1899-12-30T08:56:06"/>
    <s v="Latur"/>
    <x v="0"/>
    <x v="9"/>
    <s v="Ranbir Loyal"/>
    <x v="1"/>
    <x v="40"/>
    <x v="5"/>
    <x v="0"/>
    <n v="1202"/>
    <x v="79"/>
    <n v="2524.1999999999998"/>
    <n v="1081.8000000000002"/>
    <n v="0.30000000000000004"/>
    <n v="9"/>
    <x v="5"/>
    <n v="3"/>
    <s v="Q1"/>
    <n v="2023"/>
    <x v="1"/>
    <x v="1"/>
  </r>
  <r>
    <n v="97"/>
    <s v="C041"/>
    <n v="41"/>
    <n v="1"/>
    <d v="2023-11-03T00:00:00"/>
    <d v="1899-12-30T20:11:32"/>
    <d v="2023-11-08T00:00:00"/>
    <d v="1899-12-30T01:35:25"/>
    <s v="Bhavnagar"/>
    <x v="1"/>
    <x v="19"/>
    <s v="Rati Dhingra"/>
    <x v="0"/>
    <x v="1"/>
    <x v="1"/>
    <x v="1"/>
    <n v="1977"/>
    <x v="80"/>
    <n v="1383.8999999999999"/>
    <n v="593.10000000000014"/>
    <n v="0.30000000000000004"/>
    <n v="5"/>
    <x v="1"/>
    <n v="11"/>
    <s v="Q4"/>
    <n v="2023"/>
    <x v="0"/>
    <x v="2"/>
  </r>
  <r>
    <n v="98"/>
    <s v="C031"/>
    <n v="8"/>
    <n v="1"/>
    <d v="2023-10-30T00:00:00"/>
    <d v="1899-12-30T15:26:00"/>
    <d v="2023-11-01T00:00:00"/>
    <d v="1899-12-30T16:34:28"/>
    <s v="Bulandshahr"/>
    <x v="0"/>
    <x v="35"/>
    <s v="Madhup Wable"/>
    <x v="1"/>
    <x v="24"/>
    <x v="1"/>
    <x v="0"/>
    <n v="252"/>
    <x v="81"/>
    <n v="176.39999999999998"/>
    <n v="75.600000000000023"/>
    <n v="0.3000000000000001"/>
    <n v="2"/>
    <x v="10"/>
    <n v="10"/>
    <s v="Q4"/>
    <n v="2023"/>
    <x v="6"/>
    <x v="2"/>
  </r>
  <r>
    <n v="99"/>
    <s v="C050"/>
    <n v="38"/>
    <n v="3"/>
    <d v="2023-11-04T00:00:00"/>
    <d v="1899-12-30T14:00:46"/>
    <d v="2023-11-05T00:00:00"/>
    <d v="1899-12-30T15:44:38"/>
    <s v="Burhanpur"/>
    <x v="2"/>
    <x v="27"/>
    <s v="Chirag Srinivas"/>
    <x v="1"/>
    <x v="10"/>
    <x v="3"/>
    <x v="2"/>
    <n v="562"/>
    <x v="10"/>
    <n v="1180.1999999999998"/>
    <n v="505.80000000000018"/>
    <n v="0.3000000000000001"/>
    <n v="1"/>
    <x v="1"/>
    <n v="11"/>
    <s v="Q4"/>
    <n v="2023"/>
    <x v="2"/>
    <x v="2"/>
  </r>
  <r>
    <n v="100"/>
    <s v="C055"/>
    <n v="42"/>
    <n v="5"/>
    <d v="2023-05-09T00:00:00"/>
    <d v="1899-12-30T05:50:07"/>
    <d v="2023-05-17T00:00:00"/>
    <d v="1899-12-30T05:30:26"/>
    <s v="Bhiwani"/>
    <x v="6"/>
    <x v="27"/>
    <s v="Umang Luthra"/>
    <x v="0"/>
    <x v="18"/>
    <x v="1"/>
    <x v="6"/>
    <n v="1744"/>
    <x v="82"/>
    <n v="6104"/>
    <n v="2616"/>
    <n v="0.3"/>
    <n v="8"/>
    <x v="4"/>
    <n v="5"/>
    <s v="Q2"/>
    <n v="2023"/>
    <x v="6"/>
    <x v="0"/>
  </r>
  <r>
    <n v="101"/>
    <s v="C064"/>
    <n v="70"/>
    <n v="4"/>
    <d v="2023-06-19T00:00:00"/>
    <d v="1899-12-30T03:56:52"/>
    <d v="2023-06-21T00:00:00"/>
    <d v="1899-12-30T06:18:37"/>
    <s v="Belgaum"/>
    <x v="2"/>
    <x v="24"/>
    <s v="Indrajit Kale"/>
    <x v="0"/>
    <x v="35"/>
    <x v="1"/>
    <x v="2"/>
    <n v="866"/>
    <x v="78"/>
    <n v="2424.7999999999997"/>
    <n v="1039.2000000000003"/>
    <n v="0.3000000000000001"/>
    <n v="2"/>
    <x v="11"/>
    <n v="6"/>
    <s v="Q2"/>
    <n v="2023"/>
    <x v="5"/>
    <x v="1"/>
  </r>
  <r>
    <n v="102"/>
    <s v="C081"/>
    <n v="10"/>
    <n v="3"/>
    <d v="2023-10-28T00:00:00"/>
    <d v="1899-12-30T19:34:14"/>
    <d v="2023-11-06T00:00:00"/>
    <d v="1899-12-30T07:06:35"/>
    <s v="Ozhukarai"/>
    <x v="2"/>
    <x v="58"/>
    <s v="Kaira Ramachandran"/>
    <x v="0"/>
    <x v="22"/>
    <x v="3"/>
    <x v="2"/>
    <n v="259"/>
    <x v="83"/>
    <n v="543.9"/>
    <n v="233.10000000000002"/>
    <n v="0.30000000000000004"/>
    <n v="9"/>
    <x v="10"/>
    <n v="10"/>
    <s v="Q4"/>
    <n v="2023"/>
    <x v="1"/>
    <x v="2"/>
  </r>
  <r>
    <n v="103"/>
    <s v="C097"/>
    <n v="18"/>
    <n v="3"/>
    <d v="2023-02-01T00:00:00"/>
    <d v="1899-12-30T12:24:59"/>
    <d v="2023-02-08T00:00:00"/>
    <d v="1899-12-30T22:51:39"/>
    <s v="Ichalkaranji"/>
    <x v="2"/>
    <x v="7"/>
    <s v="Nakul Randhawa"/>
    <x v="1"/>
    <x v="53"/>
    <x v="5"/>
    <x v="2"/>
    <n v="781"/>
    <x v="84"/>
    <n v="1640.1"/>
    <n v="702.90000000000009"/>
    <n v="0.30000000000000004"/>
    <n v="7"/>
    <x v="0"/>
    <n v="2"/>
    <s v="Q1"/>
    <n v="2023"/>
    <x v="4"/>
    <x v="1"/>
  </r>
  <r>
    <n v="104"/>
    <s v="C082"/>
    <n v="51"/>
    <n v="3"/>
    <d v="2023-12-29T00:00:00"/>
    <d v="1899-12-30T01:45:29"/>
    <d v="2024-01-05T00:00:00"/>
    <d v="1899-12-30T00:15:28"/>
    <s v="Ahmednagar"/>
    <x v="6"/>
    <x v="59"/>
    <s v="Anya Chaudhari"/>
    <x v="1"/>
    <x v="38"/>
    <x v="4"/>
    <x v="6"/>
    <n v="1084"/>
    <x v="85"/>
    <n v="2276.3999999999996"/>
    <n v="975.60000000000036"/>
    <n v="0.3000000000000001"/>
    <n v="7"/>
    <x v="6"/>
    <n v="12"/>
    <s v="Q4"/>
    <n v="2023"/>
    <x v="4"/>
    <x v="1"/>
  </r>
  <r>
    <n v="105"/>
    <s v="C063"/>
    <n v="36"/>
    <n v="2"/>
    <d v="2023-02-11T00:00:00"/>
    <d v="1899-12-30T02:57:36"/>
    <d v="2023-02-21T00:00:00"/>
    <d v="1899-12-30T01:34:10"/>
    <s v="Guna"/>
    <x v="2"/>
    <x v="22"/>
    <s v="Arhaan Ahluwalia"/>
    <x v="0"/>
    <x v="37"/>
    <x v="5"/>
    <x v="2"/>
    <n v="203"/>
    <x v="86"/>
    <n v="284.2"/>
    <n v="121.80000000000001"/>
    <n v="0.30000000000000004"/>
    <n v="10"/>
    <x v="0"/>
    <n v="2"/>
    <s v="Q1"/>
    <n v="2023"/>
    <x v="2"/>
    <x v="2"/>
  </r>
  <r>
    <n v="106"/>
    <s v="C095"/>
    <n v="41"/>
    <n v="2"/>
    <d v="2023-11-06T00:00:00"/>
    <d v="1899-12-30T17:55:46"/>
    <d v="2023-11-08T00:00:00"/>
    <d v="1899-12-30T23:00:28"/>
    <s v="Chinsurah"/>
    <x v="1"/>
    <x v="40"/>
    <s v="Mahika Cherian"/>
    <x v="1"/>
    <x v="1"/>
    <x v="1"/>
    <x v="1"/>
    <n v="1977"/>
    <x v="1"/>
    <n v="2767.7999999999997"/>
    <n v="1186.2000000000003"/>
    <n v="0.30000000000000004"/>
    <n v="2"/>
    <x v="1"/>
    <n v="11"/>
    <s v="Q4"/>
    <n v="2023"/>
    <x v="3"/>
    <x v="1"/>
  </r>
  <r>
    <n v="107"/>
    <s v="C041"/>
    <n v="4"/>
    <n v="3"/>
    <d v="2023-11-06T00:00:00"/>
    <d v="1899-12-30T10:18:07"/>
    <d v="2023-11-12T00:00:00"/>
    <d v="1899-12-30T14:20:21"/>
    <s v="Gorakhpur"/>
    <x v="1"/>
    <x v="19"/>
    <s v="Rati Dhingra"/>
    <x v="0"/>
    <x v="44"/>
    <x v="1"/>
    <x v="1"/>
    <n v="1199"/>
    <x v="87"/>
    <n v="2517.8999999999996"/>
    <n v="1079.1000000000004"/>
    <n v="0.3000000000000001"/>
    <n v="6"/>
    <x v="1"/>
    <n v="11"/>
    <s v="Q4"/>
    <n v="2023"/>
    <x v="3"/>
    <x v="1"/>
  </r>
  <r>
    <n v="108"/>
    <s v="C012"/>
    <n v="26"/>
    <n v="4"/>
    <d v="2023-02-27T00:00:00"/>
    <d v="1899-12-30T09:03:26"/>
    <d v="2023-03-05T00:00:00"/>
    <d v="1899-12-30T08:03:05"/>
    <s v="Berhampore"/>
    <x v="5"/>
    <x v="3"/>
    <s v="Onkar Mangat"/>
    <x v="0"/>
    <x v="42"/>
    <x v="2"/>
    <x v="5"/>
    <n v="289"/>
    <x v="88"/>
    <n v="809.19999999999993"/>
    <n v="346.80000000000007"/>
    <n v="0.30000000000000004"/>
    <n v="6"/>
    <x v="0"/>
    <n v="2"/>
    <s v="Q1"/>
    <n v="2023"/>
    <x v="3"/>
    <x v="2"/>
  </r>
  <r>
    <n v="109"/>
    <s v="C074"/>
    <n v="50"/>
    <n v="5"/>
    <d v="2023-02-27T00:00:00"/>
    <d v="1899-12-30T15:35:48"/>
    <d v="2023-03-01T00:00:00"/>
    <d v="1899-12-30T08:38:56"/>
    <s v="Gandhidham"/>
    <x v="5"/>
    <x v="43"/>
    <s v="Vanya Apte"/>
    <x v="1"/>
    <x v="56"/>
    <x v="5"/>
    <x v="5"/>
    <n v="422"/>
    <x v="89"/>
    <n v="1477"/>
    <n v="633"/>
    <n v="0.3"/>
    <n v="2"/>
    <x v="0"/>
    <n v="2"/>
    <s v="Q1"/>
    <n v="2023"/>
    <x v="3"/>
    <x v="1"/>
  </r>
  <r>
    <n v="110"/>
    <s v="C075"/>
    <n v="26"/>
    <n v="2"/>
    <d v="2023-03-04T00:00:00"/>
    <d v="1899-12-30T11:23:44"/>
    <d v="2023-03-13T00:00:00"/>
    <d v="1899-12-30T08:27:31"/>
    <s v="Kishanganj"/>
    <x v="5"/>
    <x v="60"/>
    <s v="Yashvi Bansal"/>
    <x v="1"/>
    <x v="42"/>
    <x v="2"/>
    <x v="5"/>
    <n v="289"/>
    <x v="69"/>
    <n v="404.59999999999997"/>
    <n v="173.40000000000003"/>
    <n v="0.30000000000000004"/>
    <n v="9"/>
    <x v="5"/>
    <n v="3"/>
    <s v="Q1"/>
    <n v="2023"/>
    <x v="2"/>
    <x v="2"/>
  </r>
  <r>
    <n v="111"/>
    <s v="C009"/>
    <n v="8"/>
    <n v="3"/>
    <d v="2023-06-21T00:00:00"/>
    <d v="1899-12-30T14:18:57"/>
    <d v="2023-06-25T00:00:00"/>
    <d v="1899-12-30T21:03:57"/>
    <s v="Ramgarh"/>
    <x v="0"/>
    <x v="6"/>
    <s v="Ritvik Borah"/>
    <x v="1"/>
    <x v="24"/>
    <x v="1"/>
    <x v="0"/>
    <n v="252"/>
    <x v="27"/>
    <n v="529.19999999999993"/>
    <n v="226.80000000000007"/>
    <n v="0.3000000000000001"/>
    <n v="4"/>
    <x v="11"/>
    <n v="6"/>
    <s v="Q2"/>
    <n v="2023"/>
    <x v="1"/>
    <x v="2"/>
  </r>
  <r>
    <n v="112"/>
    <s v="C023"/>
    <n v="37"/>
    <n v="3"/>
    <d v="2023-11-11T00:00:00"/>
    <d v="1899-12-30T06:36:04"/>
    <d v="2023-11-14T00:00:00"/>
    <d v="1899-12-30T15:50:59"/>
    <s v="Kochi"/>
    <x v="1"/>
    <x v="18"/>
    <s v="Abram Sandhu"/>
    <x v="0"/>
    <x v="28"/>
    <x v="2"/>
    <x v="1"/>
    <n v="1428"/>
    <x v="31"/>
    <n v="2998.7999999999997"/>
    <n v="1285.2000000000003"/>
    <n v="0.30000000000000004"/>
    <n v="3"/>
    <x v="1"/>
    <n v="11"/>
    <s v="Q4"/>
    <n v="2023"/>
    <x v="2"/>
    <x v="1"/>
  </r>
  <r>
    <n v="113"/>
    <s v="C032"/>
    <n v="1"/>
    <n v="3"/>
    <d v="2023-11-14T00:00:00"/>
    <d v="1899-12-30T15:30:30"/>
    <d v="2023-11-23T00:00:00"/>
    <d v="1899-12-30T04:26:47"/>
    <s v="Bulandshahr"/>
    <x v="6"/>
    <x v="54"/>
    <s v="Mannat Anand"/>
    <x v="0"/>
    <x v="48"/>
    <x v="4"/>
    <x v="6"/>
    <n v="1935"/>
    <x v="90"/>
    <n v="4063.5"/>
    <n v="1741.5"/>
    <n v="0.3"/>
    <n v="9"/>
    <x v="1"/>
    <n v="11"/>
    <s v="Q4"/>
    <n v="2023"/>
    <x v="1"/>
    <x v="0"/>
  </r>
  <r>
    <n v="114"/>
    <s v="C009"/>
    <n v="40"/>
    <n v="4"/>
    <d v="2023-02-03T00:00:00"/>
    <d v="1899-12-30T16:03:15"/>
    <d v="2023-02-07T00:00:00"/>
    <d v="1899-12-30T02:22:48"/>
    <s v="Kirari Suleman Nagar"/>
    <x v="0"/>
    <x v="6"/>
    <s v="Ritvik Borah"/>
    <x v="1"/>
    <x v="46"/>
    <x v="1"/>
    <x v="0"/>
    <n v="1923"/>
    <x v="91"/>
    <n v="5384.4"/>
    <n v="2307.6000000000004"/>
    <n v="0.30000000000000004"/>
    <n v="4"/>
    <x v="0"/>
    <n v="2"/>
    <s v="Q1"/>
    <n v="2023"/>
    <x v="0"/>
    <x v="0"/>
  </r>
  <r>
    <n v="115"/>
    <s v="C095"/>
    <n v="57"/>
    <n v="1"/>
    <d v="2023-04-28T00:00:00"/>
    <d v="1899-12-30T18:11:22"/>
    <d v="2023-05-05T00:00:00"/>
    <d v="1899-12-30T11:36:31"/>
    <s v="Jhansi"/>
    <x v="2"/>
    <x v="40"/>
    <s v="Mahika Cherian"/>
    <x v="1"/>
    <x v="57"/>
    <x v="2"/>
    <x v="2"/>
    <n v="1582"/>
    <x v="92"/>
    <n v="1107.3999999999999"/>
    <n v="474.60000000000014"/>
    <n v="0.3000000000000001"/>
    <n v="7"/>
    <x v="9"/>
    <n v="4"/>
    <s v="Q2"/>
    <n v="2023"/>
    <x v="1"/>
    <x v="2"/>
  </r>
  <r>
    <n v="116"/>
    <s v="C009"/>
    <n v="4"/>
    <n v="3"/>
    <d v="2023-11-11T00:00:00"/>
    <d v="1899-12-30T14:28:05"/>
    <d v="2023-11-20T00:00:00"/>
    <d v="1899-12-30T05:25:26"/>
    <s v="Howrah"/>
    <x v="1"/>
    <x v="6"/>
    <s v="Ritvik Borah"/>
    <x v="1"/>
    <x v="44"/>
    <x v="1"/>
    <x v="1"/>
    <n v="1199"/>
    <x v="87"/>
    <n v="2517.8999999999996"/>
    <n v="1079.1000000000004"/>
    <n v="0.3000000000000001"/>
    <n v="9"/>
    <x v="1"/>
    <n v="11"/>
    <s v="Q4"/>
    <n v="2023"/>
    <x v="2"/>
    <x v="1"/>
  </r>
  <r>
    <n v="117"/>
    <s v="C033"/>
    <n v="59"/>
    <n v="3"/>
    <d v="2023-08-20T00:00:00"/>
    <d v="1899-12-30T18:50:05"/>
    <d v="2023-08-22T00:00:00"/>
    <d v="1899-12-30T03:43:01"/>
    <s v="Loni"/>
    <x v="4"/>
    <x v="45"/>
    <s v="Suhana Kurian"/>
    <x v="1"/>
    <x v="58"/>
    <x v="3"/>
    <x v="4"/>
    <n v="811"/>
    <x v="93"/>
    <n v="1703.1"/>
    <n v="729.90000000000009"/>
    <n v="0.30000000000000004"/>
    <n v="2"/>
    <x v="3"/>
    <n v="8"/>
    <s v="Q3"/>
    <n v="2023"/>
    <x v="3"/>
    <x v="1"/>
  </r>
  <r>
    <n v="118"/>
    <s v="C035"/>
    <n v="62"/>
    <n v="1"/>
    <d v="2023-02-27T00:00:00"/>
    <d v="1899-12-30T14:30:59"/>
    <d v="2023-03-05T00:00:00"/>
    <d v="1899-12-30T10:32:52"/>
    <s v="Bhavnagar"/>
    <x v="5"/>
    <x v="61"/>
    <s v="Ira Sarna"/>
    <x v="0"/>
    <x v="14"/>
    <x v="2"/>
    <x v="5"/>
    <n v="1356"/>
    <x v="94"/>
    <n v="949.19999999999993"/>
    <n v="406.80000000000007"/>
    <n v="0.30000000000000004"/>
    <n v="6"/>
    <x v="0"/>
    <n v="2"/>
    <s v="Q1"/>
    <n v="2023"/>
    <x v="3"/>
    <x v="2"/>
  </r>
  <r>
    <n v="119"/>
    <s v="C010"/>
    <n v="6"/>
    <n v="4"/>
    <d v="2023-03-04T00:00:00"/>
    <d v="1899-12-30T11:02:10"/>
    <d v="2023-03-12T00:00:00"/>
    <d v="1899-12-30T12:22:18"/>
    <s v="Fatehpur"/>
    <x v="5"/>
    <x v="50"/>
    <s v="Darshit Dave"/>
    <x v="0"/>
    <x v="20"/>
    <x v="3"/>
    <x v="5"/>
    <n v="1112"/>
    <x v="52"/>
    <n v="3113.6"/>
    <n v="1334.4"/>
    <n v="0.30000000000000004"/>
    <n v="8"/>
    <x v="5"/>
    <n v="3"/>
    <s v="Q1"/>
    <n v="2023"/>
    <x v="2"/>
    <x v="1"/>
  </r>
  <r>
    <n v="120"/>
    <s v="C050"/>
    <n v="61"/>
    <n v="1"/>
    <d v="2023-12-25T00:00:00"/>
    <d v="1899-12-30T22:26:37"/>
    <d v="2023-12-31T00:00:00"/>
    <d v="1899-12-30T09:57:24"/>
    <s v="Kalyan-Dombivli"/>
    <x v="0"/>
    <x v="27"/>
    <s v="Chirag Srinivas"/>
    <x v="1"/>
    <x v="33"/>
    <x v="5"/>
    <x v="0"/>
    <n v="810"/>
    <x v="95"/>
    <n v="567"/>
    <n v="243"/>
    <n v="0.3"/>
    <n v="6"/>
    <x v="6"/>
    <n v="12"/>
    <s v="Q4"/>
    <n v="2023"/>
    <x v="2"/>
    <x v="2"/>
  </r>
  <r>
    <n v="121"/>
    <s v="C048"/>
    <n v="33"/>
    <n v="3"/>
    <d v="2023-02-05T00:00:00"/>
    <d v="1899-12-30T02:18:55"/>
    <d v="2023-02-09T00:00:00"/>
    <d v="1899-12-30T07:29:31"/>
    <s v="Guntur"/>
    <x v="3"/>
    <x v="42"/>
    <s v="Aradhya Kale"/>
    <x v="0"/>
    <x v="59"/>
    <x v="2"/>
    <x v="3"/>
    <n v="314"/>
    <x v="96"/>
    <n v="659.4"/>
    <n v="282.60000000000002"/>
    <n v="0.30000000000000004"/>
    <n v="4"/>
    <x v="0"/>
    <n v="2"/>
    <s v="Q1"/>
    <n v="2023"/>
    <x v="5"/>
    <x v="2"/>
  </r>
  <r>
    <n v="122"/>
    <s v="C083"/>
    <n v="24"/>
    <n v="5"/>
    <d v="2023-10-03T00:00:00"/>
    <d v="1899-12-30T09:04:23"/>
    <d v="2023-10-13T00:00:00"/>
    <d v="1899-12-30T03:15:14"/>
    <s v="Gulbarga"/>
    <x v="2"/>
    <x v="62"/>
    <s v="Aaryahi Sodhi"/>
    <x v="0"/>
    <x v="54"/>
    <x v="6"/>
    <x v="2"/>
    <n v="535"/>
    <x v="97"/>
    <n v="1872.5"/>
    <n v="802.5"/>
    <n v="0.3"/>
    <n v="10"/>
    <x v="10"/>
    <n v="10"/>
    <s v="Q4"/>
    <n v="2023"/>
    <x v="0"/>
    <x v="1"/>
  </r>
  <r>
    <n v="123"/>
    <s v="C026"/>
    <n v="38"/>
    <n v="1"/>
    <d v="2023-01-15T00:00:00"/>
    <d v="1899-12-30T00:31:09"/>
    <d v="2023-01-25T00:00:00"/>
    <d v="1899-12-30T04:58:43"/>
    <s v="Malegaon"/>
    <x v="2"/>
    <x v="63"/>
    <s v="Ira Chahal"/>
    <x v="1"/>
    <x v="10"/>
    <x v="3"/>
    <x v="2"/>
    <n v="562"/>
    <x v="98"/>
    <n v="393.4"/>
    <n v="168.60000000000002"/>
    <n v="0.30000000000000004"/>
    <n v="10"/>
    <x v="8"/>
    <n v="1"/>
    <s v="Q1"/>
    <n v="2023"/>
    <x v="4"/>
    <x v="2"/>
  </r>
  <r>
    <n v="124"/>
    <s v="C030"/>
    <n v="67"/>
    <n v="4"/>
    <d v="2023-07-21T00:00:00"/>
    <d v="1899-12-30T08:44:55"/>
    <d v="2023-07-23T00:00:00"/>
    <d v="1899-12-30T05:23:44"/>
    <s v="Bhilwara"/>
    <x v="0"/>
    <x v="64"/>
    <s v="Vardaniya Contractor"/>
    <x v="0"/>
    <x v="0"/>
    <x v="0"/>
    <x v="0"/>
    <n v="1374"/>
    <x v="99"/>
    <n v="3847.2"/>
    <n v="1648.8000000000002"/>
    <n v="0.30000000000000004"/>
    <n v="2"/>
    <x v="2"/>
    <n v="7"/>
    <s v="Q3"/>
    <n v="2023"/>
    <x v="1"/>
    <x v="0"/>
  </r>
  <r>
    <n v="125"/>
    <s v="C020"/>
    <n v="31"/>
    <n v="2"/>
    <d v="2023-03-19T00:00:00"/>
    <d v="1899-12-30T09:12:11"/>
    <d v="2023-03-25T00:00:00"/>
    <d v="1899-12-30T14:36:11"/>
    <s v="Kolkata"/>
    <x v="6"/>
    <x v="36"/>
    <s v="Samaira Ganesh"/>
    <x v="0"/>
    <x v="43"/>
    <x v="2"/>
    <x v="6"/>
    <n v="1804"/>
    <x v="100"/>
    <n v="2525.6"/>
    <n v="1082.4000000000001"/>
    <n v="0.30000000000000004"/>
    <n v="6"/>
    <x v="5"/>
    <n v="3"/>
    <s v="Q1"/>
    <n v="2023"/>
    <x v="5"/>
    <x v="1"/>
  </r>
  <r>
    <n v="126"/>
    <s v="C040"/>
    <n v="19"/>
    <n v="5"/>
    <d v="2023-02-04T00:00:00"/>
    <d v="1899-12-30T02:28:24"/>
    <d v="2023-02-13T00:00:00"/>
    <d v="1899-12-30T13:16:38"/>
    <s v="Dharmavaram"/>
    <x v="3"/>
    <x v="5"/>
    <s v="Hazel Mangat"/>
    <x v="1"/>
    <x v="27"/>
    <x v="6"/>
    <x v="3"/>
    <n v="1234"/>
    <x v="30"/>
    <n v="4319"/>
    <n v="1851"/>
    <n v="0.3"/>
    <n v="9"/>
    <x v="0"/>
    <n v="2"/>
    <s v="Q1"/>
    <n v="2023"/>
    <x v="2"/>
    <x v="0"/>
  </r>
  <r>
    <n v="127"/>
    <s v="C051"/>
    <n v="60"/>
    <n v="4"/>
    <d v="2023-11-02T00:00:00"/>
    <d v="1899-12-30T14:04:38"/>
    <d v="2023-11-03T00:00:00"/>
    <d v="1899-12-30T19:25:01"/>
    <s v="Dhanbad"/>
    <x v="1"/>
    <x v="65"/>
    <s v="Aradhya Batta"/>
    <x v="1"/>
    <x v="12"/>
    <x v="1"/>
    <x v="1"/>
    <n v="827"/>
    <x v="101"/>
    <n v="2315.6"/>
    <n v="992.40000000000009"/>
    <n v="0.30000000000000004"/>
    <n v="1"/>
    <x v="1"/>
    <n v="11"/>
    <s v="Q4"/>
    <n v="2023"/>
    <x v="6"/>
    <x v="1"/>
  </r>
  <r>
    <n v="128"/>
    <s v="C065"/>
    <n v="12"/>
    <n v="3"/>
    <d v="2023-03-06T00:00:00"/>
    <d v="1899-12-30T16:50:28"/>
    <d v="2023-03-13T00:00:00"/>
    <d v="1899-12-30T15:11:19"/>
    <s v="Kochi"/>
    <x v="0"/>
    <x v="10"/>
    <s v="Badal Vora"/>
    <x v="0"/>
    <x v="17"/>
    <x v="5"/>
    <x v="0"/>
    <n v="672"/>
    <x v="20"/>
    <n v="1411.1999999999998"/>
    <n v="604.80000000000018"/>
    <n v="0.3000000000000001"/>
    <n v="7"/>
    <x v="5"/>
    <n v="3"/>
    <s v="Q1"/>
    <n v="2023"/>
    <x v="3"/>
    <x v="1"/>
  </r>
  <r>
    <n v="129"/>
    <s v="C051"/>
    <n v="67"/>
    <n v="2"/>
    <d v="2023-02-17T00:00:00"/>
    <d v="1899-12-30T05:21:30"/>
    <d v="2023-02-20T00:00:00"/>
    <d v="1899-12-30T08:17:32"/>
    <s v="Ramgarh"/>
    <x v="0"/>
    <x v="65"/>
    <s v="Aradhya Batta"/>
    <x v="1"/>
    <x v="0"/>
    <x v="0"/>
    <x v="0"/>
    <n v="1374"/>
    <x v="102"/>
    <n v="1923.6"/>
    <n v="824.40000000000009"/>
    <n v="0.30000000000000004"/>
    <n v="3"/>
    <x v="0"/>
    <n v="2"/>
    <s v="Q1"/>
    <n v="2023"/>
    <x v="0"/>
    <x v="1"/>
  </r>
  <r>
    <n v="130"/>
    <s v="C070"/>
    <n v="10"/>
    <n v="5"/>
    <d v="2023-04-22T00:00:00"/>
    <d v="1899-12-30T13:32:41"/>
    <d v="2023-04-27T00:00:00"/>
    <d v="1899-12-30T22:01:54"/>
    <s v="Darbhanga"/>
    <x v="2"/>
    <x v="66"/>
    <s v="Emir Gokhale"/>
    <x v="0"/>
    <x v="22"/>
    <x v="3"/>
    <x v="2"/>
    <n v="259"/>
    <x v="25"/>
    <n v="906.49999999999989"/>
    <n v="388.50000000000011"/>
    <n v="0.3000000000000001"/>
    <n v="5"/>
    <x v="9"/>
    <n v="4"/>
    <s v="Q2"/>
    <n v="2023"/>
    <x v="4"/>
    <x v="2"/>
  </r>
  <r>
    <n v="131"/>
    <s v="C078"/>
    <n v="3"/>
    <n v="5"/>
    <d v="2023-02-04T00:00:00"/>
    <d v="1899-12-30T20:30:50"/>
    <d v="2023-02-11T00:00:00"/>
    <d v="1899-12-30T08:29:03"/>
    <s v="Satara"/>
    <x v="3"/>
    <x v="4"/>
    <s v="Jivika Rajan"/>
    <x v="1"/>
    <x v="52"/>
    <x v="2"/>
    <x v="3"/>
    <n v="1534"/>
    <x v="72"/>
    <n v="5369"/>
    <n v="2301"/>
    <n v="0.3"/>
    <n v="7"/>
    <x v="0"/>
    <n v="2"/>
    <s v="Q1"/>
    <n v="2023"/>
    <x v="2"/>
    <x v="0"/>
  </r>
  <r>
    <n v="132"/>
    <s v="C045"/>
    <n v="49"/>
    <n v="4"/>
    <d v="2023-02-04T00:00:00"/>
    <d v="1899-12-30T23:23:41"/>
    <d v="2023-02-13T00:00:00"/>
    <d v="1899-12-30T19:55:48"/>
    <s v="Thoothukudi"/>
    <x v="3"/>
    <x v="39"/>
    <s v="Divit Mahajan"/>
    <x v="1"/>
    <x v="32"/>
    <x v="2"/>
    <x v="3"/>
    <n v="903"/>
    <x v="103"/>
    <n v="2528.3999999999996"/>
    <n v="1083.6000000000004"/>
    <n v="0.3000000000000001"/>
    <n v="9"/>
    <x v="0"/>
    <n v="2"/>
    <s v="Q1"/>
    <n v="2023"/>
    <x v="2"/>
    <x v="1"/>
  </r>
  <r>
    <n v="133"/>
    <s v="C018"/>
    <n v="43"/>
    <n v="5"/>
    <d v="2023-11-10T00:00:00"/>
    <d v="1899-12-30T15:51:54"/>
    <d v="2023-11-16T00:00:00"/>
    <d v="1899-12-30T11:22:51"/>
    <s v="Tiruppur"/>
    <x v="1"/>
    <x v="20"/>
    <s v="Eva Vaidya"/>
    <x v="0"/>
    <x v="6"/>
    <x v="0"/>
    <x v="1"/>
    <n v="750"/>
    <x v="104"/>
    <n v="2625"/>
    <n v="1125"/>
    <n v="0.3"/>
    <n v="6"/>
    <x v="1"/>
    <n v="11"/>
    <s v="Q4"/>
    <n v="2023"/>
    <x v="0"/>
    <x v="1"/>
  </r>
  <r>
    <n v="134"/>
    <s v="C036"/>
    <n v="69"/>
    <n v="5"/>
    <d v="2023-03-05T00:00:00"/>
    <d v="1899-12-30T19:12:46"/>
    <d v="2023-03-14T00:00:00"/>
    <d v="1899-12-30T04:58:29"/>
    <s v="Malda"/>
    <x v="5"/>
    <x v="38"/>
    <s v="Biju Bajwa"/>
    <x v="1"/>
    <x v="55"/>
    <x v="3"/>
    <x v="5"/>
    <n v="998"/>
    <x v="77"/>
    <n v="3492.9999999999995"/>
    <n v="1497.0000000000005"/>
    <n v="0.3000000000000001"/>
    <n v="9"/>
    <x v="5"/>
    <n v="3"/>
    <s v="Q1"/>
    <n v="2023"/>
    <x v="5"/>
    <x v="1"/>
  </r>
  <r>
    <n v="135"/>
    <s v="C087"/>
    <n v="30"/>
    <n v="2"/>
    <d v="2023-12-13T00:00:00"/>
    <d v="1899-12-30T10:20:09"/>
    <d v="2023-12-14T00:00:00"/>
    <d v="1899-12-30T15:43:20"/>
    <s v="Bokaro"/>
    <x v="0"/>
    <x v="10"/>
    <s v="Rania Bhatt"/>
    <x v="1"/>
    <x v="19"/>
    <x v="2"/>
    <x v="0"/>
    <n v="751"/>
    <x v="105"/>
    <n v="1051.3999999999999"/>
    <n v="450.60000000000014"/>
    <n v="0.3000000000000001"/>
    <n v="1"/>
    <x v="6"/>
    <n v="12"/>
    <s v="Q4"/>
    <n v="2023"/>
    <x v="3"/>
    <x v="2"/>
  </r>
  <r>
    <n v="136"/>
    <s v="C036"/>
    <n v="56"/>
    <n v="1"/>
    <d v="2023-09-05T00:00:00"/>
    <d v="1899-12-30T16:08:59"/>
    <d v="2023-09-09T00:00:00"/>
    <d v="1899-12-30T22:12:18"/>
    <s v="Guna"/>
    <x v="0"/>
    <x v="38"/>
    <s v="Biju Bajwa"/>
    <x v="1"/>
    <x v="8"/>
    <x v="0"/>
    <x v="0"/>
    <n v="1272"/>
    <x v="106"/>
    <n v="890.4"/>
    <n v="381.6"/>
    <n v="0.30000000000000004"/>
    <n v="4"/>
    <x v="7"/>
    <n v="9"/>
    <s v="Q3"/>
    <n v="2023"/>
    <x v="5"/>
    <x v="2"/>
  </r>
  <r>
    <n v="137"/>
    <s v="C070"/>
    <n v="47"/>
    <n v="2"/>
    <d v="2023-03-05T00:00:00"/>
    <d v="1899-12-30T16:06:24"/>
    <d v="2023-03-11T00:00:00"/>
    <d v="1899-12-30T07:29:21"/>
    <s v="Warangal"/>
    <x v="5"/>
    <x v="66"/>
    <s v="Emir Gokhale"/>
    <x v="0"/>
    <x v="49"/>
    <x v="2"/>
    <x v="5"/>
    <n v="1638"/>
    <x v="107"/>
    <n v="2293.1999999999998"/>
    <n v="982.80000000000018"/>
    <n v="0.30000000000000004"/>
    <n v="6"/>
    <x v="5"/>
    <n v="3"/>
    <s v="Q1"/>
    <n v="2023"/>
    <x v="5"/>
    <x v="1"/>
  </r>
  <r>
    <n v="138"/>
    <s v="C022"/>
    <n v="57"/>
    <n v="4"/>
    <d v="2023-03-11T00:00:00"/>
    <d v="1899-12-30T09:33:56"/>
    <d v="2023-03-18T00:00:00"/>
    <d v="1899-12-30T06:02:40"/>
    <s v="Siliguri"/>
    <x v="2"/>
    <x v="67"/>
    <s v="Ivana Rout"/>
    <x v="0"/>
    <x v="57"/>
    <x v="2"/>
    <x v="2"/>
    <n v="1582"/>
    <x v="108"/>
    <n v="4429.5999999999995"/>
    <n v="1898.4000000000005"/>
    <n v="0.3000000000000001"/>
    <n v="7"/>
    <x v="5"/>
    <n v="3"/>
    <s v="Q1"/>
    <n v="2023"/>
    <x v="2"/>
    <x v="0"/>
  </r>
  <r>
    <n v="139"/>
    <s v="C055"/>
    <n v="54"/>
    <n v="4"/>
    <d v="2023-05-11T00:00:00"/>
    <d v="1899-12-30T04:14:45"/>
    <d v="2023-05-16T00:00:00"/>
    <d v="1899-12-30T18:12:44"/>
    <s v="Amritsar"/>
    <x v="0"/>
    <x v="27"/>
    <s v="Umang Luthra"/>
    <x v="0"/>
    <x v="30"/>
    <x v="3"/>
    <x v="0"/>
    <n v="1236"/>
    <x v="34"/>
    <n v="3460.7999999999997"/>
    <n v="1483.2000000000003"/>
    <n v="0.30000000000000004"/>
    <n v="5"/>
    <x v="4"/>
    <n v="5"/>
    <s v="Q2"/>
    <n v="2023"/>
    <x v="2"/>
    <x v="1"/>
  </r>
  <r>
    <n v="140"/>
    <s v="C015"/>
    <n v="47"/>
    <n v="1"/>
    <d v="2023-03-04T00:00:00"/>
    <d v="1899-12-30T06:19:35"/>
    <d v="2023-03-13T00:00:00"/>
    <d v="1899-12-30T21:29:35"/>
    <s v="Bharatpur"/>
    <x v="5"/>
    <x v="44"/>
    <s v="Romil Bajwa"/>
    <x v="1"/>
    <x v="49"/>
    <x v="2"/>
    <x v="5"/>
    <n v="1638"/>
    <x v="68"/>
    <n v="1146.5999999999999"/>
    <n v="491.40000000000009"/>
    <n v="0.30000000000000004"/>
    <n v="9"/>
    <x v="5"/>
    <n v="3"/>
    <s v="Q1"/>
    <n v="2023"/>
    <x v="2"/>
    <x v="2"/>
  </r>
  <r>
    <n v="141"/>
    <s v="C062"/>
    <n v="35"/>
    <n v="4"/>
    <d v="2023-02-28T00:00:00"/>
    <d v="1899-12-30T03:55:06"/>
    <d v="2023-03-10T00:00:00"/>
    <d v="1899-12-30T02:31:56"/>
    <s v="Allahabad"/>
    <x v="5"/>
    <x v="49"/>
    <s v="Inaaya  Sarraf"/>
    <x v="0"/>
    <x v="31"/>
    <x v="2"/>
    <x v="5"/>
    <n v="1865"/>
    <x v="46"/>
    <n v="5222"/>
    <n v="2238"/>
    <n v="0.3"/>
    <n v="10"/>
    <x v="0"/>
    <n v="2"/>
    <s v="Q1"/>
    <n v="2023"/>
    <x v="1"/>
    <x v="0"/>
  </r>
  <r>
    <n v="142"/>
    <s v="C029"/>
    <n v="23"/>
    <n v="2"/>
    <d v="2023-10-23T00:00:00"/>
    <d v="1899-12-30T02:31:13"/>
    <d v="2023-10-27T00:00:00"/>
    <d v="1899-12-30T04:24:16"/>
    <s v="Bharatpur"/>
    <x v="0"/>
    <x v="2"/>
    <s v="Badal Sathe"/>
    <x v="1"/>
    <x v="13"/>
    <x v="1"/>
    <x v="0"/>
    <n v="1098"/>
    <x v="109"/>
    <n v="1537.1999999999998"/>
    <n v="658.80000000000018"/>
    <n v="0.3000000000000001"/>
    <n v="4"/>
    <x v="10"/>
    <n v="10"/>
    <s v="Q4"/>
    <n v="2023"/>
    <x v="6"/>
    <x v="1"/>
  </r>
  <r>
    <n v="143"/>
    <s v="C087"/>
    <n v="66"/>
    <n v="2"/>
    <d v="2023-02-28T00:00:00"/>
    <d v="1899-12-30T07:37:18"/>
    <d v="2023-03-10T00:00:00"/>
    <d v="1899-12-30T14:49:54"/>
    <s v="Ramagundam"/>
    <x v="5"/>
    <x v="10"/>
    <s v="Rania Bhatt"/>
    <x v="1"/>
    <x v="26"/>
    <x v="2"/>
    <x v="5"/>
    <n v="610"/>
    <x v="110"/>
    <n v="854"/>
    <n v="366"/>
    <n v="0.3"/>
    <n v="10"/>
    <x v="0"/>
    <n v="2"/>
    <s v="Q1"/>
    <n v="2023"/>
    <x v="1"/>
    <x v="2"/>
  </r>
  <r>
    <n v="144"/>
    <s v="C090"/>
    <n v="51"/>
    <n v="5"/>
    <d v="2023-01-18T00:00:00"/>
    <d v="1899-12-30T09:01:03"/>
    <d v="2023-01-23T00:00:00"/>
    <d v="1899-12-30T03:23:15"/>
    <s v="Srinagar"/>
    <x v="6"/>
    <x v="17"/>
    <s v="Drishya De"/>
    <x v="1"/>
    <x v="38"/>
    <x v="4"/>
    <x v="6"/>
    <n v="1084"/>
    <x v="49"/>
    <n v="3794"/>
    <n v="1626"/>
    <n v="0.3"/>
    <n v="5"/>
    <x v="8"/>
    <n v="1"/>
    <s v="Q1"/>
    <n v="2023"/>
    <x v="2"/>
    <x v="0"/>
  </r>
  <r>
    <n v="145"/>
    <s v="C055"/>
    <n v="59"/>
    <n v="5"/>
    <d v="2023-08-29T00:00:00"/>
    <d v="1899-12-30T16:52:56"/>
    <d v="2023-09-03T00:00:00"/>
    <d v="1899-12-30T13:04:25"/>
    <s v="Kumbakonam"/>
    <x v="4"/>
    <x v="27"/>
    <s v="Umang Luthra"/>
    <x v="0"/>
    <x v="58"/>
    <x v="3"/>
    <x v="4"/>
    <n v="811"/>
    <x v="111"/>
    <n v="2838.4999999999995"/>
    <n v="1216.5000000000005"/>
    <n v="0.3000000000000001"/>
    <n v="5"/>
    <x v="3"/>
    <n v="8"/>
    <s v="Q3"/>
    <n v="2023"/>
    <x v="4"/>
    <x v="1"/>
  </r>
  <r>
    <n v="146"/>
    <s v="C030"/>
    <n v="52"/>
    <n v="5"/>
    <d v="2023-02-13T00:00:00"/>
    <d v="1899-12-30T18:23:55"/>
    <d v="2023-02-16T00:00:00"/>
    <d v="1899-12-30T04:07:37"/>
    <s v="Vijayawada"/>
    <x v="3"/>
    <x v="64"/>
    <s v="Vardaniya Contractor"/>
    <x v="0"/>
    <x v="15"/>
    <x v="0"/>
    <x v="3"/>
    <n v="236"/>
    <x v="112"/>
    <n v="826"/>
    <n v="354"/>
    <n v="0.3"/>
    <n v="3"/>
    <x v="0"/>
    <n v="2"/>
    <s v="Q1"/>
    <n v="2023"/>
    <x v="3"/>
    <x v="2"/>
  </r>
  <r>
    <n v="147"/>
    <s v="C080"/>
    <n v="8"/>
    <n v="4"/>
    <d v="2023-03-17T00:00:00"/>
    <d v="1899-12-30T19:28:15"/>
    <d v="2023-03-23T00:00:00"/>
    <d v="1899-12-30T13:51:11"/>
    <s v="Jodhpur"/>
    <x v="0"/>
    <x v="31"/>
    <s v="Mohanlal Garde"/>
    <x v="0"/>
    <x v="24"/>
    <x v="1"/>
    <x v="0"/>
    <n v="252"/>
    <x v="113"/>
    <n v="705.59999999999991"/>
    <n v="302.40000000000009"/>
    <n v="0.3000000000000001"/>
    <n v="6"/>
    <x v="5"/>
    <n v="3"/>
    <s v="Q1"/>
    <n v="2023"/>
    <x v="0"/>
    <x v="2"/>
  </r>
  <r>
    <n v="148"/>
    <s v="C046"/>
    <n v="24"/>
    <n v="3"/>
    <d v="2023-12-05T00:00:00"/>
    <d v="1899-12-30T02:09:08"/>
    <d v="2023-12-07T00:00:00"/>
    <d v="1899-12-30T08:57:38"/>
    <s v="Gopalpur"/>
    <x v="2"/>
    <x v="32"/>
    <s v="Tara Kannan"/>
    <x v="0"/>
    <x v="54"/>
    <x v="6"/>
    <x v="2"/>
    <n v="535"/>
    <x v="43"/>
    <n v="1123.5"/>
    <n v="481.5"/>
    <n v="0.3"/>
    <n v="2"/>
    <x v="6"/>
    <n v="12"/>
    <s v="Q4"/>
    <n v="2023"/>
    <x v="5"/>
    <x v="2"/>
  </r>
  <r>
    <n v="149"/>
    <s v="C008"/>
    <n v="5"/>
    <n v="3"/>
    <d v="2023-10-06T00:00:00"/>
    <d v="1899-12-30T23:23:09"/>
    <d v="2023-10-09T00:00:00"/>
    <d v="1899-12-30T20:09:12"/>
    <s v="Mangalore"/>
    <x v="6"/>
    <x v="51"/>
    <s v="Veer Ray"/>
    <x v="1"/>
    <x v="36"/>
    <x v="2"/>
    <x v="6"/>
    <n v="1444"/>
    <x v="114"/>
    <n v="3032.3999999999996"/>
    <n v="1299.6000000000004"/>
    <n v="0.3000000000000001"/>
    <n v="3"/>
    <x v="10"/>
    <n v="10"/>
    <s v="Q4"/>
    <n v="2023"/>
    <x v="3"/>
    <x v="1"/>
  </r>
  <r>
    <n v="150"/>
    <s v="C092"/>
    <n v="27"/>
    <n v="5"/>
    <d v="2023-08-26T00:00:00"/>
    <d v="1899-12-30T07:18:17"/>
    <d v="2023-08-29T00:00:00"/>
    <d v="1899-12-30T16:56:13"/>
    <s v="Bidar"/>
    <x v="4"/>
    <x v="38"/>
    <s v="Zoya Mani"/>
    <x v="0"/>
    <x v="7"/>
    <x v="3"/>
    <x v="4"/>
    <n v="548"/>
    <x v="115"/>
    <n v="1917.9999999999998"/>
    <n v="822.00000000000023"/>
    <n v="0.3000000000000001"/>
    <n v="3"/>
    <x v="3"/>
    <n v="8"/>
    <s v="Q3"/>
    <n v="2023"/>
    <x v="5"/>
    <x v="1"/>
  </r>
  <r>
    <n v="151"/>
    <s v="C051"/>
    <n v="43"/>
    <n v="1"/>
    <d v="2023-11-03T00:00:00"/>
    <d v="1899-12-30T21:42:26"/>
    <d v="2023-11-10T00:00:00"/>
    <d v="1899-12-30T03:56:02"/>
    <s v="Jalna"/>
    <x v="1"/>
    <x v="65"/>
    <s v="Aradhya Batta"/>
    <x v="1"/>
    <x v="6"/>
    <x v="0"/>
    <x v="1"/>
    <n v="750"/>
    <x v="19"/>
    <n v="525"/>
    <n v="225"/>
    <n v="0.3"/>
    <n v="7"/>
    <x v="1"/>
    <n v="11"/>
    <s v="Q4"/>
    <n v="2023"/>
    <x v="0"/>
    <x v="2"/>
  </r>
  <r>
    <n v="152"/>
    <s v="C084"/>
    <n v="51"/>
    <n v="2"/>
    <d v="2023-02-27T00:00:00"/>
    <d v="1899-12-30T10:48:51"/>
    <d v="2023-03-05T00:00:00"/>
    <d v="1899-12-30T16:39:22"/>
    <s v="Tiruppur"/>
    <x v="6"/>
    <x v="68"/>
    <s v="Anahita Shankar"/>
    <x v="0"/>
    <x v="38"/>
    <x v="4"/>
    <x v="6"/>
    <n v="1084"/>
    <x v="116"/>
    <n v="1517.6"/>
    <n v="650.40000000000009"/>
    <n v="0.30000000000000004"/>
    <n v="6"/>
    <x v="0"/>
    <n v="2"/>
    <s v="Q1"/>
    <n v="2023"/>
    <x v="3"/>
    <x v="1"/>
  </r>
  <r>
    <n v="153"/>
    <s v="C094"/>
    <n v="16"/>
    <n v="4"/>
    <d v="2023-03-04T00:00:00"/>
    <d v="1899-12-30T12:15:00"/>
    <d v="2023-03-10T00:00:00"/>
    <d v="1899-12-30T06:04:43"/>
    <s v="Rewa"/>
    <x v="5"/>
    <x v="69"/>
    <s v="Raghav Babu"/>
    <x v="1"/>
    <x v="9"/>
    <x v="1"/>
    <x v="5"/>
    <n v="1721"/>
    <x v="9"/>
    <n v="4818.7999999999993"/>
    <n v="2065.2000000000007"/>
    <n v="0.3000000000000001"/>
    <n v="6"/>
    <x v="5"/>
    <n v="3"/>
    <s v="Q1"/>
    <n v="2023"/>
    <x v="2"/>
    <x v="0"/>
  </r>
  <r>
    <n v="154"/>
    <s v="C049"/>
    <n v="45"/>
    <n v="5"/>
    <d v="2023-11-21T00:00:00"/>
    <d v="1899-12-30T23:14:18"/>
    <d v="2023-11-25T00:00:00"/>
    <d v="1899-12-30T02:04:59"/>
    <s v="Indore"/>
    <x v="2"/>
    <x v="27"/>
    <s v="Aarush Balasubramanian"/>
    <x v="1"/>
    <x v="5"/>
    <x v="0"/>
    <x v="2"/>
    <n v="722"/>
    <x v="117"/>
    <n v="2527"/>
    <n v="1083"/>
    <n v="0.3"/>
    <n v="4"/>
    <x v="1"/>
    <n v="11"/>
    <s v="Q4"/>
    <n v="2023"/>
    <x v="1"/>
    <x v="1"/>
  </r>
  <r>
    <n v="155"/>
    <s v="C023"/>
    <n v="23"/>
    <n v="3"/>
    <d v="2023-05-01T00:00:00"/>
    <d v="1899-12-30T14:46:58"/>
    <d v="2023-05-06T00:00:00"/>
    <d v="1899-12-30T00:00:30"/>
    <s v="Sambhal"/>
    <x v="0"/>
    <x v="18"/>
    <s v="Abram Sandhu"/>
    <x v="0"/>
    <x v="13"/>
    <x v="1"/>
    <x v="0"/>
    <n v="1098"/>
    <x v="118"/>
    <n v="2305.7999999999997"/>
    <n v="988.20000000000027"/>
    <n v="0.3000000000000001"/>
    <n v="5"/>
    <x v="4"/>
    <n v="5"/>
    <s v="Q2"/>
    <n v="2023"/>
    <x v="4"/>
    <x v="1"/>
  </r>
  <r>
    <n v="156"/>
    <s v="C030"/>
    <n v="61"/>
    <n v="2"/>
    <d v="2023-02-09T00:00:00"/>
    <d v="1899-12-30T08:20:50"/>
    <d v="2023-02-12T00:00:00"/>
    <d v="1899-12-30T10:49:14"/>
    <s v="Ozhukarai"/>
    <x v="0"/>
    <x v="64"/>
    <s v="Vardaniya Contractor"/>
    <x v="0"/>
    <x v="33"/>
    <x v="5"/>
    <x v="0"/>
    <n v="810"/>
    <x v="119"/>
    <n v="1134"/>
    <n v="486"/>
    <n v="0.3"/>
    <n v="3"/>
    <x v="0"/>
    <n v="2"/>
    <s v="Q1"/>
    <n v="2023"/>
    <x v="6"/>
    <x v="2"/>
  </r>
  <r>
    <n v="157"/>
    <s v="C019"/>
    <n v="35"/>
    <n v="3"/>
    <d v="2023-02-26T00:00:00"/>
    <d v="1899-12-30T12:44:17"/>
    <d v="2023-03-06T00:00:00"/>
    <d v="1899-12-30T11:35:44"/>
    <s v="Thiruvananthapuram"/>
    <x v="5"/>
    <x v="1"/>
    <s v="Amira Sengupta"/>
    <x v="0"/>
    <x v="31"/>
    <x v="2"/>
    <x v="5"/>
    <n v="1865"/>
    <x v="120"/>
    <n v="3916.5"/>
    <n v="1678.5"/>
    <n v="0.3"/>
    <n v="8"/>
    <x v="0"/>
    <n v="2"/>
    <s v="Q1"/>
    <n v="2023"/>
    <x v="5"/>
    <x v="0"/>
  </r>
  <r>
    <n v="158"/>
    <s v="C007"/>
    <n v="35"/>
    <n v="2"/>
    <d v="2023-03-03T00:00:00"/>
    <d v="1899-12-30T15:40:17"/>
    <d v="2023-03-08T00:00:00"/>
    <d v="1899-12-30T02:53:01"/>
    <s v="Medininagar"/>
    <x v="5"/>
    <x v="70"/>
    <s v="Jayant Kamdar"/>
    <x v="0"/>
    <x v="31"/>
    <x v="2"/>
    <x v="5"/>
    <n v="1865"/>
    <x v="121"/>
    <n v="2611"/>
    <n v="1119"/>
    <n v="0.3"/>
    <n v="5"/>
    <x v="5"/>
    <n v="3"/>
    <s v="Q1"/>
    <n v="2023"/>
    <x v="0"/>
    <x v="1"/>
  </r>
  <r>
    <n v="159"/>
    <s v="C095"/>
    <n v="43"/>
    <n v="3"/>
    <d v="2023-11-09T00:00:00"/>
    <d v="1899-12-30T21:31:39"/>
    <d v="2023-11-11T00:00:00"/>
    <d v="1899-12-30T04:55:56"/>
    <s v="Davanagere"/>
    <x v="1"/>
    <x v="40"/>
    <s v="Mahika Cherian"/>
    <x v="1"/>
    <x v="6"/>
    <x v="0"/>
    <x v="1"/>
    <n v="750"/>
    <x v="6"/>
    <n v="1575"/>
    <n v="675"/>
    <n v="0.3"/>
    <n v="2"/>
    <x v="1"/>
    <n v="11"/>
    <s v="Q4"/>
    <n v="2023"/>
    <x v="6"/>
    <x v="1"/>
  </r>
  <r>
    <n v="160"/>
    <s v="C037"/>
    <n v="36"/>
    <n v="3"/>
    <d v="2023-06-02T00:00:00"/>
    <d v="1899-12-30T00:28:57"/>
    <d v="2023-06-10T00:00:00"/>
    <d v="1899-12-30T07:52:59"/>
    <s v="Moradabad"/>
    <x v="2"/>
    <x v="0"/>
    <s v="Aradhya Kumar"/>
    <x v="0"/>
    <x v="37"/>
    <x v="5"/>
    <x v="2"/>
    <n v="203"/>
    <x v="122"/>
    <n v="426.29999999999995"/>
    <n v="182.70000000000005"/>
    <n v="0.3000000000000001"/>
    <n v="8"/>
    <x v="11"/>
    <n v="6"/>
    <s v="Q2"/>
    <n v="2023"/>
    <x v="6"/>
    <x v="2"/>
  </r>
  <r>
    <n v="161"/>
    <s v="C054"/>
    <n v="58"/>
    <n v="3"/>
    <d v="2023-02-13T00:00:00"/>
    <d v="1899-12-30T03:08:06"/>
    <d v="2023-02-14T00:00:00"/>
    <d v="1899-12-30T23:12:01"/>
    <s v="Karaikudi"/>
    <x v="3"/>
    <x v="18"/>
    <s v="Umang Ahuja"/>
    <x v="1"/>
    <x v="3"/>
    <x v="3"/>
    <x v="3"/>
    <n v="1492"/>
    <x v="123"/>
    <n v="3133.2"/>
    <n v="1342.8000000000002"/>
    <n v="0.30000000000000004"/>
    <n v="1"/>
    <x v="0"/>
    <n v="2"/>
    <s v="Q1"/>
    <n v="2023"/>
    <x v="3"/>
    <x v="1"/>
  </r>
  <r>
    <n v="162"/>
    <s v="C050"/>
    <n v="55"/>
    <n v="3"/>
    <d v="2023-08-27T00:00:00"/>
    <d v="1899-12-30T06:14:31"/>
    <d v="2023-09-05T00:00:00"/>
    <d v="1899-12-30T15:53:45"/>
    <s v="Barasat"/>
    <x v="4"/>
    <x v="27"/>
    <s v="Chirag Srinivas"/>
    <x v="1"/>
    <x v="60"/>
    <x v="4"/>
    <x v="4"/>
    <n v="1904"/>
    <x v="124"/>
    <n v="3998.3999999999996"/>
    <n v="1713.6000000000004"/>
    <n v="0.30000000000000004"/>
    <n v="9"/>
    <x v="3"/>
    <n v="8"/>
    <s v="Q3"/>
    <n v="2023"/>
    <x v="3"/>
    <x v="0"/>
  </r>
  <r>
    <n v="163"/>
    <s v="C083"/>
    <n v="54"/>
    <n v="4"/>
    <d v="2023-02-17T00:00:00"/>
    <d v="1899-12-30T19:50:10"/>
    <d v="2023-02-25T00:00:00"/>
    <d v="1899-12-30T10:20:16"/>
    <s v="Ujjain"/>
    <x v="0"/>
    <x v="62"/>
    <s v="Aaryahi Sodhi"/>
    <x v="0"/>
    <x v="30"/>
    <x v="3"/>
    <x v="0"/>
    <n v="1236"/>
    <x v="34"/>
    <n v="3460.7999999999997"/>
    <n v="1483.2000000000003"/>
    <n v="0.30000000000000004"/>
    <n v="8"/>
    <x v="0"/>
    <n v="2"/>
    <s v="Q1"/>
    <n v="2023"/>
    <x v="0"/>
    <x v="1"/>
  </r>
  <r>
    <n v="164"/>
    <s v="C063"/>
    <n v="14"/>
    <n v="5"/>
    <d v="2023-04-25T00:00:00"/>
    <d v="1899-12-30T02:04:02"/>
    <d v="2023-04-27T00:00:00"/>
    <d v="1899-12-30T11:49:33"/>
    <s v="Berhampore"/>
    <x v="2"/>
    <x v="22"/>
    <s v="Arhaan Ahluwalia"/>
    <x v="0"/>
    <x v="2"/>
    <x v="2"/>
    <x v="2"/>
    <n v="1915"/>
    <x v="2"/>
    <n v="6702.5"/>
    <n v="2872.5"/>
    <n v="0.3"/>
    <n v="2"/>
    <x v="9"/>
    <n v="4"/>
    <s v="Q2"/>
    <n v="2023"/>
    <x v="2"/>
    <x v="0"/>
  </r>
  <r>
    <n v="165"/>
    <s v="C058"/>
    <n v="40"/>
    <n v="5"/>
    <d v="2023-08-06T00:00:00"/>
    <d v="1899-12-30T13:11:16"/>
    <d v="2023-08-10T00:00:00"/>
    <d v="1899-12-30T08:37:14"/>
    <s v="Lucknow"/>
    <x v="0"/>
    <x v="42"/>
    <s v="Charvi Kanda"/>
    <x v="0"/>
    <x v="46"/>
    <x v="1"/>
    <x v="0"/>
    <n v="1923"/>
    <x v="125"/>
    <n v="6730.5"/>
    <n v="2884.5"/>
    <n v="0.3"/>
    <n v="4"/>
    <x v="3"/>
    <n v="8"/>
    <s v="Q3"/>
    <n v="2023"/>
    <x v="3"/>
    <x v="0"/>
  </r>
  <r>
    <n v="166"/>
    <s v="C035"/>
    <n v="4"/>
    <n v="3"/>
    <d v="2023-11-07T00:00:00"/>
    <d v="1899-12-30T23:05:28"/>
    <d v="2023-11-10T00:00:00"/>
    <d v="1899-12-30T06:12:46"/>
    <s v="Madanapalle"/>
    <x v="1"/>
    <x v="61"/>
    <s v="Ira Sarna"/>
    <x v="0"/>
    <x v="44"/>
    <x v="1"/>
    <x v="1"/>
    <n v="1199"/>
    <x v="87"/>
    <n v="2517.8999999999996"/>
    <n v="1079.1000000000004"/>
    <n v="0.3000000000000001"/>
    <n v="3"/>
    <x v="1"/>
    <n v="11"/>
    <s v="Q4"/>
    <n v="2023"/>
    <x v="1"/>
    <x v="1"/>
  </r>
  <r>
    <n v="167"/>
    <s v="C019"/>
    <n v="37"/>
    <n v="4"/>
    <d v="2023-11-04T00:00:00"/>
    <d v="1899-12-30T01:26:51"/>
    <d v="2023-11-07T00:00:00"/>
    <d v="1899-12-30T15:16:27"/>
    <s v="Nangloi Jat"/>
    <x v="1"/>
    <x v="1"/>
    <s v="Amira Sengupta"/>
    <x v="0"/>
    <x v="28"/>
    <x v="2"/>
    <x v="1"/>
    <n v="1428"/>
    <x v="124"/>
    <n v="3998.3999999999996"/>
    <n v="1713.6000000000004"/>
    <n v="0.30000000000000004"/>
    <n v="3"/>
    <x v="1"/>
    <n v="11"/>
    <s v="Q4"/>
    <n v="2023"/>
    <x v="2"/>
    <x v="0"/>
  </r>
  <r>
    <n v="168"/>
    <s v="C092"/>
    <n v="35"/>
    <n v="2"/>
    <d v="2023-03-04T00:00:00"/>
    <d v="1899-12-30T15:36:03"/>
    <d v="2023-03-07T00:00:00"/>
    <d v="1899-12-30T11:02:42"/>
    <s v="Bidar"/>
    <x v="5"/>
    <x v="38"/>
    <s v="Zoya Mani"/>
    <x v="0"/>
    <x v="31"/>
    <x v="2"/>
    <x v="5"/>
    <n v="1865"/>
    <x v="121"/>
    <n v="2611"/>
    <n v="1119"/>
    <n v="0.3"/>
    <n v="3"/>
    <x v="5"/>
    <n v="3"/>
    <s v="Q1"/>
    <n v="2023"/>
    <x v="2"/>
    <x v="1"/>
  </r>
  <r>
    <n v="169"/>
    <s v="C051"/>
    <n v="3"/>
    <n v="2"/>
    <d v="2023-02-06T00:00:00"/>
    <d v="1899-12-30T10:28:57"/>
    <d v="2023-02-16T00:00:00"/>
    <d v="1899-12-30T01:26:19"/>
    <s v="Shivpuri"/>
    <x v="3"/>
    <x v="65"/>
    <s v="Aradhya Batta"/>
    <x v="1"/>
    <x v="52"/>
    <x v="2"/>
    <x v="3"/>
    <n v="1534"/>
    <x v="126"/>
    <n v="2147.6"/>
    <n v="920.40000000000009"/>
    <n v="0.30000000000000004"/>
    <n v="10"/>
    <x v="0"/>
    <n v="2"/>
    <s v="Q1"/>
    <n v="2023"/>
    <x v="3"/>
    <x v="1"/>
  </r>
  <r>
    <n v="170"/>
    <s v="C040"/>
    <n v="32"/>
    <n v="2"/>
    <d v="2023-03-21T00:00:00"/>
    <d v="1899-12-30T11:58:13"/>
    <d v="2023-03-27T00:00:00"/>
    <d v="1899-12-30T05:14:07"/>
    <s v="Kamarhati"/>
    <x v="2"/>
    <x v="5"/>
    <s v="Hazel Mangat"/>
    <x v="1"/>
    <x v="16"/>
    <x v="4"/>
    <x v="2"/>
    <n v="1792"/>
    <x v="127"/>
    <n v="2508.7999999999997"/>
    <n v="1075.2000000000003"/>
    <n v="0.3000000000000001"/>
    <n v="6"/>
    <x v="5"/>
    <n v="3"/>
    <s v="Q1"/>
    <n v="2023"/>
    <x v="1"/>
    <x v="1"/>
  </r>
  <r>
    <n v="171"/>
    <s v="C071"/>
    <n v="54"/>
    <n v="3"/>
    <d v="2023-06-30T00:00:00"/>
    <d v="1899-12-30T11:47:49"/>
    <d v="2023-07-08T00:00:00"/>
    <d v="1899-12-30T12:27:06"/>
    <s v="Tiruvottiyur"/>
    <x v="0"/>
    <x v="26"/>
    <s v="Purab Sheth"/>
    <x v="0"/>
    <x v="30"/>
    <x v="3"/>
    <x v="0"/>
    <n v="1236"/>
    <x v="128"/>
    <n v="2595.6"/>
    <n v="1112.4000000000001"/>
    <n v="0.30000000000000004"/>
    <n v="8"/>
    <x v="11"/>
    <n v="6"/>
    <s v="Q2"/>
    <n v="2023"/>
    <x v="6"/>
    <x v="1"/>
  </r>
  <r>
    <n v="172"/>
    <s v="C070"/>
    <n v="62"/>
    <n v="4"/>
    <d v="2023-03-03T00:00:00"/>
    <d v="1899-12-30T04:40:04"/>
    <d v="2023-03-08T00:00:00"/>
    <d v="1899-12-30T05:12:47"/>
    <s v="Patiala"/>
    <x v="5"/>
    <x v="66"/>
    <s v="Emir Gokhale"/>
    <x v="0"/>
    <x v="14"/>
    <x v="2"/>
    <x v="5"/>
    <n v="1356"/>
    <x v="16"/>
    <n v="3796.7999999999997"/>
    <n v="1627.2000000000003"/>
    <n v="0.30000000000000004"/>
    <n v="5"/>
    <x v="5"/>
    <n v="3"/>
    <s v="Q1"/>
    <n v="2023"/>
    <x v="0"/>
    <x v="0"/>
  </r>
  <r>
    <n v="173"/>
    <s v="C072"/>
    <n v="58"/>
    <n v="2"/>
    <d v="2023-02-07T00:00:00"/>
    <d v="1899-12-30T23:15:37"/>
    <d v="2023-02-13T00:00:00"/>
    <d v="1899-12-30T01:51:53"/>
    <s v="Deoghar"/>
    <x v="3"/>
    <x v="15"/>
    <s v="Charvi Karnik"/>
    <x v="0"/>
    <x v="3"/>
    <x v="3"/>
    <x v="3"/>
    <n v="1492"/>
    <x v="3"/>
    <n v="2088.7999999999997"/>
    <n v="895.20000000000027"/>
    <n v="0.3000000000000001"/>
    <n v="6"/>
    <x v="0"/>
    <n v="2"/>
    <s v="Q1"/>
    <n v="2023"/>
    <x v="1"/>
    <x v="1"/>
  </r>
  <r>
    <n v="174"/>
    <s v="C048"/>
    <n v="4"/>
    <n v="3"/>
    <d v="2023-11-03T00:00:00"/>
    <d v="1899-12-30T15:39:20"/>
    <d v="2023-11-13T00:00:00"/>
    <d v="1899-12-30T18:06:46"/>
    <s v="Malda"/>
    <x v="1"/>
    <x v="42"/>
    <s v="Aradhya Kale"/>
    <x v="0"/>
    <x v="44"/>
    <x v="1"/>
    <x v="1"/>
    <n v="1199"/>
    <x v="87"/>
    <n v="2517.8999999999996"/>
    <n v="1079.1000000000004"/>
    <n v="0.3000000000000001"/>
    <n v="10"/>
    <x v="1"/>
    <n v="11"/>
    <s v="Q4"/>
    <n v="2023"/>
    <x v="0"/>
    <x v="1"/>
  </r>
  <r>
    <n v="175"/>
    <s v="C042"/>
    <n v="31"/>
    <n v="1"/>
    <d v="2023-10-13T00:00:00"/>
    <d v="1899-12-30T01:17:47"/>
    <d v="2023-10-20T00:00:00"/>
    <d v="1899-12-30T07:22:52"/>
    <s v="Navi Mumbai"/>
    <x v="6"/>
    <x v="12"/>
    <s v="Eshani Sharma"/>
    <x v="0"/>
    <x v="43"/>
    <x v="2"/>
    <x v="6"/>
    <n v="1804"/>
    <x v="129"/>
    <n v="1262.8"/>
    <n v="541.20000000000005"/>
    <n v="0.30000000000000004"/>
    <n v="7"/>
    <x v="10"/>
    <n v="10"/>
    <s v="Q4"/>
    <n v="2023"/>
    <x v="3"/>
    <x v="2"/>
  </r>
  <r>
    <n v="176"/>
    <s v="C039"/>
    <n v="17"/>
    <n v="2"/>
    <d v="2023-03-10T00:00:00"/>
    <d v="1899-12-30T03:34:46"/>
    <d v="2023-03-16T00:00:00"/>
    <d v="1899-12-30T17:24:51"/>
    <s v="Moradabad"/>
    <x v="0"/>
    <x v="57"/>
    <s v="Kaira Bahl"/>
    <x v="0"/>
    <x v="25"/>
    <x v="4"/>
    <x v="0"/>
    <n v="1899"/>
    <x v="28"/>
    <n v="2658.6"/>
    <n v="1139.4000000000001"/>
    <n v="0.30000000000000004"/>
    <n v="6"/>
    <x v="5"/>
    <n v="3"/>
    <s v="Q1"/>
    <n v="2023"/>
    <x v="0"/>
    <x v="1"/>
  </r>
  <r>
    <n v="177"/>
    <s v="C085"/>
    <n v="62"/>
    <n v="4"/>
    <d v="2023-03-05T00:00:00"/>
    <d v="1899-12-30T01:49:12"/>
    <d v="2023-03-07T00:00:00"/>
    <d v="1899-12-30T14:50:42"/>
    <s v="Satara"/>
    <x v="5"/>
    <x v="71"/>
    <s v="Bhamini Johal"/>
    <x v="0"/>
    <x v="14"/>
    <x v="2"/>
    <x v="5"/>
    <n v="1356"/>
    <x v="16"/>
    <n v="3796.7999999999997"/>
    <n v="1627.2000000000003"/>
    <n v="0.30000000000000004"/>
    <n v="2"/>
    <x v="5"/>
    <n v="3"/>
    <s v="Q1"/>
    <n v="2023"/>
    <x v="5"/>
    <x v="0"/>
  </r>
  <r>
    <n v="178"/>
    <s v="C097"/>
    <n v="61"/>
    <n v="1"/>
    <d v="2023-11-14T00:00:00"/>
    <d v="1899-12-30T23:04:31"/>
    <d v="2023-11-16T00:00:00"/>
    <d v="1899-12-30T02:14:23"/>
    <s v="Bhilai"/>
    <x v="0"/>
    <x v="7"/>
    <s v="Nakul Randhawa"/>
    <x v="1"/>
    <x v="33"/>
    <x v="5"/>
    <x v="0"/>
    <n v="810"/>
    <x v="95"/>
    <n v="567"/>
    <n v="243"/>
    <n v="0.3"/>
    <n v="2"/>
    <x v="1"/>
    <n v="11"/>
    <s v="Q4"/>
    <n v="2023"/>
    <x v="1"/>
    <x v="2"/>
  </r>
  <r>
    <n v="179"/>
    <s v="C078"/>
    <n v="47"/>
    <n v="3"/>
    <d v="2023-02-28T00:00:00"/>
    <d v="1899-12-30T15:16:02"/>
    <d v="2023-03-10T00:00:00"/>
    <d v="1899-12-30T14:31:07"/>
    <s v="Vijayanagaram"/>
    <x v="5"/>
    <x v="4"/>
    <s v="Jivika Rajan"/>
    <x v="1"/>
    <x v="49"/>
    <x v="2"/>
    <x v="5"/>
    <n v="1638"/>
    <x v="130"/>
    <n v="3439.7999999999997"/>
    <n v="1474.2000000000003"/>
    <n v="0.30000000000000004"/>
    <n v="10"/>
    <x v="0"/>
    <n v="2"/>
    <s v="Q1"/>
    <n v="2023"/>
    <x v="1"/>
    <x v="1"/>
  </r>
  <r>
    <n v="180"/>
    <s v="C058"/>
    <n v="55"/>
    <n v="2"/>
    <d v="2023-08-24T00:00:00"/>
    <d v="1899-12-30T16:40:33"/>
    <d v="2023-08-27T00:00:00"/>
    <d v="1899-12-30T08:45:14"/>
    <s v="Nellore"/>
    <x v="4"/>
    <x v="42"/>
    <s v="Charvi Kanda"/>
    <x v="0"/>
    <x v="60"/>
    <x v="4"/>
    <x v="4"/>
    <n v="1904"/>
    <x v="131"/>
    <n v="2665.6"/>
    <n v="1142.4000000000001"/>
    <n v="0.30000000000000004"/>
    <n v="3"/>
    <x v="3"/>
    <n v="8"/>
    <s v="Q3"/>
    <n v="2023"/>
    <x v="0"/>
    <x v="1"/>
  </r>
  <r>
    <n v="181"/>
    <s v="C064"/>
    <n v="10"/>
    <n v="4"/>
    <d v="2023-08-28T00:00:00"/>
    <d v="1899-12-30T05:55:22"/>
    <d v="2023-09-06T00:00:00"/>
    <d v="1899-12-30T04:53:28"/>
    <s v="Howrah"/>
    <x v="2"/>
    <x v="24"/>
    <s v="Indrajit Kale"/>
    <x v="0"/>
    <x v="22"/>
    <x v="3"/>
    <x v="2"/>
    <n v="259"/>
    <x v="132"/>
    <n v="725.19999999999993"/>
    <n v="310.80000000000007"/>
    <n v="0.30000000000000004"/>
    <n v="9"/>
    <x v="3"/>
    <n v="8"/>
    <s v="Q3"/>
    <n v="2023"/>
    <x v="1"/>
    <x v="2"/>
  </r>
  <r>
    <n v="182"/>
    <s v="C070"/>
    <n v="2"/>
    <n v="1"/>
    <d v="2023-02-08T00:00:00"/>
    <d v="1899-12-30T23:21:30"/>
    <d v="2023-02-15T00:00:00"/>
    <d v="1899-12-30T06:07:33"/>
    <s v="Chennai"/>
    <x v="3"/>
    <x v="66"/>
    <s v="Emir Gokhale"/>
    <x v="0"/>
    <x v="50"/>
    <x v="5"/>
    <x v="3"/>
    <n v="441"/>
    <x v="133"/>
    <n v="308.7"/>
    <n v="132.30000000000001"/>
    <n v="0.30000000000000004"/>
    <n v="7"/>
    <x v="0"/>
    <n v="2"/>
    <s v="Q1"/>
    <n v="2023"/>
    <x v="4"/>
    <x v="2"/>
  </r>
  <r>
    <n v="183"/>
    <s v="C082"/>
    <n v="48"/>
    <n v="3"/>
    <d v="2023-11-09T00:00:00"/>
    <d v="1899-12-30T18:11:41"/>
    <d v="2023-11-11T00:00:00"/>
    <d v="1899-12-30T15:29:26"/>
    <s v="Bahraich"/>
    <x v="1"/>
    <x v="59"/>
    <s v="Anya Chaudhari"/>
    <x v="1"/>
    <x v="29"/>
    <x v="2"/>
    <x v="1"/>
    <n v="433"/>
    <x v="134"/>
    <n v="909.3"/>
    <n v="389.70000000000005"/>
    <n v="0.30000000000000004"/>
    <n v="2"/>
    <x v="1"/>
    <n v="11"/>
    <s v="Q4"/>
    <n v="2023"/>
    <x v="6"/>
    <x v="2"/>
  </r>
  <r>
    <n v="184"/>
    <s v="C027"/>
    <n v="52"/>
    <n v="3"/>
    <d v="2023-02-11T00:00:00"/>
    <d v="1899-12-30T21:34:53"/>
    <d v="2023-02-20T00:00:00"/>
    <d v="1899-12-30T05:00:29"/>
    <s v="Dharmavaram"/>
    <x v="3"/>
    <x v="72"/>
    <s v="Kashvi Sur"/>
    <x v="1"/>
    <x v="15"/>
    <x v="0"/>
    <x v="3"/>
    <n v="236"/>
    <x v="135"/>
    <n v="495.59999999999997"/>
    <n v="212.40000000000003"/>
    <n v="0.30000000000000004"/>
    <n v="9"/>
    <x v="0"/>
    <n v="2"/>
    <s v="Q1"/>
    <n v="2023"/>
    <x v="2"/>
    <x v="2"/>
  </r>
  <r>
    <n v="185"/>
    <s v="C068"/>
    <n v="18"/>
    <n v="1"/>
    <d v="2023-05-07T00:00:00"/>
    <d v="1899-12-30T07:10:45"/>
    <d v="2023-05-17T00:00:00"/>
    <d v="1899-12-30T20:00:43"/>
    <s v="Raurkela Industrial Township"/>
    <x v="2"/>
    <x v="34"/>
    <s v="Ritvik Garde"/>
    <x v="0"/>
    <x v="53"/>
    <x v="5"/>
    <x v="2"/>
    <n v="781"/>
    <x v="136"/>
    <n v="546.69999999999993"/>
    <n v="234.30000000000007"/>
    <n v="0.3000000000000001"/>
    <n v="10"/>
    <x v="4"/>
    <n v="5"/>
    <s v="Q2"/>
    <n v="2023"/>
    <x v="1"/>
    <x v="2"/>
  </r>
  <r>
    <n v="186"/>
    <s v="C048"/>
    <n v="61"/>
    <n v="1"/>
    <d v="2023-05-09T00:00:00"/>
    <d v="1899-12-30T09:09:44"/>
    <d v="2023-05-11T00:00:00"/>
    <d v="1899-12-30T00:16:23"/>
    <s v="Kollam"/>
    <x v="0"/>
    <x v="42"/>
    <s v="Aradhya Kale"/>
    <x v="0"/>
    <x v="33"/>
    <x v="5"/>
    <x v="0"/>
    <n v="810"/>
    <x v="95"/>
    <n v="567"/>
    <n v="243"/>
    <n v="0.3"/>
    <n v="2"/>
    <x v="4"/>
    <n v="5"/>
    <s v="Q2"/>
    <n v="2023"/>
    <x v="6"/>
    <x v="2"/>
  </r>
  <r>
    <n v="187"/>
    <s v="C008"/>
    <n v="49"/>
    <n v="5"/>
    <d v="2023-02-11T00:00:00"/>
    <d v="1899-12-30T21:10:41"/>
    <d v="2023-02-16T00:00:00"/>
    <d v="1899-12-30T09:34:09"/>
    <s v="Anantapur"/>
    <x v="3"/>
    <x v="51"/>
    <s v="Veer Ray"/>
    <x v="1"/>
    <x v="32"/>
    <x v="2"/>
    <x v="3"/>
    <n v="903"/>
    <x v="137"/>
    <n v="3160.4999999999995"/>
    <n v="1354.5000000000005"/>
    <n v="0.3000000000000001"/>
    <n v="5"/>
    <x v="0"/>
    <n v="2"/>
    <s v="Q1"/>
    <n v="2023"/>
    <x v="2"/>
    <x v="1"/>
  </r>
  <r>
    <n v="188"/>
    <s v="C067"/>
    <n v="22"/>
    <n v="5"/>
    <d v="2023-09-18T00:00:00"/>
    <d v="1899-12-30T01:38:33"/>
    <d v="2023-09-25T00:00:00"/>
    <d v="1899-12-30T14:02:12"/>
    <s v="Serampore"/>
    <x v="6"/>
    <x v="29"/>
    <s v="Eva Sankaran"/>
    <x v="0"/>
    <x v="34"/>
    <x v="4"/>
    <x v="6"/>
    <n v="1639"/>
    <x v="138"/>
    <n v="5736.5"/>
    <n v="2458.5"/>
    <n v="0.3"/>
    <n v="7"/>
    <x v="7"/>
    <n v="9"/>
    <s v="Q3"/>
    <n v="2023"/>
    <x v="2"/>
    <x v="0"/>
  </r>
  <r>
    <n v="189"/>
    <s v="C016"/>
    <n v="57"/>
    <n v="1"/>
    <d v="2023-11-19T00:00:00"/>
    <d v="1899-12-30T17:22:19"/>
    <d v="2023-11-22T00:00:00"/>
    <d v="1899-12-30T13:21:54"/>
    <s v="Srikakulam"/>
    <x v="2"/>
    <x v="73"/>
    <s v="Amani Ganesh"/>
    <x v="0"/>
    <x v="57"/>
    <x v="2"/>
    <x v="2"/>
    <n v="1582"/>
    <x v="92"/>
    <n v="1107.3999999999999"/>
    <n v="474.60000000000014"/>
    <n v="0.3000000000000001"/>
    <n v="3"/>
    <x v="1"/>
    <n v="11"/>
    <s v="Q4"/>
    <n v="2023"/>
    <x v="5"/>
    <x v="2"/>
  </r>
  <r>
    <n v="190"/>
    <s v="C096"/>
    <n v="60"/>
    <n v="5"/>
    <d v="2023-11-09T00:00:00"/>
    <d v="1899-12-30T12:33:49"/>
    <d v="2023-11-13T00:00:00"/>
    <d v="1899-12-30T13:41:24"/>
    <s v="Darbhanga"/>
    <x v="1"/>
    <x v="28"/>
    <s v="Kavya Reddy"/>
    <x v="0"/>
    <x v="12"/>
    <x v="1"/>
    <x v="1"/>
    <n v="827"/>
    <x v="139"/>
    <n v="2894.5"/>
    <n v="1240.5"/>
    <n v="0.3"/>
    <n v="4"/>
    <x v="1"/>
    <n v="11"/>
    <s v="Q4"/>
    <n v="2023"/>
    <x v="6"/>
    <x v="1"/>
  </r>
  <r>
    <n v="191"/>
    <s v="C012"/>
    <n v="24"/>
    <n v="3"/>
    <d v="2023-10-12T00:00:00"/>
    <d v="1899-12-30T18:13:06"/>
    <d v="2023-10-17T00:00:00"/>
    <d v="1899-12-30T08:50:02"/>
    <s v="Etawah"/>
    <x v="2"/>
    <x v="3"/>
    <s v="Onkar Mangat"/>
    <x v="0"/>
    <x v="54"/>
    <x v="6"/>
    <x v="2"/>
    <n v="535"/>
    <x v="43"/>
    <n v="1123.5"/>
    <n v="481.5"/>
    <n v="0.3"/>
    <n v="5"/>
    <x v="10"/>
    <n v="10"/>
    <s v="Q4"/>
    <n v="2023"/>
    <x v="5"/>
    <x v="2"/>
  </r>
  <r>
    <n v="192"/>
    <s v="C060"/>
    <n v="64"/>
    <n v="5"/>
    <d v="2023-08-20T00:00:00"/>
    <d v="1899-12-30T12:28:32"/>
    <d v="2023-08-21T00:00:00"/>
    <d v="1899-12-30T02:11:18"/>
    <s v="Vijayanagaram"/>
    <x v="4"/>
    <x v="55"/>
    <s v="Riya Wagle"/>
    <x v="0"/>
    <x v="61"/>
    <x v="4"/>
    <x v="4"/>
    <n v="1878"/>
    <x v="140"/>
    <n v="6573"/>
    <n v="2817"/>
    <n v="0.3"/>
    <n v="1"/>
    <x v="3"/>
    <n v="8"/>
    <s v="Q3"/>
    <n v="2023"/>
    <x v="3"/>
    <x v="0"/>
  </r>
  <r>
    <n v="193"/>
    <s v="C038"/>
    <n v="42"/>
    <n v="4"/>
    <d v="2023-08-16T00:00:00"/>
    <d v="1899-12-30T23:44:29"/>
    <d v="2023-08-19T00:00:00"/>
    <d v="1899-12-30T02:34:02"/>
    <s v="Nanded"/>
    <x v="6"/>
    <x v="53"/>
    <s v="Yakshit Shah"/>
    <x v="1"/>
    <x v="18"/>
    <x v="1"/>
    <x v="6"/>
    <n v="1744"/>
    <x v="141"/>
    <n v="4883.2"/>
    <n v="2092.8000000000002"/>
    <n v="0.30000000000000004"/>
    <n v="3"/>
    <x v="3"/>
    <n v="8"/>
    <s v="Q3"/>
    <n v="2023"/>
    <x v="6"/>
    <x v="0"/>
  </r>
  <r>
    <n v="194"/>
    <s v="C030"/>
    <n v="58"/>
    <n v="4"/>
    <d v="2023-02-08T00:00:00"/>
    <d v="1899-12-30T11:41:29"/>
    <d v="2023-02-09T00:00:00"/>
    <d v="1899-12-30T04:54:30"/>
    <s v="Pondicherry"/>
    <x v="3"/>
    <x v="64"/>
    <s v="Vardaniya Contractor"/>
    <x v="0"/>
    <x v="3"/>
    <x v="3"/>
    <x v="3"/>
    <n v="1492"/>
    <x v="142"/>
    <n v="4177.5999999999995"/>
    <n v="1790.4000000000005"/>
    <n v="0.3000000000000001"/>
    <n v="1"/>
    <x v="0"/>
    <n v="2"/>
    <s v="Q1"/>
    <n v="2023"/>
    <x v="4"/>
    <x v="0"/>
  </r>
  <r>
    <n v="195"/>
    <s v="C037"/>
    <n v="67"/>
    <n v="5"/>
    <d v="2023-04-10T00:00:00"/>
    <d v="1899-12-30T05:33:53"/>
    <d v="2023-04-17T00:00:00"/>
    <d v="1899-12-30T07:51:40"/>
    <s v="Jamalpur"/>
    <x v="0"/>
    <x v="0"/>
    <s v="Aradhya Kumar"/>
    <x v="0"/>
    <x v="0"/>
    <x v="0"/>
    <x v="0"/>
    <n v="1374"/>
    <x v="0"/>
    <n v="4809"/>
    <n v="2061"/>
    <n v="0.3"/>
    <n v="7"/>
    <x v="9"/>
    <n v="4"/>
    <s v="Q2"/>
    <n v="2023"/>
    <x v="0"/>
    <x v="0"/>
  </r>
  <r>
    <n v="196"/>
    <s v="C063"/>
    <n v="30"/>
    <n v="2"/>
    <d v="2023-08-05T00:00:00"/>
    <d v="1899-12-30T09:37:50"/>
    <d v="2023-08-13T00:00:00"/>
    <d v="1899-12-30T08:58:06"/>
    <s v="Begusarai"/>
    <x v="0"/>
    <x v="22"/>
    <s v="Arhaan Ahluwalia"/>
    <x v="0"/>
    <x v="19"/>
    <x v="2"/>
    <x v="0"/>
    <n v="751"/>
    <x v="105"/>
    <n v="1051.3999999999999"/>
    <n v="450.60000000000014"/>
    <n v="0.3000000000000001"/>
    <n v="8"/>
    <x v="3"/>
    <n v="8"/>
    <s v="Q3"/>
    <n v="2023"/>
    <x v="5"/>
    <x v="2"/>
  </r>
  <r>
    <n v="197"/>
    <s v="C095"/>
    <n v="45"/>
    <n v="2"/>
    <d v="2023-03-22T00:00:00"/>
    <d v="1899-12-30T18:38:42"/>
    <d v="2023-03-26T00:00:00"/>
    <d v="1899-12-30T03:30:06"/>
    <s v="Etawah"/>
    <x v="2"/>
    <x v="40"/>
    <s v="Mahika Cherian"/>
    <x v="1"/>
    <x v="5"/>
    <x v="0"/>
    <x v="2"/>
    <n v="722"/>
    <x v="5"/>
    <n v="1010.8"/>
    <n v="433.20000000000005"/>
    <n v="0.30000000000000004"/>
    <n v="4"/>
    <x v="5"/>
    <n v="3"/>
    <s v="Q1"/>
    <n v="2023"/>
    <x v="4"/>
    <x v="2"/>
  </r>
  <r>
    <n v="198"/>
    <s v="C090"/>
    <n v="24"/>
    <n v="2"/>
    <d v="2023-08-27T00:00:00"/>
    <d v="1899-12-30T22:33:37"/>
    <d v="2023-09-04T00:00:00"/>
    <d v="1899-12-30T01:09:50"/>
    <s v="Phagwara"/>
    <x v="2"/>
    <x v="17"/>
    <s v="Drishya De"/>
    <x v="1"/>
    <x v="54"/>
    <x v="6"/>
    <x v="2"/>
    <n v="535"/>
    <x v="143"/>
    <n v="749"/>
    <n v="321"/>
    <n v="0.3"/>
    <n v="8"/>
    <x v="3"/>
    <n v="8"/>
    <s v="Q3"/>
    <n v="2023"/>
    <x v="3"/>
    <x v="2"/>
  </r>
  <r>
    <n v="199"/>
    <s v="C093"/>
    <n v="70"/>
    <n v="5"/>
    <d v="2023-08-16T00:00:00"/>
    <d v="1899-12-30T01:54:30"/>
    <d v="2023-08-19T00:00:00"/>
    <d v="1899-12-30T16:24:59"/>
    <s v="Bareilly"/>
    <x v="2"/>
    <x v="74"/>
    <s v="Mamooty Bawa"/>
    <x v="0"/>
    <x v="35"/>
    <x v="1"/>
    <x v="2"/>
    <n v="866"/>
    <x v="144"/>
    <n v="3030.9999999999995"/>
    <n v="1299.0000000000005"/>
    <n v="0.3000000000000001"/>
    <n v="3"/>
    <x v="3"/>
    <n v="8"/>
    <s v="Q3"/>
    <n v="2023"/>
    <x v="6"/>
    <x v="1"/>
  </r>
  <r>
    <n v="200"/>
    <s v="C067"/>
    <n v="23"/>
    <n v="5"/>
    <d v="2023-01-03T00:00:00"/>
    <d v="1899-12-30T20:04:16"/>
    <d v="2023-01-08T00:00:00"/>
    <d v="1899-12-30T23:18:52"/>
    <s v="Agartala"/>
    <x v="0"/>
    <x v="29"/>
    <s v="Eva Sankaran"/>
    <x v="0"/>
    <x v="13"/>
    <x v="1"/>
    <x v="0"/>
    <n v="1098"/>
    <x v="145"/>
    <n v="3842.9999999999995"/>
    <n v="1647.0000000000005"/>
    <n v="0.3000000000000001"/>
    <n v="5"/>
    <x v="8"/>
    <n v="1"/>
    <s v="Q1"/>
    <n v="2023"/>
    <x v="0"/>
    <x v="0"/>
  </r>
  <r>
    <n v="201"/>
    <s v="C004"/>
    <n v="55"/>
    <n v="4"/>
    <d v="2023-08-24T00:00:00"/>
    <d v="1899-12-30T04:40:14"/>
    <d v="2023-08-30T00:00:00"/>
    <d v="1899-12-30T03:52:28"/>
    <s v="Dewas"/>
    <x v="4"/>
    <x v="75"/>
    <s v="Tarini Bava"/>
    <x v="0"/>
    <x v="60"/>
    <x v="4"/>
    <x v="4"/>
    <n v="1904"/>
    <x v="146"/>
    <n v="5331.2"/>
    <n v="2284.8000000000002"/>
    <n v="0.30000000000000004"/>
    <n v="6"/>
    <x v="3"/>
    <n v="8"/>
    <s v="Q3"/>
    <n v="2023"/>
    <x v="0"/>
    <x v="0"/>
  </r>
  <r>
    <n v="202"/>
    <s v="C089"/>
    <n v="36"/>
    <n v="5"/>
    <d v="2023-07-27T00:00:00"/>
    <d v="1899-12-30T08:13:48"/>
    <d v="2023-08-01T00:00:00"/>
    <d v="1899-12-30T03:02:01"/>
    <s v="Bhimavaram"/>
    <x v="2"/>
    <x v="76"/>
    <s v="Oorja Dey"/>
    <x v="1"/>
    <x v="37"/>
    <x v="5"/>
    <x v="2"/>
    <n v="203"/>
    <x v="147"/>
    <n v="710.5"/>
    <n v="304.5"/>
    <n v="0.3"/>
    <n v="5"/>
    <x v="2"/>
    <n v="7"/>
    <s v="Q3"/>
    <n v="2023"/>
    <x v="3"/>
    <x v="2"/>
  </r>
  <r>
    <n v="203"/>
    <s v="C039"/>
    <n v="9"/>
    <n v="5"/>
    <d v="2023-08-29T00:00:00"/>
    <d v="1899-12-30T05:39:00"/>
    <d v="2023-09-08T00:00:00"/>
    <d v="1899-12-30T22:40:14"/>
    <s v="Vijayanagaram"/>
    <x v="4"/>
    <x v="57"/>
    <s v="Kaira Bahl"/>
    <x v="0"/>
    <x v="21"/>
    <x v="2"/>
    <x v="4"/>
    <n v="1605"/>
    <x v="44"/>
    <n v="5617.5"/>
    <n v="2407.5"/>
    <n v="0.3"/>
    <n v="10"/>
    <x v="3"/>
    <n v="8"/>
    <s v="Q3"/>
    <n v="2023"/>
    <x v="4"/>
    <x v="0"/>
  </r>
  <r>
    <n v="204"/>
    <s v="C062"/>
    <n v="10"/>
    <n v="4"/>
    <d v="2023-07-03T00:00:00"/>
    <d v="1899-12-30T10:46:43"/>
    <d v="2023-07-09T00:00:00"/>
    <d v="1899-12-30T06:29:03"/>
    <s v="Jaipur"/>
    <x v="2"/>
    <x v="49"/>
    <s v="Inaaya  Sarraf"/>
    <x v="0"/>
    <x v="22"/>
    <x v="3"/>
    <x v="2"/>
    <n v="259"/>
    <x v="132"/>
    <n v="725.19999999999993"/>
    <n v="310.80000000000007"/>
    <n v="0.30000000000000004"/>
    <n v="6"/>
    <x v="2"/>
    <n v="7"/>
    <s v="Q3"/>
    <n v="2023"/>
    <x v="0"/>
    <x v="2"/>
  </r>
  <r>
    <n v="205"/>
    <s v="C022"/>
    <n v="46"/>
    <n v="5"/>
    <d v="2023-07-06T00:00:00"/>
    <d v="1899-12-30T05:17:21"/>
    <d v="2023-07-09T00:00:00"/>
    <d v="1899-12-30T11:47:12"/>
    <s v="Davanagere"/>
    <x v="0"/>
    <x v="67"/>
    <s v="Ivana Rout"/>
    <x v="0"/>
    <x v="62"/>
    <x v="3"/>
    <x v="0"/>
    <n v="758"/>
    <x v="62"/>
    <n v="2653"/>
    <n v="1137"/>
    <n v="0.3"/>
    <n v="3"/>
    <x v="2"/>
    <n v="7"/>
    <s v="Q3"/>
    <n v="2023"/>
    <x v="3"/>
    <x v="1"/>
  </r>
  <r>
    <n v="206"/>
    <s v="C099"/>
    <n v="68"/>
    <n v="3"/>
    <d v="2023-02-11T00:00:00"/>
    <d v="1899-12-30T22:12:16"/>
    <d v="2023-02-13T00:00:00"/>
    <d v="1899-12-30T12:42:01"/>
    <s v="Ulhasnagar"/>
    <x v="3"/>
    <x v="9"/>
    <s v="Ranbir Loyal"/>
    <x v="1"/>
    <x v="63"/>
    <x v="4"/>
    <x v="3"/>
    <n v="597"/>
    <x v="148"/>
    <n v="1253.6999999999998"/>
    <n v="537.30000000000018"/>
    <n v="0.3000000000000001"/>
    <n v="2"/>
    <x v="0"/>
    <n v="2"/>
    <s v="Q1"/>
    <n v="2023"/>
    <x v="2"/>
    <x v="2"/>
  </r>
  <r>
    <n v="207"/>
    <s v="C078"/>
    <n v="6"/>
    <n v="2"/>
    <d v="2023-03-05T00:00:00"/>
    <d v="1899-12-30T01:13:16"/>
    <d v="2023-03-07T00:00:00"/>
    <d v="1899-12-30T12:15:56"/>
    <s v="Amravati"/>
    <x v="5"/>
    <x v="4"/>
    <s v="Jivika Rajan"/>
    <x v="1"/>
    <x v="20"/>
    <x v="3"/>
    <x v="5"/>
    <n v="1112"/>
    <x v="74"/>
    <n v="1556.8"/>
    <n v="667.2"/>
    <n v="0.30000000000000004"/>
    <n v="2"/>
    <x v="5"/>
    <n v="3"/>
    <s v="Q1"/>
    <n v="2023"/>
    <x v="5"/>
    <x v="1"/>
  </r>
  <r>
    <n v="208"/>
    <s v="C001"/>
    <n v="18"/>
    <n v="5"/>
    <d v="2023-04-02T00:00:00"/>
    <d v="1899-12-30T04:30:47"/>
    <d v="2023-04-12T00:00:00"/>
    <d v="1899-12-30T07:06:36"/>
    <s v="Kulti"/>
    <x v="2"/>
    <x v="41"/>
    <s v="Tara Krishnan"/>
    <x v="1"/>
    <x v="53"/>
    <x v="5"/>
    <x v="2"/>
    <n v="781"/>
    <x v="75"/>
    <n v="2733.4999999999995"/>
    <n v="1171.5000000000005"/>
    <n v="0.3000000000000001"/>
    <n v="10"/>
    <x v="9"/>
    <n v="4"/>
    <s v="Q2"/>
    <n v="2023"/>
    <x v="6"/>
    <x v="1"/>
  </r>
  <r>
    <n v="209"/>
    <s v="C071"/>
    <n v="70"/>
    <n v="2"/>
    <d v="2023-06-22T00:00:00"/>
    <d v="1899-12-30T00:44:32"/>
    <d v="2023-06-23T00:00:00"/>
    <d v="1899-12-30T21:44:32"/>
    <s v="Hajipur"/>
    <x v="2"/>
    <x v="26"/>
    <s v="Purab Sheth"/>
    <x v="0"/>
    <x v="35"/>
    <x v="1"/>
    <x v="2"/>
    <n v="866"/>
    <x v="33"/>
    <n v="1212.3999999999999"/>
    <n v="519.60000000000014"/>
    <n v="0.3000000000000001"/>
    <n v="1"/>
    <x v="11"/>
    <n v="6"/>
    <s v="Q2"/>
    <n v="2023"/>
    <x v="4"/>
    <x v="2"/>
  </r>
  <r>
    <n v="210"/>
    <s v="C095"/>
    <n v="32"/>
    <n v="4"/>
    <d v="2023-12-10T00:00:00"/>
    <d v="1899-12-30T00:46:32"/>
    <d v="2023-12-15T00:00:00"/>
    <d v="1899-12-30T08:02:35"/>
    <s v="Aligarh"/>
    <x v="2"/>
    <x v="40"/>
    <s v="Mahika Cherian"/>
    <x v="1"/>
    <x v="16"/>
    <x v="4"/>
    <x v="2"/>
    <n v="1792"/>
    <x v="149"/>
    <n v="5017.5999999999995"/>
    <n v="2150.4000000000005"/>
    <n v="0.3000000000000001"/>
    <n v="5"/>
    <x v="6"/>
    <n v="12"/>
    <s v="Q4"/>
    <n v="2023"/>
    <x v="0"/>
    <x v="0"/>
  </r>
  <r>
    <n v="211"/>
    <s v="C043"/>
    <n v="31"/>
    <n v="5"/>
    <d v="2023-10-22T00:00:00"/>
    <d v="1899-12-30T18:14:59"/>
    <d v="2023-10-29T00:00:00"/>
    <d v="1899-12-30T17:40:03"/>
    <s v="Orai"/>
    <x v="6"/>
    <x v="61"/>
    <s v="Yasmin Sheth"/>
    <x v="1"/>
    <x v="43"/>
    <x v="2"/>
    <x v="6"/>
    <n v="1804"/>
    <x v="150"/>
    <n v="6314"/>
    <n v="2706"/>
    <n v="0.3"/>
    <n v="7"/>
    <x v="10"/>
    <n v="10"/>
    <s v="Q4"/>
    <n v="2023"/>
    <x v="4"/>
    <x v="0"/>
  </r>
  <r>
    <n v="212"/>
    <s v="C093"/>
    <n v="7"/>
    <n v="2"/>
    <d v="2023-02-28T00:00:00"/>
    <d v="1899-12-30T07:14:40"/>
    <d v="2023-03-05T00:00:00"/>
    <d v="1899-12-30T20:01:45"/>
    <s v="Ozhukarai"/>
    <x v="5"/>
    <x v="74"/>
    <s v="Mamooty Bawa"/>
    <x v="0"/>
    <x v="23"/>
    <x v="4"/>
    <x v="5"/>
    <n v="409"/>
    <x v="151"/>
    <n v="572.59999999999991"/>
    <n v="245.40000000000009"/>
    <n v="0.3000000000000001"/>
    <n v="5"/>
    <x v="0"/>
    <n v="2"/>
    <s v="Q1"/>
    <n v="2023"/>
    <x v="1"/>
    <x v="2"/>
  </r>
  <r>
    <n v="213"/>
    <s v="C022"/>
    <n v="42"/>
    <n v="5"/>
    <d v="2023-02-14T00:00:00"/>
    <d v="1899-12-30T08:26:18"/>
    <d v="2023-02-24T00:00:00"/>
    <d v="1899-12-30T08:58:11"/>
    <s v="Dehradun"/>
    <x v="6"/>
    <x v="67"/>
    <s v="Ivana Rout"/>
    <x v="0"/>
    <x v="18"/>
    <x v="1"/>
    <x v="6"/>
    <n v="1744"/>
    <x v="82"/>
    <n v="6104"/>
    <n v="2616"/>
    <n v="0.3"/>
    <n v="10"/>
    <x v="0"/>
    <n v="2"/>
    <s v="Q1"/>
    <n v="2023"/>
    <x v="1"/>
    <x v="0"/>
  </r>
  <r>
    <n v="214"/>
    <s v="C099"/>
    <n v="13"/>
    <n v="3"/>
    <d v="2023-03-01T00:00:00"/>
    <d v="1899-12-30T07:49:55"/>
    <d v="2023-03-07T00:00:00"/>
    <d v="1899-12-30T08:27:25"/>
    <s v="Durgapur"/>
    <x v="5"/>
    <x v="9"/>
    <s v="Ranbir Loyal"/>
    <x v="1"/>
    <x v="64"/>
    <x v="6"/>
    <x v="5"/>
    <n v="1141"/>
    <x v="152"/>
    <n v="2396.1"/>
    <n v="1026.9000000000001"/>
    <n v="0.30000000000000004"/>
    <n v="6"/>
    <x v="5"/>
    <n v="3"/>
    <s v="Q1"/>
    <n v="2023"/>
    <x v="4"/>
    <x v="1"/>
  </r>
  <r>
    <n v="215"/>
    <s v="C098"/>
    <n v="17"/>
    <n v="1"/>
    <d v="2023-05-21T00:00:00"/>
    <d v="1899-12-30T03:54:26"/>
    <d v="2023-05-24T00:00:00"/>
    <d v="1899-12-30T12:37:34"/>
    <s v="Katni"/>
    <x v="0"/>
    <x v="77"/>
    <s v="Navya Golla"/>
    <x v="0"/>
    <x v="25"/>
    <x v="4"/>
    <x v="0"/>
    <n v="1899"/>
    <x v="58"/>
    <n v="1329.3"/>
    <n v="569.70000000000005"/>
    <n v="0.30000000000000004"/>
    <n v="3"/>
    <x v="4"/>
    <n v="5"/>
    <s v="Q2"/>
    <n v="2023"/>
    <x v="1"/>
    <x v="2"/>
  </r>
  <r>
    <n v="216"/>
    <s v="C004"/>
    <n v="23"/>
    <n v="1"/>
    <d v="2023-10-03T00:00:00"/>
    <d v="1899-12-30T15:46:35"/>
    <d v="2023-10-08T00:00:00"/>
    <d v="1899-12-30T20:46:28"/>
    <s v="Bhatpara"/>
    <x v="0"/>
    <x v="75"/>
    <s v="Tarini Bava"/>
    <x v="0"/>
    <x v="13"/>
    <x v="1"/>
    <x v="0"/>
    <n v="1098"/>
    <x v="153"/>
    <n v="768.59999999999991"/>
    <n v="329.40000000000009"/>
    <n v="0.3000000000000001"/>
    <n v="5"/>
    <x v="10"/>
    <n v="10"/>
    <s v="Q4"/>
    <n v="2023"/>
    <x v="0"/>
    <x v="2"/>
  </r>
  <r>
    <n v="217"/>
    <s v="C042"/>
    <n v="53"/>
    <n v="4"/>
    <d v="2023-08-27T00:00:00"/>
    <d v="1899-12-30T03:04:34"/>
    <d v="2023-08-30T00:00:00"/>
    <d v="1899-12-30T16:42:19"/>
    <s v="Rajkot"/>
    <x v="4"/>
    <x v="12"/>
    <s v="Eshani Sharma"/>
    <x v="0"/>
    <x v="65"/>
    <x v="1"/>
    <x v="4"/>
    <n v="1672"/>
    <x v="154"/>
    <n v="4681.5999999999995"/>
    <n v="2006.4000000000005"/>
    <n v="0.3000000000000001"/>
    <n v="3"/>
    <x v="3"/>
    <n v="8"/>
    <s v="Q3"/>
    <n v="2023"/>
    <x v="3"/>
    <x v="0"/>
  </r>
  <r>
    <n v="218"/>
    <s v="C061"/>
    <n v="31"/>
    <n v="4"/>
    <d v="2023-06-13T00:00:00"/>
    <d v="1899-12-30T22:55:11"/>
    <d v="2023-06-16T00:00:00"/>
    <d v="1899-12-30T03:06:01"/>
    <s v="Gurgaon"/>
    <x v="6"/>
    <x v="11"/>
    <s v="Akarsh Ramesh"/>
    <x v="1"/>
    <x v="43"/>
    <x v="2"/>
    <x v="6"/>
    <n v="1804"/>
    <x v="155"/>
    <n v="5051.2"/>
    <n v="2164.8000000000002"/>
    <n v="0.30000000000000004"/>
    <n v="3"/>
    <x v="11"/>
    <n v="6"/>
    <s v="Q2"/>
    <n v="2023"/>
    <x v="3"/>
    <x v="0"/>
  </r>
  <r>
    <n v="219"/>
    <s v="C027"/>
    <n v="16"/>
    <n v="5"/>
    <d v="2023-03-05T00:00:00"/>
    <d v="1899-12-30T00:36:07"/>
    <d v="2023-03-11T00:00:00"/>
    <d v="1899-12-30T10:36:05"/>
    <s v="Bhimavaram"/>
    <x v="5"/>
    <x v="72"/>
    <s v="Kashvi Sur"/>
    <x v="1"/>
    <x v="9"/>
    <x v="1"/>
    <x v="5"/>
    <n v="1721"/>
    <x v="156"/>
    <n v="6023.4999999999991"/>
    <n v="2581.5000000000009"/>
    <n v="0.3000000000000001"/>
    <n v="6"/>
    <x v="5"/>
    <n v="3"/>
    <s v="Q1"/>
    <n v="2023"/>
    <x v="5"/>
    <x v="0"/>
  </r>
  <r>
    <n v="220"/>
    <s v="C001"/>
    <n v="26"/>
    <n v="3"/>
    <d v="2023-03-06T00:00:00"/>
    <d v="1899-12-30T12:26:54"/>
    <d v="2023-03-15T00:00:00"/>
    <d v="1899-12-30T14:41:52"/>
    <s v="Jalandhar"/>
    <x v="5"/>
    <x v="41"/>
    <s v="Tara Krishnan"/>
    <x v="1"/>
    <x v="42"/>
    <x v="2"/>
    <x v="5"/>
    <n v="289"/>
    <x v="59"/>
    <n v="606.9"/>
    <n v="260.10000000000002"/>
    <n v="0.30000000000000004"/>
    <n v="9"/>
    <x v="5"/>
    <n v="3"/>
    <s v="Q1"/>
    <n v="2023"/>
    <x v="3"/>
    <x v="2"/>
  </r>
  <r>
    <n v="221"/>
    <s v="C076"/>
    <n v="28"/>
    <n v="4"/>
    <d v="2023-08-21T00:00:00"/>
    <d v="1899-12-30T02:11:04"/>
    <d v="2023-08-30T00:00:00"/>
    <d v="1899-12-30T14:00:35"/>
    <s v="Naihati"/>
    <x v="4"/>
    <x v="78"/>
    <s v="Oorja Dayal"/>
    <x v="1"/>
    <x v="4"/>
    <x v="1"/>
    <x v="4"/>
    <n v="1778"/>
    <x v="4"/>
    <n v="4978.3999999999996"/>
    <n v="2133.6000000000004"/>
    <n v="0.30000000000000004"/>
    <n v="9"/>
    <x v="3"/>
    <n v="8"/>
    <s v="Q3"/>
    <n v="2023"/>
    <x v="1"/>
    <x v="0"/>
  </r>
  <r>
    <n v="222"/>
    <s v="C099"/>
    <n v="6"/>
    <n v="5"/>
    <d v="2023-02-26T00:00:00"/>
    <d v="1899-12-30T05:57:25"/>
    <d v="2023-03-07T00:00:00"/>
    <d v="1899-12-30T18:20:50"/>
    <s v="Guntur"/>
    <x v="5"/>
    <x v="9"/>
    <s v="Ranbir Loyal"/>
    <x v="1"/>
    <x v="20"/>
    <x v="3"/>
    <x v="5"/>
    <n v="1112"/>
    <x v="157"/>
    <n v="3892"/>
    <n v="1668"/>
    <n v="0.3"/>
    <n v="9"/>
    <x v="0"/>
    <n v="2"/>
    <s v="Q1"/>
    <n v="2023"/>
    <x v="5"/>
    <x v="0"/>
  </r>
  <r>
    <n v="223"/>
    <s v="C051"/>
    <n v="49"/>
    <n v="2"/>
    <d v="2023-02-05T00:00:00"/>
    <d v="1899-12-30T08:44:25"/>
    <d v="2023-02-13T00:00:00"/>
    <d v="1899-12-30T10:17:59"/>
    <s v="Bhalswa Jahangir Pur"/>
    <x v="3"/>
    <x v="65"/>
    <s v="Aradhya Batta"/>
    <x v="1"/>
    <x v="32"/>
    <x v="2"/>
    <x v="3"/>
    <n v="903"/>
    <x v="158"/>
    <n v="1264.1999999999998"/>
    <n v="541.80000000000018"/>
    <n v="0.3000000000000001"/>
    <n v="8"/>
    <x v="0"/>
    <n v="2"/>
    <s v="Q1"/>
    <n v="2023"/>
    <x v="5"/>
    <x v="2"/>
  </r>
  <r>
    <n v="224"/>
    <s v="C028"/>
    <n v="34"/>
    <n v="1"/>
    <d v="2023-08-24T00:00:00"/>
    <d v="1899-12-30T21:01:58"/>
    <d v="2023-08-29T00:00:00"/>
    <d v="1899-12-30T02:06:40"/>
    <s v="Suryapet"/>
    <x v="4"/>
    <x v="48"/>
    <s v="Hridaan Rajagopalan"/>
    <x v="1"/>
    <x v="41"/>
    <x v="4"/>
    <x v="4"/>
    <n v="1335"/>
    <x v="159"/>
    <n v="934.49999999999989"/>
    <n v="400.50000000000011"/>
    <n v="0.3000000000000001"/>
    <n v="5"/>
    <x v="3"/>
    <n v="8"/>
    <s v="Q3"/>
    <n v="2023"/>
    <x v="0"/>
    <x v="2"/>
  </r>
  <r>
    <n v="225"/>
    <s v="C093"/>
    <n v="52"/>
    <n v="5"/>
    <d v="2023-02-05T00:00:00"/>
    <d v="1899-12-30T12:12:26"/>
    <d v="2023-02-06T00:00:00"/>
    <d v="1899-12-30T18:01:06"/>
    <s v="Arrah"/>
    <x v="3"/>
    <x v="74"/>
    <s v="Mamooty Bawa"/>
    <x v="0"/>
    <x v="15"/>
    <x v="0"/>
    <x v="3"/>
    <n v="236"/>
    <x v="112"/>
    <n v="826"/>
    <n v="354"/>
    <n v="0.3"/>
    <n v="1"/>
    <x v="0"/>
    <n v="2"/>
    <s v="Q1"/>
    <n v="2023"/>
    <x v="5"/>
    <x v="2"/>
  </r>
  <r>
    <n v="226"/>
    <s v="C064"/>
    <n v="14"/>
    <n v="2"/>
    <d v="2023-09-08T00:00:00"/>
    <d v="1899-12-30T08:48:50"/>
    <d v="2023-09-12T00:00:00"/>
    <d v="1899-12-30T11:20:36"/>
    <s v="Hospet"/>
    <x v="2"/>
    <x v="24"/>
    <s v="Indrajit Kale"/>
    <x v="0"/>
    <x v="2"/>
    <x v="2"/>
    <x v="2"/>
    <n v="1915"/>
    <x v="160"/>
    <n v="2681"/>
    <n v="1149"/>
    <n v="0.3"/>
    <n v="4"/>
    <x v="7"/>
    <n v="9"/>
    <s v="Q3"/>
    <n v="2023"/>
    <x v="4"/>
    <x v="1"/>
  </r>
  <r>
    <n v="227"/>
    <s v="C004"/>
    <n v="24"/>
    <n v="4"/>
    <d v="2023-12-25T00:00:00"/>
    <d v="1899-12-30T18:50:42"/>
    <d v="2023-12-26T00:00:00"/>
    <d v="1899-12-30T14:09:44"/>
    <s v="Surat"/>
    <x v="2"/>
    <x v="75"/>
    <s v="Tarini Bava"/>
    <x v="0"/>
    <x v="54"/>
    <x v="6"/>
    <x v="2"/>
    <n v="535"/>
    <x v="76"/>
    <n v="1498"/>
    <n v="642"/>
    <n v="0.3"/>
    <n v="1"/>
    <x v="6"/>
    <n v="12"/>
    <s v="Q4"/>
    <n v="2023"/>
    <x v="2"/>
    <x v="1"/>
  </r>
  <r>
    <n v="228"/>
    <s v="C035"/>
    <n v="36"/>
    <n v="1"/>
    <d v="2023-03-10T00:00:00"/>
    <d v="1899-12-30T18:40:52"/>
    <d v="2023-03-11T00:00:00"/>
    <d v="1899-12-30T10:30:00"/>
    <s v="Bijapur"/>
    <x v="2"/>
    <x v="61"/>
    <s v="Ira Sarna"/>
    <x v="0"/>
    <x v="37"/>
    <x v="5"/>
    <x v="2"/>
    <n v="203"/>
    <x v="48"/>
    <n v="142.1"/>
    <n v="60.900000000000006"/>
    <n v="0.30000000000000004"/>
    <n v="1"/>
    <x v="5"/>
    <n v="3"/>
    <s v="Q1"/>
    <n v="2023"/>
    <x v="0"/>
    <x v="2"/>
  </r>
  <r>
    <n v="229"/>
    <s v="C079"/>
    <n v="49"/>
    <n v="3"/>
    <d v="2023-02-11T00:00:00"/>
    <d v="1899-12-30T20:55:38"/>
    <d v="2023-02-20T00:00:00"/>
    <d v="1899-12-30T09:32:50"/>
    <s v="Junagadh"/>
    <x v="3"/>
    <x v="79"/>
    <s v="Vedika Sankaran"/>
    <x v="1"/>
    <x v="32"/>
    <x v="2"/>
    <x v="3"/>
    <n v="903"/>
    <x v="36"/>
    <n v="1896.2999999999997"/>
    <n v="812.70000000000027"/>
    <n v="0.3000000000000001"/>
    <n v="9"/>
    <x v="0"/>
    <n v="2"/>
    <s v="Q1"/>
    <n v="2023"/>
    <x v="2"/>
    <x v="1"/>
  </r>
  <r>
    <n v="230"/>
    <s v="C053"/>
    <n v="64"/>
    <n v="3"/>
    <d v="2023-08-27T00:00:00"/>
    <d v="1899-12-30T08:27:50"/>
    <d v="2023-09-01T00:00:00"/>
    <d v="1899-12-30T01:35:49"/>
    <s v="Mehsana"/>
    <x v="4"/>
    <x v="52"/>
    <s v="Kismat Kapadia"/>
    <x v="1"/>
    <x v="61"/>
    <x v="4"/>
    <x v="4"/>
    <n v="1878"/>
    <x v="161"/>
    <n v="3943.7999999999997"/>
    <n v="1690.2000000000003"/>
    <n v="0.30000000000000004"/>
    <n v="5"/>
    <x v="3"/>
    <n v="8"/>
    <s v="Q3"/>
    <n v="2023"/>
    <x v="3"/>
    <x v="0"/>
  </r>
  <r>
    <n v="231"/>
    <s v="C093"/>
    <n v="64"/>
    <n v="3"/>
    <d v="2023-08-24T00:00:00"/>
    <d v="1899-12-30T09:15:18"/>
    <d v="2023-08-28T00:00:00"/>
    <d v="1899-12-30T21:13:01"/>
    <s v="Proddatur"/>
    <x v="4"/>
    <x v="74"/>
    <s v="Mamooty Bawa"/>
    <x v="0"/>
    <x v="61"/>
    <x v="4"/>
    <x v="4"/>
    <n v="1878"/>
    <x v="161"/>
    <n v="3943.7999999999997"/>
    <n v="1690.2000000000003"/>
    <n v="0.30000000000000004"/>
    <n v="4"/>
    <x v="3"/>
    <n v="8"/>
    <s v="Q3"/>
    <n v="2023"/>
    <x v="0"/>
    <x v="0"/>
  </r>
  <r>
    <n v="232"/>
    <s v="C044"/>
    <n v="28"/>
    <n v="3"/>
    <d v="2023-08-22T00:00:00"/>
    <d v="1899-12-30T12:06:09"/>
    <d v="2023-08-23T00:00:00"/>
    <d v="1899-12-30T09:00:02"/>
    <s v="Nadiad"/>
    <x v="4"/>
    <x v="8"/>
    <s v="Seher Mann"/>
    <x v="0"/>
    <x v="4"/>
    <x v="1"/>
    <x v="4"/>
    <n v="1778"/>
    <x v="162"/>
    <n v="3733.7999999999997"/>
    <n v="1600.2000000000003"/>
    <n v="0.30000000000000004"/>
    <n v="1"/>
    <x v="3"/>
    <n v="8"/>
    <s v="Q3"/>
    <n v="2023"/>
    <x v="4"/>
    <x v="0"/>
  </r>
  <r>
    <n v="233"/>
    <s v="C098"/>
    <n v="64"/>
    <n v="4"/>
    <d v="2023-08-26T00:00:00"/>
    <d v="1899-12-30T22:15:19"/>
    <d v="2023-08-30T00:00:00"/>
    <d v="1899-12-30T04:07:39"/>
    <s v="Nizamabad"/>
    <x v="4"/>
    <x v="77"/>
    <s v="Navya Golla"/>
    <x v="0"/>
    <x v="61"/>
    <x v="4"/>
    <x v="4"/>
    <n v="1878"/>
    <x v="163"/>
    <n v="5258.4"/>
    <n v="2253.6000000000004"/>
    <n v="0.30000000000000004"/>
    <n v="4"/>
    <x v="3"/>
    <n v="8"/>
    <s v="Q3"/>
    <n v="2023"/>
    <x v="5"/>
    <x v="0"/>
  </r>
  <r>
    <n v="234"/>
    <s v="C097"/>
    <n v="42"/>
    <n v="1"/>
    <d v="2023-03-24T00:00:00"/>
    <d v="1899-12-30T21:18:12"/>
    <d v="2023-04-01T00:00:00"/>
    <d v="1899-12-30T00:36:53"/>
    <s v="Khandwa"/>
    <x v="6"/>
    <x v="7"/>
    <s v="Nakul Randhawa"/>
    <x v="1"/>
    <x v="18"/>
    <x v="1"/>
    <x v="6"/>
    <n v="1744"/>
    <x v="164"/>
    <n v="1220.8"/>
    <n v="523.20000000000005"/>
    <n v="0.30000000000000004"/>
    <n v="8"/>
    <x v="5"/>
    <n v="3"/>
    <s v="Q1"/>
    <n v="2023"/>
    <x v="0"/>
    <x v="2"/>
  </r>
  <r>
    <n v="235"/>
    <s v="C071"/>
    <n v="56"/>
    <n v="2"/>
    <d v="2023-02-26T00:00:00"/>
    <d v="1899-12-30T14:26:46"/>
    <d v="2023-03-03T00:00:00"/>
    <d v="1899-12-30T23:26:23"/>
    <s v="Bhilai"/>
    <x v="0"/>
    <x v="26"/>
    <s v="Purab Sheth"/>
    <x v="0"/>
    <x v="8"/>
    <x v="0"/>
    <x v="0"/>
    <n v="1272"/>
    <x v="165"/>
    <n v="1780.8"/>
    <n v="763.2"/>
    <n v="0.30000000000000004"/>
    <n v="5"/>
    <x v="0"/>
    <n v="2"/>
    <s v="Q1"/>
    <n v="2023"/>
    <x v="5"/>
    <x v="1"/>
  </r>
  <r>
    <n v="236"/>
    <s v="C044"/>
    <n v="23"/>
    <n v="5"/>
    <d v="2023-09-03T00:00:00"/>
    <d v="1899-12-30T06:33:52"/>
    <d v="2023-09-11T00:00:00"/>
    <d v="1899-12-30T02:10:18"/>
    <s v="Panvel"/>
    <x v="0"/>
    <x v="8"/>
    <s v="Seher Mann"/>
    <x v="0"/>
    <x v="13"/>
    <x v="1"/>
    <x v="0"/>
    <n v="1098"/>
    <x v="145"/>
    <n v="3842.9999999999995"/>
    <n v="1647.0000000000005"/>
    <n v="0.3000000000000001"/>
    <n v="8"/>
    <x v="7"/>
    <n v="9"/>
    <s v="Q3"/>
    <n v="2023"/>
    <x v="0"/>
    <x v="0"/>
  </r>
  <r>
    <n v="237"/>
    <s v="C024"/>
    <n v="55"/>
    <n v="1"/>
    <d v="2023-08-26T00:00:00"/>
    <d v="1899-12-30T09:23:53"/>
    <d v="2023-08-30T00:00:00"/>
    <d v="1899-12-30T08:19:20"/>
    <s v="Sasaram"/>
    <x v="4"/>
    <x v="11"/>
    <s v="Jhanvi Chowdhury"/>
    <x v="1"/>
    <x v="60"/>
    <x v="4"/>
    <x v="4"/>
    <n v="1904"/>
    <x v="166"/>
    <n v="1332.8"/>
    <n v="571.20000000000005"/>
    <n v="0.30000000000000004"/>
    <n v="4"/>
    <x v="3"/>
    <n v="8"/>
    <s v="Q3"/>
    <n v="2023"/>
    <x v="5"/>
    <x v="2"/>
  </r>
  <r>
    <n v="238"/>
    <s v="C083"/>
    <n v="26"/>
    <n v="4"/>
    <d v="2023-03-05T00:00:00"/>
    <d v="1899-12-30T07:56:43"/>
    <d v="2023-03-11T00:00:00"/>
    <d v="1899-12-30T20:18:17"/>
    <s v="Jammu"/>
    <x v="5"/>
    <x v="62"/>
    <s v="Aaryahi Sodhi"/>
    <x v="0"/>
    <x v="42"/>
    <x v="2"/>
    <x v="5"/>
    <n v="289"/>
    <x v="88"/>
    <n v="809.19999999999993"/>
    <n v="346.80000000000007"/>
    <n v="0.30000000000000004"/>
    <n v="6"/>
    <x v="5"/>
    <n v="3"/>
    <s v="Q1"/>
    <n v="2023"/>
    <x v="5"/>
    <x v="2"/>
  </r>
  <r>
    <n v="239"/>
    <s v="C088"/>
    <n v="27"/>
    <n v="3"/>
    <d v="2023-08-29T00:00:00"/>
    <d v="1899-12-30T08:33:45"/>
    <d v="2023-09-06T00:00:00"/>
    <d v="1899-12-30T13:23:08"/>
    <s v="Gurgaon"/>
    <x v="4"/>
    <x v="23"/>
    <s v="Shalv Kulkarni"/>
    <x v="1"/>
    <x v="7"/>
    <x v="3"/>
    <x v="4"/>
    <n v="548"/>
    <x v="167"/>
    <n v="1150.8"/>
    <n v="493.20000000000005"/>
    <n v="0.30000000000000004"/>
    <n v="8"/>
    <x v="3"/>
    <n v="8"/>
    <s v="Q3"/>
    <n v="2023"/>
    <x v="4"/>
    <x v="2"/>
  </r>
  <r>
    <n v="240"/>
    <s v="C074"/>
    <n v="5"/>
    <n v="5"/>
    <d v="2023-03-25T00:00:00"/>
    <d v="1899-12-30T06:03:38"/>
    <d v="2023-03-30T00:00:00"/>
    <d v="1899-12-30T15:43:28"/>
    <s v="Darbhanga"/>
    <x v="6"/>
    <x v="43"/>
    <s v="Vanya Apte"/>
    <x v="1"/>
    <x v="36"/>
    <x v="2"/>
    <x v="6"/>
    <n v="1444"/>
    <x v="168"/>
    <n v="5054"/>
    <n v="2166"/>
    <n v="0.3"/>
    <n v="5"/>
    <x v="5"/>
    <n v="3"/>
    <s v="Q1"/>
    <n v="2023"/>
    <x v="2"/>
    <x v="0"/>
  </r>
  <r>
    <n v="241"/>
    <s v="C067"/>
    <n v="20"/>
    <n v="2"/>
    <d v="2023-09-05T00:00:00"/>
    <d v="1899-12-30T09:52:16"/>
    <d v="2023-09-07T00:00:00"/>
    <d v="1899-12-30T08:58:21"/>
    <s v="Indore"/>
    <x v="0"/>
    <x v="29"/>
    <s v="Eva Sankaran"/>
    <x v="0"/>
    <x v="11"/>
    <x v="2"/>
    <x v="0"/>
    <n v="697"/>
    <x v="169"/>
    <n v="975.8"/>
    <n v="418.20000000000005"/>
    <n v="0.30000000000000004"/>
    <n v="2"/>
    <x v="7"/>
    <n v="9"/>
    <s v="Q3"/>
    <n v="2023"/>
    <x v="5"/>
    <x v="2"/>
  </r>
  <r>
    <n v="242"/>
    <s v="C012"/>
    <n v="21"/>
    <n v="1"/>
    <d v="2023-08-23T00:00:00"/>
    <d v="1899-12-30T10:24:46"/>
    <d v="2023-08-31T00:00:00"/>
    <d v="1899-12-30T16:02:32"/>
    <s v="Amroha"/>
    <x v="4"/>
    <x v="3"/>
    <s v="Onkar Mangat"/>
    <x v="0"/>
    <x v="8"/>
    <x v="2"/>
    <x v="4"/>
    <n v="1561"/>
    <x v="170"/>
    <n v="1092.6999999999998"/>
    <n v="468.30000000000018"/>
    <n v="0.3000000000000001"/>
    <n v="8"/>
    <x v="3"/>
    <n v="8"/>
    <s v="Q3"/>
    <n v="2023"/>
    <x v="6"/>
    <x v="2"/>
  </r>
  <r>
    <n v="243"/>
    <s v="C043"/>
    <n v="3"/>
    <n v="1"/>
    <d v="2023-02-05T00:00:00"/>
    <d v="1899-12-30T20:50:37"/>
    <d v="2023-02-10T00:00:00"/>
    <d v="1899-12-30T12:30:54"/>
    <s v="Siwan"/>
    <x v="3"/>
    <x v="61"/>
    <s v="Yasmin Sheth"/>
    <x v="1"/>
    <x v="52"/>
    <x v="2"/>
    <x v="3"/>
    <n v="1534"/>
    <x v="171"/>
    <n v="1073.8"/>
    <n v="460.20000000000005"/>
    <n v="0.30000000000000004"/>
    <n v="5"/>
    <x v="0"/>
    <n v="2"/>
    <s v="Q1"/>
    <n v="2023"/>
    <x v="5"/>
    <x v="2"/>
  </r>
  <r>
    <n v="244"/>
    <s v="C041"/>
    <n v="65"/>
    <n v="3"/>
    <d v="2023-03-20T00:00:00"/>
    <d v="1899-12-30T15:06:01"/>
    <d v="2023-03-30T00:00:00"/>
    <d v="1899-12-30T07:06:40"/>
    <s v="Guntakal"/>
    <x v="6"/>
    <x v="19"/>
    <s v="Rati Dhingra"/>
    <x v="0"/>
    <x v="35"/>
    <x v="0"/>
    <x v="6"/>
    <n v="1895"/>
    <x v="172"/>
    <n v="3979.5"/>
    <n v="1705.5"/>
    <n v="0.3"/>
    <n v="10"/>
    <x v="5"/>
    <n v="3"/>
    <s v="Q1"/>
    <n v="2023"/>
    <x v="3"/>
    <x v="0"/>
  </r>
  <r>
    <n v="245"/>
    <s v="C020"/>
    <n v="50"/>
    <n v="3"/>
    <d v="2023-03-05T00:00:00"/>
    <d v="1899-12-30T06:25:26"/>
    <d v="2023-03-11T00:00:00"/>
    <d v="1899-12-30T09:30:30"/>
    <s v="Noida"/>
    <x v="5"/>
    <x v="36"/>
    <s v="Samaira Ganesh"/>
    <x v="0"/>
    <x v="56"/>
    <x v="5"/>
    <x v="5"/>
    <n v="422"/>
    <x v="173"/>
    <n v="886.19999999999993"/>
    <n v="379.80000000000007"/>
    <n v="0.30000000000000004"/>
    <n v="6"/>
    <x v="5"/>
    <n v="3"/>
    <s v="Q1"/>
    <n v="2023"/>
    <x v="5"/>
    <x v="2"/>
  </r>
  <r>
    <n v="246"/>
    <s v="C017"/>
    <n v="69"/>
    <n v="5"/>
    <d v="2023-02-28T00:00:00"/>
    <d v="1899-12-30T23:24:33"/>
    <d v="2023-03-08T00:00:00"/>
    <d v="1899-12-30T00:38:49"/>
    <s v="Agra"/>
    <x v="5"/>
    <x v="46"/>
    <s v="Advika Dhar"/>
    <x v="0"/>
    <x v="55"/>
    <x v="3"/>
    <x v="5"/>
    <n v="998"/>
    <x v="77"/>
    <n v="3492.9999999999995"/>
    <n v="1497.0000000000005"/>
    <n v="0.3000000000000001"/>
    <n v="8"/>
    <x v="0"/>
    <n v="2"/>
    <s v="Q1"/>
    <n v="2023"/>
    <x v="1"/>
    <x v="1"/>
  </r>
  <r>
    <n v="247"/>
    <s v="C052"/>
    <n v="23"/>
    <n v="4"/>
    <d v="2023-10-11T00:00:00"/>
    <d v="1899-12-30T05:58:48"/>
    <d v="2023-10-16T00:00:00"/>
    <d v="1899-12-30T02:58:46"/>
    <s v="Gudivada"/>
    <x v="0"/>
    <x v="9"/>
    <s v="Vardaniya Apte"/>
    <x v="0"/>
    <x v="13"/>
    <x v="1"/>
    <x v="0"/>
    <n v="1098"/>
    <x v="15"/>
    <n v="3074.3999999999996"/>
    <n v="1317.6000000000004"/>
    <n v="0.3000000000000001"/>
    <n v="5"/>
    <x v="10"/>
    <n v="10"/>
    <s v="Q4"/>
    <n v="2023"/>
    <x v="2"/>
    <x v="1"/>
  </r>
  <r>
    <n v="248"/>
    <s v="C044"/>
    <n v="19"/>
    <n v="5"/>
    <d v="2023-02-08T00:00:00"/>
    <d v="1899-12-30T08:43:41"/>
    <d v="2023-02-10T00:00:00"/>
    <d v="1899-12-30T04:15:01"/>
    <s v="Alwar"/>
    <x v="3"/>
    <x v="8"/>
    <s v="Seher Mann"/>
    <x v="0"/>
    <x v="27"/>
    <x v="6"/>
    <x v="3"/>
    <n v="1234"/>
    <x v="30"/>
    <n v="4319"/>
    <n v="1851"/>
    <n v="0.3"/>
    <n v="2"/>
    <x v="0"/>
    <n v="2"/>
    <s v="Q1"/>
    <n v="2023"/>
    <x v="4"/>
    <x v="0"/>
  </r>
  <r>
    <n v="249"/>
    <s v="C003"/>
    <n v="14"/>
    <n v="2"/>
    <d v="2023-09-10T00:00:00"/>
    <d v="1899-12-30T22:22:16"/>
    <d v="2023-09-19T00:00:00"/>
    <d v="1899-12-30T23:17:36"/>
    <s v="Bareilly"/>
    <x v="2"/>
    <x v="3"/>
    <s v="Jayesh Lanka"/>
    <x v="0"/>
    <x v="2"/>
    <x v="2"/>
    <x v="2"/>
    <n v="1915"/>
    <x v="160"/>
    <n v="2681"/>
    <n v="1149"/>
    <n v="0.3"/>
    <n v="9"/>
    <x v="7"/>
    <n v="9"/>
    <s v="Q3"/>
    <n v="2023"/>
    <x v="0"/>
    <x v="1"/>
  </r>
  <r>
    <n v="250"/>
    <s v="C086"/>
    <n v="37"/>
    <n v="5"/>
    <d v="2023-11-08T00:00:00"/>
    <d v="1899-12-30T15:07:27"/>
    <d v="2023-11-09T00:00:00"/>
    <d v="1899-12-30T01:32:06"/>
    <s v="Korba"/>
    <x v="1"/>
    <x v="80"/>
    <s v="Ivana Amble"/>
    <x v="1"/>
    <x v="28"/>
    <x v="2"/>
    <x v="1"/>
    <n v="1428"/>
    <x v="174"/>
    <n v="4998"/>
    <n v="2142"/>
    <n v="0.3"/>
    <n v="1"/>
    <x v="1"/>
    <n v="11"/>
    <s v="Q4"/>
    <n v="2023"/>
    <x v="4"/>
    <x v="0"/>
  </r>
  <r>
    <n v="251"/>
    <s v="C051"/>
    <n v="7"/>
    <n v="4"/>
    <d v="2023-02-28T00:00:00"/>
    <d v="1899-12-30T00:31:48"/>
    <d v="2023-03-02T00:00:00"/>
    <d v="1899-12-30T00:19:44"/>
    <s v="Khora "/>
    <x v="5"/>
    <x v="65"/>
    <s v="Aradhya Batta"/>
    <x v="1"/>
    <x v="23"/>
    <x v="4"/>
    <x v="5"/>
    <n v="409"/>
    <x v="175"/>
    <n v="1145.1999999999998"/>
    <n v="490.80000000000018"/>
    <n v="0.3000000000000001"/>
    <n v="2"/>
    <x v="0"/>
    <n v="2"/>
    <s v="Q1"/>
    <n v="2023"/>
    <x v="1"/>
    <x v="2"/>
  </r>
  <r>
    <n v="252"/>
    <s v="C040"/>
    <n v="69"/>
    <n v="2"/>
    <d v="2023-02-26T00:00:00"/>
    <d v="1899-12-30T05:41:28"/>
    <d v="2023-02-28T00:00:00"/>
    <d v="1899-12-30T08:11:16"/>
    <s v="Nandyal"/>
    <x v="5"/>
    <x v="5"/>
    <s v="Hazel Mangat"/>
    <x v="1"/>
    <x v="55"/>
    <x v="3"/>
    <x v="5"/>
    <n v="998"/>
    <x v="176"/>
    <n v="1397.1999999999998"/>
    <n v="598.80000000000018"/>
    <n v="0.3000000000000001"/>
    <n v="2"/>
    <x v="0"/>
    <n v="2"/>
    <s v="Q1"/>
    <n v="2023"/>
    <x v="5"/>
    <x v="2"/>
  </r>
  <r>
    <n v="253"/>
    <s v="C010"/>
    <n v="68"/>
    <n v="2"/>
    <d v="2023-02-12T00:00:00"/>
    <d v="1899-12-30T14:24:46"/>
    <d v="2023-02-14T00:00:00"/>
    <d v="1899-12-30T05:39:27"/>
    <s v="Bangalore"/>
    <x v="3"/>
    <x v="50"/>
    <s v="Darshit Dave"/>
    <x v="0"/>
    <x v="63"/>
    <x v="4"/>
    <x v="3"/>
    <n v="597"/>
    <x v="177"/>
    <n v="835.8"/>
    <n v="358.20000000000005"/>
    <n v="0.30000000000000004"/>
    <n v="2"/>
    <x v="0"/>
    <n v="2"/>
    <s v="Q1"/>
    <n v="2023"/>
    <x v="5"/>
    <x v="2"/>
  </r>
  <r>
    <n v="254"/>
    <s v="C093"/>
    <n v="1"/>
    <n v="5"/>
    <d v="2023-07-07T00:00:00"/>
    <d v="1899-12-30T00:09:44"/>
    <d v="2023-07-15T00:00:00"/>
    <d v="1899-12-30T05:27:49"/>
    <s v="Bhilai"/>
    <x v="6"/>
    <x v="74"/>
    <s v="Mamooty Bawa"/>
    <x v="0"/>
    <x v="48"/>
    <x v="4"/>
    <x v="6"/>
    <n v="1935"/>
    <x v="66"/>
    <n v="6772.5"/>
    <n v="2902.5"/>
    <n v="0.3"/>
    <n v="8"/>
    <x v="2"/>
    <n v="7"/>
    <s v="Q3"/>
    <n v="2023"/>
    <x v="1"/>
    <x v="0"/>
  </r>
  <r>
    <n v="255"/>
    <s v="C092"/>
    <n v="45"/>
    <n v="2"/>
    <d v="2023-12-27T00:00:00"/>
    <d v="1899-12-30T03:42:35"/>
    <d v="2024-01-06T00:00:00"/>
    <d v="1899-12-30T09:23:14"/>
    <s v="Suryapet"/>
    <x v="2"/>
    <x v="38"/>
    <s v="Zoya Mani"/>
    <x v="0"/>
    <x v="5"/>
    <x v="0"/>
    <x v="2"/>
    <n v="722"/>
    <x v="5"/>
    <n v="1010.8"/>
    <n v="433.20000000000005"/>
    <n v="0.30000000000000004"/>
    <n v="10"/>
    <x v="6"/>
    <n v="12"/>
    <s v="Q4"/>
    <n v="2023"/>
    <x v="3"/>
    <x v="2"/>
  </r>
  <r>
    <n v="256"/>
    <s v="C065"/>
    <n v="4"/>
    <n v="5"/>
    <d v="2023-11-06T00:00:00"/>
    <d v="1899-12-30T19:13:49"/>
    <d v="2023-11-14T00:00:00"/>
    <d v="1899-12-30T18:05:55"/>
    <s v="Suryapet"/>
    <x v="1"/>
    <x v="10"/>
    <s v="Badal Vora"/>
    <x v="0"/>
    <x v="44"/>
    <x v="1"/>
    <x v="1"/>
    <n v="1199"/>
    <x v="178"/>
    <n v="4196.5"/>
    <n v="1798.5"/>
    <n v="0.3"/>
    <n v="8"/>
    <x v="1"/>
    <n v="11"/>
    <s v="Q4"/>
    <n v="2023"/>
    <x v="3"/>
    <x v="0"/>
  </r>
  <r>
    <n v="257"/>
    <s v="C077"/>
    <n v="21"/>
    <n v="3"/>
    <d v="2023-08-22T00:00:00"/>
    <d v="1899-12-30T15:42:59"/>
    <d v="2023-08-24T00:00:00"/>
    <d v="1899-12-30T22:39:39"/>
    <s v="Chinsurah"/>
    <x v="4"/>
    <x v="41"/>
    <s v="Gokul Ahluwalia"/>
    <x v="1"/>
    <x v="8"/>
    <x v="2"/>
    <x v="4"/>
    <n v="1561"/>
    <x v="179"/>
    <n v="3278.0999999999995"/>
    <n v="1404.9000000000005"/>
    <n v="0.3000000000000001"/>
    <n v="2"/>
    <x v="3"/>
    <n v="8"/>
    <s v="Q3"/>
    <n v="2023"/>
    <x v="4"/>
    <x v="1"/>
  </r>
  <r>
    <n v="258"/>
    <s v="C044"/>
    <n v="46"/>
    <n v="5"/>
    <d v="2023-04-16T00:00:00"/>
    <d v="1899-12-30T05:40:39"/>
    <d v="2023-04-20T00:00:00"/>
    <d v="1899-12-30T20:05:32"/>
    <s v="Vijayawada"/>
    <x v="0"/>
    <x v="8"/>
    <s v="Seher Mann"/>
    <x v="0"/>
    <x v="62"/>
    <x v="3"/>
    <x v="0"/>
    <n v="758"/>
    <x v="62"/>
    <n v="2653"/>
    <n v="1137"/>
    <n v="0.3"/>
    <n v="4"/>
    <x v="9"/>
    <n v="4"/>
    <s v="Q2"/>
    <n v="2023"/>
    <x v="6"/>
    <x v="1"/>
  </r>
  <r>
    <n v="259"/>
    <s v="C001"/>
    <n v="62"/>
    <n v="1"/>
    <d v="2023-03-05T00:00:00"/>
    <d v="1899-12-30T15:21:54"/>
    <d v="2023-03-10T00:00:00"/>
    <d v="1899-12-30T00:04:01"/>
    <s v="Sirsa"/>
    <x v="5"/>
    <x v="41"/>
    <s v="Tara Krishnan"/>
    <x v="1"/>
    <x v="14"/>
    <x v="2"/>
    <x v="5"/>
    <n v="1356"/>
    <x v="94"/>
    <n v="949.19999999999993"/>
    <n v="406.80000000000007"/>
    <n v="0.30000000000000004"/>
    <n v="5"/>
    <x v="5"/>
    <n v="3"/>
    <s v="Q1"/>
    <n v="2023"/>
    <x v="5"/>
    <x v="2"/>
  </r>
  <r>
    <n v="260"/>
    <s v="C100"/>
    <n v="69"/>
    <n v="5"/>
    <d v="2023-03-06T00:00:00"/>
    <d v="1899-12-30T13:06:11"/>
    <d v="2023-03-16T00:00:00"/>
    <d v="1899-12-30T22:22:30"/>
    <s v="Satara"/>
    <x v="5"/>
    <x v="56"/>
    <s v="Pranay Chaudhary"/>
    <x v="1"/>
    <x v="55"/>
    <x v="3"/>
    <x v="5"/>
    <n v="998"/>
    <x v="77"/>
    <n v="3492.9999999999995"/>
    <n v="1497.0000000000005"/>
    <n v="0.3000000000000001"/>
    <n v="10"/>
    <x v="5"/>
    <n v="3"/>
    <s v="Q1"/>
    <n v="2023"/>
    <x v="3"/>
    <x v="1"/>
  </r>
  <r>
    <n v="261"/>
    <s v="C041"/>
    <n v="37"/>
    <n v="3"/>
    <d v="2023-11-06T00:00:00"/>
    <d v="1899-12-30T14:03:50"/>
    <d v="2023-11-12T00:00:00"/>
    <d v="1899-12-30T20:17:47"/>
    <s v="Malegaon"/>
    <x v="1"/>
    <x v="19"/>
    <s v="Rati Dhingra"/>
    <x v="0"/>
    <x v="28"/>
    <x v="2"/>
    <x v="1"/>
    <n v="1428"/>
    <x v="31"/>
    <n v="2998.7999999999997"/>
    <n v="1285.2000000000003"/>
    <n v="0.30000000000000004"/>
    <n v="6"/>
    <x v="1"/>
    <n v="11"/>
    <s v="Q4"/>
    <n v="2023"/>
    <x v="3"/>
    <x v="1"/>
  </r>
  <r>
    <n v="262"/>
    <s v="C038"/>
    <n v="49"/>
    <n v="3"/>
    <d v="2023-02-07T00:00:00"/>
    <d v="1899-12-30T08:05:16"/>
    <d v="2023-02-11T00:00:00"/>
    <d v="1899-12-30T01:06:57"/>
    <s v="Tirunelveli"/>
    <x v="3"/>
    <x v="53"/>
    <s v="Yakshit Shah"/>
    <x v="1"/>
    <x v="32"/>
    <x v="2"/>
    <x v="3"/>
    <n v="903"/>
    <x v="36"/>
    <n v="1896.2999999999997"/>
    <n v="812.70000000000027"/>
    <n v="0.3000000000000001"/>
    <n v="4"/>
    <x v="0"/>
    <n v="2"/>
    <s v="Q1"/>
    <n v="2023"/>
    <x v="1"/>
    <x v="1"/>
  </r>
  <r>
    <n v="263"/>
    <s v="C081"/>
    <n v="57"/>
    <n v="4"/>
    <d v="2023-03-12T00:00:00"/>
    <d v="1899-12-30T09:35:10"/>
    <d v="2023-03-13T00:00:00"/>
    <d v="1899-12-30T15:22:01"/>
    <s v="Chittoor"/>
    <x v="2"/>
    <x v="58"/>
    <s v="Kaira Ramachandran"/>
    <x v="0"/>
    <x v="57"/>
    <x v="2"/>
    <x v="2"/>
    <n v="1582"/>
    <x v="108"/>
    <n v="4429.5999999999995"/>
    <n v="1898.4000000000005"/>
    <n v="0.3000000000000001"/>
    <n v="1"/>
    <x v="5"/>
    <n v="3"/>
    <s v="Q1"/>
    <n v="2023"/>
    <x v="5"/>
    <x v="0"/>
  </r>
  <r>
    <n v="264"/>
    <s v="C010"/>
    <n v="52"/>
    <n v="3"/>
    <d v="2023-02-09T00:00:00"/>
    <d v="1899-12-30T05:35:19"/>
    <d v="2023-02-18T00:00:00"/>
    <d v="1899-12-30T15:43:46"/>
    <s v="Asansol"/>
    <x v="3"/>
    <x v="50"/>
    <s v="Darshit Dave"/>
    <x v="0"/>
    <x v="15"/>
    <x v="0"/>
    <x v="3"/>
    <n v="236"/>
    <x v="135"/>
    <n v="495.59999999999997"/>
    <n v="212.40000000000003"/>
    <n v="0.30000000000000004"/>
    <n v="9"/>
    <x v="0"/>
    <n v="2"/>
    <s v="Q1"/>
    <n v="2023"/>
    <x v="6"/>
    <x v="2"/>
  </r>
  <r>
    <n v="265"/>
    <s v="C060"/>
    <n v="58"/>
    <n v="1"/>
    <d v="2023-02-10T00:00:00"/>
    <d v="1899-12-30T21:17:18"/>
    <d v="2023-02-18T00:00:00"/>
    <d v="1899-12-30T06:28:33"/>
    <s v="Gudivada"/>
    <x v="3"/>
    <x v="55"/>
    <s v="Riya Wagle"/>
    <x v="0"/>
    <x v="3"/>
    <x v="3"/>
    <x v="3"/>
    <n v="1492"/>
    <x v="180"/>
    <n v="1044.3999999999999"/>
    <n v="447.60000000000014"/>
    <n v="0.3000000000000001"/>
    <n v="8"/>
    <x v="0"/>
    <n v="2"/>
    <s v="Q1"/>
    <n v="2023"/>
    <x v="0"/>
    <x v="2"/>
  </r>
  <r>
    <n v="266"/>
    <s v="C038"/>
    <n v="36"/>
    <n v="1"/>
    <d v="2023-05-12T00:00:00"/>
    <d v="1899-12-30T13:46:56"/>
    <d v="2023-05-13T00:00:00"/>
    <d v="1899-12-30T19:20:09"/>
    <s v="Sonipat"/>
    <x v="2"/>
    <x v="53"/>
    <s v="Yakshit Shah"/>
    <x v="1"/>
    <x v="37"/>
    <x v="5"/>
    <x v="2"/>
    <n v="203"/>
    <x v="48"/>
    <n v="142.1"/>
    <n v="60.900000000000006"/>
    <n v="0.30000000000000004"/>
    <n v="1"/>
    <x v="4"/>
    <n v="5"/>
    <s v="Q2"/>
    <n v="2023"/>
    <x v="5"/>
    <x v="2"/>
  </r>
  <r>
    <n v="267"/>
    <s v="C055"/>
    <n v="35"/>
    <n v="3"/>
    <d v="2023-03-04T00:00:00"/>
    <d v="1899-12-30T13:38:57"/>
    <d v="2023-03-12T00:00:00"/>
    <d v="1899-12-30T03:52:00"/>
    <s v="Chandrapur"/>
    <x v="5"/>
    <x v="27"/>
    <s v="Umang Luthra"/>
    <x v="0"/>
    <x v="31"/>
    <x v="2"/>
    <x v="5"/>
    <n v="1865"/>
    <x v="120"/>
    <n v="3916.5"/>
    <n v="1678.5"/>
    <n v="0.3"/>
    <n v="8"/>
    <x v="5"/>
    <n v="3"/>
    <s v="Q1"/>
    <n v="2023"/>
    <x v="2"/>
    <x v="0"/>
  </r>
  <r>
    <n v="268"/>
    <s v="C053"/>
    <n v="38"/>
    <n v="1"/>
    <d v="2023-08-14T00:00:00"/>
    <d v="1899-12-30T07:45:59"/>
    <d v="2023-08-23T00:00:00"/>
    <d v="1899-12-30T16:53:30"/>
    <s v="Katni"/>
    <x v="2"/>
    <x v="52"/>
    <s v="Kismat Kapadia"/>
    <x v="1"/>
    <x v="10"/>
    <x v="3"/>
    <x v="2"/>
    <n v="562"/>
    <x v="98"/>
    <n v="393.4"/>
    <n v="168.60000000000002"/>
    <n v="0.30000000000000004"/>
    <n v="9"/>
    <x v="3"/>
    <n v="8"/>
    <s v="Q3"/>
    <n v="2023"/>
    <x v="1"/>
    <x v="2"/>
  </r>
  <r>
    <n v="269"/>
    <s v="C024"/>
    <n v="36"/>
    <n v="1"/>
    <d v="2023-10-25T00:00:00"/>
    <d v="1899-12-30T01:12:12"/>
    <d v="2023-10-26T00:00:00"/>
    <d v="1899-12-30T17:58:13"/>
    <s v="Raebareli"/>
    <x v="2"/>
    <x v="11"/>
    <s v="Jhanvi Chowdhury"/>
    <x v="1"/>
    <x v="37"/>
    <x v="5"/>
    <x v="2"/>
    <n v="203"/>
    <x v="48"/>
    <n v="142.1"/>
    <n v="60.900000000000006"/>
    <n v="0.30000000000000004"/>
    <n v="1"/>
    <x v="10"/>
    <n v="10"/>
    <s v="Q4"/>
    <n v="2023"/>
    <x v="2"/>
    <x v="2"/>
  </r>
  <r>
    <n v="270"/>
    <s v="C084"/>
    <n v="21"/>
    <n v="5"/>
    <d v="2023-08-22T00:00:00"/>
    <d v="1899-12-30T20:21:29"/>
    <d v="2023-09-01T00:00:00"/>
    <d v="1899-12-30T16:03:59"/>
    <s v="Avadi"/>
    <x v="4"/>
    <x v="68"/>
    <s v="Anahita Shankar"/>
    <x v="0"/>
    <x v="8"/>
    <x v="2"/>
    <x v="4"/>
    <n v="1561"/>
    <x v="13"/>
    <n v="5463.4999999999991"/>
    <n v="2341.5000000000009"/>
    <n v="0.3000000000000001"/>
    <n v="10"/>
    <x v="3"/>
    <n v="8"/>
    <s v="Q3"/>
    <n v="2023"/>
    <x v="4"/>
    <x v="0"/>
  </r>
  <r>
    <n v="271"/>
    <s v="C039"/>
    <n v="36"/>
    <n v="5"/>
    <d v="2023-06-23T00:00:00"/>
    <d v="1899-12-30T18:27:42"/>
    <d v="2023-06-30T00:00:00"/>
    <d v="1899-12-30T18:20:05"/>
    <s v="Patna"/>
    <x v="2"/>
    <x v="57"/>
    <s v="Kaira Bahl"/>
    <x v="0"/>
    <x v="37"/>
    <x v="5"/>
    <x v="2"/>
    <n v="203"/>
    <x v="147"/>
    <n v="710.5"/>
    <n v="304.5"/>
    <n v="0.3"/>
    <n v="7"/>
    <x v="11"/>
    <n v="6"/>
    <s v="Q2"/>
    <n v="2023"/>
    <x v="6"/>
    <x v="2"/>
  </r>
  <r>
    <n v="272"/>
    <s v="C016"/>
    <n v="12"/>
    <n v="1"/>
    <d v="2023-04-08T00:00:00"/>
    <d v="1899-12-30T09:40:05"/>
    <d v="2023-04-18T00:00:00"/>
    <d v="1899-12-30T20:13:56"/>
    <s v="Kumbakonam"/>
    <x v="0"/>
    <x v="73"/>
    <s v="Amani Ganesh"/>
    <x v="0"/>
    <x v="17"/>
    <x v="5"/>
    <x v="0"/>
    <n v="672"/>
    <x v="181"/>
    <n v="470.4"/>
    <n v="201.60000000000002"/>
    <n v="0.30000000000000004"/>
    <n v="10"/>
    <x v="9"/>
    <n v="4"/>
    <s v="Q2"/>
    <n v="2023"/>
    <x v="4"/>
    <x v="2"/>
  </r>
  <r>
    <n v="273"/>
    <s v="C047"/>
    <n v="10"/>
    <n v="2"/>
    <d v="2023-11-22T00:00:00"/>
    <d v="1899-12-30T16:12:35"/>
    <d v="2023-11-24T00:00:00"/>
    <d v="1899-12-30T01:52:48"/>
    <s v="Moradabad"/>
    <x v="2"/>
    <x v="25"/>
    <s v="Bhamini Ravi"/>
    <x v="0"/>
    <x v="22"/>
    <x v="3"/>
    <x v="2"/>
    <n v="259"/>
    <x v="55"/>
    <n v="362.59999999999997"/>
    <n v="155.40000000000003"/>
    <n v="0.30000000000000004"/>
    <n v="2"/>
    <x v="1"/>
    <n v="11"/>
    <s v="Q4"/>
    <n v="2023"/>
    <x v="4"/>
    <x v="2"/>
  </r>
  <r>
    <n v="274"/>
    <s v="C078"/>
    <n v="41"/>
    <n v="5"/>
    <d v="2023-11-02T00:00:00"/>
    <d v="1899-12-30T06:37:51"/>
    <d v="2023-11-12T00:00:00"/>
    <d v="1899-12-30T20:53:36"/>
    <s v="Raebareli"/>
    <x v="1"/>
    <x v="4"/>
    <s v="Jivika Rajan"/>
    <x v="1"/>
    <x v="1"/>
    <x v="1"/>
    <x v="1"/>
    <n v="1977"/>
    <x v="182"/>
    <n v="6919.4999999999991"/>
    <n v="2965.5000000000009"/>
    <n v="0.3000000000000001"/>
    <n v="10"/>
    <x v="1"/>
    <n v="11"/>
    <s v="Q4"/>
    <n v="2023"/>
    <x v="6"/>
    <x v="0"/>
  </r>
  <r>
    <n v="275"/>
    <s v="C028"/>
    <n v="29"/>
    <n v="1"/>
    <d v="2023-03-02T00:00:00"/>
    <d v="1899-12-30T04:13:47"/>
    <d v="2023-03-05T00:00:00"/>
    <d v="1899-12-30T01:17:39"/>
    <s v="Ranchi"/>
    <x v="5"/>
    <x v="48"/>
    <s v="Hridaan Rajagopalan"/>
    <x v="1"/>
    <x v="66"/>
    <x v="2"/>
    <x v="5"/>
    <n v="1252"/>
    <x v="183"/>
    <n v="876.4"/>
    <n v="375.6"/>
    <n v="0.30000000000000004"/>
    <n v="3"/>
    <x v="5"/>
    <n v="3"/>
    <s v="Q1"/>
    <n v="2023"/>
    <x v="6"/>
    <x v="2"/>
  </r>
  <r>
    <n v="276"/>
    <s v="C065"/>
    <n v="15"/>
    <n v="2"/>
    <d v="2023-05-28T00:00:00"/>
    <d v="1899-12-30T01:34:06"/>
    <d v="2023-06-01T00:00:00"/>
    <d v="1899-12-30T07:05:33"/>
    <s v="Muzaffarpur"/>
    <x v="0"/>
    <x v="10"/>
    <s v="Badal Vora"/>
    <x v="0"/>
    <x v="51"/>
    <x v="0"/>
    <x v="0"/>
    <n v="1488"/>
    <x v="184"/>
    <n v="2083.1999999999998"/>
    <n v="892.80000000000018"/>
    <n v="0.30000000000000004"/>
    <n v="4"/>
    <x v="4"/>
    <n v="5"/>
    <s v="Q2"/>
    <n v="2023"/>
    <x v="1"/>
    <x v="1"/>
  </r>
  <r>
    <n v="277"/>
    <s v="C062"/>
    <n v="34"/>
    <n v="5"/>
    <d v="2023-08-23T00:00:00"/>
    <d v="1899-12-30T19:16:40"/>
    <d v="2023-08-29T00:00:00"/>
    <d v="1899-12-30T15:50:18"/>
    <s v="Bhilai"/>
    <x v="4"/>
    <x v="49"/>
    <s v="Inaaya  Sarraf"/>
    <x v="0"/>
    <x v="41"/>
    <x v="4"/>
    <x v="4"/>
    <n v="1335"/>
    <x v="185"/>
    <n v="4672.4999999999991"/>
    <n v="2002.5000000000009"/>
    <n v="0.30000000000000016"/>
    <n v="6"/>
    <x v="3"/>
    <n v="8"/>
    <s v="Q3"/>
    <n v="2023"/>
    <x v="6"/>
    <x v="0"/>
  </r>
  <r>
    <n v="278"/>
    <s v="C044"/>
    <n v="1"/>
    <n v="2"/>
    <d v="2023-06-20T00:00:00"/>
    <d v="1899-12-30T23:33:52"/>
    <d v="2023-06-24T00:00:00"/>
    <d v="1899-12-30T05:42:44"/>
    <s v="Ballia"/>
    <x v="6"/>
    <x v="8"/>
    <s v="Seher Mann"/>
    <x v="0"/>
    <x v="48"/>
    <x v="4"/>
    <x v="6"/>
    <n v="1935"/>
    <x v="186"/>
    <n v="2709"/>
    <n v="1161"/>
    <n v="0.3"/>
    <n v="4"/>
    <x v="11"/>
    <n v="6"/>
    <s v="Q2"/>
    <n v="2023"/>
    <x v="3"/>
    <x v="1"/>
  </r>
  <r>
    <n v="279"/>
    <s v="C067"/>
    <n v="23"/>
    <n v="4"/>
    <d v="2023-11-24T00:00:00"/>
    <d v="1899-12-30T09:14:46"/>
    <d v="2023-11-26T00:00:00"/>
    <d v="1899-12-30T17:51:23"/>
    <s v="Chinsurah"/>
    <x v="0"/>
    <x v="29"/>
    <s v="Eva Sankaran"/>
    <x v="0"/>
    <x v="13"/>
    <x v="1"/>
    <x v="0"/>
    <n v="1098"/>
    <x v="15"/>
    <n v="3074.3999999999996"/>
    <n v="1317.6000000000004"/>
    <n v="0.3000000000000001"/>
    <n v="2"/>
    <x v="1"/>
    <n v="11"/>
    <s v="Q4"/>
    <n v="2023"/>
    <x v="0"/>
    <x v="1"/>
  </r>
  <r>
    <n v="280"/>
    <s v="C003"/>
    <n v="19"/>
    <n v="3"/>
    <d v="2023-02-07T00:00:00"/>
    <d v="1899-12-30T17:44:47"/>
    <d v="2023-02-12T00:00:00"/>
    <d v="1899-12-30T16:31:05"/>
    <s v="Mangalore"/>
    <x v="3"/>
    <x v="3"/>
    <s v="Jayesh Lanka"/>
    <x v="0"/>
    <x v="27"/>
    <x v="6"/>
    <x v="3"/>
    <n v="1234"/>
    <x v="187"/>
    <n v="2591.3999999999996"/>
    <n v="1110.6000000000004"/>
    <n v="0.3000000000000001"/>
    <n v="5"/>
    <x v="0"/>
    <n v="2"/>
    <s v="Q1"/>
    <n v="2023"/>
    <x v="1"/>
    <x v="1"/>
  </r>
  <r>
    <n v="281"/>
    <s v="C008"/>
    <n v="15"/>
    <n v="3"/>
    <d v="2023-09-21T00:00:00"/>
    <d v="1899-12-30T20:36:47"/>
    <d v="2023-09-25T00:00:00"/>
    <d v="1899-12-30T10:27:14"/>
    <s v="Nellore"/>
    <x v="0"/>
    <x v="51"/>
    <s v="Veer Ray"/>
    <x v="1"/>
    <x v="51"/>
    <x v="0"/>
    <x v="0"/>
    <n v="1488"/>
    <x v="188"/>
    <n v="3124.7999999999997"/>
    <n v="1339.2000000000003"/>
    <n v="0.30000000000000004"/>
    <n v="4"/>
    <x v="7"/>
    <n v="9"/>
    <s v="Q3"/>
    <n v="2023"/>
    <x v="1"/>
    <x v="1"/>
  </r>
  <r>
    <n v="282"/>
    <s v="C092"/>
    <n v="41"/>
    <n v="2"/>
    <d v="2023-11-11T00:00:00"/>
    <d v="1899-12-30T10:20:49"/>
    <d v="2023-11-19T00:00:00"/>
    <d v="1899-12-30T22:11:40"/>
    <s v="Mangalore"/>
    <x v="1"/>
    <x v="38"/>
    <s v="Zoya Mani"/>
    <x v="0"/>
    <x v="1"/>
    <x v="1"/>
    <x v="1"/>
    <n v="1977"/>
    <x v="1"/>
    <n v="2767.7999999999997"/>
    <n v="1186.2000000000003"/>
    <n v="0.30000000000000004"/>
    <n v="8"/>
    <x v="1"/>
    <n v="11"/>
    <s v="Q4"/>
    <n v="2023"/>
    <x v="2"/>
    <x v="1"/>
  </r>
  <r>
    <n v="283"/>
    <s v="C086"/>
    <n v="23"/>
    <n v="2"/>
    <d v="2023-11-23T00:00:00"/>
    <d v="1899-12-30T02:51:34"/>
    <d v="2023-11-30T00:00:00"/>
    <d v="1899-12-30T18:21:40"/>
    <s v="Erode"/>
    <x v="0"/>
    <x v="80"/>
    <s v="Ivana Amble"/>
    <x v="1"/>
    <x v="13"/>
    <x v="1"/>
    <x v="0"/>
    <n v="1098"/>
    <x v="109"/>
    <n v="1537.1999999999998"/>
    <n v="658.80000000000018"/>
    <n v="0.3000000000000001"/>
    <n v="7"/>
    <x v="1"/>
    <n v="11"/>
    <s v="Q4"/>
    <n v="2023"/>
    <x v="6"/>
    <x v="1"/>
  </r>
  <r>
    <n v="284"/>
    <s v="C057"/>
    <n v="17"/>
    <n v="1"/>
    <d v="2023-08-10T00:00:00"/>
    <d v="1899-12-30T16:13:04"/>
    <d v="2023-08-16T00:00:00"/>
    <d v="1899-12-30T11:21:57"/>
    <s v="Aurangabad"/>
    <x v="0"/>
    <x v="47"/>
    <s v="Zain Hegde"/>
    <x v="1"/>
    <x v="25"/>
    <x v="4"/>
    <x v="0"/>
    <n v="1899"/>
    <x v="58"/>
    <n v="1329.3"/>
    <n v="569.70000000000005"/>
    <n v="0.30000000000000004"/>
    <n v="6"/>
    <x v="3"/>
    <n v="8"/>
    <s v="Q3"/>
    <n v="2023"/>
    <x v="0"/>
    <x v="2"/>
  </r>
  <r>
    <n v="285"/>
    <s v="C082"/>
    <n v="7"/>
    <n v="5"/>
    <d v="2023-02-26T00:00:00"/>
    <d v="1899-12-30T17:26:44"/>
    <d v="2023-03-01T00:00:00"/>
    <d v="1899-12-30T12:52:20"/>
    <s v="Tirunelveli"/>
    <x v="5"/>
    <x v="59"/>
    <s v="Anya Chaudhari"/>
    <x v="1"/>
    <x v="23"/>
    <x v="4"/>
    <x v="5"/>
    <n v="409"/>
    <x v="26"/>
    <n v="1431.4999999999998"/>
    <n v="613.50000000000023"/>
    <n v="0.3000000000000001"/>
    <n v="3"/>
    <x v="0"/>
    <n v="2"/>
    <s v="Q1"/>
    <n v="2023"/>
    <x v="5"/>
    <x v="1"/>
  </r>
  <r>
    <n v="286"/>
    <s v="C098"/>
    <n v="50"/>
    <n v="3"/>
    <d v="2023-03-06T00:00:00"/>
    <d v="1899-12-30T20:05:40"/>
    <d v="2023-03-12T00:00:00"/>
    <d v="1899-12-30T02:41:27"/>
    <s v="Mango"/>
    <x v="5"/>
    <x v="77"/>
    <s v="Navya Golla"/>
    <x v="0"/>
    <x v="56"/>
    <x v="5"/>
    <x v="5"/>
    <n v="422"/>
    <x v="173"/>
    <n v="886.19999999999993"/>
    <n v="379.80000000000007"/>
    <n v="0.30000000000000004"/>
    <n v="6"/>
    <x v="5"/>
    <n v="3"/>
    <s v="Q1"/>
    <n v="2023"/>
    <x v="3"/>
    <x v="2"/>
  </r>
  <r>
    <n v="287"/>
    <s v="C011"/>
    <n v="7"/>
    <n v="5"/>
    <d v="2023-03-03T00:00:00"/>
    <d v="1899-12-30T04:54:04"/>
    <d v="2023-03-06T00:00:00"/>
    <d v="1899-12-30T15:39:57"/>
    <s v="Muzaffarnagar"/>
    <x v="5"/>
    <x v="16"/>
    <s v="Lagan Kapoor"/>
    <x v="1"/>
    <x v="23"/>
    <x v="4"/>
    <x v="5"/>
    <n v="409"/>
    <x v="26"/>
    <n v="1431.4999999999998"/>
    <n v="613.50000000000023"/>
    <n v="0.3000000000000001"/>
    <n v="3"/>
    <x v="5"/>
    <n v="3"/>
    <s v="Q1"/>
    <n v="2023"/>
    <x v="0"/>
    <x v="1"/>
  </r>
  <r>
    <n v="288"/>
    <s v="C035"/>
    <n v="34"/>
    <n v="2"/>
    <d v="2023-08-21T00:00:00"/>
    <d v="1899-12-30T15:58:58"/>
    <d v="2023-08-23T00:00:00"/>
    <d v="1899-12-30T20:42:36"/>
    <s v="Ballia"/>
    <x v="4"/>
    <x v="61"/>
    <s v="Ira Sarna"/>
    <x v="0"/>
    <x v="41"/>
    <x v="4"/>
    <x v="4"/>
    <n v="1335"/>
    <x v="189"/>
    <n v="1868.9999999999998"/>
    <n v="801.00000000000023"/>
    <n v="0.3000000000000001"/>
    <n v="2"/>
    <x v="3"/>
    <n v="8"/>
    <s v="Q3"/>
    <n v="2023"/>
    <x v="1"/>
    <x v="1"/>
  </r>
  <r>
    <n v="289"/>
    <s v="C018"/>
    <n v="30"/>
    <n v="4"/>
    <d v="2023-08-29T00:00:00"/>
    <d v="1899-12-30T23:40:01"/>
    <d v="2023-09-06T00:00:00"/>
    <d v="1899-12-30T02:50:06"/>
    <s v="Imphal"/>
    <x v="0"/>
    <x v="20"/>
    <s v="Eva Vaidya"/>
    <x v="0"/>
    <x v="19"/>
    <x v="2"/>
    <x v="0"/>
    <n v="751"/>
    <x v="190"/>
    <n v="2102.7999999999997"/>
    <n v="901.20000000000027"/>
    <n v="0.3000000000000001"/>
    <n v="8"/>
    <x v="3"/>
    <n v="8"/>
    <s v="Q3"/>
    <n v="2023"/>
    <x v="4"/>
    <x v="1"/>
  </r>
  <r>
    <n v="290"/>
    <s v="C079"/>
    <n v="69"/>
    <n v="3"/>
    <d v="2023-03-06T00:00:00"/>
    <d v="1899-12-30T10:27:18"/>
    <d v="2023-03-10T00:00:00"/>
    <d v="1899-12-30T14:33:34"/>
    <s v="Alwar"/>
    <x v="5"/>
    <x v="79"/>
    <s v="Vedika Sankaran"/>
    <x v="1"/>
    <x v="55"/>
    <x v="3"/>
    <x v="5"/>
    <n v="998"/>
    <x v="191"/>
    <n v="2095.7999999999997"/>
    <n v="898.20000000000027"/>
    <n v="0.3000000000000001"/>
    <n v="4"/>
    <x v="5"/>
    <n v="3"/>
    <s v="Q1"/>
    <n v="2023"/>
    <x v="3"/>
    <x v="1"/>
  </r>
  <r>
    <n v="291"/>
    <s v="C072"/>
    <n v="49"/>
    <n v="2"/>
    <d v="2023-02-10T00:00:00"/>
    <d v="1899-12-30T00:12:40"/>
    <d v="2023-02-11T00:00:00"/>
    <d v="1899-12-30T22:52:51"/>
    <s v="Nadiad"/>
    <x v="3"/>
    <x v="15"/>
    <s v="Charvi Karnik"/>
    <x v="0"/>
    <x v="32"/>
    <x v="2"/>
    <x v="3"/>
    <n v="903"/>
    <x v="158"/>
    <n v="1264.1999999999998"/>
    <n v="541.80000000000018"/>
    <n v="0.3000000000000001"/>
    <n v="1"/>
    <x v="0"/>
    <n v="2"/>
    <s v="Q1"/>
    <n v="2023"/>
    <x v="0"/>
    <x v="2"/>
  </r>
  <r>
    <n v="292"/>
    <s v="C053"/>
    <n v="54"/>
    <n v="1"/>
    <d v="2023-09-27T00:00:00"/>
    <d v="1899-12-30T22:43:35"/>
    <d v="2023-10-03T00:00:00"/>
    <d v="1899-12-30T01:44:47"/>
    <s v="Howrah"/>
    <x v="0"/>
    <x v="52"/>
    <s v="Kismat Kapadia"/>
    <x v="1"/>
    <x v="30"/>
    <x v="3"/>
    <x v="0"/>
    <n v="1236"/>
    <x v="192"/>
    <n v="865.19999999999993"/>
    <n v="370.80000000000007"/>
    <n v="0.30000000000000004"/>
    <n v="6"/>
    <x v="7"/>
    <n v="9"/>
    <s v="Q3"/>
    <n v="2023"/>
    <x v="3"/>
    <x v="2"/>
  </r>
  <r>
    <n v="293"/>
    <s v="C003"/>
    <n v="1"/>
    <n v="4"/>
    <d v="2023-09-04T00:00:00"/>
    <d v="1899-12-30T04:03:47"/>
    <d v="2023-09-09T00:00:00"/>
    <d v="1899-12-30T18:10:36"/>
    <s v="Tezpur"/>
    <x v="6"/>
    <x v="3"/>
    <s v="Jayesh Lanka"/>
    <x v="0"/>
    <x v="48"/>
    <x v="4"/>
    <x v="6"/>
    <n v="1935"/>
    <x v="193"/>
    <n v="5418"/>
    <n v="2322"/>
    <n v="0.3"/>
    <n v="5"/>
    <x v="7"/>
    <n v="9"/>
    <s v="Q3"/>
    <n v="2023"/>
    <x v="2"/>
    <x v="0"/>
  </r>
  <r>
    <n v="294"/>
    <s v="C047"/>
    <n v="26"/>
    <n v="5"/>
    <d v="2023-03-01T00:00:00"/>
    <d v="1899-12-30T21:04:18"/>
    <d v="2023-03-03T00:00:00"/>
    <d v="1899-12-30T19:44:54"/>
    <s v="Nagpur"/>
    <x v="5"/>
    <x v="25"/>
    <s v="Bhamini Ravi"/>
    <x v="0"/>
    <x v="42"/>
    <x v="2"/>
    <x v="5"/>
    <n v="289"/>
    <x v="194"/>
    <n v="1011.4999999999999"/>
    <n v="433.50000000000011"/>
    <n v="0.3000000000000001"/>
    <n v="2"/>
    <x v="5"/>
    <n v="3"/>
    <s v="Q1"/>
    <n v="2023"/>
    <x v="4"/>
    <x v="2"/>
  </r>
  <r>
    <n v="295"/>
    <s v="C079"/>
    <n v="18"/>
    <n v="1"/>
    <d v="2023-05-29T00:00:00"/>
    <d v="1899-12-30T15:54:09"/>
    <d v="2023-06-02T00:00:00"/>
    <d v="1899-12-30T10:06:42"/>
    <s v="Tadepalligudem"/>
    <x v="2"/>
    <x v="79"/>
    <s v="Vedika Sankaran"/>
    <x v="1"/>
    <x v="53"/>
    <x v="5"/>
    <x v="2"/>
    <n v="781"/>
    <x v="136"/>
    <n v="546.69999999999993"/>
    <n v="234.30000000000007"/>
    <n v="0.3000000000000001"/>
    <n v="4"/>
    <x v="4"/>
    <n v="5"/>
    <s v="Q2"/>
    <n v="2023"/>
    <x v="4"/>
    <x v="2"/>
  </r>
  <r>
    <n v="296"/>
    <s v="C081"/>
    <n v="70"/>
    <n v="5"/>
    <d v="2023-04-01T00:00:00"/>
    <d v="1899-12-30T11:55:14"/>
    <d v="2023-04-11T00:00:00"/>
    <d v="1899-12-30T19:33:46"/>
    <s v="Tirunelveli"/>
    <x v="2"/>
    <x v="58"/>
    <s v="Kaira Ramachandran"/>
    <x v="0"/>
    <x v="35"/>
    <x v="1"/>
    <x v="2"/>
    <n v="866"/>
    <x v="144"/>
    <n v="3030.9999999999995"/>
    <n v="1299.0000000000005"/>
    <n v="0.3000000000000001"/>
    <n v="10"/>
    <x v="9"/>
    <n v="4"/>
    <s v="Q2"/>
    <n v="2023"/>
    <x v="4"/>
    <x v="1"/>
  </r>
  <r>
    <n v="297"/>
    <s v="C047"/>
    <n v="13"/>
    <n v="3"/>
    <d v="2023-02-28T00:00:00"/>
    <d v="1899-12-30T20:15:29"/>
    <d v="2023-03-05T00:00:00"/>
    <d v="1899-12-30T20:52:27"/>
    <s v="Phagwara"/>
    <x v="5"/>
    <x v="25"/>
    <s v="Bhamini Ravi"/>
    <x v="0"/>
    <x v="64"/>
    <x v="6"/>
    <x v="5"/>
    <n v="1141"/>
    <x v="152"/>
    <n v="2396.1"/>
    <n v="1026.9000000000001"/>
    <n v="0.30000000000000004"/>
    <n v="5"/>
    <x v="0"/>
    <n v="2"/>
    <s v="Q1"/>
    <n v="2023"/>
    <x v="1"/>
    <x v="1"/>
  </r>
  <r>
    <n v="298"/>
    <s v="C057"/>
    <n v="3"/>
    <n v="1"/>
    <d v="2023-02-11T00:00:00"/>
    <d v="1899-12-30T23:06:29"/>
    <d v="2023-02-12T00:00:00"/>
    <d v="1899-12-30T02:17:43"/>
    <s v="Bahraich"/>
    <x v="3"/>
    <x v="47"/>
    <s v="Zain Hegde"/>
    <x v="1"/>
    <x v="52"/>
    <x v="2"/>
    <x v="3"/>
    <n v="1534"/>
    <x v="171"/>
    <n v="1073.8"/>
    <n v="460.20000000000005"/>
    <n v="0.30000000000000004"/>
    <n v="1"/>
    <x v="0"/>
    <n v="2"/>
    <s v="Q1"/>
    <n v="2023"/>
    <x v="2"/>
    <x v="2"/>
  </r>
  <r>
    <n v="299"/>
    <s v="C091"/>
    <n v="8"/>
    <n v="5"/>
    <d v="2023-11-08T00:00:00"/>
    <d v="1899-12-30T11:51:21"/>
    <d v="2023-11-17T00:00:00"/>
    <d v="1899-12-30T13:17:51"/>
    <s v="Vellore"/>
    <x v="0"/>
    <x v="21"/>
    <s v="Adira Rajan"/>
    <x v="1"/>
    <x v="24"/>
    <x v="1"/>
    <x v="0"/>
    <n v="252"/>
    <x v="195"/>
    <n v="881.99999999999989"/>
    <n v="378.00000000000011"/>
    <n v="0.3000000000000001"/>
    <n v="9"/>
    <x v="1"/>
    <n v="11"/>
    <s v="Q4"/>
    <n v="2023"/>
    <x v="4"/>
    <x v="2"/>
  </r>
  <r>
    <n v="300"/>
    <s v="C032"/>
    <n v="22"/>
    <n v="1"/>
    <d v="2023-08-29T00:00:00"/>
    <d v="1899-12-30T19:20:05"/>
    <d v="2023-09-08T00:00:00"/>
    <d v="1899-12-30T18:25:16"/>
    <s v="Tinsukia"/>
    <x v="6"/>
    <x v="54"/>
    <s v="Mannat Anand"/>
    <x v="0"/>
    <x v="34"/>
    <x v="4"/>
    <x v="6"/>
    <n v="1639"/>
    <x v="196"/>
    <n v="1147.3"/>
    <n v="491.70000000000005"/>
    <n v="0.30000000000000004"/>
    <n v="10"/>
    <x v="3"/>
    <n v="8"/>
    <s v="Q3"/>
    <n v="2023"/>
    <x v="4"/>
    <x v="2"/>
  </r>
  <r>
    <n v="301"/>
    <s v="C070"/>
    <n v="6"/>
    <n v="3"/>
    <d v="2023-02-27T00:00:00"/>
    <d v="1899-12-30T06:24:22"/>
    <d v="2023-03-04T00:00:00"/>
    <d v="1899-12-30T16:52:16"/>
    <s v="Kota"/>
    <x v="5"/>
    <x v="66"/>
    <s v="Emir Gokhale"/>
    <x v="0"/>
    <x v="20"/>
    <x v="3"/>
    <x v="5"/>
    <n v="1112"/>
    <x v="23"/>
    <n v="2335.1999999999998"/>
    <n v="1000.8000000000002"/>
    <n v="0.30000000000000004"/>
    <n v="5"/>
    <x v="0"/>
    <n v="2"/>
    <s v="Q1"/>
    <n v="2023"/>
    <x v="3"/>
    <x v="1"/>
  </r>
  <r>
    <n v="302"/>
    <s v="C071"/>
    <n v="25"/>
    <n v="4"/>
    <d v="2023-10-24T00:00:00"/>
    <d v="1899-12-30T13:53:05"/>
    <d v="2023-10-25T00:00:00"/>
    <d v="1899-12-30T17:13:25"/>
    <s v="Dhanbad"/>
    <x v="0"/>
    <x v="26"/>
    <s v="Purab Sheth"/>
    <x v="0"/>
    <x v="40"/>
    <x v="5"/>
    <x v="0"/>
    <n v="1202"/>
    <x v="197"/>
    <n v="3365.6"/>
    <n v="1442.4"/>
    <n v="0.30000000000000004"/>
    <n v="1"/>
    <x v="10"/>
    <n v="10"/>
    <s v="Q4"/>
    <n v="2023"/>
    <x v="0"/>
    <x v="1"/>
  </r>
  <r>
    <n v="303"/>
    <s v="C051"/>
    <n v="14"/>
    <n v="1"/>
    <d v="2023-11-20T00:00:00"/>
    <d v="1899-12-30T06:42:57"/>
    <d v="2023-11-29T00:00:00"/>
    <d v="1899-12-30T07:08:02"/>
    <s v="Narasaraopet"/>
    <x v="2"/>
    <x v="65"/>
    <s v="Aradhya Batta"/>
    <x v="1"/>
    <x v="2"/>
    <x v="2"/>
    <x v="2"/>
    <n v="1915"/>
    <x v="37"/>
    <n v="1340.5"/>
    <n v="574.5"/>
    <n v="0.3"/>
    <n v="9"/>
    <x v="1"/>
    <n v="11"/>
    <s v="Q4"/>
    <n v="2023"/>
    <x v="3"/>
    <x v="2"/>
  </r>
  <r>
    <n v="304"/>
    <s v="C088"/>
    <n v="67"/>
    <n v="3"/>
    <d v="2023-03-12T00:00:00"/>
    <d v="1899-12-30T09:24:28"/>
    <d v="2023-03-19T00:00:00"/>
    <d v="1899-12-30T23:09:37"/>
    <s v="Tiruchirappalli"/>
    <x v="0"/>
    <x v="23"/>
    <s v="Shalv Kulkarni"/>
    <x v="1"/>
    <x v="0"/>
    <x v="0"/>
    <x v="0"/>
    <n v="1374"/>
    <x v="198"/>
    <n v="2885.3999999999996"/>
    <n v="1236.6000000000004"/>
    <n v="0.3000000000000001"/>
    <n v="7"/>
    <x v="5"/>
    <n v="3"/>
    <s v="Q1"/>
    <n v="2023"/>
    <x v="5"/>
    <x v="1"/>
  </r>
  <r>
    <n v="305"/>
    <s v="C003"/>
    <n v="26"/>
    <n v="1"/>
    <d v="2023-03-02T00:00:00"/>
    <d v="1899-12-30T00:10:44"/>
    <d v="2023-03-10T00:00:00"/>
    <d v="1899-12-30T14:01:05"/>
    <s v="Lucknow"/>
    <x v="5"/>
    <x v="3"/>
    <s v="Jayesh Lanka"/>
    <x v="0"/>
    <x v="42"/>
    <x v="2"/>
    <x v="5"/>
    <n v="289"/>
    <x v="60"/>
    <n v="202.29999999999998"/>
    <n v="86.700000000000017"/>
    <n v="0.30000000000000004"/>
    <n v="8"/>
    <x v="5"/>
    <n v="3"/>
    <s v="Q1"/>
    <n v="2023"/>
    <x v="6"/>
    <x v="2"/>
  </r>
  <r>
    <n v="306"/>
    <s v="C085"/>
    <n v="49"/>
    <n v="4"/>
    <d v="2023-02-04T00:00:00"/>
    <d v="1899-12-30T11:35:51"/>
    <d v="2023-02-12T00:00:00"/>
    <d v="1899-12-30T06:38:00"/>
    <s v="Bellary"/>
    <x v="3"/>
    <x v="71"/>
    <s v="Bhamini Johal"/>
    <x v="0"/>
    <x v="32"/>
    <x v="2"/>
    <x v="3"/>
    <n v="903"/>
    <x v="103"/>
    <n v="2528.3999999999996"/>
    <n v="1083.6000000000004"/>
    <n v="0.3000000000000001"/>
    <n v="8"/>
    <x v="0"/>
    <n v="2"/>
    <s v="Q1"/>
    <n v="2023"/>
    <x v="2"/>
    <x v="1"/>
  </r>
  <r>
    <n v="307"/>
    <s v="C042"/>
    <n v="3"/>
    <n v="1"/>
    <d v="2023-02-04T00:00:00"/>
    <d v="1899-12-30T21:37:54"/>
    <d v="2023-02-08T00:00:00"/>
    <d v="1899-12-30T11:28:10"/>
    <s v="Durgapur"/>
    <x v="3"/>
    <x v="12"/>
    <s v="Eshani Sharma"/>
    <x v="0"/>
    <x v="52"/>
    <x v="2"/>
    <x v="3"/>
    <n v="1534"/>
    <x v="171"/>
    <n v="1073.8"/>
    <n v="460.20000000000005"/>
    <n v="0.30000000000000004"/>
    <n v="4"/>
    <x v="0"/>
    <n v="2"/>
    <s v="Q1"/>
    <n v="2023"/>
    <x v="2"/>
    <x v="2"/>
  </r>
  <r>
    <n v="308"/>
    <s v="C005"/>
    <n v="57"/>
    <n v="1"/>
    <d v="2023-03-09T00:00:00"/>
    <d v="1899-12-30T07:54:11"/>
    <d v="2023-03-12T00:00:00"/>
    <d v="1899-12-30T12:11:24"/>
    <s v="Haldia"/>
    <x v="2"/>
    <x v="81"/>
    <s v="Hiran Kaul"/>
    <x v="0"/>
    <x v="57"/>
    <x v="2"/>
    <x v="2"/>
    <n v="1582"/>
    <x v="92"/>
    <n v="1107.3999999999999"/>
    <n v="474.60000000000014"/>
    <n v="0.3000000000000001"/>
    <n v="3"/>
    <x v="5"/>
    <n v="3"/>
    <s v="Q1"/>
    <n v="2023"/>
    <x v="6"/>
    <x v="2"/>
  </r>
  <r>
    <n v="309"/>
    <s v="C071"/>
    <n v="60"/>
    <n v="4"/>
    <d v="2023-11-10T00:00:00"/>
    <d v="1899-12-30T06:38:43"/>
    <d v="2023-11-13T00:00:00"/>
    <d v="1899-12-30T05:14:33"/>
    <s v="Mangalore"/>
    <x v="1"/>
    <x v="26"/>
    <s v="Purab Sheth"/>
    <x v="0"/>
    <x v="12"/>
    <x v="1"/>
    <x v="1"/>
    <n v="827"/>
    <x v="101"/>
    <n v="2315.6"/>
    <n v="992.40000000000009"/>
    <n v="0.30000000000000004"/>
    <n v="3"/>
    <x v="1"/>
    <n v="11"/>
    <s v="Q4"/>
    <n v="2023"/>
    <x v="0"/>
    <x v="1"/>
  </r>
  <r>
    <n v="310"/>
    <s v="C061"/>
    <n v="38"/>
    <n v="3"/>
    <d v="2023-08-20T00:00:00"/>
    <d v="1899-12-30T12:24:22"/>
    <d v="2023-08-24T00:00:00"/>
    <d v="1899-12-30T15:42:48"/>
    <s v="Bhalswa Jahangir Pur"/>
    <x v="2"/>
    <x v="11"/>
    <s v="Akarsh Ramesh"/>
    <x v="1"/>
    <x v="10"/>
    <x v="3"/>
    <x v="2"/>
    <n v="562"/>
    <x v="10"/>
    <n v="1180.1999999999998"/>
    <n v="505.80000000000018"/>
    <n v="0.3000000000000001"/>
    <n v="4"/>
    <x v="3"/>
    <n v="8"/>
    <s v="Q3"/>
    <n v="2023"/>
    <x v="3"/>
    <x v="2"/>
  </r>
  <r>
    <n v="311"/>
    <s v="C051"/>
    <n v="39"/>
    <n v="2"/>
    <d v="2023-09-02T00:00:00"/>
    <d v="1899-12-30T09:26:47"/>
    <d v="2023-09-12T00:00:00"/>
    <d v="1899-12-30T17:51:43"/>
    <s v="Mehsana"/>
    <x v="6"/>
    <x v="65"/>
    <s v="Aradhya Batta"/>
    <x v="1"/>
    <x v="47"/>
    <x v="6"/>
    <x v="6"/>
    <n v="387"/>
    <x v="199"/>
    <n v="541.79999999999995"/>
    <n v="232.20000000000005"/>
    <n v="0.30000000000000004"/>
    <n v="10"/>
    <x v="7"/>
    <n v="9"/>
    <s v="Q3"/>
    <n v="2023"/>
    <x v="6"/>
    <x v="2"/>
  </r>
  <r>
    <n v="312"/>
    <s v="C044"/>
    <n v="9"/>
    <n v="1"/>
    <d v="2023-08-22T00:00:00"/>
    <d v="1899-12-30T18:27:36"/>
    <d v="2023-08-27T00:00:00"/>
    <d v="1899-12-30T06:01:14"/>
    <s v="Akola"/>
    <x v="4"/>
    <x v="8"/>
    <s v="Seher Mann"/>
    <x v="0"/>
    <x v="21"/>
    <x v="2"/>
    <x v="4"/>
    <n v="1605"/>
    <x v="43"/>
    <n v="1123.5"/>
    <n v="481.5"/>
    <n v="0.3"/>
    <n v="5"/>
    <x v="3"/>
    <n v="8"/>
    <s v="Q3"/>
    <n v="2023"/>
    <x v="4"/>
    <x v="2"/>
  </r>
  <r>
    <n v="313"/>
    <s v="C056"/>
    <n v="30"/>
    <n v="2"/>
    <d v="2023-07-22T00:00:00"/>
    <d v="1899-12-30T19:24:29"/>
    <d v="2023-07-26T00:00:00"/>
    <d v="1899-12-30T06:06:13"/>
    <s v="Thane"/>
    <x v="0"/>
    <x v="2"/>
    <s v="Pihu Choudhury"/>
    <x v="0"/>
    <x v="19"/>
    <x v="2"/>
    <x v="0"/>
    <n v="751"/>
    <x v="105"/>
    <n v="1051.3999999999999"/>
    <n v="450.60000000000014"/>
    <n v="0.3000000000000001"/>
    <n v="4"/>
    <x v="2"/>
    <n v="7"/>
    <s v="Q3"/>
    <n v="2023"/>
    <x v="4"/>
    <x v="2"/>
  </r>
  <r>
    <n v="314"/>
    <s v="C029"/>
    <n v="43"/>
    <n v="4"/>
    <d v="2023-11-05T00:00:00"/>
    <d v="1899-12-30T11:48:41"/>
    <d v="2023-11-15T00:00:00"/>
    <d v="1899-12-30T04:55:25"/>
    <s v="Patiala"/>
    <x v="1"/>
    <x v="2"/>
    <s v="Badal Sathe"/>
    <x v="1"/>
    <x v="6"/>
    <x v="0"/>
    <x v="1"/>
    <n v="750"/>
    <x v="200"/>
    <n v="2100"/>
    <n v="900"/>
    <n v="0.3"/>
    <n v="10"/>
    <x v="1"/>
    <n v="11"/>
    <s v="Q4"/>
    <n v="2023"/>
    <x v="5"/>
    <x v="1"/>
  </r>
  <r>
    <n v="315"/>
    <s v="C063"/>
    <n v="26"/>
    <n v="5"/>
    <d v="2023-03-06T00:00:00"/>
    <d v="1899-12-30T14:21:31"/>
    <d v="2023-03-09T00:00:00"/>
    <d v="1899-12-30T19:20:21"/>
    <s v="Ambattur"/>
    <x v="5"/>
    <x v="22"/>
    <s v="Arhaan Ahluwalia"/>
    <x v="0"/>
    <x v="42"/>
    <x v="2"/>
    <x v="5"/>
    <n v="289"/>
    <x v="194"/>
    <n v="1011.4999999999999"/>
    <n v="433.50000000000011"/>
    <n v="0.3000000000000001"/>
    <n v="3"/>
    <x v="5"/>
    <n v="3"/>
    <s v="Q1"/>
    <n v="2023"/>
    <x v="3"/>
    <x v="2"/>
  </r>
  <r>
    <n v="316"/>
    <s v="C048"/>
    <n v="2"/>
    <n v="5"/>
    <d v="2023-02-11T00:00:00"/>
    <d v="1899-12-30T21:35:05"/>
    <d v="2023-02-15T00:00:00"/>
    <d v="1899-12-30T07:21:50"/>
    <s v="Muzaffarnagar"/>
    <x v="3"/>
    <x v="42"/>
    <s v="Aradhya Kale"/>
    <x v="0"/>
    <x v="50"/>
    <x v="5"/>
    <x v="3"/>
    <n v="441"/>
    <x v="70"/>
    <n v="1543.5"/>
    <n v="661.5"/>
    <n v="0.3"/>
    <n v="4"/>
    <x v="0"/>
    <n v="2"/>
    <s v="Q1"/>
    <n v="2023"/>
    <x v="2"/>
    <x v="1"/>
  </r>
  <r>
    <n v="317"/>
    <s v="C014"/>
    <n v="29"/>
    <n v="3"/>
    <d v="2023-03-07T00:00:00"/>
    <d v="1899-12-30T18:51:27"/>
    <d v="2023-03-15T00:00:00"/>
    <d v="1899-12-30T16:12:50"/>
    <s v="Ahmednagar"/>
    <x v="5"/>
    <x v="37"/>
    <s v="Indrans Shukla"/>
    <x v="1"/>
    <x v="66"/>
    <x v="2"/>
    <x v="5"/>
    <n v="1252"/>
    <x v="201"/>
    <n v="2629.2"/>
    <n v="1126.8000000000002"/>
    <n v="0.30000000000000004"/>
    <n v="8"/>
    <x v="5"/>
    <n v="3"/>
    <s v="Q1"/>
    <n v="2023"/>
    <x v="1"/>
    <x v="1"/>
  </r>
  <r>
    <n v="318"/>
    <s v="C038"/>
    <n v="26"/>
    <n v="5"/>
    <d v="2023-03-07T00:00:00"/>
    <d v="1899-12-30T12:15:49"/>
    <d v="2023-03-11T00:00:00"/>
    <d v="1899-12-30T15:59:47"/>
    <s v="Hosur"/>
    <x v="5"/>
    <x v="53"/>
    <s v="Yakshit Shah"/>
    <x v="1"/>
    <x v="42"/>
    <x v="2"/>
    <x v="5"/>
    <n v="289"/>
    <x v="194"/>
    <n v="1011.4999999999999"/>
    <n v="433.50000000000011"/>
    <n v="0.3000000000000001"/>
    <n v="4"/>
    <x v="5"/>
    <n v="3"/>
    <s v="Q1"/>
    <n v="2023"/>
    <x v="1"/>
    <x v="2"/>
  </r>
  <r>
    <n v="319"/>
    <s v="C044"/>
    <n v="64"/>
    <n v="1"/>
    <d v="2023-08-20T00:00:00"/>
    <d v="1899-12-30T06:23:07"/>
    <d v="2023-08-26T00:00:00"/>
    <d v="1899-12-30T22:44:23"/>
    <s v="Bikaner"/>
    <x v="4"/>
    <x v="8"/>
    <s v="Seher Mann"/>
    <x v="0"/>
    <x v="61"/>
    <x v="4"/>
    <x v="4"/>
    <n v="1878"/>
    <x v="202"/>
    <n v="1314.6"/>
    <n v="563.40000000000009"/>
    <n v="0.30000000000000004"/>
    <n v="6"/>
    <x v="3"/>
    <n v="8"/>
    <s v="Q3"/>
    <n v="2023"/>
    <x v="3"/>
    <x v="2"/>
  </r>
  <r>
    <n v="320"/>
    <s v="C007"/>
    <n v="13"/>
    <n v="1"/>
    <d v="2023-03-01T00:00:00"/>
    <d v="1899-12-30T07:49:55"/>
    <d v="2023-03-08T00:00:00"/>
    <d v="1899-12-30T08:38:21"/>
    <s v="Bijapur"/>
    <x v="5"/>
    <x v="70"/>
    <s v="Jayant Kamdar"/>
    <x v="0"/>
    <x v="64"/>
    <x v="6"/>
    <x v="5"/>
    <n v="1141"/>
    <x v="203"/>
    <n v="798.69999999999993"/>
    <n v="342.30000000000007"/>
    <n v="0.30000000000000004"/>
    <n v="7"/>
    <x v="5"/>
    <n v="3"/>
    <s v="Q1"/>
    <n v="2023"/>
    <x v="4"/>
    <x v="2"/>
  </r>
  <r>
    <n v="321"/>
    <s v="C049"/>
    <n v="12"/>
    <n v="5"/>
    <d v="2023-03-08T00:00:00"/>
    <d v="1899-12-30T11:27:05"/>
    <d v="2023-03-17T00:00:00"/>
    <d v="1899-12-30T09:51:43"/>
    <s v="Rampur"/>
    <x v="0"/>
    <x v="27"/>
    <s v="Aarush Balasubramanian"/>
    <x v="1"/>
    <x v="17"/>
    <x v="5"/>
    <x v="0"/>
    <n v="672"/>
    <x v="204"/>
    <n v="2352"/>
    <n v="1008"/>
    <n v="0.3"/>
    <n v="9"/>
    <x v="5"/>
    <n v="3"/>
    <s v="Q1"/>
    <n v="2023"/>
    <x v="4"/>
    <x v="1"/>
  </r>
  <r>
    <n v="322"/>
    <s v="C056"/>
    <n v="15"/>
    <n v="1"/>
    <d v="2023-04-11T00:00:00"/>
    <d v="1899-12-30T08:32:11"/>
    <d v="2023-04-15T00:00:00"/>
    <d v="1899-12-30T03:30:27"/>
    <s v="Udaipur"/>
    <x v="0"/>
    <x v="2"/>
    <s v="Pihu Choudhury"/>
    <x v="0"/>
    <x v="51"/>
    <x v="0"/>
    <x v="0"/>
    <n v="1488"/>
    <x v="205"/>
    <n v="1041.5999999999999"/>
    <n v="446.40000000000009"/>
    <n v="0.30000000000000004"/>
    <n v="4"/>
    <x v="9"/>
    <n v="4"/>
    <s v="Q2"/>
    <n v="2023"/>
    <x v="2"/>
    <x v="2"/>
  </r>
  <r>
    <n v="323"/>
    <s v="C013"/>
    <n v="23"/>
    <n v="2"/>
    <d v="2023-02-09T00:00:00"/>
    <d v="1899-12-30T18:13:04"/>
    <d v="2023-02-10T00:00:00"/>
    <d v="1899-12-30T10:22:35"/>
    <s v="Khora "/>
    <x v="0"/>
    <x v="14"/>
    <s v="Manikya Goswami"/>
    <x v="1"/>
    <x v="13"/>
    <x v="1"/>
    <x v="0"/>
    <n v="1098"/>
    <x v="109"/>
    <n v="1537.1999999999998"/>
    <n v="658.80000000000018"/>
    <n v="0.3000000000000001"/>
    <n v="1"/>
    <x v="0"/>
    <n v="2"/>
    <s v="Q1"/>
    <n v="2023"/>
    <x v="6"/>
    <x v="1"/>
  </r>
  <r>
    <n v="324"/>
    <s v="C073"/>
    <n v="14"/>
    <n v="2"/>
    <d v="2023-02-02T00:00:00"/>
    <d v="1899-12-30T18:47:28"/>
    <d v="2023-02-11T00:00:00"/>
    <d v="1899-12-30T15:34:54"/>
    <s v="North Dumdum"/>
    <x v="2"/>
    <x v="82"/>
    <s v="Zeeshan Tailor"/>
    <x v="0"/>
    <x v="2"/>
    <x v="2"/>
    <x v="2"/>
    <n v="1915"/>
    <x v="160"/>
    <n v="2681"/>
    <n v="1149"/>
    <n v="0.3"/>
    <n v="9"/>
    <x v="0"/>
    <n v="2"/>
    <s v="Q1"/>
    <n v="2023"/>
    <x v="6"/>
    <x v="1"/>
  </r>
  <r>
    <n v="325"/>
    <s v="C091"/>
    <n v="27"/>
    <n v="5"/>
    <d v="2023-08-25T00:00:00"/>
    <d v="1899-12-30T18:30:45"/>
    <d v="2023-09-04T00:00:00"/>
    <d v="1899-12-30T20:02:37"/>
    <s v="Amritsar"/>
    <x v="4"/>
    <x v="21"/>
    <s v="Adira Rajan"/>
    <x v="1"/>
    <x v="7"/>
    <x v="3"/>
    <x v="4"/>
    <n v="548"/>
    <x v="115"/>
    <n v="1917.9999999999998"/>
    <n v="822.00000000000023"/>
    <n v="0.3000000000000001"/>
    <n v="10"/>
    <x v="3"/>
    <n v="8"/>
    <s v="Q3"/>
    <n v="2023"/>
    <x v="2"/>
    <x v="1"/>
  </r>
  <r>
    <n v="326"/>
    <s v="C088"/>
    <n v="34"/>
    <n v="3"/>
    <d v="2023-08-27T00:00:00"/>
    <d v="1899-12-30T15:39:05"/>
    <d v="2023-09-03T00:00:00"/>
    <d v="1899-12-30T15:33:32"/>
    <s v="Panchkula"/>
    <x v="4"/>
    <x v="23"/>
    <s v="Shalv Kulkarni"/>
    <x v="1"/>
    <x v="41"/>
    <x v="4"/>
    <x v="4"/>
    <n v="1335"/>
    <x v="206"/>
    <n v="2803.4999999999995"/>
    <n v="1201.5000000000005"/>
    <n v="0.3000000000000001"/>
    <n v="7"/>
    <x v="3"/>
    <n v="8"/>
    <s v="Q3"/>
    <n v="2023"/>
    <x v="3"/>
    <x v="1"/>
  </r>
  <r>
    <n v="327"/>
    <s v="C048"/>
    <n v="51"/>
    <n v="1"/>
    <d v="2023-09-24T00:00:00"/>
    <d v="1899-12-30T09:29:05"/>
    <d v="2023-09-26T00:00:00"/>
    <d v="1899-12-30T20:09:05"/>
    <s v="Muzaffarnagar"/>
    <x v="6"/>
    <x v="42"/>
    <s v="Aradhya Kale"/>
    <x v="0"/>
    <x v="38"/>
    <x v="4"/>
    <x v="6"/>
    <n v="1084"/>
    <x v="207"/>
    <n v="758.8"/>
    <n v="325.20000000000005"/>
    <n v="0.30000000000000004"/>
    <n v="2"/>
    <x v="7"/>
    <n v="9"/>
    <s v="Q3"/>
    <n v="2023"/>
    <x v="0"/>
    <x v="2"/>
  </r>
  <r>
    <n v="328"/>
    <s v="C024"/>
    <n v="23"/>
    <n v="3"/>
    <d v="2023-04-17T00:00:00"/>
    <d v="1899-12-30T17:51:38"/>
    <d v="2023-04-22T00:00:00"/>
    <d v="1899-12-30T08:59:18"/>
    <s v="Maheshtala"/>
    <x v="0"/>
    <x v="11"/>
    <s v="Jhanvi Chowdhury"/>
    <x v="1"/>
    <x v="13"/>
    <x v="1"/>
    <x v="0"/>
    <n v="1098"/>
    <x v="118"/>
    <n v="2305.7999999999997"/>
    <n v="988.20000000000027"/>
    <n v="0.3000000000000001"/>
    <n v="5"/>
    <x v="9"/>
    <n v="4"/>
    <s v="Q2"/>
    <n v="2023"/>
    <x v="0"/>
    <x v="1"/>
  </r>
  <r>
    <n v="329"/>
    <s v="C095"/>
    <n v="17"/>
    <n v="3"/>
    <d v="2023-08-26T00:00:00"/>
    <d v="1899-12-30T02:22:03"/>
    <d v="2023-09-04T00:00:00"/>
    <d v="1899-12-30T03:08:52"/>
    <s v="Nashik"/>
    <x v="0"/>
    <x v="40"/>
    <s v="Mahika Cherian"/>
    <x v="1"/>
    <x v="25"/>
    <x v="4"/>
    <x v="0"/>
    <n v="1899"/>
    <x v="208"/>
    <n v="3987.8999999999996"/>
    <n v="1709.1000000000004"/>
    <n v="0.30000000000000004"/>
    <n v="9"/>
    <x v="3"/>
    <n v="8"/>
    <s v="Q3"/>
    <n v="2023"/>
    <x v="5"/>
    <x v="0"/>
  </r>
  <r>
    <n v="330"/>
    <s v="C059"/>
    <n v="59"/>
    <n v="2"/>
    <d v="2023-08-24T00:00:00"/>
    <d v="1899-12-30T20:25:09"/>
    <d v="2023-09-01T00:00:00"/>
    <d v="1899-12-30T12:26:20"/>
    <s v="Shahjahanpur"/>
    <x v="4"/>
    <x v="34"/>
    <s v="Nirvi Wagle"/>
    <x v="0"/>
    <x v="58"/>
    <x v="3"/>
    <x v="4"/>
    <n v="811"/>
    <x v="209"/>
    <n v="1135.3999999999999"/>
    <n v="486.60000000000014"/>
    <n v="0.3000000000000001"/>
    <n v="8"/>
    <x v="3"/>
    <n v="8"/>
    <s v="Q3"/>
    <n v="2023"/>
    <x v="0"/>
    <x v="2"/>
  </r>
  <r>
    <n v="331"/>
    <s v="C023"/>
    <n v="41"/>
    <n v="5"/>
    <d v="2023-11-04T00:00:00"/>
    <d v="1899-12-30T21:49:56"/>
    <d v="2023-11-05T00:00:00"/>
    <d v="1899-12-30T14:13:32"/>
    <s v="Patna"/>
    <x v="1"/>
    <x v="18"/>
    <s v="Abram Sandhu"/>
    <x v="0"/>
    <x v="1"/>
    <x v="1"/>
    <x v="1"/>
    <n v="1977"/>
    <x v="182"/>
    <n v="6919.4999999999991"/>
    <n v="2965.5000000000009"/>
    <n v="0.3000000000000001"/>
    <n v="1"/>
    <x v="1"/>
    <n v="11"/>
    <s v="Q4"/>
    <n v="2023"/>
    <x v="2"/>
    <x v="0"/>
  </r>
  <r>
    <n v="332"/>
    <s v="C052"/>
    <n v="20"/>
    <n v="5"/>
    <d v="2023-04-11T00:00:00"/>
    <d v="1899-12-30T20:14:13"/>
    <d v="2023-04-18T00:00:00"/>
    <d v="1899-12-30T14:10:44"/>
    <s v="Khammam"/>
    <x v="0"/>
    <x v="9"/>
    <s v="Vardaniya Apte"/>
    <x v="0"/>
    <x v="11"/>
    <x v="2"/>
    <x v="0"/>
    <n v="697"/>
    <x v="210"/>
    <n v="2439.5"/>
    <n v="1045.5"/>
    <n v="0.3"/>
    <n v="7"/>
    <x v="9"/>
    <n v="4"/>
    <s v="Q2"/>
    <n v="2023"/>
    <x v="2"/>
    <x v="1"/>
  </r>
  <r>
    <n v="333"/>
    <s v="C100"/>
    <n v="22"/>
    <n v="5"/>
    <d v="2023-02-09T00:00:00"/>
    <d v="1899-12-30T06:19:15"/>
    <d v="2023-02-10T00:00:00"/>
    <d v="1899-12-30T03:46:29"/>
    <s v="South Dumdum"/>
    <x v="6"/>
    <x v="56"/>
    <s v="Pranay Chaudhary"/>
    <x v="1"/>
    <x v="34"/>
    <x v="4"/>
    <x v="6"/>
    <n v="1639"/>
    <x v="138"/>
    <n v="5736.5"/>
    <n v="2458.5"/>
    <n v="0.3"/>
    <n v="1"/>
    <x v="0"/>
    <n v="2"/>
    <s v="Q1"/>
    <n v="2023"/>
    <x v="6"/>
    <x v="0"/>
  </r>
  <r>
    <n v="334"/>
    <s v="C066"/>
    <n v="53"/>
    <n v="1"/>
    <d v="2023-08-28T00:00:00"/>
    <d v="1899-12-30T21:19:46"/>
    <d v="2023-09-01T00:00:00"/>
    <d v="1899-12-30T22:03:03"/>
    <s v="Patiala"/>
    <x v="4"/>
    <x v="30"/>
    <s v="Eshani Buch"/>
    <x v="1"/>
    <x v="65"/>
    <x v="1"/>
    <x v="4"/>
    <n v="1672"/>
    <x v="211"/>
    <n v="1170.3999999999999"/>
    <n v="501.60000000000014"/>
    <n v="0.3000000000000001"/>
    <n v="4"/>
    <x v="3"/>
    <n v="8"/>
    <s v="Q3"/>
    <n v="2023"/>
    <x v="1"/>
    <x v="2"/>
  </r>
  <r>
    <n v="335"/>
    <s v="C013"/>
    <n v="17"/>
    <n v="2"/>
    <d v="2023-11-06T00:00:00"/>
    <d v="1899-12-30T02:09:35"/>
    <d v="2023-11-08T00:00:00"/>
    <d v="1899-12-30T02:23:24"/>
    <s v="Sri Ganganagar"/>
    <x v="0"/>
    <x v="14"/>
    <s v="Manikya Goswami"/>
    <x v="1"/>
    <x v="25"/>
    <x v="4"/>
    <x v="0"/>
    <n v="1899"/>
    <x v="28"/>
    <n v="2658.6"/>
    <n v="1139.4000000000001"/>
    <n v="0.30000000000000004"/>
    <n v="2"/>
    <x v="1"/>
    <n v="11"/>
    <s v="Q4"/>
    <n v="2023"/>
    <x v="3"/>
    <x v="1"/>
  </r>
  <r>
    <n v="336"/>
    <s v="C069"/>
    <n v="53"/>
    <n v="1"/>
    <d v="2023-08-20T00:00:00"/>
    <d v="1899-12-30T04:32:24"/>
    <d v="2023-08-25T00:00:00"/>
    <d v="1899-12-30T19:54:17"/>
    <s v="Tiruchirappalli"/>
    <x v="4"/>
    <x v="13"/>
    <s v="Hunar Tripathi"/>
    <x v="1"/>
    <x v="65"/>
    <x v="1"/>
    <x v="4"/>
    <n v="1672"/>
    <x v="211"/>
    <n v="1170.3999999999999"/>
    <n v="501.60000000000014"/>
    <n v="0.3000000000000001"/>
    <n v="5"/>
    <x v="3"/>
    <n v="8"/>
    <s v="Q3"/>
    <n v="2023"/>
    <x v="3"/>
    <x v="2"/>
  </r>
  <r>
    <n v="337"/>
    <s v="C008"/>
    <n v="24"/>
    <n v="3"/>
    <d v="2023-05-16T00:00:00"/>
    <d v="1899-12-30T14:21:12"/>
    <d v="2023-05-22T00:00:00"/>
    <d v="1899-12-30T20:26:13"/>
    <s v="Siwan"/>
    <x v="2"/>
    <x v="51"/>
    <s v="Veer Ray"/>
    <x v="1"/>
    <x v="54"/>
    <x v="6"/>
    <x v="2"/>
    <n v="535"/>
    <x v="43"/>
    <n v="1123.5"/>
    <n v="481.5"/>
    <n v="0.3"/>
    <n v="6"/>
    <x v="4"/>
    <n v="5"/>
    <s v="Q2"/>
    <n v="2023"/>
    <x v="6"/>
    <x v="2"/>
  </r>
  <r>
    <n v="338"/>
    <s v="C087"/>
    <n v="21"/>
    <n v="3"/>
    <d v="2023-08-20T00:00:00"/>
    <d v="1899-12-30T14:15:51"/>
    <d v="2023-08-28T00:00:00"/>
    <d v="1899-12-30T01:34:07"/>
    <s v="Panchkula"/>
    <x v="4"/>
    <x v="10"/>
    <s v="Rania Bhatt"/>
    <x v="1"/>
    <x v="8"/>
    <x v="2"/>
    <x v="4"/>
    <n v="1561"/>
    <x v="179"/>
    <n v="3278.0999999999995"/>
    <n v="1404.9000000000005"/>
    <n v="0.3000000000000001"/>
    <n v="8"/>
    <x v="3"/>
    <n v="8"/>
    <s v="Q3"/>
    <n v="2023"/>
    <x v="3"/>
    <x v="1"/>
  </r>
  <r>
    <n v="339"/>
    <s v="C083"/>
    <n v="8"/>
    <n v="1"/>
    <d v="2023-09-20T00:00:00"/>
    <d v="1899-12-30T20:07:19"/>
    <d v="2023-09-29T00:00:00"/>
    <d v="1899-12-30T10:50:19"/>
    <s v="Sirsa"/>
    <x v="0"/>
    <x v="62"/>
    <s v="Aaryahi Sodhi"/>
    <x v="0"/>
    <x v="24"/>
    <x v="1"/>
    <x v="0"/>
    <n v="252"/>
    <x v="81"/>
    <n v="176.39999999999998"/>
    <n v="75.600000000000023"/>
    <n v="0.3000000000000001"/>
    <n v="9"/>
    <x v="7"/>
    <n v="9"/>
    <s v="Q3"/>
    <n v="2023"/>
    <x v="3"/>
    <x v="2"/>
  </r>
  <r>
    <n v="340"/>
    <s v="C076"/>
    <n v="38"/>
    <n v="3"/>
    <d v="2023-07-14T00:00:00"/>
    <d v="1899-12-30T07:53:01"/>
    <d v="2023-07-22T00:00:00"/>
    <d v="1899-12-30T02:56:01"/>
    <s v="Davanagere"/>
    <x v="2"/>
    <x v="78"/>
    <s v="Oorja Dayal"/>
    <x v="1"/>
    <x v="10"/>
    <x v="3"/>
    <x v="2"/>
    <n v="562"/>
    <x v="10"/>
    <n v="1180.1999999999998"/>
    <n v="505.80000000000018"/>
    <n v="0.3000000000000001"/>
    <n v="8"/>
    <x v="2"/>
    <n v="7"/>
    <s v="Q3"/>
    <n v="2023"/>
    <x v="1"/>
    <x v="2"/>
  </r>
  <r>
    <n v="341"/>
    <s v="C028"/>
    <n v="9"/>
    <n v="2"/>
    <d v="2023-08-20T00:00:00"/>
    <d v="1899-12-30T14:54:35"/>
    <d v="2023-08-30T00:00:00"/>
    <d v="1899-12-30T22:32:13"/>
    <s v="Ongole"/>
    <x v="4"/>
    <x v="48"/>
    <s v="Hridaan Rajagopalan"/>
    <x v="1"/>
    <x v="21"/>
    <x v="2"/>
    <x v="4"/>
    <n v="1605"/>
    <x v="24"/>
    <n v="2247"/>
    <n v="963"/>
    <n v="0.3"/>
    <n v="10"/>
    <x v="3"/>
    <n v="8"/>
    <s v="Q3"/>
    <n v="2023"/>
    <x v="3"/>
    <x v="1"/>
  </r>
  <r>
    <n v="342"/>
    <s v="C062"/>
    <n v="36"/>
    <n v="5"/>
    <d v="2023-11-03T00:00:00"/>
    <d v="1899-12-30T04:03:43"/>
    <d v="2023-11-08T00:00:00"/>
    <d v="1899-12-30T16:26:16"/>
    <s v="Salem"/>
    <x v="2"/>
    <x v="49"/>
    <s v="Inaaya  Sarraf"/>
    <x v="0"/>
    <x v="37"/>
    <x v="5"/>
    <x v="2"/>
    <n v="203"/>
    <x v="147"/>
    <n v="710.5"/>
    <n v="304.5"/>
    <n v="0.3"/>
    <n v="5"/>
    <x v="1"/>
    <n v="11"/>
    <s v="Q4"/>
    <n v="2023"/>
    <x v="0"/>
    <x v="2"/>
  </r>
  <r>
    <n v="343"/>
    <s v="C006"/>
    <n v="66"/>
    <n v="3"/>
    <d v="2023-03-06T00:00:00"/>
    <d v="1899-12-30T14:12:40"/>
    <d v="2023-03-09T00:00:00"/>
    <d v="1899-12-30T09:27:05"/>
    <s v="Parbhani"/>
    <x v="5"/>
    <x v="33"/>
    <s v="Rania Mann"/>
    <x v="1"/>
    <x v="26"/>
    <x v="2"/>
    <x v="5"/>
    <n v="610"/>
    <x v="212"/>
    <n v="1281"/>
    <n v="549"/>
    <n v="0.3"/>
    <n v="3"/>
    <x v="5"/>
    <n v="3"/>
    <s v="Q1"/>
    <n v="2023"/>
    <x v="3"/>
    <x v="2"/>
  </r>
  <r>
    <n v="344"/>
    <s v="C020"/>
    <n v="28"/>
    <n v="5"/>
    <d v="2023-08-29T00:00:00"/>
    <d v="1899-12-30T17:06:22"/>
    <d v="2023-09-03T00:00:00"/>
    <d v="1899-12-30T06:28:07"/>
    <s v="Tiruvottiyur"/>
    <x v="4"/>
    <x v="36"/>
    <s v="Samaira Ganesh"/>
    <x v="0"/>
    <x v="4"/>
    <x v="1"/>
    <x v="4"/>
    <n v="1778"/>
    <x v="213"/>
    <n v="6223"/>
    <n v="2667"/>
    <n v="0.3"/>
    <n v="5"/>
    <x v="3"/>
    <n v="8"/>
    <s v="Q3"/>
    <n v="2023"/>
    <x v="4"/>
    <x v="0"/>
  </r>
  <r>
    <n v="345"/>
    <s v="C056"/>
    <n v="45"/>
    <n v="4"/>
    <d v="2023-09-15T00:00:00"/>
    <d v="1899-12-30T15:40:42"/>
    <d v="2023-09-23T00:00:00"/>
    <d v="1899-12-30T23:11:31"/>
    <s v="Bellary"/>
    <x v="2"/>
    <x v="2"/>
    <s v="Pihu Choudhury"/>
    <x v="0"/>
    <x v="5"/>
    <x v="0"/>
    <x v="2"/>
    <n v="722"/>
    <x v="50"/>
    <n v="2021.6"/>
    <n v="866.40000000000009"/>
    <n v="0.30000000000000004"/>
    <n v="8"/>
    <x v="7"/>
    <n v="9"/>
    <s v="Q3"/>
    <n v="2023"/>
    <x v="4"/>
    <x v="1"/>
  </r>
  <r>
    <n v="346"/>
    <s v="C090"/>
    <n v="50"/>
    <n v="1"/>
    <d v="2023-03-04T00:00:00"/>
    <d v="1899-12-30T23:24:17"/>
    <d v="2023-03-12T00:00:00"/>
    <d v="1899-12-30T16:46:34"/>
    <s v="Pondicherry"/>
    <x v="5"/>
    <x v="17"/>
    <s v="Drishya De"/>
    <x v="1"/>
    <x v="56"/>
    <x v="5"/>
    <x v="5"/>
    <n v="422"/>
    <x v="214"/>
    <n v="295.39999999999998"/>
    <n v="126.60000000000002"/>
    <n v="0.30000000000000004"/>
    <n v="8"/>
    <x v="5"/>
    <n v="3"/>
    <s v="Q1"/>
    <n v="2023"/>
    <x v="2"/>
    <x v="2"/>
  </r>
  <r>
    <n v="347"/>
    <s v="C034"/>
    <n v="34"/>
    <n v="2"/>
    <d v="2023-08-29T00:00:00"/>
    <d v="1899-12-30T09:46:21"/>
    <d v="2023-09-08T00:00:00"/>
    <d v="1899-12-30T08:37:09"/>
    <s v="Shimoga"/>
    <x v="4"/>
    <x v="66"/>
    <s v="Hridaan Sood"/>
    <x v="0"/>
    <x v="41"/>
    <x v="4"/>
    <x v="4"/>
    <n v="1335"/>
    <x v="189"/>
    <n v="1868.9999999999998"/>
    <n v="801.00000000000023"/>
    <n v="0.3000000000000001"/>
    <n v="10"/>
    <x v="3"/>
    <n v="8"/>
    <s v="Q3"/>
    <n v="2023"/>
    <x v="4"/>
    <x v="1"/>
  </r>
  <r>
    <n v="348"/>
    <s v="C060"/>
    <n v="30"/>
    <n v="2"/>
    <d v="2023-11-28T00:00:00"/>
    <d v="1899-12-30T20:33:37"/>
    <d v="2023-12-07T00:00:00"/>
    <d v="1899-12-30T12:02:59"/>
    <s v="Kalyan-Dombivli"/>
    <x v="0"/>
    <x v="55"/>
    <s v="Riya Wagle"/>
    <x v="0"/>
    <x v="19"/>
    <x v="2"/>
    <x v="0"/>
    <n v="751"/>
    <x v="105"/>
    <n v="1051.3999999999999"/>
    <n v="450.60000000000014"/>
    <n v="0.3000000000000001"/>
    <n v="9"/>
    <x v="1"/>
    <n v="11"/>
    <s v="Q4"/>
    <n v="2023"/>
    <x v="1"/>
    <x v="2"/>
  </r>
  <r>
    <n v="349"/>
    <s v="C017"/>
    <n v="44"/>
    <n v="4"/>
    <d v="2023-11-11T00:00:00"/>
    <d v="1899-12-30T03:32:37"/>
    <d v="2023-11-12T00:00:00"/>
    <d v="1899-12-30T10:31:13"/>
    <s v="Junagadh"/>
    <x v="1"/>
    <x v="46"/>
    <s v="Advika Dhar"/>
    <x v="0"/>
    <x v="39"/>
    <x v="5"/>
    <x v="1"/>
    <n v="794"/>
    <x v="215"/>
    <n v="2223.1999999999998"/>
    <n v="952.80000000000018"/>
    <n v="0.30000000000000004"/>
    <n v="1"/>
    <x v="1"/>
    <n v="11"/>
    <s v="Q4"/>
    <n v="2023"/>
    <x v="2"/>
    <x v="1"/>
  </r>
  <r>
    <n v="350"/>
    <s v="C020"/>
    <n v="19"/>
    <n v="3"/>
    <d v="2023-02-13T00:00:00"/>
    <d v="1899-12-30T12:22:57"/>
    <d v="2023-02-22T00:00:00"/>
    <d v="1899-12-30T16:26:10"/>
    <s v="Kolkata"/>
    <x v="3"/>
    <x v="36"/>
    <s v="Samaira Ganesh"/>
    <x v="0"/>
    <x v="27"/>
    <x v="6"/>
    <x v="3"/>
    <n v="1234"/>
    <x v="187"/>
    <n v="2591.3999999999996"/>
    <n v="1110.6000000000004"/>
    <n v="0.3000000000000001"/>
    <n v="9"/>
    <x v="0"/>
    <n v="2"/>
    <s v="Q1"/>
    <n v="2023"/>
    <x v="3"/>
    <x v="1"/>
  </r>
  <r>
    <n v="351"/>
    <s v="C099"/>
    <n v="1"/>
    <n v="1"/>
    <d v="2023-01-16T00:00:00"/>
    <d v="1899-12-30T15:11:07"/>
    <d v="2023-01-25T00:00:00"/>
    <d v="1899-12-30T22:29:59"/>
    <s v="Bhilai"/>
    <x v="6"/>
    <x v="9"/>
    <s v="Ranbir Loyal"/>
    <x v="1"/>
    <x v="48"/>
    <x v="4"/>
    <x v="6"/>
    <n v="1935"/>
    <x v="216"/>
    <n v="1354.5"/>
    <n v="580.5"/>
    <n v="0.3"/>
    <n v="9"/>
    <x v="8"/>
    <n v="1"/>
    <s v="Q1"/>
    <n v="2023"/>
    <x v="6"/>
    <x v="2"/>
  </r>
  <r>
    <n v="352"/>
    <s v="C080"/>
    <n v="28"/>
    <n v="1"/>
    <d v="2023-08-23T00:00:00"/>
    <d v="1899-12-30T23:49:45"/>
    <d v="2023-09-02T00:00:00"/>
    <d v="1899-12-30T09:14:52"/>
    <s v="Bellary"/>
    <x v="4"/>
    <x v="31"/>
    <s v="Mohanlal Garde"/>
    <x v="0"/>
    <x v="4"/>
    <x v="1"/>
    <x v="4"/>
    <n v="1778"/>
    <x v="217"/>
    <n v="1244.5999999999999"/>
    <n v="533.40000000000009"/>
    <n v="0.30000000000000004"/>
    <n v="10"/>
    <x v="3"/>
    <n v="8"/>
    <s v="Q3"/>
    <n v="2023"/>
    <x v="6"/>
    <x v="2"/>
  </r>
  <r>
    <n v="353"/>
    <s v="C089"/>
    <n v="55"/>
    <n v="2"/>
    <d v="2023-08-21T00:00:00"/>
    <d v="1899-12-30T09:43:27"/>
    <d v="2023-08-24T00:00:00"/>
    <d v="1899-12-30T14:12:14"/>
    <s v="Korba"/>
    <x v="4"/>
    <x v="76"/>
    <s v="Oorja Dey"/>
    <x v="1"/>
    <x v="60"/>
    <x v="4"/>
    <x v="4"/>
    <n v="1904"/>
    <x v="131"/>
    <n v="2665.6"/>
    <n v="1142.4000000000001"/>
    <n v="0.30000000000000004"/>
    <n v="3"/>
    <x v="3"/>
    <n v="8"/>
    <s v="Q3"/>
    <n v="2023"/>
    <x v="1"/>
    <x v="1"/>
  </r>
  <r>
    <n v="354"/>
    <s v="C087"/>
    <n v="13"/>
    <n v="5"/>
    <d v="2023-02-26T00:00:00"/>
    <d v="1899-12-30T17:25:28"/>
    <d v="2023-03-06T00:00:00"/>
    <d v="1899-12-30T09:43:32"/>
    <s v="Narasaraopet"/>
    <x v="5"/>
    <x v="10"/>
    <s v="Rania Bhatt"/>
    <x v="1"/>
    <x v="64"/>
    <x v="6"/>
    <x v="5"/>
    <n v="1141"/>
    <x v="218"/>
    <n v="3993.4999999999995"/>
    <n v="1711.5000000000005"/>
    <n v="0.3000000000000001"/>
    <n v="8"/>
    <x v="0"/>
    <n v="2"/>
    <s v="Q1"/>
    <n v="2023"/>
    <x v="5"/>
    <x v="0"/>
  </r>
  <r>
    <n v="355"/>
    <s v="C099"/>
    <n v="10"/>
    <n v="1"/>
    <d v="2023-12-24T00:00:00"/>
    <d v="1899-12-30T04:52:44"/>
    <d v="2024-01-02T00:00:00"/>
    <d v="1899-12-30T09:38:33"/>
    <s v="Satara"/>
    <x v="2"/>
    <x v="9"/>
    <s v="Ranbir Loyal"/>
    <x v="1"/>
    <x v="22"/>
    <x v="3"/>
    <x v="2"/>
    <n v="259"/>
    <x v="42"/>
    <n v="181.29999999999998"/>
    <n v="77.700000000000017"/>
    <n v="0.30000000000000004"/>
    <n v="9"/>
    <x v="6"/>
    <n v="12"/>
    <s v="Q4"/>
    <n v="2023"/>
    <x v="0"/>
    <x v="2"/>
  </r>
  <r>
    <n v="356"/>
    <s v="C028"/>
    <n v="14"/>
    <n v="1"/>
    <d v="2023-07-08T00:00:00"/>
    <d v="1899-12-30T00:41:40"/>
    <d v="2023-07-09T00:00:00"/>
    <d v="1899-12-30T04:31:42"/>
    <s v="Panvel"/>
    <x v="2"/>
    <x v="48"/>
    <s v="Hridaan Rajagopalan"/>
    <x v="1"/>
    <x v="2"/>
    <x v="2"/>
    <x v="2"/>
    <n v="1915"/>
    <x v="37"/>
    <n v="1340.5"/>
    <n v="574.5"/>
    <n v="0.3"/>
    <n v="1"/>
    <x v="2"/>
    <n v="7"/>
    <s v="Q3"/>
    <n v="2023"/>
    <x v="4"/>
    <x v="2"/>
  </r>
  <r>
    <n v="357"/>
    <s v="C063"/>
    <n v="62"/>
    <n v="4"/>
    <d v="2023-03-03T00:00:00"/>
    <d v="1899-12-30T20:01:18"/>
    <d v="2023-03-13T00:00:00"/>
    <d v="1899-12-30T20:55:34"/>
    <s v="Kavali"/>
    <x v="5"/>
    <x v="22"/>
    <s v="Arhaan Ahluwalia"/>
    <x v="0"/>
    <x v="14"/>
    <x v="2"/>
    <x v="5"/>
    <n v="1356"/>
    <x v="16"/>
    <n v="3796.7999999999997"/>
    <n v="1627.2000000000003"/>
    <n v="0.30000000000000004"/>
    <n v="10"/>
    <x v="5"/>
    <n v="3"/>
    <s v="Q1"/>
    <n v="2023"/>
    <x v="0"/>
    <x v="0"/>
  </r>
  <r>
    <n v="358"/>
    <s v="C040"/>
    <n v="55"/>
    <n v="1"/>
    <d v="2023-08-20T00:00:00"/>
    <d v="1899-12-30T16:53:29"/>
    <d v="2023-08-25T00:00:00"/>
    <d v="1899-12-30T13:30:37"/>
    <s v="Secunderabad"/>
    <x v="4"/>
    <x v="5"/>
    <s v="Hazel Mangat"/>
    <x v="1"/>
    <x v="60"/>
    <x v="4"/>
    <x v="4"/>
    <n v="1904"/>
    <x v="166"/>
    <n v="1332.8"/>
    <n v="571.20000000000005"/>
    <n v="0.30000000000000004"/>
    <n v="5"/>
    <x v="3"/>
    <n v="8"/>
    <s v="Q3"/>
    <n v="2023"/>
    <x v="3"/>
    <x v="2"/>
  </r>
  <r>
    <n v="359"/>
    <s v="C052"/>
    <n v="47"/>
    <n v="2"/>
    <d v="2023-02-28T00:00:00"/>
    <d v="1899-12-30T12:13:36"/>
    <d v="2023-03-05T00:00:00"/>
    <d v="1899-12-30T20:31:30"/>
    <s v="Nagpur"/>
    <x v="5"/>
    <x v="9"/>
    <s v="Vardaniya Apte"/>
    <x v="0"/>
    <x v="49"/>
    <x v="2"/>
    <x v="5"/>
    <n v="1638"/>
    <x v="107"/>
    <n v="2293.1999999999998"/>
    <n v="982.80000000000018"/>
    <n v="0.30000000000000004"/>
    <n v="5"/>
    <x v="0"/>
    <n v="2"/>
    <s v="Q1"/>
    <n v="2023"/>
    <x v="1"/>
    <x v="1"/>
  </r>
  <r>
    <n v="360"/>
    <s v="C099"/>
    <n v="41"/>
    <n v="1"/>
    <d v="2023-11-06T00:00:00"/>
    <d v="1899-12-30T03:11:57"/>
    <d v="2023-11-09T00:00:00"/>
    <d v="1899-12-30T17:45:31"/>
    <s v="Belgaum"/>
    <x v="1"/>
    <x v="9"/>
    <s v="Ranbir Loyal"/>
    <x v="1"/>
    <x v="1"/>
    <x v="1"/>
    <x v="1"/>
    <n v="1977"/>
    <x v="80"/>
    <n v="1383.8999999999999"/>
    <n v="593.10000000000014"/>
    <n v="0.30000000000000004"/>
    <n v="3"/>
    <x v="1"/>
    <n v="11"/>
    <s v="Q4"/>
    <n v="2023"/>
    <x v="3"/>
    <x v="2"/>
  </r>
  <r>
    <n v="361"/>
    <s v="C049"/>
    <n v="47"/>
    <n v="4"/>
    <d v="2023-03-03T00:00:00"/>
    <d v="1899-12-30T06:09:56"/>
    <d v="2023-03-11T00:00:00"/>
    <d v="1899-12-30T08:33:10"/>
    <s v="Rajkot"/>
    <x v="5"/>
    <x v="27"/>
    <s v="Aarush Balasubramanian"/>
    <x v="1"/>
    <x v="49"/>
    <x v="2"/>
    <x v="5"/>
    <n v="1638"/>
    <x v="219"/>
    <n v="4586.3999999999996"/>
    <n v="1965.6000000000004"/>
    <n v="0.30000000000000004"/>
    <n v="8"/>
    <x v="5"/>
    <n v="3"/>
    <s v="Q1"/>
    <n v="2023"/>
    <x v="0"/>
    <x v="0"/>
  </r>
  <r>
    <n v="362"/>
    <s v="C041"/>
    <n v="31"/>
    <n v="2"/>
    <d v="2023-03-10T00:00:00"/>
    <d v="1899-12-30T03:40:01"/>
    <d v="2023-03-17T00:00:00"/>
    <d v="1899-12-30T10:35:23"/>
    <s v="Nashik"/>
    <x v="6"/>
    <x v="19"/>
    <s v="Rati Dhingra"/>
    <x v="0"/>
    <x v="43"/>
    <x v="2"/>
    <x v="6"/>
    <n v="1804"/>
    <x v="100"/>
    <n v="2525.6"/>
    <n v="1082.4000000000001"/>
    <n v="0.30000000000000004"/>
    <n v="7"/>
    <x v="5"/>
    <n v="3"/>
    <s v="Q1"/>
    <n v="2023"/>
    <x v="0"/>
    <x v="1"/>
  </r>
  <r>
    <n v="363"/>
    <s v="C022"/>
    <n v="15"/>
    <n v="2"/>
    <d v="2023-11-27T00:00:00"/>
    <d v="1899-12-30T19:01:01"/>
    <d v="2023-12-05T00:00:00"/>
    <d v="1899-12-30T01:50:36"/>
    <s v="Bhavnagar"/>
    <x v="0"/>
    <x v="67"/>
    <s v="Ivana Rout"/>
    <x v="0"/>
    <x v="51"/>
    <x v="0"/>
    <x v="0"/>
    <n v="1488"/>
    <x v="184"/>
    <n v="2083.1999999999998"/>
    <n v="892.80000000000018"/>
    <n v="0.30000000000000004"/>
    <n v="8"/>
    <x v="1"/>
    <n v="11"/>
    <s v="Q4"/>
    <n v="2023"/>
    <x v="3"/>
    <x v="1"/>
  </r>
  <r>
    <n v="364"/>
    <s v="C003"/>
    <n v="43"/>
    <n v="3"/>
    <d v="2023-11-08T00:00:00"/>
    <d v="1899-12-30T06:09:01"/>
    <d v="2023-11-09T00:00:00"/>
    <d v="1899-12-30T04:37:33"/>
    <s v="Satara"/>
    <x v="1"/>
    <x v="3"/>
    <s v="Jayesh Lanka"/>
    <x v="0"/>
    <x v="6"/>
    <x v="0"/>
    <x v="1"/>
    <n v="750"/>
    <x v="6"/>
    <n v="1575"/>
    <n v="675"/>
    <n v="0.3"/>
    <n v="1"/>
    <x v="1"/>
    <n v="11"/>
    <s v="Q4"/>
    <n v="2023"/>
    <x v="4"/>
    <x v="1"/>
  </r>
  <r>
    <n v="365"/>
    <s v="C028"/>
    <n v="8"/>
    <n v="5"/>
    <d v="2023-06-01T00:00:00"/>
    <d v="1899-12-30T15:31:47"/>
    <d v="2023-06-04T00:00:00"/>
    <d v="1899-12-30T10:15:29"/>
    <s v="Agra"/>
    <x v="0"/>
    <x v="48"/>
    <s v="Hridaan Rajagopalan"/>
    <x v="1"/>
    <x v="24"/>
    <x v="1"/>
    <x v="0"/>
    <n v="252"/>
    <x v="195"/>
    <n v="881.99999999999989"/>
    <n v="378.00000000000011"/>
    <n v="0.3000000000000001"/>
    <n v="3"/>
    <x v="11"/>
    <n v="6"/>
    <s v="Q2"/>
    <n v="2023"/>
    <x v="4"/>
    <x v="2"/>
  </r>
  <r>
    <n v="366"/>
    <s v="C033"/>
    <n v="3"/>
    <n v="3"/>
    <d v="2023-02-08T00:00:00"/>
    <d v="1899-12-30T23:15:47"/>
    <d v="2023-02-16T00:00:00"/>
    <d v="1899-12-30T10:51:38"/>
    <s v="Kolkata"/>
    <x v="3"/>
    <x v="45"/>
    <s v="Suhana Kurian"/>
    <x v="1"/>
    <x v="52"/>
    <x v="2"/>
    <x v="3"/>
    <n v="1534"/>
    <x v="220"/>
    <n v="3221.3999999999996"/>
    <n v="1380.6000000000004"/>
    <n v="0.3000000000000001"/>
    <n v="8"/>
    <x v="0"/>
    <n v="2"/>
    <s v="Q1"/>
    <n v="2023"/>
    <x v="4"/>
    <x v="1"/>
  </r>
  <r>
    <n v="367"/>
    <s v="C010"/>
    <n v="47"/>
    <n v="5"/>
    <d v="2023-03-03T00:00:00"/>
    <d v="1899-12-30T00:44:09"/>
    <d v="2023-03-12T00:00:00"/>
    <d v="1899-12-30T15:05:03"/>
    <s v="South Dumdum"/>
    <x v="5"/>
    <x v="50"/>
    <s v="Darshit Dave"/>
    <x v="0"/>
    <x v="49"/>
    <x v="2"/>
    <x v="5"/>
    <n v="1638"/>
    <x v="221"/>
    <n v="5733"/>
    <n v="2457"/>
    <n v="0.3"/>
    <n v="9"/>
    <x v="5"/>
    <n v="3"/>
    <s v="Q1"/>
    <n v="2023"/>
    <x v="0"/>
    <x v="0"/>
  </r>
  <r>
    <n v="368"/>
    <s v="C042"/>
    <n v="6"/>
    <n v="3"/>
    <d v="2023-03-04T00:00:00"/>
    <d v="1899-12-30T23:03:22"/>
    <d v="2023-03-06T00:00:00"/>
    <d v="1899-12-30T02:52:10"/>
    <s v="Nashik"/>
    <x v="5"/>
    <x v="12"/>
    <s v="Eshani Sharma"/>
    <x v="0"/>
    <x v="20"/>
    <x v="3"/>
    <x v="5"/>
    <n v="1112"/>
    <x v="23"/>
    <n v="2335.1999999999998"/>
    <n v="1000.8000000000002"/>
    <n v="0.30000000000000004"/>
    <n v="2"/>
    <x v="5"/>
    <n v="3"/>
    <s v="Q1"/>
    <n v="2023"/>
    <x v="2"/>
    <x v="1"/>
  </r>
  <r>
    <n v="369"/>
    <s v="C014"/>
    <n v="63"/>
    <n v="3"/>
    <d v="2023-08-07T00:00:00"/>
    <d v="1899-12-30T07:23:44"/>
    <d v="2023-08-15T00:00:00"/>
    <d v="1899-12-30T04:28:30"/>
    <s v="Jammu"/>
    <x v="6"/>
    <x v="37"/>
    <s v="Indrans Shukla"/>
    <x v="1"/>
    <x v="67"/>
    <x v="1"/>
    <x v="6"/>
    <n v="1348"/>
    <x v="222"/>
    <n v="2830.7999999999997"/>
    <n v="1213.2000000000003"/>
    <n v="0.30000000000000004"/>
    <n v="8"/>
    <x v="3"/>
    <n v="8"/>
    <s v="Q3"/>
    <n v="2023"/>
    <x v="1"/>
    <x v="1"/>
  </r>
  <r>
    <n v="370"/>
    <s v="C073"/>
    <n v="54"/>
    <n v="2"/>
    <d v="2023-07-09T00:00:00"/>
    <d v="1899-12-30T05:57:39"/>
    <d v="2023-07-13T00:00:00"/>
    <d v="1899-12-30T19:01:40"/>
    <s v="Danapur"/>
    <x v="0"/>
    <x v="82"/>
    <s v="Zeeshan Tailor"/>
    <x v="0"/>
    <x v="30"/>
    <x v="3"/>
    <x v="0"/>
    <n v="1236"/>
    <x v="54"/>
    <n v="1730.3999999999999"/>
    <n v="741.60000000000014"/>
    <n v="0.30000000000000004"/>
    <n v="4"/>
    <x v="2"/>
    <n v="7"/>
    <s v="Q3"/>
    <n v="2023"/>
    <x v="6"/>
    <x v="1"/>
  </r>
  <r>
    <n v="371"/>
    <s v="C090"/>
    <n v="23"/>
    <n v="4"/>
    <d v="2023-05-15T00:00:00"/>
    <d v="1899-12-30T01:27:58"/>
    <d v="2023-05-19T00:00:00"/>
    <d v="1899-12-30T10:28:47"/>
    <s v="Davanagere"/>
    <x v="0"/>
    <x v="17"/>
    <s v="Drishya De"/>
    <x v="1"/>
    <x v="13"/>
    <x v="1"/>
    <x v="0"/>
    <n v="1098"/>
    <x v="15"/>
    <n v="3074.3999999999996"/>
    <n v="1317.6000000000004"/>
    <n v="0.3000000000000001"/>
    <n v="4"/>
    <x v="4"/>
    <n v="5"/>
    <s v="Q2"/>
    <n v="2023"/>
    <x v="4"/>
    <x v="1"/>
  </r>
  <r>
    <n v="372"/>
    <s v="C006"/>
    <n v="25"/>
    <n v="3"/>
    <d v="2023-11-08T00:00:00"/>
    <d v="1899-12-30T19:04:25"/>
    <d v="2023-11-18T00:00:00"/>
    <d v="1899-12-30T18:28:46"/>
    <s v="Kamarhati"/>
    <x v="0"/>
    <x v="33"/>
    <s v="Rania Mann"/>
    <x v="1"/>
    <x v="40"/>
    <x v="5"/>
    <x v="0"/>
    <n v="1202"/>
    <x v="79"/>
    <n v="2524.1999999999998"/>
    <n v="1081.8000000000002"/>
    <n v="0.30000000000000004"/>
    <n v="10"/>
    <x v="1"/>
    <n v="11"/>
    <s v="Q4"/>
    <n v="2023"/>
    <x v="4"/>
    <x v="1"/>
  </r>
  <r>
    <n v="373"/>
    <s v="C026"/>
    <n v="65"/>
    <n v="2"/>
    <d v="2023-06-07T00:00:00"/>
    <d v="1899-12-30T20:49:11"/>
    <d v="2023-06-10T00:00:00"/>
    <d v="1899-12-30T23:57:40"/>
    <s v="North Dumdum"/>
    <x v="6"/>
    <x v="63"/>
    <s v="Ira Chahal"/>
    <x v="1"/>
    <x v="35"/>
    <x v="0"/>
    <x v="6"/>
    <n v="1895"/>
    <x v="62"/>
    <n v="2653"/>
    <n v="1137"/>
    <n v="0.3"/>
    <n v="3"/>
    <x v="11"/>
    <n v="6"/>
    <s v="Q2"/>
    <n v="2023"/>
    <x v="1"/>
    <x v="1"/>
  </r>
  <r>
    <n v="374"/>
    <s v="C087"/>
    <n v="4"/>
    <n v="1"/>
    <d v="2023-11-07T00:00:00"/>
    <d v="1899-12-30T07:47:32"/>
    <d v="2023-11-09T00:00:00"/>
    <d v="1899-12-30T22:32:44"/>
    <s v="Guna"/>
    <x v="1"/>
    <x v="10"/>
    <s v="Rania Bhatt"/>
    <x v="1"/>
    <x v="44"/>
    <x v="1"/>
    <x v="1"/>
    <n v="1199"/>
    <x v="63"/>
    <n v="839.3"/>
    <n v="359.70000000000005"/>
    <n v="0.30000000000000004"/>
    <n v="2"/>
    <x v="1"/>
    <n v="11"/>
    <s v="Q4"/>
    <n v="2023"/>
    <x v="1"/>
    <x v="2"/>
  </r>
  <r>
    <n v="375"/>
    <s v="C091"/>
    <n v="46"/>
    <n v="1"/>
    <d v="2023-02-11T00:00:00"/>
    <d v="1899-12-30T04:16:25"/>
    <d v="2023-02-20T00:00:00"/>
    <d v="1899-12-30T19:37:38"/>
    <s v="Mysore"/>
    <x v="0"/>
    <x v="21"/>
    <s v="Adira Rajan"/>
    <x v="1"/>
    <x v="62"/>
    <x v="3"/>
    <x v="0"/>
    <n v="758"/>
    <x v="223"/>
    <n v="530.6"/>
    <n v="227.39999999999998"/>
    <n v="0.3"/>
    <n v="9"/>
    <x v="0"/>
    <n v="2"/>
    <s v="Q1"/>
    <n v="2023"/>
    <x v="2"/>
    <x v="2"/>
  </r>
  <r>
    <n v="376"/>
    <s v="C097"/>
    <n v="10"/>
    <n v="2"/>
    <d v="2023-05-14T00:00:00"/>
    <d v="1899-12-30T20:18:32"/>
    <d v="2023-05-19T00:00:00"/>
    <d v="1899-12-30T23:48:02"/>
    <s v="Bulandshahr"/>
    <x v="2"/>
    <x v="7"/>
    <s v="Nakul Randhawa"/>
    <x v="1"/>
    <x v="22"/>
    <x v="3"/>
    <x v="2"/>
    <n v="259"/>
    <x v="55"/>
    <n v="362.59999999999997"/>
    <n v="155.40000000000003"/>
    <n v="0.30000000000000004"/>
    <n v="5"/>
    <x v="4"/>
    <n v="5"/>
    <s v="Q2"/>
    <n v="2023"/>
    <x v="1"/>
    <x v="2"/>
  </r>
  <r>
    <n v="377"/>
    <s v="C013"/>
    <n v="55"/>
    <n v="4"/>
    <d v="2023-08-26T00:00:00"/>
    <d v="1899-12-30T08:34:06"/>
    <d v="2023-08-31T00:00:00"/>
    <d v="1899-12-30T11:47:09"/>
    <s v="Ghaziabad"/>
    <x v="4"/>
    <x v="14"/>
    <s v="Manikya Goswami"/>
    <x v="1"/>
    <x v="60"/>
    <x v="4"/>
    <x v="4"/>
    <n v="1904"/>
    <x v="146"/>
    <n v="5331.2"/>
    <n v="2284.8000000000002"/>
    <n v="0.30000000000000004"/>
    <n v="5"/>
    <x v="3"/>
    <n v="8"/>
    <s v="Q3"/>
    <n v="2023"/>
    <x v="5"/>
    <x v="0"/>
  </r>
  <r>
    <n v="378"/>
    <s v="C040"/>
    <n v="6"/>
    <n v="2"/>
    <d v="2023-03-01T00:00:00"/>
    <d v="1899-12-30T11:30:20"/>
    <d v="2023-03-08T00:00:00"/>
    <d v="1899-12-30T19:26:52"/>
    <s v="Hindupur"/>
    <x v="5"/>
    <x v="5"/>
    <s v="Hazel Mangat"/>
    <x v="1"/>
    <x v="20"/>
    <x v="3"/>
    <x v="5"/>
    <n v="1112"/>
    <x v="74"/>
    <n v="1556.8"/>
    <n v="667.2"/>
    <n v="0.30000000000000004"/>
    <n v="7"/>
    <x v="5"/>
    <n v="3"/>
    <s v="Q1"/>
    <n v="2023"/>
    <x v="4"/>
    <x v="1"/>
  </r>
  <r>
    <n v="379"/>
    <s v="C078"/>
    <n v="66"/>
    <n v="1"/>
    <d v="2023-03-03T00:00:00"/>
    <d v="1899-12-30T23:31:41"/>
    <d v="2023-03-06T00:00:00"/>
    <d v="1899-12-30T10:44:03"/>
    <s v="Bhavnagar"/>
    <x v="5"/>
    <x v="4"/>
    <s v="Jivika Rajan"/>
    <x v="1"/>
    <x v="26"/>
    <x v="2"/>
    <x v="5"/>
    <n v="610"/>
    <x v="29"/>
    <n v="427"/>
    <n v="183"/>
    <n v="0.3"/>
    <n v="3"/>
    <x v="5"/>
    <n v="3"/>
    <s v="Q1"/>
    <n v="2023"/>
    <x v="0"/>
    <x v="2"/>
  </r>
  <r>
    <n v="380"/>
    <s v="C009"/>
    <n v="60"/>
    <n v="4"/>
    <d v="2023-11-08T00:00:00"/>
    <d v="1899-12-30T13:33:02"/>
    <d v="2023-11-15T00:00:00"/>
    <d v="1899-12-30T23:40:37"/>
    <s v="Bidhannagar"/>
    <x v="1"/>
    <x v="6"/>
    <s v="Ritvik Borah"/>
    <x v="1"/>
    <x v="12"/>
    <x v="1"/>
    <x v="1"/>
    <n v="827"/>
    <x v="101"/>
    <n v="2315.6"/>
    <n v="992.40000000000009"/>
    <n v="0.30000000000000004"/>
    <n v="7"/>
    <x v="1"/>
    <n v="11"/>
    <s v="Q4"/>
    <n v="2023"/>
    <x v="4"/>
    <x v="1"/>
  </r>
  <r>
    <n v="381"/>
    <s v="C013"/>
    <n v="25"/>
    <n v="3"/>
    <d v="2023-01-25T00:00:00"/>
    <d v="1899-12-30T18:30:03"/>
    <d v="2023-01-28T00:00:00"/>
    <d v="1899-12-30T06:21:06"/>
    <s v="Tiruchirappalli"/>
    <x v="0"/>
    <x v="14"/>
    <s v="Manikya Goswami"/>
    <x v="1"/>
    <x v="40"/>
    <x v="5"/>
    <x v="0"/>
    <n v="1202"/>
    <x v="79"/>
    <n v="2524.1999999999998"/>
    <n v="1081.8000000000002"/>
    <n v="0.30000000000000004"/>
    <n v="3"/>
    <x v="8"/>
    <n v="1"/>
    <s v="Q1"/>
    <n v="2023"/>
    <x v="2"/>
    <x v="1"/>
  </r>
  <r>
    <n v="382"/>
    <s v="C003"/>
    <n v="24"/>
    <n v="1"/>
    <d v="2023-06-03T00:00:00"/>
    <d v="1899-12-30T10:02:19"/>
    <d v="2023-06-13T00:00:00"/>
    <d v="1899-12-30T21:53:48"/>
    <s v="Kamarhati"/>
    <x v="2"/>
    <x v="3"/>
    <s v="Jayesh Lanka"/>
    <x v="0"/>
    <x v="54"/>
    <x v="6"/>
    <x v="2"/>
    <n v="535"/>
    <x v="224"/>
    <n v="374.5"/>
    <n v="160.5"/>
    <n v="0.3"/>
    <n v="10"/>
    <x v="11"/>
    <n v="6"/>
    <s v="Q2"/>
    <n v="2023"/>
    <x v="0"/>
    <x v="2"/>
  </r>
  <r>
    <n v="383"/>
    <s v="C016"/>
    <n v="37"/>
    <n v="1"/>
    <d v="2023-11-06T00:00:00"/>
    <d v="1899-12-30T00:16:45"/>
    <d v="2023-11-08T00:00:00"/>
    <d v="1899-12-30T20:09:52"/>
    <s v="Panchkula"/>
    <x v="1"/>
    <x v="73"/>
    <s v="Amani Ganesh"/>
    <x v="0"/>
    <x v="28"/>
    <x v="2"/>
    <x v="1"/>
    <n v="1428"/>
    <x v="225"/>
    <n v="999.59999999999991"/>
    <n v="428.40000000000009"/>
    <n v="0.30000000000000004"/>
    <n v="2"/>
    <x v="1"/>
    <n v="11"/>
    <s v="Q4"/>
    <n v="2023"/>
    <x v="3"/>
    <x v="2"/>
  </r>
  <r>
    <n v="384"/>
    <s v="C004"/>
    <n v="25"/>
    <n v="3"/>
    <d v="2023-05-11T00:00:00"/>
    <d v="1899-12-30T16:57:57"/>
    <d v="2023-05-15T00:00:00"/>
    <d v="1899-12-30T13:57:13"/>
    <s v="Bhilai"/>
    <x v="0"/>
    <x v="75"/>
    <s v="Tarini Bava"/>
    <x v="0"/>
    <x v="40"/>
    <x v="5"/>
    <x v="0"/>
    <n v="1202"/>
    <x v="79"/>
    <n v="2524.1999999999998"/>
    <n v="1081.8000000000002"/>
    <n v="0.30000000000000004"/>
    <n v="4"/>
    <x v="4"/>
    <n v="5"/>
    <s v="Q2"/>
    <n v="2023"/>
    <x v="2"/>
    <x v="1"/>
  </r>
  <r>
    <n v="385"/>
    <s v="C002"/>
    <n v="50"/>
    <n v="4"/>
    <d v="2023-03-03T00:00:00"/>
    <d v="1899-12-30T01:16:01"/>
    <d v="2023-03-08T00:00:00"/>
    <d v="1899-12-30T10:46:18"/>
    <s v="Alwar"/>
    <x v="5"/>
    <x v="83"/>
    <s v="Myra Edwin"/>
    <x v="1"/>
    <x v="56"/>
    <x v="5"/>
    <x v="5"/>
    <n v="422"/>
    <x v="226"/>
    <n v="1181.5999999999999"/>
    <n v="506.40000000000009"/>
    <n v="0.30000000000000004"/>
    <n v="5"/>
    <x v="5"/>
    <n v="3"/>
    <s v="Q1"/>
    <n v="2023"/>
    <x v="0"/>
    <x v="2"/>
  </r>
  <r>
    <n v="386"/>
    <s v="C091"/>
    <n v="5"/>
    <n v="4"/>
    <d v="2023-06-04T00:00:00"/>
    <d v="1899-12-30T12:47:45"/>
    <d v="2023-06-14T00:00:00"/>
    <d v="1899-12-30T21:34:41"/>
    <s v="Jalandhar"/>
    <x v="6"/>
    <x v="21"/>
    <s v="Adira Rajan"/>
    <x v="1"/>
    <x v="36"/>
    <x v="2"/>
    <x v="6"/>
    <n v="1444"/>
    <x v="227"/>
    <n v="4043.2"/>
    <n v="1732.8000000000002"/>
    <n v="0.30000000000000004"/>
    <n v="10"/>
    <x v="11"/>
    <n v="6"/>
    <s v="Q2"/>
    <n v="2023"/>
    <x v="2"/>
    <x v="0"/>
  </r>
  <r>
    <n v="387"/>
    <s v="C061"/>
    <n v="1"/>
    <n v="2"/>
    <d v="2023-04-30T00:00:00"/>
    <d v="1899-12-30T05:38:25"/>
    <d v="2023-05-09T00:00:00"/>
    <d v="1899-12-30T02:15:58"/>
    <s v="Ahmedabad"/>
    <x v="6"/>
    <x v="11"/>
    <s v="Akarsh Ramesh"/>
    <x v="1"/>
    <x v="48"/>
    <x v="4"/>
    <x v="6"/>
    <n v="1935"/>
    <x v="186"/>
    <n v="2709"/>
    <n v="1161"/>
    <n v="0.3"/>
    <n v="9"/>
    <x v="9"/>
    <n v="4"/>
    <s v="Q2"/>
    <n v="2023"/>
    <x v="6"/>
    <x v="1"/>
  </r>
  <r>
    <n v="388"/>
    <s v="C066"/>
    <n v="36"/>
    <n v="2"/>
    <d v="2023-11-10T00:00:00"/>
    <d v="1899-12-30T00:15:10"/>
    <d v="2023-11-18T00:00:00"/>
    <d v="1899-12-30T10:37:06"/>
    <s v="Jalna"/>
    <x v="2"/>
    <x v="30"/>
    <s v="Eshani Buch"/>
    <x v="1"/>
    <x v="37"/>
    <x v="5"/>
    <x v="2"/>
    <n v="203"/>
    <x v="86"/>
    <n v="284.2"/>
    <n v="121.80000000000001"/>
    <n v="0.30000000000000004"/>
    <n v="8"/>
    <x v="1"/>
    <n v="11"/>
    <s v="Q4"/>
    <n v="2023"/>
    <x v="0"/>
    <x v="2"/>
  </r>
  <r>
    <n v="389"/>
    <s v="C061"/>
    <n v="29"/>
    <n v="2"/>
    <d v="2023-03-06T00:00:00"/>
    <d v="1899-12-30T03:26:18"/>
    <d v="2023-03-16T00:00:00"/>
    <d v="1899-12-30T18:13:40"/>
    <s v="Mahbubnagar"/>
    <x v="5"/>
    <x v="11"/>
    <s v="Akarsh Ramesh"/>
    <x v="1"/>
    <x v="66"/>
    <x v="2"/>
    <x v="5"/>
    <n v="1252"/>
    <x v="228"/>
    <n v="1752.8"/>
    <n v="751.2"/>
    <n v="0.30000000000000004"/>
    <n v="10"/>
    <x v="5"/>
    <n v="3"/>
    <s v="Q1"/>
    <n v="2023"/>
    <x v="3"/>
    <x v="1"/>
  </r>
  <r>
    <n v="390"/>
    <s v="C043"/>
    <n v="26"/>
    <n v="4"/>
    <d v="2023-03-03T00:00:00"/>
    <d v="1899-12-30T15:40:56"/>
    <d v="2023-03-10T00:00:00"/>
    <d v="1899-12-30T23:02:07"/>
    <s v="Akola"/>
    <x v="5"/>
    <x v="61"/>
    <s v="Yasmin Sheth"/>
    <x v="1"/>
    <x v="42"/>
    <x v="2"/>
    <x v="5"/>
    <n v="289"/>
    <x v="88"/>
    <n v="809.19999999999993"/>
    <n v="346.80000000000007"/>
    <n v="0.30000000000000004"/>
    <n v="7"/>
    <x v="5"/>
    <n v="3"/>
    <s v="Q1"/>
    <n v="2023"/>
    <x v="0"/>
    <x v="2"/>
  </r>
  <r>
    <n v="391"/>
    <s v="C083"/>
    <n v="22"/>
    <n v="4"/>
    <d v="2023-12-29T00:00:00"/>
    <d v="1899-12-30T13:44:06"/>
    <d v="2024-01-07T00:00:00"/>
    <d v="1899-12-30T12:58:41"/>
    <s v="Bareilly"/>
    <x v="6"/>
    <x v="62"/>
    <s v="Aaryahi Sodhi"/>
    <x v="0"/>
    <x v="34"/>
    <x v="4"/>
    <x v="6"/>
    <n v="1639"/>
    <x v="39"/>
    <n v="4589.2"/>
    <n v="1966.8000000000002"/>
    <n v="0.30000000000000004"/>
    <n v="9"/>
    <x v="6"/>
    <n v="12"/>
    <s v="Q4"/>
    <n v="2023"/>
    <x v="4"/>
    <x v="0"/>
  </r>
  <r>
    <n v="392"/>
    <s v="C085"/>
    <n v="4"/>
    <n v="2"/>
    <d v="2023-11-05T00:00:00"/>
    <d v="1899-12-30T03:18:55"/>
    <d v="2023-11-06T00:00:00"/>
    <d v="1899-12-30T18:53:09"/>
    <s v="Gangtok"/>
    <x v="1"/>
    <x v="71"/>
    <s v="Bhamini Johal"/>
    <x v="0"/>
    <x v="44"/>
    <x v="1"/>
    <x v="1"/>
    <n v="1199"/>
    <x v="229"/>
    <n v="1678.6"/>
    <n v="719.40000000000009"/>
    <n v="0.30000000000000004"/>
    <n v="1"/>
    <x v="1"/>
    <n v="11"/>
    <s v="Q4"/>
    <n v="2023"/>
    <x v="5"/>
    <x v="1"/>
  </r>
  <r>
    <n v="393"/>
    <s v="C087"/>
    <n v="17"/>
    <n v="5"/>
    <d v="2023-11-14T00:00:00"/>
    <d v="1899-12-30T11:01:18"/>
    <d v="2023-11-22T00:00:00"/>
    <d v="1899-12-30T16:10:46"/>
    <s v="Solapur"/>
    <x v="0"/>
    <x v="10"/>
    <s v="Rania Bhatt"/>
    <x v="1"/>
    <x v="25"/>
    <x v="4"/>
    <x v="0"/>
    <n v="1899"/>
    <x v="230"/>
    <n v="6646.5"/>
    <n v="2848.5"/>
    <n v="0.3"/>
    <n v="8"/>
    <x v="1"/>
    <n v="11"/>
    <s v="Q4"/>
    <n v="2023"/>
    <x v="1"/>
    <x v="0"/>
  </r>
  <r>
    <n v="394"/>
    <s v="C028"/>
    <n v="38"/>
    <n v="5"/>
    <d v="2023-03-23T00:00:00"/>
    <d v="1899-12-30T04:26:37"/>
    <d v="2023-03-31T00:00:00"/>
    <d v="1899-12-30T19:25:58"/>
    <s v="Dewas"/>
    <x v="2"/>
    <x v="48"/>
    <s v="Hridaan Rajagopalan"/>
    <x v="1"/>
    <x v="10"/>
    <x v="3"/>
    <x v="2"/>
    <n v="562"/>
    <x v="231"/>
    <n v="1967"/>
    <n v="843"/>
    <n v="0.3"/>
    <n v="8"/>
    <x v="5"/>
    <n v="3"/>
    <s v="Q1"/>
    <n v="2023"/>
    <x v="6"/>
    <x v="1"/>
  </r>
  <r>
    <n v="395"/>
    <s v="C067"/>
    <n v="26"/>
    <n v="2"/>
    <d v="2023-03-03T00:00:00"/>
    <d v="1899-12-30T23:14:54"/>
    <d v="2023-03-06T00:00:00"/>
    <d v="1899-12-30T18:32:37"/>
    <s v="Hosur"/>
    <x v="5"/>
    <x v="29"/>
    <s v="Eva Sankaran"/>
    <x v="0"/>
    <x v="42"/>
    <x v="2"/>
    <x v="5"/>
    <n v="289"/>
    <x v="69"/>
    <n v="404.59999999999997"/>
    <n v="173.40000000000003"/>
    <n v="0.30000000000000004"/>
    <n v="3"/>
    <x v="5"/>
    <n v="3"/>
    <s v="Q1"/>
    <n v="2023"/>
    <x v="0"/>
    <x v="2"/>
  </r>
  <r>
    <n v="396"/>
    <s v="C068"/>
    <n v="10"/>
    <n v="5"/>
    <d v="2023-03-15T00:00:00"/>
    <d v="1899-12-30T15:30:58"/>
    <d v="2023-03-16T00:00:00"/>
    <d v="1899-12-30T01:45:01"/>
    <s v="Tiruvottiyur"/>
    <x v="2"/>
    <x v="34"/>
    <s v="Ritvik Garde"/>
    <x v="0"/>
    <x v="22"/>
    <x v="3"/>
    <x v="2"/>
    <n v="259"/>
    <x v="25"/>
    <n v="906.49999999999989"/>
    <n v="388.50000000000011"/>
    <n v="0.3000000000000001"/>
    <n v="1"/>
    <x v="5"/>
    <n v="3"/>
    <s v="Q1"/>
    <n v="2023"/>
    <x v="4"/>
    <x v="2"/>
  </r>
  <r>
    <n v="397"/>
    <s v="C034"/>
    <n v="4"/>
    <n v="5"/>
    <d v="2023-11-09T00:00:00"/>
    <d v="1899-12-30T06:48:09"/>
    <d v="2023-11-14T00:00:00"/>
    <d v="1899-12-30T13:32:34"/>
    <s v="Junagadh"/>
    <x v="1"/>
    <x v="66"/>
    <s v="Hridaan Sood"/>
    <x v="0"/>
    <x v="44"/>
    <x v="1"/>
    <x v="1"/>
    <n v="1199"/>
    <x v="178"/>
    <n v="4196.5"/>
    <n v="1798.5"/>
    <n v="0.3"/>
    <n v="5"/>
    <x v="1"/>
    <n v="11"/>
    <s v="Q4"/>
    <n v="2023"/>
    <x v="6"/>
    <x v="0"/>
  </r>
  <r>
    <n v="398"/>
    <s v="C080"/>
    <n v="54"/>
    <n v="1"/>
    <d v="2023-05-05T00:00:00"/>
    <d v="1899-12-30T08:45:21"/>
    <d v="2023-05-15T00:00:00"/>
    <d v="1899-12-30T10:01:43"/>
    <s v="Dehradun"/>
    <x v="0"/>
    <x v="31"/>
    <s v="Mohanlal Garde"/>
    <x v="0"/>
    <x v="30"/>
    <x v="3"/>
    <x v="0"/>
    <n v="1236"/>
    <x v="192"/>
    <n v="865.19999999999993"/>
    <n v="370.80000000000007"/>
    <n v="0.30000000000000004"/>
    <n v="10"/>
    <x v="4"/>
    <n v="5"/>
    <s v="Q2"/>
    <n v="2023"/>
    <x v="5"/>
    <x v="2"/>
  </r>
  <r>
    <n v="399"/>
    <s v="C008"/>
    <n v="68"/>
    <n v="1"/>
    <d v="2023-02-08T00:00:00"/>
    <d v="1899-12-30T06:21:47"/>
    <d v="2023-02-15T00:00:00"/>
    <d v="1899-12-30T07:08:14"/>
    <s v="Bareilly"/>
    <x v="3"/>
    <x v="51"/>
    <s v="Veer Ray"/>
    <x v="1"/>
    <x v="63"/>
    <x v="4"/>
    <x v="3"/>
    <n v="597"/>
    <x v="232"/>
    <n v="417.9"/>
    <n v="179.10000000000002"/>
    <n v="0.30000000000000004"/>
    <n v="7"/>
    <x v="0"/>
    <n v="2"/>
    <s v="Q1"/>
    <n v="2023"/>
    <x v="4"/>
    <x v="2"/>
  </r>
  <r>
    <n v="400"/>
    <s v="C083"/>
    <n v="45"/>
    <n v="3"/>
    <d v="2023-05-07T00:00:00"/>
    <d v="1899-12-30T14:05:01"/>
    <d v="2023-05-15T00:00:00"/>
    <d v="1899-12-30T18:10:53"/>
    <s v="Kumbakonam"/>
    <x v="2"/>
    <x v="62"/>
    <s v="Aaryahi Sodhi"/>
    <x v="0"/>
    <x v="5"/>
    <x v="0"/>
    <x v="2"/>
    <n v="722"/>
    <x v="233"/>
    <n v="1516.1999999999998"/>
    <n v="649.80000000000018"/>
    <n v="0.3000000000000001"/>
    <n v="8"/>
    <x v="4"/>
    <n v="5"/>
    <s v="Q2"/>
    <n v="2023"/>
    <x v="1"/>
    <x v="1"/>
  </r>
  <r>
    <n v="401"/>
    <s v="C089"/>
    <n v="9"/>
    <n v="5"/>
    <d v="2023-08-29T00:00:00"/>
    <d v="1899-12-30T19:53:33"/>
    <d v="2023-09-04T00:00:00"/>
    <d v="1899-12-30T07:19:07"/>
    <s v="Bharatpur"/>
    <x v="4"/>
    <x v="76"/>
    <s v="Oorja Dey"/>
    <x v="1"/>
    <x v="21"/>
    <x v="2"/>
    <x v="4"/>
    <n v="1605"/>
    <x v="44"/>
    <n v="5617.5"/>
    <n v="2407.5"/>
    <n v="0.3"/>
    <n v="6"/>
    <x v="3"/>
    <n v="8"/>
    <s v="Q3"/>
    <n v="2023"/>
    <x v="4"/>
    <x v="0"/>
  </r>
  <r>
    <n v="402"/>
    <s v="C037"/>
    <n v="29"/>
    <n v="1"/>
    <d v="2023-03-05T00:00:00"/>
    <d v="1899-12-30T16:42:29"/>
    <d v="2023-03-08T00:00:00"/>
    <d v="1899-12-30T13:32:50"/>
    <s v="Thrissur"/>
    <x v="5"/>
    <x v="0"/>
    <s v="Aradhya Kumar"/>
    <x v="0"/>
    <x v="66"/>
    <x v="2"/>
    <x v="5"/>
    <n v="1252"/>
    <x v="183"/>
    <n v="876.4"/>
    <n v="375.6"/>
    <n v="0.30000000000000004"/>
    <n v="3"/>
    <x v="5"/>
    <n v="3"/>
    <s v="Q1"/>
    <n v="2023"/>
    <x v="5"/>
    <x v="2"/>
  </r>
  <r>
    <n v="403"/>
    <s v="C075"/>
    <n v="57"/>
    <n v="1"/>
    <d v="2023-01-06T00:00:00"/>
    <d v="1899-12-30T11:45:28"/>
    <d v="2023-01-16T00:00:00"/>
    <d v="1899-12-30T20:13:26"/>
    <s v="Chapra"/>
    <x v="2"/>
    <x v="60"/>
    <s v="Yashvi Bansal"/>
    <x v="1"/>
    <x v="57"/>
    <x v="2"/>
    <x v="2"/>
    <n v="1582"/>
    <x v="92"/>
    <n v="1107.3999999999999"/>
    <n v="474.60000000000014"/>
    <n v="0.3000000000000001"/>
    <n v="10"/>
    <x v="8"/>
    <n v="1"/>
    <s v="Q1"/>
    <n v="2023"/>
    <x v="3"/>
    <x v="2"/>
  </r>
  <r>
    <n v="404"/>
    <s v="C055"/>
    <n v="21"/>
    <n v="5"/>
    <d v="2023-08-22T00:00:00"/>
    <d v="1899-12-30T07:55:20"/>
    <d v="2023-08-24T00:00:00"/>
    <d v="1899-12-30T22:27:19"/>
    <s v="South Dumdum"/>
    <x v="4"/>
    <x v="27"/>
    <s v="Umang Luthra"/>
    <x v="0"/>
    <x v="8"/>
    <x v="2"/>
    <x v="4"/>
    <n v="1561"/>
    <x v="13"/>
    <n v="5463.4999999999991"/>
    <n v="2341.5000000000009"/>
    <n v="0.3000000000000001"/>
    <n v="2"/>
    <x v="3"/>
    <n v="8"/>
    <s v="Q3"/>
    <n v="2023"/>
    <x v="4"/>
    <x v="0"/>
  </r>
  <r>
    <n v="405"/>
    <s v="C033"/>
    <n v="49"/>
    <n v="1"/>
    <d v="2023-02-10T00:00:00"/>
    <d v="1899-12-30T23:05:14"/>
    <d v="2023-02-18T00:00:00"/>
    <d v="1899-12-30T14:47:38"/>
    <s v="Guwahati"/>
    <x v="3"/>
    <x v="45"/>
    <s v="Suhana Kurian"/>
    <x v="1"/>
    <x v="32"/>
    <x v="2"/>
    <x v="3"/>
    <n v="903"/>
    <x v="234"/>
    <n v="632.09999999999991"/>
    <n v="270.90000000000009"/>
    <n v="0.3000000000000001"/>
    <n v="8"/>
    <x v="0"/>
    <n v="2"/>
    <s v="Q1"/>
    <n v="2023"/>
    <x v="0"/>
    <x v="2"/>
  </r>
  <r>
    <n v="406"/>
    <s v="C049"/>
    <n v="55"/>
    <n v="4"/>
    <d v="2023-08-25T00:00:00"/>
    <d v="1899-12-30T15:59:17"/>
    <d v="2023-09-02T00:00:00"/>
    <d v="1899-12-30T06:23:53"/>
    <s v="Srikakulam"/>
    <x v="4"/>
    <x v="27"/>
    <s v="Aarush Balasubramanian"/>
    <x v="1"/>
    <x v="60"/>
    <x v="4"/>
    <x v="4"/>
    <n v="1904"/>
    <x v="146"/>
    <n v="5331.2"/>
    <n v="2284.8000000000002"/>
    <n v="0.30000000000000004"/>
    <n v="8"/>
    <x v="3"/>
    <n v="8"/>
    <s v="Q3"/>
    <n v="2023"/>
    <x v="2"/>
    <x v="0"/>
  </r>
  <r>
    <n v="407"/>
    <s v="C074"/>
    <n v="69"/>
    <n v="3"/>
    <d v="2023-02-26T00:00:00"/>
    <d v="1899-12-30T08:52:11"/>
    <d v="2023-02-28T00:00:00"/>
    <d v="1899-12-30T04:09:44"/>
    <s v="Jamalpur"/>
    <x v="5"/>
    <x v="43"/>
    <s v="Vanya Apte"/>
    <x v="1"/>
    <x v="55"/>
    <x v="3"/>
    <x v="5"/>
    <n v="998"/>
    <x v="191"/>
    <n v="2095.7999999999997"/>
    <n v="898.20000000000027"/>
    <n v="0.3000000000000001"/>
    <n v="2"/>
    <x v="0"/>
    <n v="2"/>
    <s v="Q1"/>
    <n v="2023"/>
    <x v="5"/>
    <x v="1"/>
  </r>
  <r>
    <n v="408"/>
    <s v="C063"/>
    <n v="31"/>
    <n v="2"/>
    <d v="2023-03-05T00:00:00"/>
    <d v="1899-12-30T12:19:26"/>
    <d v="2023-03-11T00:00:00"/>
    <d v="1899-12-30T04:41:38"/>
    <s v="Haldia"/>
    <x v="6"/>
    <x v="22"/>
    <s v="Arhaan Ahluwalia"/>
    <x v="0"/>
    <x v="43"/>
    <x v="2"/>
    <x v="6"/>
    <n v="1804"/>
    <x v="100"/>
    <n v="2525.6"/>
    <n v="1082.4000000000001"/>
    <n v="0.30000000000000004"/>
    <n v="6"/>
    <x v="5"/>
    <n v="3"/>
    <s v="Q1"/>
    <n v="2023"/>
    <x v="5"/>
    <x v="1"/>
  </r>
  <r>
    <n v="409"/>
    <s v="C049"/>
    <n v="50"/>
    <n v="4"/>
    <d v="2023-02-26T00:00:00"/>
    <d v="1899-12-30T17:43:59"/>
    <d v="2023-02-28T00:00:00"/>
    <d v="1899-12-30T19:44:57"/>
    <s v="Khammam"/>
    <x v="5"/>
    <x v="27"/>
    <s v="Aarush Balasubramanian"/>
    <x v="1"/>
    <x v="56"/>
    <x v="5"/>
    <x v="5"/>
    <n v="422"/>
    <x v="226"/>
    <n v="1181.5999999999999"/>
    <n v="506.40000000000009"/>
    <n v="0.30000000000000004"/>
    <n v="2"/>
    <x v="0"/>
    <n v="2"/>
    <s v="Q1"/>
    <n v="2023"/>
    <x v="5"/>
    <x v="2"/>
  </r>
  <r>
    <n v="410"/>
    <s v="C025"/>
    <n v="24"/>
    <n v="1"/>
    <d v="2023-01-01T00:00:00"/>
    <d v="1899-12-30T20:20:49"/>
    <d v="2023-01-02T00:00:00"/>
    <d v="1899-12-30T05:57:06"/>
    <s v="Surendranagar Dudhrej"/>
    <x v="2"/>
    <x v="84"/>
    <s v="Ira Bava"/>
    <x v="1"/>
    <x v="54"/>
    <x v="6"/>
    <x v="2"/>
    <n v="535"/>
    <x v="224"/>
    <n v="374.5"/>
    <n v="160.5"/>
    <n v="0.3"/>
    <n v="1"/>
    <x v="8"/>
    <n v="1"/>
    <s v="Q1"/>
    <n v="2023"/>
    <x v="4"/>
    <x v="2"/>
  </r>
  <r>
    <n v="411"/>
    <s v="C006"/>
    <n v="48"/>
    <n v="1"/>
    <d v="2023-11-05T00:00:00"/>
    <d v="1899-12-30T16:31:34"/>
    <d v="2023-11-08T00:00:00"/>
    <d v="1899-12-30T07:21:26"/>
    <s v="Nadiad"/>
    <x v="1"/>
    <x v="33"/>
    <s v="Rania Mann"/>
    <x v="1"/>
    <x v="29"/>
    <x v="2"/>
    <x v="1"/>
    <n v="433"/>
    <x v="235"/>
    <n v="303.09999999999997"/>
    <n v="129.90000000000003"/>
    <n v="0.3000000000000001"/>
    <n v="3"/>
    <x v="1"/>
    <n v="11"/>
    <s v="Q4"/>
    <n v="2023"/>
    <x v="5"/>
    <x v="2"/>
  </r>
  <r>
    <n v="412"/>
    <s v="C081"/>
    <n v="67"/>
    <n v="2"/>
    <d v="2023-10-28T00:00:00"/>
    <d v="1899-12-30T09:28:24"/>
    <d v="2023-10-31T00:00:00"/>
    <d v="1899-12-30T23:14:27"/>
    <s v="Maheshtala"/>
    <x v="0"/>
    <x v="58"/>
    <s v="Kaira Ramachandran"/>
    <x v="0"/>
    <x v="0"/>
    <x v="0"/>
    <x v="0"/>
    <n v="1374"/>
    <x v="102"/>
    <n v="1923.6"/>
    <n v="824.40000000000009"/>
    <n v="0.30000000000000004"/>
    <n v="3"/>
    <x v="10"/>
    <n v="10"/>
    <s v="Q4"/>
    <n v="2023"/>
    <x v="1"/>
    <x v="1"/>
  </r>
  <r>
    <n v="413"/>
    <s v="C050"/>
    <n v="59"/>
    <n v="5"/>
    <d v="2023-08-22T00:00:00"/>
    <d v="1899-12-30T05:32:17"/>
    <d v="2023-08-30T00:00:00"/>
    <d v="1899-12-30T20:21:11"/>
    <s v="Amritsar"/>
    <x v="4"/>
    <x v="27"/>
    <s v="Chirag Srinivas"/>
    <x v="1"/>
    <x v="58"/>
    <x v="3"/>
    <x v="4"/>
    <n v="811"/>
    <x v="111"/>
    <n v="2838.4999999999995"/>
    <n v="1216.5000000000005"/>
    <n v="0.3000000000000001"/>
    <n v="8"/>
    <x v="3"/>
    <n v="8"/>
    <s v="Q3"/>
    <n v="2023"/>
    <x v="4"/>
    <x v="1"/>
  </r>
  <r>
    <n v="414"/>
    <s v="C034"/>
    <n v="7"/>
    <n v="4"/>
    <d v="2023-02-28T00:00:00"/>
    <d v="1899-12-30T21:18:11"/>
    <d v="2023-03-07T00:00:00"/>
    <d v="1899-12-30T01:07:31"/>
    <s v="Raurkela Industrial Township"/>
    <x v="5"/>
    <x v="66"/>
    <s v="Hridaan Sood"/>
    <x v="0"/>
    <x v="23"/>
    <x v="4"/>
    <x v="5"/>
    <n v="409"/>
    <x v="175"/>
    <n v="1145.1999999999998"/>
    <n v="490.80000000000018"/>
    <n v="0.3000000000000001"/>
    <n v="7"/>
    <x v="0"/>
    <n v="2"/>
    <s v="Q1"/>
    <n v="2023"/>
    <x v="1"/>
    <x v="2"/>
  </r>
  <r>
    <n v="415"/>
    <s v="C065"/>
    <n v="14"/>
    <n v="4"/>
    <d v="2023-06-08T00:00:00"/>
    <d v="1899-12-30T20:08:30"/>
    <d v="2023-06-10T00:00:00"/>
    <d v="1899-12-30T01:20:56"/>
    <s v="Hajipur"/>
    <x v="2"/>
    <x v="10"/>
    <s v="Badal Vora"/>
    <x v="0"/>
    <x v="2"/>
    <x v="2"/>
    <x v="2"/>
    <n v="1915"/>
    <x v="236"/>
    <n v="5362"/>
    <n v="2298"/>
    <n v="0.3"/>
    <n v="2"/>
    <x v="11"/>
    <n v="6"/>
    <s v="Q2"/>
    <n v="2023"/>
    <x v="4"/>
    <x v="0"/>
  </r>
  <r>
    <n v="416"/>
    <s v="C006"/>
    <n v="58"/>
    <n v="5"/>
    <d v="2023-02-12T00:00:00"/>
    <d v="1899-12-30T16:41:02"/>
    <d v="2023-02-17T00:00:00"/>
    <d v="1899-12-30T09:37:01"/>
    <s v="Saharanpur"/>
    <x v="3"/>
    <x v="33"/>
    <s v="Rania Mann"/>
    <x v="1"/>
    <x v="3"/>
    <x v="3"/>
    <x v="3"/>
    <n v="1492"/>
    <x v="46"/>
    <n v="5221.9999999999991"/>
    <n v="2238.0000000000009"/>
    <n v="0.3000000000000001"/>
    <n v="5"/>
    <x v="0"/>
    <n v="2"/>
    <s v="Q1"/>
    <n v="2023"/>
    <x v="5"/>
    <x v="0"/>
  </r>
  <r>
    <n v="417"/>
    <s v="C004"/>
    <n v="62"/>
    <n v="4"/>
    <d v="2023-03-07T00:00:00"/>
    <d v="1899-12-30T22:40:40"/>
    <d v="2023-03-11T00:00:00"/>
    <d v="1899-12-30T05:56:33"/>
    <s v="Khammam"/>
    <x v="5"/>
    <x v="75"/>
    <s v="Tarini Bava"/>
    <x v="0"/>
    <x v="14"/>
    <x v="2"/>
    <x v="5"/>
    <n v="1356"/>
    <x v="16"/>
    <n v="3796.7999999999997"/>
    <n v="1627.2000000000003"/>
    <n v="0.30000000000000004"/>
    <n v="4"/>
    <x v="5"/>
    <n v="3"/>
    <s v="Q1"/>
    <n v="2023"/>
    <x v="1"/>
    <x v="0"/>
  </r>
  <r>
    <n v="418"/>
    <s v="C069"/>
    <n v="64"/>
    <n v="3"/>
    <d v="2023-08-24T00:00:00"/>
    <d v="1899-12-30T13:17:22"/>
    <d v="2023-09-01T00:00:00"/>
    <d v="1899-12-30T11:37:10"/>
    <s v="Karimnagar"/>
    <x v="4"/>
    <x v="13"/>
    <s v="Hunar Tripathi"/>
    <x v="1"/>
    <x v="61"/>
    <x v="4"/>
    <x v="4"/>
    <n v="1878"/>
    <x v="161"/>
    <n v="3943.7999999999997"/>
    <n v="1690.2000000000003"/>
    <n v="0.30000000000000004"/>
    <n v="8"/>
    <x v="3"/>
    <n v="8"/>
    <s v="Q3"/>
    <n v="2023"/>
    <x v="0"/>
    <x v="0"/>
  </r>
  <r>
    <n v="419"/>
    <s v="C065"/>
    <n v="47"/>
    <n v="3"/>
    <d v="2023-03-05T00:00:00"/>
    <d v="1899-12-30T17:18:51"/>
    <d v="2023-03-11T00:00:00"/>
    <d v="1899-12-30T13:53:36"/>
    <s v="Agartala"/>
    <x v="5"/>
    <x v="10"/>
    <s v="Badal Vora"/>
    <x v="0"/>
    <x v="49"/>
    <x v="2"/>
    <x v="5"/>
    <n v="1638"/>
    <x v="130"/>
    <n v="3439.7999999999997"/>
    <n v="1474.2000000000003"/>
    <n v="0.30000000000000004"/>
    <n v="6"/>
    <x v="5"/>
    <n v="3"/>
    <s v="Q1"/>
    <n v="2023"/>
    <x v="5"/>
    <x v="1"/>
  </r>
  <r>
    <n v="420"/>
    <s v="C039"/>
    <n v="6"/>
    <n v="3"/>
    <d v="2023-02-27T00:00:00"/>
    <d v="1899-12-30T08:36:20"/>
    <d v="2023-02-28T00:00:00"/>
    <d v="1899-12-30T00:07:29"/>
    <s v="Kota"/>
    <x v="5"/>
    <x v="57"/>
    <s v="Kaira Bahl"/>
    <x v="0"/>
    <x v="20"/>
    <x v="3"/>
    <x v="5"/>
    <n v="1112"/>
    <x v="23"/>
    <n v="2335.1999999999998"/>
    <n v="1000.8000000000002"/>
    <n v="0.30000000000000004"/>
    <n v="1"/>
    <x v="0"/>
    <n v="2"/>
    <s v="Q1"/>
    <n v="2023"/>
    <x v="3"/>
    <x v="1"/>
  </r>
  <r>
    <n v="421"/>
    <s v="C066"/>
    <n v="38"/>
    <n v="4"/>
    <d v="2023-08-08T00:00:00"/>
    <d v="1899-12-30T20:16:30"/>
    <d v="2023-08-12T00:00:00"/>
    <d v="1899-12-30T19:04:00"/>
    <s v="Serampore"/>
    <x v="2"/>
    <x v="30"/>
    <s v="Eshani Buch"/>
    <x v="1"/>
    <x v="10"/>
    <x v="3"/>
    <x v="2"/>
    <n v="562"/>
    <x v="237"/>
    <n v="1573.6"/>
    <n v="674.40000000000009"/>
    <n v="0.30000000000000004"/>
    <n v="4"/>
    <x v="3"/>
    <n v="8"/>
    <s v="Q3"/>
    <n v="2023"/>
    <x v="4"/>
    <x v="1"/>
  </r>
  <r>
    <n v="422"/>
    <s v="C044"/>
    <n v="53"/>
    <n v="2"/>
    <d v="2023-08-20T00:00:00"/>
    <d v="1899-12-30T03:03:58"/>
    <d v="2023-08-29T00:00:00"/>
    <d v="1899-12-30T04:05:39"/>
    <s v="Eluru"/>
    <x v="4"/>
    <x v="8"/>
    <s v="Seher Mann"/>
    <x v="0"/>
    <x v="65"/>
    <x v="1"/>
    <x v="4"/>
    <n v="1672"/>
    <x v="238"/>
    <n v="2340.7999999999997"/>
    <n v="1003.2000000000003"/>
    <n v="0.3000000000000001"/>
    <n v="9"/>
    <x v="3"/>
    <n v="8"/>
    <s v="Q3"/>
    <n v="2023"/>
    <x v="3"/>
    <x v="1"/>
  </r>
  <r>
    <n v="423"/>
    <s v="C067"/>
    <n v="19"/>
    <n v="1"/>
    <d v="2023-02-11T00:00:00"/>
    <d v="1899-12-30T16:46:58"/>
    <d v="2023-02-17T00:00:00"/>
    <d v="1899-12-30T00:10:05"/>
    <s v="Alappuzha"/>
    <x v="3"/>
    <x v="29"/>
    <s v="Eva Sankaran"/>
    <x v="0"/>
    <x v="27"/>
    <x v="6"/>
    <x v="3"/>
    <n v="1234"/>
    <x v="239"/>
    <n v="863.8"/>
    <n v="370.20000000000005"/>
    <n v="0.30000000000000004"/>
    <n v="6"/>
    <x v="0"/>
    <n v="2"/>
    <s v="Q1"/>
    <n v="2023"/>
    <x v="2"/>
    <x v="2"/>
  </r>
  <r>
    <n v="424"/>
    <s v="C072"/>
    <n v="7"/>
    <n v="4"/>
    <d v="2023-03-01T00:00:00"/>
    <d v="1899-12-30T03:04:56"/>
    <d v="2023-03-09T00:00:00"/>
    <d v="1899-12-30T10:27:03"/>
    <s v="Kishanganj"/>
    <x v="5"/>
    <x v="15"/>
    <s v="Charvi Karnik"/>
    <x v="0"/>
    <x v="23"/>
    <x v="4"/>
    <x v="5"/>
    <n v="409"/>
    <x v="175"/>
    <n v="1145.1999999999998"/>
    <n v="490.80000000000018"/>
    <n v="0.3000000000000001"/>
    <n v="8"/>
    <x v="5"/>
    <n v="3"/>
    <s v="Q1"/>
    <n v="2023"/>
    <x v="4"/>
    <x v="2"/>
  </r>
  <r>
    <n v="425"/>
    <s v="C071"/>
    <n v="56"/>
    <n v="1"/>
    <d v="2023-09-30T00:00:00"/>
    <d v="1899-12-30T00:02:06"/>
    <d v="2023-10-09T00:00:00"/>
    <d v="1899-12-30T22:59:28"/>
    <s v="North Dumdum"/>
    <x v="0"/>
    <x v="26"/>
    <s v="Purab Sheth"/>
    <x v="0"/>
    <x v="8"/>
    <x v="0"/>
    <x v="0"/>
    <n v="1272"/>
    <x v="106"/>
    <n v="890.4"/>
    <n v="381.6"/>
    <n v="0.30000000000000004"/>
    <n v="9"/>
    <x v="7"/>
    <n v="9"/>
    <s v="Q3"/>
    <n v="2023"/>
    <x v="6"/>
    <x v="2"/>
  </r>
  <r>
    <n v="426"/>
    <s v="C073"/>
    <n v="2"/>
    <n v="2"/>
    <d v="2023-02-13T00:00:00"/>
    <d v="1899-12-30T22:59:54"/>
    <d v="2023-02-17T00:00:00"/>
    <d v="1899-12-30T13:51:00"/>
    <s v="Kharagpur"/>
    <x v="3"/>
    <x v="82"/>
    <s v="Zeeshan Tailor"/>
    <x v="0"/>
    <x v="50"/>
    <x v="5"/>
    <x v="3"/>
    <n v="441"/>
    <x v="240"/>
    <n v="617.4"/>
    <n v="264.60000000000002"/>
    <n v="0.30000000000000004"/>
    <n v="4"/>
    <x v="0"/>
    <n v="2"/>
    <s v="Q1"/>
    <n v="2023"/>
    <x v="3"/>
    <x v="2"/>
  </r>
  <r>
    <n v="427"/>
    <s v="C042"/>
    <n v="48"/>
    <n v="5"/>
    <d v="2023-11-03T00:00:00"/>
    <d v="1899-12-30T07:56:32"/>
    <d v="2023-11-13T00:00:00"/>
    <d v="1899-12-30T22:46:12"/>
    <s v="Gudivada"/>
    <x v="1"/>
    <x v="12"/>
    <s v="Eshani Sharma"/>
    <x v="0"/>
    <x v="29"/>
    <x v="2"/>
    <x v="1"/>
    <n v="433"/>
    <x v="241"/>
    <n v="1515.4999999999998"/>
    <n v="649.50000000000023"/>
    <n v="0.3000000000000001"/>
    <n v="10"/>
    <x v="1"/>
    <n v="11"/>
    <s v="Q4"/>
    <n v="2023"/>
    <x v="0"/>
    <x v="1"/>
  </r>
  <r>
    <n v="428"/>
    <s v="C038"/>
    <n v="10"/>
    <n v="2"/>
    <d v="2023-12-06T00:00:00"/>
    <d v="1899-12-30T03:32:38"/>
    <d v="2023-12-12T00:00:00"/>
    <d v="1899-12-30T19:37:01"/>
    <s v="Khora "/>
    <x v="2"/>
    <x v="53"/>
    <s v="Yakshit Shah"/>
    <x v="1"/>
    <x v="22"/>
    <x v="3"/>
    <x v="2"/>
    <n v="259"/>
    <x v="55"/>
    <n v="362.59999999999997"/>
    <n v="155.40000000000003"/>
    <n v="0.30000000000000004"/>
    <n v="6"/>
    <x v="6"/>
    <n v="12"/>
    <s v="Q4"/>
    <n v="2023"/>
    <x v="3"/>
    <x v="2"/>
  </r>
  <r>
    <n v="429"/>
    <s v="C007"/>
    <n v="9"/>
    <n v="5"/>
    <d v="2023-08-22T00:00:00"/>
    <d v="1899-12-30T22:46:57"/>
    <d v="2023-08-31T00:00:00"/>
    <d v="1899-12-30T12:43:52"/>
    <s v="Bahraich"/>
    <x v="4"/>
    <x v="70"/>
    <s v="Jayant Kamdar"/>
    <x v="0"/>
    <x v="21"/>
    <x v="2"/>
    <x v="4"/>
    <n v="1605"/>
    <x v="44"/>
    <n v="5617.5"/>
    <n v="2407.5"/>
    <n v="0.3"/>
    <n v="9"/>
    <x v="3"/>
    <n v="8"/>
    <s v="Q3"/>
    <n v="2023"/>
    <x v="4"/>
    <x v="0"/>
  </r>
  <r>
    <n v="430"/>
    <s v="C045"/>
    <n v="27"/>
    <n v="2"/>
    <d v="2023-08-27T00:00:00"/>
    <d v="1899-12-30T07:20:30"/>
    <d v="2023-08-31T00:00:00"/>
    <d v="1899-12-30T10:03:32"/>
    <s v="Rourkela"/>
    <x v="4"/>
    <x v="39"/>
    <s v="Divit Mahajan"/>
    <x v="1"/>
    <x v="7"/>
    <x v="3"/>
    <x v="4"/>
    <n v="548"/>
    <x v="242"/>
    <n v="767.19999999999993"/>
    <n v="328.80000000000007"/>
    <n v="0.30000000000000004"/>
    <n v="4"/>
    <x v="3"/>
    <n v="8"/>
    <s v="Q3"/>
    <n v="2023"/>
    <x v="3"/>
    <x v="2"/>
  </r>
  <r>
    <n v="431"/>
    <s v="C057"/>
    <n v="1"/>
    <n v="4"/>
    <d v="2023-12-13T00:00:00"/>
    <d v="1899-12-30T19:13:43"/>
    <d v="2023-12-19T00:00:00"/>
    <d v="1899-12-30T21:02:24"/>
    <s v="Varanasi"/>
    <x v="6"/>
    <x v="47"/>
    <s v="Zain Hegde"/>
    <x v="1"/>
    <x v="48"/>
    <x v="4"/>
    <x v="6"/>
    <n v="1935"/>
    <x v="193"/>
    <n v="5418"/>
    <n v="2322"/>
    <n v="0.3"/>
    <n v="6"/>
    <x v="6"/>
    <n v="12"/>
    <s v="Q4"/>
    <n v="2023"/>
    <x v="3"/>
    <x v="0"/>
  </r>
  <r>
    <n v="432"/>
    <s v="C092"/>
    <n v="12"/>
    <n v="4"/>
    <d v="2023-01-05T00:00:00"/>
    <d v="1899-12-30T12:09:27"/>
    <d v="2023-01-13T00:00:00"/>
    <d v="1899-12-30T19:40:38"/>
    <s v="Ballia"/>
    <x v="0"/>
    <x v="38"/>
    <s v="Zoya Mani"/>
    <x v="0"/>
    <x v="17"/>
    <x v="5"/>
    <x v="0"/>
    <n v="672"/>
    <x v="57"/>
    <n v="1881.6"/>
    <n v="806.40000000000009"/>
    <n v="0.30000000000000004"/>
    <n v="8"/>
    <x v="8"/>
    <n v="1"/>
    <s v="Q1"/>
    <n v="2023"/>
    <x v="5"/>
    <x v="1"/>
  </r>
  <r>
    <n v="433"/>
    <s v="C068"/>
    <n v="7"/>
    <n v="5"/>
    <d v="2023-02-26T00:00:00"/>
    <d v="1899-12-30T23:33:51"/>
    <d v="2023-03-02T00:00:00"/>
    <d v="1899-12-30T04:19:56"/>
    <s v="Amravati"/>
    <x v="5"/>
    <x v="34"/>
    <s v="Ritvik Garde"/>
    <x v="0"/>
    <x v="23"/>
    <x v="4"/>
    <x v="5"/>
    <n v="409"/>
    <x v="26"/>
    <n v="1431.4999999999998"/>
    <n v="613.50000000000023"/>
    <n v="0.3000000000000001"/>
    <n v="4"/>
    <x v="0"/>
    <n v="2"/>
    <s v="Q1"/>
    <n v="2023"/>
    <x v="5"/>
    <x v="1"/>
  </r>
  <r>
    <n v="434"/>
    <s v="C020"/>
    <n v="51"/>
    <n v="4"/>
    <d v="2023-11-28T00:00:00"/>
    <d v="1899-12-30T07:23:06"/>
    <d v="2023-11-29T00:00:00"/>
    <d v="1899-12-30T19:43:32"/>
    <s v="Kirari Suleman Nagar"/>
    <x v="6"/>
    <x v="36"/>
    <s v="Samaira Ganesh"/>
    <x v="0"/>
    <x v="38"/>
    <x v="4"/>
    <x v="6"/>
    <n v="1084"/>
    <x v="243"/>
    <n v="3035.2"/>
    <n v="1300.8000000000002"/>
    <n v="0.30000000000000004"/>
    <n v="1"/>
    <x v="1"/>
    <n v="11"/>
    <s v="Q4"/>
    <n v="2023"/>
    <x v="1"/>
    <x v="1"/>
  </r>
  <r>
    <n v="435"/>
    <s v="C017"/>
    <n v="53"/>
    <n v="4"/>
    <d v="2023-08-22T00:00:00"/>
    <d v="1899-12-30T17:27:30"/>
    <d v="2023-08-27T00:00:00"/>
    <d v="1899-12-30T12:35:14"/>
    <s v="Mira-Bhayandar"/>
    <x v="4"/>
    <x v="46"/>
    <s v="Advika Dhar"/>
    <x v="0"/>
    <x v="65"/>
    <x v="1"/>
    <x v="4"/>
    <n v="1672"/>
    <x v="154"/>
    <n v="4681.5999999999995"/>
    <n v="2006.4000000000005"/>
    <n v="0.3000000000000001"/>
    <n v="5"/>
    <x v="3"/>
    <n v="8"/>
    <s v="Q3"/>
    <n v="2023"/>
    <x v="4"/>
    <x v="0"/>
  </r>
  <r>
    <n v="436"/>
    <s v="C058"/>
    <n v="8"/>
    <n v="1"/>
    <d v="2023-01-27T00:00:00"/>
    <d v="1899-12-30T06:08:00"/>
    <d v="2023-02-03T00:00:00"/>
    <d v="1899-12-30T08:15:49"/>
    <s v="Salem"/>
    <x v="0"/>
    <x v="42"/>
    <s v="Charvi Kanda"/>
    <x v="0"/>
    <x v="24"/>
    <x v="1"/>
    <x v="0"/>
    <n v="252"/>
    <x v="81"/>
    <n v="176.39999999999998"/>
    <n v="75.600000000000023"/>
    <n v="0.3000000000000001"/>
    <n v="7"/>
    <x v="8"/>
    <n v="1"/>
    <s v="Q1"/>
    <n v="2023"/>
    <x v="3"/>
    <x v="2"/>
  </r>
  <r>
    <n v="437"/>
    <s v="C010"/>
    <n v="55"/>
    <n v="1"/>
    <d v="2023-08-24T00:00:00"/>
    <d v="1899-12-30T06:30:47"/>
    <d v="2023-08-27T00:00:00"/>
    <d v="1899-12-30T22:56:38"/>
    <s v="Uluberia"/>
    <x v="4"/>
    <x v="50"/>
    <s v="Darshit Dave"/>
    <x v="0"/>
    <x v="60"/>
    <x v="4"/>
    <x v="4"/>
    <n v="1904"/>
    <x v="166"/>
    <n v="1332.8"/>
    <n v="571.20000000000005"/>
    <n v="0.30000000000000004"/>
    <n v="3"/>
    <x v="3"/>
    <n v="8"/>
    <s v="Q3"/>
    <n v="2023"/>
    <x v="0"/>
    <x v="2"/>
  </r>
  <r>
    <n v="438"/>
    <s v="C037"/>
    <n v="34"/>
    <n v="2"/>
    <d v="2023-08-26T00:00:00"/>
    <d v="1899-12-30T09:27:17"/>
    <d v="2023-08-27T00:00:00"/>
    <d v="1899-12-30T03:18:31"/>
    <s v="Tadepalligudem"/>
    <x v="4"/>
    <x v="0"/>
    <s v="Aradhya Kumar"/>
    <x v="0"/>
    <x v="41"/>
    <x v="4"/>
    <x v="4"/>
    <n v="1335"/>
    <x v="189"/>
    <n v="1868.9999999999998"/>
    <n v="801.00000000000023"/>
    <n v="0.3000000000000001"/>
    <n v="1"/>
    <x v="3"/>
    <n v="8"/>
    <s v="Q3"/>
    <n v="2023"/>
    <x v="5"/>
    <x v="1"/>
  </r>
  <r>
    <n v="439"/>
    <s v="C037"/>
    <n v="12"/>
    <n v="3"/>
    <d v="2023-12-13T00:00:00"/>
    <d v="1899-12-30T08:56:11"/>
    <d v="2023-12-22T00:00:00"/>
    <d v="1899-12-30T12:51:06"/>
    <s v="Hyderabad"/>
    <x v="0"/>
    <x v="0"/>
    <s v="Aradhya Kumar"/>
    <x v="0"/>
    <x v="17"/>
    <x v="5"/>
    <x v="0"/>
    <n v="672"/>
    <x v="20"/>
    <n v="1411.1999999999998"/>
    <n v="604.80000000000018"/>
    <n v="0.3000000000000001"/>
    <n v="9"/>
    <x v="6"/>
    <n v="12"/>
    <s v="Q4"/>
    <n v="2023"/>
    <x v="3"/>
    <x v="1"/>
  </r>
  <r>
    <n v="440"/>
    <s v="C018"/>
    <n v="13"/>
    <n v="4"/>
    <d v="2023-03-07T00:00:00"/>
    <d v="1899-12-30T09:33:31"/>
    <d v="2023-03-09T00:00:00"/>
    <d v="1899-12-30T01:21:29"/>
    <s v="Gudivada"/>
    <x v="5"/>
    <x v="20"/>
    <s v="Eva Vaidya"/>
    <x v="0"/>
    <x v="64"/>
    <x v="6"/>
    <x v="5"/>
    <n v="1141"/>
    <x v="244"/>
    <n v="3194.7999999999997"/>
    <n v="1369.2000000000003"/>
    <n v="0.30000000000000004"/>
    <n v="2"/>
    <x v="5"/>
    <n v="3"/>
    <s v="Q1"/>
    <n v="2023"/>
    <x v="1"/>
    <x v="1"/>
  </r>
  <r>
    <n v="441"/>
    <s v="C052"/>
    <n v="26"/>
    <n v="2"/>
    <d v="2023-02-26T00:00:00"/>
    <d v="1899-12-30T11:23:56"/>
    <d v="2023-03-06T00:00:00"/>
    <d v="1899-12-30T16:38:50"/>
    <s v="Kurnool"/>
    <x v="5"/>
    <x v="9"/>
    <s v="Vardaniya Apte"/>
    <x v="0"/>
    <x v="42"/>
    <x v="2"/>
    <x v="5"/>
    <n v="289"/>
    <x v="69"/>
    <n v="404.59999999999997"/>
    <n v="173.40000000000003"/>
    <n v="0.30000000000000004"/>
    <n v="8"/>
    <x v="0"/>
    <n v="2"/>
    <s v="Q1"/>
    <n v="2023"/>
    <x v="5"/>
    <x v="2"/>
  </r>
  <r>
    <n v="442"/>
    <s v="C023"/>
    <n v="3"/>
    <n v="3"/>
    <d v="2023-02-08T00:00:00"/>
    <d v="1899-12-30T18:03:20"/>
    <d v="2023-02-15T00:00:00"/>
    <d v="1899-12-30T08:05:39"/>
    <s v="Khandwa"/>
    <x v="3"/>
    <x v="18"/>
    <s v="Abram Sandhu"/>
    <x v="0"/>
    <x v="52"/>
    <x v="2"/>
    <x v="3"/>
    <n v="1534"/>
    <x v="220"/>
    <n v="3221.3999999999996"/>
    <n v="1380.6000000000004"/>
    <n v="0.3000000000000001"/>
    <n v="7"/>
    <x v="0"/>
    <n v="2"/>
    <s v="Q1"/>
    <n v="2023"/>
    <x v="4"/>
    <x v="1"/>
  </r>
  <r>
    <n v="443"/>
    <s v="C046"/>
    <n v="49"/>
    <n v="3"/>
    <d v="2023-02-04T00:00:00"/>
    <d v="1899-12-30T22:22:19"/>
    <d v="2023-02-13T00:00:00"/>
    <d v="1899-12-30T02:16:00"/>
    <s v="Secunderabad"/>
    <x v="3"/>
    <x v="32"/>
    <s v="Tara Kannan"/>
    <x v="0"/>
    <x v="32"/>
    <x v="2"/>
    <x v="3"/>
    <n v="903"/>
    <x v="36"/>
    <n v="1896.2999999999997"/>
    <n v="812.70000000000027"/>
    <n v="0.3000000000000001"/>
    <n v="9"/>
    <x v="0"/>
    <n v="2"/>
    <s v="Q1"/>
    <n v="2023"/>
    <x v="2"/>
    <x v="1"/>
  </r>
  <r>
    <n v="444"/>
    <s v="C021"/>
    <n v="60"/>
    <n v="3"/>
    <d v="2023-11-02T00:00:00"/>
    <d v="1899-12-30T01:01:13"/>
    <d v="2023-11-09T00:00:00"/>
    <d v="1899-12-30T09:54:20"/>
    <s v="Jalna"/>
    <x v="1"/>
    <x v="85"/>
    <s v="Siya Talwar"/>
    <x v="0"/>
    <x v="12"/>
    <x v="1"/>
    <x v="1"/>
    <n v="827"/>
    <x v="245"/>
    <n v="1736.6999999999998"/>
    <n v="744.30000000000018"/>
    <n v="0.3000000000000001"/>
    <n v="7"/>
    <x v="1"/>
    <n v="11"/>
    <s v="Q4"/>
    <n v="2023"/>
    <x v="6"/>
    <x v="1"/>
  </r>
  <r>
    <n v="445"/>
    <s v="C047"/>
    <n v="30"/>
    <n v="5"/>
    <d v="2023-06-14T00:00:00"/>
    <d v="1899-12-30T20:08:42"/>
    <d v="2023-06-15T00:00:00"/>
    <d v="1899-12-30T14:22:27"/>
    <s v="Karnal"/>
    <x v="0"/>
    <x v="25"/>
    <s v="Bhamini Ravi"/>
    <x v="0"/>
    <x v="19"/>
    <x v="2"/>
    <x v="0"/>
    <n v="751"/>
    <x v="246"/>
    <n v="2628.4999999999995"/>
    <n v="1126.5000000000005"/>
    <n v="0.3000000000000001"/>
    <n v="1"/>
    <x v="11"/>
    <n v="6"/>
    <s v="Q2"/>
    <n v="2023"/>
    <x v="1"/>
    <x v="1"/>
  </r>
  <r>
    <n v="446"/>
    <s v="C079"/>
    <n v="33"/>
    <n v="5"/>
    <d v="2023-02-12T00:00:00"/>
    <d v="1899-12-30T02:54:04"/>
    <d v="2023-02-15T00:00:00"/>
    <d v="1899-12-30T11:03:28"/>
    <s v="Bokaro"/>
    <x v="3"/>
    <x v="79"/>
    <s v="Vedika Sankaran"/>
    <x v="1"/>
    <x v="59"/>
    <x v="2"/>
    <x v="3"/>
    <n v="314"/>
    <x v="247"/>
    <n v="1099"/>
    <n v="471"/>
    <n v="0.3"/>
    <n v="3"/>
    <x v="0"/>
    <n v="2"/>
    <s v="Q1"/>
    <n v="2023"/>
    <x v="5"/>
    <x v="2"/>
  </r>
  <r>
    <n v="447"/>
    <s v="C032"/>
    <n v="47"/>
    <n v="4"/>
    <d v="2023-02-27T00:00:00"/>
    <d v="1899-12-30T02:45:34"/>
    <d v="2023-03-04T00:00:00"/>
    <d v="1899-12-30T15:04:56"/>
    <s v="Bhilwara"/>
    <x v="5"/>
    <x v="54"/>
    <s v="Mannat Anand"/>
    <x v="0"/>
    <x v="49"/>
    <x v="2"/>
    <x v="5"/>
    <n v="1638"/>
    <x v="219"/>
    <n v="4586.3999999999996"/>
    <n v="1965.6000000000004"/>
    <n v="0.30000000000000004"/>
    <n v="5"/>
    <x v="0"/>
    <n v="2"/>
    <s v="Q1"/>
    <n v="2023"/>
    <x v="3"/>
    <x v="0"/>
  </r>
  <r>
    <n v="448"/>
    <s v="C086"/>
    <n v="16"/>
    <n v="1"/>
    <d v="2023-03-02T00:00:00"/>
    <d v="1899-12-30T02:42:54"/>
    <d v="2023-03-03T00:00:00"/>
    <d v="1899-12-30T13:42:24"/>
    <s v="Bulandshahr"/>
    <x v="5"/>
    <x v="80"/>
    <s v="Ivana Amble"/>
    <x v="1"/>
    <x v="9"/>
    <x v="1"/>
    <x v="5"/>
    <n v="1721"/>
    <x v="248"/>
    <n v="1204.6999999999998"/>
    <n v="516.30000000000018"/>
    <n v="0.3000000000000001"/>
    <n v="1"/>
    <x v="5"/>
    <n v="3"/>
    <s v="Q1"/>
    <n v="2023"/>
    <x v="6"/>
    <x v="2"/>
  </r>
  <r>
    <n v="449"/>
    <s v="C045"/>
    <n v="49"/>
    <n v="4"/>
    <d v="2023-02-13T00:00:00"/>
    <d v="1899-12-30T03:18:26"/>
    <d v="2023-02-16T00:00:00"/>
    <d v="1899-12-30T10:09:41"/>
    <s v="Ichalkaranji"/>
    <x v="3"/>
    <x v="39"/>
    <s v="Divit Mahajan"/>
    <x v="1"/>
    <x v="32"/>
    <x v="2"/>
    <x v="3"/>
    <n v="903"/>
    <x v="103"/>
    <n v="2528.3999999999996"/>
    <n v="1083.6000000000004"/>
    <n v="0.3000000000000001"/>
    <n v="3"/>
    <x v="0"/>
    <n v="2"/>
    <s v="Q1"/>
    <n v="2023"/>
    <x v="3"/>
    <x v="1"/>
  </r>
  <r>
    <n v="450"/>
    <s v="C096"/>
    <n v="39"/>
    <n v="5"/>
    <d v="2023-12-02T00:00:00"/>
    <d v="1899-12-30T07:58:05"/>
    <d v="2023-12-12T00:00:00"/>
    <d v="1899-12-30T10:09:58"/>
    <s v="Sri Ganganagar"/>
    <x v="6"/>
    <x v="28"/>
    <s v="Kavya Reddy"/>
    <x v="0"/>
    <x v="47"/>
    <x v="6"/>
    <x v="6"/>
    <n v="387"/>
    <x v="216"/>
    <n v="1354.5"/>
    <n v="580.5"/>
    <n v="0.3"/>
    <n v="10"/>
    <x v="6"/>
    <n v="12"/>
    <s v="Q4"/>
    <n v="2023"/>
    <x v="6"/>
    <x v="2"/>
  </r>
  <r>
    <n v="451"/>
    <s v="C079"/>
    <n v="33"/>
    <n v="5"/>
    <d v="2023-02-07T00:00:00"/>
    <d v="1899-12-30T00:16:52"/>
    <d v="2023-02-13T00:00:00"/>
    <d v="1899-12-30T21:10:57"/>
    <s v="Ujjain"/>
    <x v="3"/>
    <x v="79"/>
    <s v="Vedika Sankaran"/>
    <x v="1"/>
    <x v="59"/>
    <x v="2"/>
    <x v="3"/>
    <n v="314"/>
    <x v="247"/>
    <n v="1099"/>
    <n v="471"/>
    <n v="0.3"/>
    <n v="6"/>
    <x v="0"/>
    <n v="2"/>
    <s v="Q1"/>
    <n v="2023"/>
    <x v="1"/>
    <x v="2"/>
  </r>
  <r>
    <n v="452"/>
    <s v="C045"/>
    <n v="70"/>
    <n v="3"/>
    <d v="2023-07-09T00:00:00"/>
    <d v="1899-12-30T19:57:29"/>
    <d v="2023-07-17T00:00:00"/>
    <d v="1899-12-30T11:42:18"/>
    <s v="Mahbubnagar"/>
    <x v="2"/>
    <x v="39"/>
    <s v="Divit Mahajan"/>
    <x v="1"/>
    <x v="35"/>
    <x v="1"/>
    <x v="2"/>
    <n v="866"/>
    <x v="67"/>
    <n v="1818.6"/>
    <n v="779.40000000000009"/>
    <n v="0.30000000000000004"/>
    <n v="8"/>
    <x v="2"/>
    <n v="7"/>
    <s v="Q3"/>
    <n v="2023"/>
    <x v="6"/>
    <x v="1"/>
  </r>
  <r>
    <n v="453"/>
    <s v="C032"/>
    <n v="27"/>
    <n v="2"/>
    <d v="2023-08-21T00:00:00"/>
    <d v="1899-12-30T10:11:39"/>
    <d v="2023-08-31T00:00:00"/>
    <d v="1899-12-30T12:28:21"/>
    <s v="Varanasi"/>
    <x v="4"/>
    <x v="54"/>
    <s v="Mannat Anand"/>
    <x v="0"/>
    <x v="7"/>
    <x v="3"/>
    <x v="4"/>
    <n v="548"/>
    <x v="242"/>
    <n v="767.19999999999993"/>
    <n v="328.80000000000007"/>
    <n v="0.30000000000000004"/>
    <n v="10"/>
    <x v="3"/>
    <n v="8"/>
    <s v="Q3"/>
    <n v="2023"/>
    <x v="1"/>
    <x v="2"/>
  </r>
  <r>
    <n v="454"/>
    <s v="C088"/>
    <n v="3"/>
    <n v="2"/>
    <d v="2023-02-07T00:00:00"/>
    <d v="1899-12-30T23:26:49"/>
    <d v="2023-02-09T00:00:00"/>
    <d v="1899-12-30T01:21:56"/>
    <s v="Suryapet"/>
    <x v="3"/>
    <x v="23"/>
    <s v="Shalv Kulkarni"/>
    <x v="1"/>
    <x v="52"/>
    <x v="2"/>
    <x v="3"/>
    <n v="1534"/>
    <x v="126"/>
    <n v="2147.6"/>
    <n v="920.40000000000009"/>
    <n v="0.30000000000000004"/>
    <n v="2"/>
    <x v="0"/>
    <n v="2"/>
    <s v="Q1"/>
    <n v="2023"/>
    <x v="1"/>
    <x v="1"/>
  </r>
  <r>
    <n v="455"/>
    <s v="C072"/>
    <n v="1"/>
    <n v="2"/>
    <d v="2023-10-20T00:00:00"/>
    <d v="1899-12-30T22:33:50"/>
    <d v="2023-10-25T00:00:00"/>
    <d v="1899-12-30T18:04:20"/>
    <s v="Eluru"/>
    <x v="6"/>
    <x v="15"/>
    <s v="Charvi Karnik"/>
    <x v="0"/>
    <x v="48"/>
    <x v="4"/>
    <x v="6"/>
    <n v="1935"/>
    <x v="186"/>
    <n v="2709"/>
    <n v="1161"/>
    <n v="0.3"/>
    <n v="5"/>
    <x v="10"/>
    <n v="10"/>
    <s v="Q4"/>
    <n v="2023"/>
    <x v="3"/>
    <x v="1"/>
  </r>
  <r>
    <n v="456"/>
    <s v="C071"/>
    <n v="33"/>
    <n v="2"/>
    <d v="2023-02-12T00:00:00"/>
    <d v="1899-12-30T22:51:39"/>
    <d v="2023-02-15T00:00:00"/>
    <d v="1899-12-30T22:14:06"/>
    <s v="Nangloi Jat"/>
    <x v="3"/>
    <x v="26"/>
    <s v="Purab Sheth"/>
    <x v="0"/>
    <x v="59"/>
    <x v="2"/>
    <x v="3"/>
    <n v="314"/>
    <x v="249"/>
    <n v="439.59999999999997"/>
    <n v="188.40000000000003"/>
    <n v="0.30000000000000004"/>
    <n v="3"/>
    <x v="0"/>
    <n v="2"/>
    <s v="Q1"/>
    <n v="2023"/>
    <x v="5"/>
    <x v="2"/>
  </r>
  <r>
    <n v="457"/>
    <s v="C036"/>
    <n v="22"/>
    <n v="5"/>
    <d v="2023-05-27T00:00:00"/>
    <d v="1899-12-30T13:55:39"/>
    <d v="2023-05-29T00:00:00"/>
    <d v="1899-12-30T16:38:25"/>
    <s v="Mirzapur"/>
    <x v="6"/>
    <x v="38"/>
    <s v="Biju Bajwa"/>
    <x v="1"/>
    <x v="34"/>
    <x v="4"/>
    <x v="6"/>
    <n v="1639"/>
    <x v="138"/>
    <n v="5736.5"/>
    <n v="2458.5"/>
    <n v="0.3"/>
    <n v="2"/>
    <x v="4"/>
    <n v="5"/>
    <s v="Q2"/>
    <n v="2023"/>
    <x v="3"/>
    <x v="0"/>
  </r>
  <r>
    <n v="458"/>
    <s v="C054"/>
    <n v="32"/>
    <n v="2"/>
    <d v="2023-07-19T00:00:00"/>
    <d v="1899-12-30T17:21:30"/>
    <d v="2023-07-24T00:00:00"/>
    <d v="1899-12-30T20:32:44"/>
    <s v="Ramgarh"/>
    <x v="2"/>
    <x v="18"/>
    <s v="Umang Ahuja"/>
    <x v="1"/>
    <x v="16"/>
    <x v="4"/>
    <x v="2"/>
    <n v="1792"/>
    <x v="127"/>
    <n v="2508.7999999999997"/>
    <n v="1075.2000000000003"/>
    <n v="0.3000000000000001"/>
    <n v="5"/>
    <x v="2"/>
    <n v="7"/>
    <s v="Q3"/>
    <n v="2023"/>
    <x v="5"/>
    <x v="1"/>
  </r>
  <r>
    <n v="459"/>
    <s v="C093"/>
    <n v="12"/>
    <n v="2"/>
    <d v="2023-03-29T00:00:00"/>
    <d v="1899-12-30T07:24:55"/>
    <d v="2023-03-30T00:00:00"/>
    <d v="1899-12-30T07:34:31"/>
    <s v="Ranchi"/>
    <x v="0"/>
    <x v="74"/>
    <s v="Mamooty Bawa"/>
    <x v="0"/>
    <x v="17"/>
    <x v="5"/>
    <x v="0"/>
    <n v="672"/>
    <x v="250"/>
    <n v="940.8"/>
    <n v="403.20000000000005"/>
    <n v="0.30000000000000004"/>
    <n v="1"/>
    <x v="5"/>
    <n v="3"/>
    <s v="Q1"/>
    <n v="2023"/>
    <x v="4"/>
    <x v="2"/>
  </r>
  <r>
    <n v="460"/>
    <s v="C007"/>
    <n v="29"/>
    <n v="2"/>
    <d v="2023-03-04T00:00:00"/>
    <d v="1899-12-30T07:58:33"/>
    <d v="2023-03-06T00:00:00"/>
    <d v="1899-12-30T00:07:26"/>
    <s v="Kolhapur"/>
    <x v="5"/>
    <x v="70"/>
    <s v="Jayant Kamdar"/>
    <x v="0"/>
    <x v="66"/>
    <x v="2"/>
    <x v="5"/>
    <n v="1252"/>
    <x v="228"/>
    <n v="1752.8"/>
    <n v="751.2"/>
    <n v="0.30000000000000004"/>
    <n v="2"/>
    <x v="5"/>
    <n v="3"/>
    <s v="Q1"/>
    <n v="2023"/>
    <x v="2"/>
    <x v="1"/>
  </r>
  <r>
    <n v="461"/>
    <s v="C083"/>
    <n v="12"/>
    <n v="4"/>
    <d v="2023-06-22T00:00:00"/>
    <d v="1899-12-30T08:12:37"/>
    <d v="2023-06-27T00:00:00"/>
    <d v="1899-12-30T14:52:56"/>
    <s v="Srinagar"/>
    <x v="0"/>
    <x v="62"/>
    <s v="Aaryahi Sodhi"/>
    <x v="0"/>
    <x v="17"/>
    <x v="5"/>
    <x v="0"/>
    <n v="672"/>
    <x v="57"/>
    <n v="1881.6"/>
    <n v="806.40000000000009"/>
    <n v="0.30000000000000004"/>
    <n v="5"/>
    <x v="11"/>
    <n v="6"/>
    <s v="Q2"/>
    <n v="2023"/>
    <x v="4"/>
    <x v="1"/>
  </r>
  <r>
    <n v="462"/>
    <s v="C069"/>
    <n v="60"/>
    <n v="5"/>
    <d v="2023-11-04T00:00:00"/>
    <d v="1899-12-30T18:10:06"/>
    <d v="2023-11-13T00:00:00"/>
    <d v="1899-12-30T14:20:14"/>
    <s v="Kirari Suleman Nagar"/>
    <x v="1"/>
    <x v="13"/>
    <s v="Hunar Tripathi"/>
    <x v="1"/>
    <x v="12"/>
    <x v="1"/>
    <x v="1"/>
    <n v="827"/>
    <x v="139"/>
    <n v="2894.5"/>
    <n v="1240.5"/>
    <n v="0.3"/>
    <n v="9"/>
    <x v="1"/>
    <n v="11"/>
    <s v="Q4"/>
    <n v="2023"/>
    <x v="2"/>
    <x v="1"/>
  </r>
  <r>
    <n v="463"/>
    <s v="C078"/>
    <n v="18"/>
    <n v="3"/>
    <d v="2023-09-24T00:00:00"/>
    <d v="1899-12-30T22:23:47"/>
    <d v="2023-09-30T00:00:00"/>
    <d v="1899-12-30T00:52:03"/>
    <s v="Hazaribagh"/>
    <x v="2"/>
    <x v="4"/>
    <s v="Jivika Rajan"/>
    <x v="1"/>
    <x v="53"/>
    <x v="5"/>
    <x v="2"/>
    <n v="781"/>
    <x v="84"/>
    <n v="1640.1"/>
    <n v="702.90000000000009"/>
    <n v="0.30000000000000004"/>
    <n v="6"/>
    <x v="7"/>
    <n v="9"/>
    <s v="Q3"/>
    <n v="2023"/>
    <x v="0"/>
    <x v="1"/>
  </r>
  <r>
    <n v="464"/>
    <s v="C014"/>
    <n v="18"/>
    <n v="3"/>
    <d v="2023-07-05T00:00:00"/>
    <d v="1899-12-30T03:04:25"/>
    <d v="2023-07-08T00:00:00"/>
    <d v="1899-12-30T13:38:45"/>
    <s v="Buxar"/>
    <x v="2"/>
    <x v="37"/>
    <s v="Indrans Shukla"/>
    <x v="1"/>
    <x v="53"/>
    <x v="5"/>
    <x v="2"/>
    <n v="781"/>
    <x v="84"/>
    <n v="1640.1"/>
    <n v="702.90000000000009"/>
    <n v="0.30000000000000004"/>
    <n v="3"/>
    <x v="2"/>
    <n v="7"/>
    <s v="Q3"/>
    <n v="2023"/>
    <x v="5"/>
    <x v="1"/>
  </r>
  <r>
    <n v="465"/>
    <s v="C029"/>
    <n v="55"/>
    <n v="5"/>
    <d v="2023-08-23T00:00:00"/>
    <d v="1899-12-30T23:46:12"/>
    <d v="2023-08-26T00:00:00"/>
    <d v="1899-12-30T13:29:11"/>
    <s v="Madurai"/>
    <x v="4"/>
    <x v="2"/>
    <s v="Badal Sathe"/>
    <x v="1"/>
    <x v="60"/>
    <x v="4"/>
    <x v="4"/>
    <n v="1904"/>
    <x v="251"/>
    <n v="6664"/>
    <n v="2856"/>
    <n v="0.3"/>
    <n v="3"/>
    <x v="3"/>
    <n v="8"/>
    <s v="Q3"/>
    <n v="2023"/>
    <x v="6"/>
    <x v="0"/>
  </r>
  <r>
    <n v="466"/>
    <s v="C053"/>
    <n v="23"/>
    <n v="1"/>
    <d v="2023-10-03T00:00:00"/>
    <d v="1899-12-30T13:58:22"/>
    <d v="2023-10-11T00:00:00"/>
    <d v="1899-12-30T09:59:41"/>
    <s v="Bally"/>
    <x v="0"/>
    <x v="52"/>
    <s v="Kismat Kapadia"/>
    <x v="1"/>
    <x v="13"/>
    <x v="1"/>
    <x v="0"/>
    <n v="1098"/>
    <x v="153"/>
    <n v="768.59999999999991"/>
    <n v="329.40000000000009"/>
    <n v="0.3000000000000001"/>
    <n v="8"/>
    <x v="10"/>
    <n v="10"/>
    <s v="Q4"/>
    <n v="2023"/>
    <x v="0"/>
    <x v="2"/>
  </r>
  <r>
    <n v="467"/>
    <s v="C056"/>
    <n v="53"/>
    <n v="1"/>
    <d v="2023-08-28T00:00:00"/>
    <d v="1899-12-30T14:18:44"/>
    <d v="2023-09-02T00:00:00"/>
    <d v="1899-12-30T15:20:11"/>
    <s v="Gandhidham"/>
    <x v="4"/>
    <x v="2"/>
    <s v="Pihu Choudhury"/>
    <x v="0"/>
    <x v="65"/>
    <x v="1"/>
    <x v="4"/>
    <n v="1672"/>
    <x v="211"/>
    <n v="1170.3999999999999"/>
    <n v="501.60000000000014"/>
    <n v="0.3000000000000001"/>
    <n v="5"/>
    <x v="3"/>
    <n v="8"/>
    <s v="Q3"/>
    <n v="2023"/>
    <x v="1"/>
    <x v="2"/>
  </r>
  <r>
    <n v="468"/>
    <s v="C007"/>
    <n v="5"/>
    <n v="2"/>
    <d v="2023-07-25T00:00:00"/>
    <d v="1899-12-30T07:57:26"/>
    <d v="2023-08-04T00:00:00"/>
    <d v="1899-12-30T01:24:47"/>
    <s v="Rajahmundry"/>
    <x v="6"/>
    <x v="70"/>
    <s v="Jayant Kamdar"/>
    <x v="0"/>
    <x v="36"/>
    <x v="2"/>
    <x v="6"/>
    <n v="1444"/>
    <x v="50"/>
    <n v="2021.6"/>
    <n v="866.40000000000009"/>
    <n v="0.30000000000000004"/>
    <n v="10"/>
    <x v="2"/>
    <n v="7"/>
    <s v="Q3"/>
    <n v="2023"/>
    <x v="2"/>
    <x v="1"/>
  </r>
  <r>
    <n v="469"/>
    <s v="C051"/>
    <n v="42"/>
    <n v="4"/>
    <d v="2023-12-15T00:00:00"/>
    <d v="1899-12-30T07:06:00"/>
    <d v="2023-12-19T00:00:00"/>
    <d v="1899-12-30T12:56:49"/>
    <s v="Kamarhati"/>
    <x v="6"/>
    <x v="65"/>
    <s v="Aradhya Batta"/>
    <x v="1"/>
    <x v="18"/>
    <x v="1"/>
    <x v="6"/>
    <n v="1744"/>
    <x v="141"/>
    <n v="4883.2"/>
    <n v="2092.8000000000002"/>
    <n v="0.30000000000000004"/>
    <n v="4"/>
    <x v="6"/>
    <n v="12"/>
    <s v="Q4"/>
    <n v="2023"/>
    <x v="4"/>
    <x v="0"/>
  </r>
  <r>
    <n v="470"/>
    <s v="C031"/>
    <n v="47"/>
    <n v="5"/>
    <d v="2023-02-28T00:00:00"/>
    <d v="1899-12-30T17:34:04"/>
    <d v="2023-03-06T00:00:00"/>
    <d v="1899-12-30T15:29:29"/>
    <s v="Bhavnagar"/>
    <x v="5"/>
    <x v="35"/>
    <s v="Madhup Wable"/>
    <x v="1"/>
    <x v="49"/>
    <x v="2"/>
    <x v="5"/>
    <n v="1638"/>
    <x v="221"/>
    <n v="5733"/>
    <n v="2457"/>
    <n v="0.3"/>
    <n v="6"/>
    <x v="0"/>
    <n v="2"/>
    <s v="Q1"/>
    <n v="2023"/>
    <x v="1"/>
    <x v="0"/>
  </r>
  <r>
    <n v="471"/>
    <s v="C092"/>
    <n v="23"/>
    <n v="2"/>
    <d v="2023-01-31T00:00:00"/>
    <d v="1899-12-30T12:09:01"/>
    <d v="2023-02-10T00:00:00"/>
    <d v="1899-12-30T05:50:06"/>
    <s v="Tirunelveli"/>
    <x v="0"/>
    <x v="38"/>
    <s v="Zoya Mani"/>
    <x v="0"/>
    <x v="13"/>
    <x v="1"/>
    <x v="0"/>
    <n v="1098"/>
    <x v="109"/>
    <n v="1537.1999999999998"/>
    <n v="658.80000000000018"/>
    <n v="0.3000000000000001"/>
    <n v="10"/>
    <x v="8"/>
    <n v="1"/>
    <s v="Q1"/>
    <n v="2023"/>
    <x v="0"/>
    <x v="1"/>
  </r>
  <r>
    <n v="472"/>
    <s v="C015"/>
    <n v="56"/>
    <n v="1"/>
    <d v="2023-12-24T00:00:00"/>
    <d v="1899-12-30T07:32:38"/>
    <d v="2023-12-30T00:00:00"/>
    <d v="1899-12-30T22:46:18"/>
    <s v="Khammam"/>
    <x v="0"/>
    <x v="44"/>
    <s v="Romil Bajwa"/>
    <x v="1"/>
    <x v="8"/>
    <x v="0"/>
    <x v="0"/>
    <n v="1272"/>
    <x v="106"/>
    <n v="890.4"/>
    <n v="381.6"/>
    <n v="0.30000000000000004"/>
    <n v="6"/>
    <x v="6"/>
    <n v="12"/>
    <s v="Q4"/>
    <n v="2023"/>
    <x v="0"/>
    <x v="2"/>
  </r>
  <r>
    <n v="473"/>
    <s v="C061"/>
    <n v="22"/>
    <n v="3"/>
    <d v="2023-03-28T00:00:00"/>
    <d v="1899-12-30T08:13:57"/>
    <d v="2023-04-04T00:00:00"/>
    <d v="1899-12-30T15:44:18"/>
    <s v="Giridih"/>
    <x v="6"/>
    <x v="11"/>
    <s v="Akarsh Ramesh"/>
    <x v="1"/>
    <x v="34"/>
    <x v="4"/>
    <x v="6"/>
    <n v="1639"/>
    <x v="252"/>
    <n v="3441.8999999999996"/>
    <n v="1475.1000000000004"/>
    <n v="0.3000000000000001"/>
    <n v="7"/>
    <x v="5"/>
    <n v="3"/>
    <s v="Q1"/>
    <n v="2023"/>
    <x v="1"/>
    <x v="1"/>
  </r>
  <r>
    <n v="474"/>
    <s v="C051"/>
    <n v="1"/>
    <n v="4"/>
    <d v="2023-02-07T00:00:00"/>
    <d v="1899-12-30T06:31:59"/>
    <d v="2023-02-14T00:00:00"/>
    <d v="1899-12-30T02:00:07"/>
    <s v="Dibrugarh"/>
    <x v="6"/>
    <x v="65"/>
    <s v="Aradhya Batta"/>
    <x v="1"/>
    <x v="48"/>
    <x v="4"/>
    <x v="6"/>
    <n v="1935"/>
    <x v="193"/>
    <n v="5418"/>
    <n v="2322"/>
    <n v="0.3"/>
    <n v="7"/>
    <x v="0"/>
    <n v="2"/>
    <s v="Q1"/>
    <n v="2023"/>
    <x v="1"/>
    <x v="0"/>
  </r>
  <r>
    <n v="475"/>
    <s v="C099"/>
    <n v="46"/>
    <n v="2"/>
    <d v="2023-12-04T00:00:00"/>
    <d v="1899-12-30T07:21:23"/>
    <d v="2023-12-08T00:00:00"/>
    <d v="1899-12-30T13:32:22"/>
    <s v="Jalgaon"/>
    <x v="0"/>
    <x v="9"/>
    <s v="Ranbir Loyal"/>
    <x v="1"/>
    <x v="62"/>
    <x v="3"/>
    <x v="0"/>
    <n v="758"/>
    <x v="253"/>
    <n v="1061.2"/>
    <n v="454.79999999999995"/>
    <n v="0.3"/>
    <n v="4"/>
    <x v="6"/>
    <n v="12"/>
    <s v="Q4"/>
    <n v="2023"/>
    <x v="2"/>
    <x v="2"/>
  </r>
  <r>
    <n v="476"/>
    <s v="C067"/>
    <n v="40"/>
    <n v="2"/>
    <d v="2023-09-18T00:00:00"/>
    <d v="1899-12-30T01:17:18"/>
    <d v="2023-09-20T00:00:00"/>
    <d v="1899-12-30T17:53:14"/>
    <s v="Moradabad"/>
    <x v="0"/>
    <x v="29"/>
    <s v="Eva Sankaran"/>
    <x v="0"/>
    <x v="46"/>
    <x v="1"/>
    <x v="0"/>
    <n v="1923"/>
    <x v="64"/>
    <n v="2692.2"/>
    <n v="1153.8000000000002"/>
    <n v="0.30000000000000004"/>
    <n v="2"/>
    <x v="7"/>
    <n v="9"/>
    <s v="Q3"/>
    <n v="2023"/>
    <x v="2"/>
    <x v="1"/>
  </r>
  <r>
    <n v="477"/>
    <s v="C099"/>
    <n v="33"/>
    <n v="4"/>
    <d v="2023-02-12T00:00:00"/>
    <d v="1899-12-30T17:18:09"/>
    <d v="2023-02-14T00:00:00"/>
    <d v="1899-12-30T03:11:52"/>
    <s v="Gangtok"/>
    <x v="3"/>
    <x v="9"/>
    <s v="Ranbir Loyal"/>
    <x v="1"/>
    <x v="59"/>
    <x v="2"/>
    <x v="3"/>
    <n v="314"/>
    <x v="254"/>
    <n v="879.19999999999993"/>
    <n v="376.80000000000007"/>
    <n v="0.30000000000000004"/>
    <n v="2"/>
    <x v="0"/>
    <n v="2"/>
    <s v="Q1"/>
    <n v="2023"/>
    <x v="5"/>
    <x v="2"/>
  </r>
  <r>
    <n v="478"/>
    <s v="C003"/>
    <n v="11"/>
    <n v="5"/>
    <d v="2023-02-08T00:00:00"/>
    <d v="1899-12-30T01:11:21"/>
    <d v="2023-02-09T00:00:00"/>
    <d v="1899-12-30T09:50:19"/>
    <s v="Ambarnath"/>
    <x v="3"/>
    <x v="3"/>
    <s v="Jayesh Lanka"/>
    <x v="0"/>
    <x v="45"/>
    <x v="6"/>
    <x v="3"/>
    <n v="1096"/>
    <x v="255"/>
    <n v="3835.9999999999995"/>
    <n v="1644.0000000000005"/>
    <n v="0.3000000000000001"/>
    <n v="1"/>
    <x v="0"/>
    <n v="2"/>
    <s v="Q1"/>
    <n v="2023"/>
    <x v="4"/>
    <x v="0"/>
  </r>
  <r>
    <n v="479"/>
    <s v="C071"/>
    <n v="11"/>
    <n v="1"/>
    <d v="2023-02-07T00:00:00"/>
    <d v="1899-12-30T17:48:21"/>
    <d v="2023-02-11T00:00:00"/>
    <d v="1899-12-30T10:48:13"/>
    <s v="Ghaziabad"/>
    <x v="3"/>
    <x v="26"/>
    <s v="Purab Sheth"/>
    <x v="0"/>
    <x v="45"/>
    <x v="6"/>
    <x v="3"/>
    <n v="1096"/>
    <x v="242"/>
    <n v="767.19999999999993"/>
    <n v="328.80000000000007"/>
    <n v="0.30000000000000004"/>
    <n v="4"/>
    <x v="0"/>
    <n v="2"/>
    <s v="Q1"/>
    <n v="2023"/>
    <x v="1"/>
    <x v="2"/>
  </r>
  <r>
    <n v="480"/>
    <s v="C059"/>
    <n v="62"/>
    <n v="4"/>
    <d v="2023-03-06T00:00:00"/>
    <d v="1899-12-30T04:29:31"/>
    <d v="2023-03-16T00:00:00"/>
    <d v="1899-12-30T22:19:33"/>
    <s v="Sagar"/>
    <x v="5"/>
    <x v="34"/>
    <s v="Nirvi Wagle"/>
    <x v="0"/>
    <x v="14"/>
    <x v="2"/>
    <x v="5"/>
    <n v="1356"/>
    <x v="16"/>
    <n v="3796.7999999999997"/>
    <n v="1627.2000000000003"/>
    <n v="0.30000000000000004"/>
    <n v="10"/>
    <x v="5"/>
    <n v="3"/>
    <s v="Q1"/>
    <n v="2023"/>
    <x v="3"/>
    <x v="0"/>
  </r>
  <r>
    <n v="481"/>
    <s v="C044"/>
    <n v="12"/>
    <n v="5"/>
    <d v="2023-08-21T00:00:00"/>
    <d v="1899-12-30T00:00:53"/>
    <d v="2023-08-25T00:00:00"/>
    <d v="1899-12-30T18:36:25"/>
    <s v="Bhiwandi"/>
    <x v="0"/>
    <x v="8"/>
    <s v="Seher Mann"/>
    <x v="0"/>
    <x v="17"/>
    <x v="5"/>
    <x v="0"/>
    <n v="672"/>
    <x v="204"/>
    <n v="2352"/>
    <n v="1008"/>
    <n v="0.3"/>
    <n v="4"/>
    <x v="3"/>
    <n v="8"/>
    <s v="Q3"/>
    <n v="2023"/>
    <x v="1"/>
    <x v="1"/>
  </r>
  <r>
    <n v="482"/>
    <s v="C050"/>
    <n v="23"/>
    <n v="3"/>
    <d v="2023-06-05T00:00:00"/>
    <d v="1899-12-30T20:33:38"/>
    <d v="2023-06-14T00:00:00"/>
    <d v="1899-12-30T20:56:35"/>
    <s v="Ludhiana"/>
    <x v="0"/>
    <x v="27"/>
    <s v="Chirag Srinivas"/>
    <x v="1"/>
    <x v="13"/>
    <x v="1"/>
    <x v="0"/>
    <n v="1098"/>
    <x v="118"/>
    <n v="2305.7999999999997"/>
    <n v="988.20000000000027"/>
    <n v="0.3000000000000001"/>
    <n v="9"/>
    <x v="11"/>
    <n v="6"/>
    <s v="Q2"/>
    <n v="2023"/>
    <x v="5"/>
    <x v="1"/>
  </r>
  <r>
    <n v="483"/>
    <s v="C007"/>
    <n v="59"/>
    <n v="2"/>
    <d v="2023-08-28T00:00:00"/>
    <d v="1899-12-30T06:25:03"/>
    <d v="2023-08-31T00:00:00"/>
    <d v="1899-12-30T05:06:02"/>
    <s v="Pallavaram"/>
    <x v="4"/>
    <x v="70"/>
    <s v="Jayant Kamdar"/>
    <x v="0"/>
    <x v="58"/>
    <x v="3"/>
    <x v="4"/>
    <n v="811"/>
    <x v="209"/>
    <n v="1135.3999999999999"/>
    <n v="486.60000000000014"/>
    <n v="0.3000000000000001"/>
    <n v="3"/>
    <x v="3"/>
    <n v="8"/>
    <s v="Q3"/>
    <n v="2023"/>
    <x v="1"/>
    <x v="2"/>
  </r>
  <r>
    <n v="484"/>
    <s v="C034"/>
    <n v="1"/>
    <n v="5"/>
    <d v="2023-05-26T00:00:00"/>
    <d v="1899-12-30T19:03:55"/>
    <d v="2023-06-03T00:00:00"/>
    <d v="1899-12-30T19:32:17"/>
    <s v="Morena"/>
    <x v="6"/>
    <x v="66"/>
    <s v="Hridaan Sood"/>
    <x v="0"/>
    <x v="48"/>
    <x v="4"/>
    <x v="6"/>
    <n v="1935"/>
    <x v="66"/>
    <n v="6772.5"/>
    <n v="2902.5"/>
    <n v="0.3"/>
    <n v="8"/>
    <x v="4"/>
    <n v="5"/>
    <s v="Q2"/>
    <n v="2023"/>
    <x v="5"/>
    <x v="0"/>
  </r>
  <r>
    <n v="485"/>
    <s v="C029"/>
    <n v="43"/>
    <n v="4"/>
    <d v="2023-11-06T00:00:00"/>
    <d v="1899-12-30T19:20:24"/>
    <d v="2023-11-14T00:00:00"/>
    <d v="1899-12-30T19:27:14"/>
    <s v="Bhubaneswar"/>
    <x v="1"/>
    <x v="2"/>
    <s v="Badal Sathe"/>
    <x v="1"/>
    <x v="6"/>
    <x v="0"/>
    <x v="1"/>
    <n v="750"/>
    <x v="200"/>
    <n v="2100"/>
    <n v="900"/>
    <n v="0.3"/>
    <n v="8"/>
    <x v="1"/>
    <n v="11"/>
    <s v="Q4"/>
    <n v="2023"/>
    <x v="3"/>
    <x v="1"/>
  </r>
  <r>
    <n v="486"/>
    <s v="C030"/>
    <n v="24"/>
    <n v="1"/>
    <d v="2023-07-25T00:00:00"/>
    <d v="1899-12-30T14:34:30"/>
    <d v="2023-07-30T00:00:00"/>
    <d v="1899-12-30T16:58:35"/>
    <s v="Ambattur"/>
    <x v="2"/>
    <x v="64"/>
    <s v="Vardaniya Contractor"/>
    <x v="0"/>
    <x v="54"/>
    <x v="6"/>
    <x v="2"/>
    <n v="535"/>
    <x v="224"/>
    <n v="374.5"/>
    <n v="160.5"/>
    <n v="0.3"/>
    <n v="5"/>
    <x v="2"/>
    <n v="7"/>
    <s v="Q3"/>
    <n v="2023"/>
    <x v="2"/>
    <x v="2"/>
  </r>
  <r>
    <n v="487"/>
    <s v="C053"/>
    <n v="51"/>
    <n v="1"/>
    <d v="2023-01-05T00:00:00"/>
    <d v="1899-12-30T16:46:57"/>
    <d v="2023-01-09T00:00:00"/>
    <d v="1899-12-30T04:28:18"/>
    <s v="Sasaram"/>
    <x v="6"/>
    <x v="52"/>
    <s v="Kismat Kapadia"/>
    <x v="1"/>
    <x v="38"/>
    <x v="4"/>
    <x v="6"/>
    <n v="1084"/>
    <x v="207"/>
    <n v="758.8"/>
    <n v="325.20000000000005"/>
    <n v="0.30000000000000004"/>
    <n v="4"/>
    <x v="8"/>
    <n v="1"/>
    <s v="Q1"/>
    <n v="2023"/>
    <x v="5"/>
    <x v="2"/>
  </r>
  <r>
    <n v="488"/>
    <s v="C025"/>
    <n v="21"/>
    <n v="4"/>
    <d v="2023-08-28T00:00:00"/>
    <d v="1899-12-30T22:13:30"/>
    <d v="2023-08-29T00:00:00"/>
    <d v="1899-12-30T05:26:49"/>
    <s v="Nizamabad"/>
    <x v="4"/>
    <x v="84"/>
    <s v="Ira Bava"/>
    <x v="1"/>
    <x v="8"/>
    <x v="2"/>
    <x v="4"/>
    <n v="1561"/>
    <x v="256"/>
    <n v="4370.7999999999993"/>
    <n v="1873.2000000000007"/>
    <n v="0.3000000000000001"/>
    <n v="1"/>
    <x v="3"/>
    <n v="8"/>
    <s v="Q3"/>
    <n v="2023"/>
    <x v="1"/>
    <x v="0"/>
  </r>
  <r>
    <n v="489"/>
    <s v="C072"/>
    <n v="10"/>
    <n v="1"/>
    <d v="2023-08-28T00:00:00"/>
    <d v="1899-12-30T22:26:56"/>
    <d v="2023-09-02T00:00:00"/>
    <d v="1899-12-30T04:30:46"/>
    <s v="Kirari Suleman Nagar"/>
    <x v="2"/>
    <x v="15"/>
    <s v="Charvi Karnik"/>
    <x v="0"/>
    <x v="22"/>
    <x v="3"/>
    <x v="2"/>
    <n v="259"/>
    <x v="42"/>
    <n v="181.29999999999998"/>
    <n v="77.700000000000017"/>
    <n v="0.30000000000000004"/>
    <n v="5"/>
    <x v="3"/>
    <n v="8"/>
    <s v="Q3"/>
    <n v="2023"/>
    <x v="1"/>
    <x v="2"/>
  </r>
  <r>
    <n v="490"/>
    <s v="C075"/>
    <n v="2"/>
    <n v="1"/>
    <d v="2023-02-12T00:00:00"/>
    <d v="1899-12-30T12:28:03"/>
    <d v="2023-02-14T00:00:00"/>
    <d v="1899-12-30T12:27:19"/>
    <s v="Eluru"/>
    <x v="3"/>
    <x v="60"/>
    <s v="Yashvi Bansal"/>
    <x v="1"/>
    <x v="50"/>
    <x v="5"/>
    <x v="3"/>
    <n v="441"/>
    <x v="133"/>
    <n v="308.7"/>
    <n v="132.30000000000001"/>
    <n v="0.30000000000000004"/>
    <n v="2"/>
    <x v="0"/>
    <n v="2"/>
    <s v="Q1"/>
    <n v="2023"/>
    <x v="5"/>
    <x v="2"/>
  </r>
  <r>
    <n v="491"/>
    <s v="C095"/>
    <n v="30"/>
    <n v="1"/>
    <d v="2023-10-24T00:00:00"/>
    <d v="1899-12-30T06:14:34"/>
    <d v="2023-11-02T00:00:00"/>
    <d v="1899-12-30T22:59:20"/>
    <s v="Muzaffarnagar"/>
    <x v="0"/>
    <x v="40"/>
    <s v="Mahika Cherian"/>
    <x v="1"/>
    <x v="19"/>
    <x v="2"/>
    <x v="0"/>
    <n v="751"/>
    <x v="45"/>
    <n v="525.69999999999993"/>
    <n v="225.30000000000007"/>
    <n v="0.3000000000000001"/>
    <n v="9"/>
    <x v="10"/>
    <n v="10"/>
    <s v="Q4"/>
    <n v="2023"/>
    <x v="0"/>
    <x v="2"/>
  </r>
  <r>
    <n v="492"/>
    <s v="C047"/>
    <n v="33"/>
    <n v="2"/>
    <d v="2023-02-04T00:00:00"/>
    <d v="1899-12-30T13:54:25"/>
    <d v="2023-02-13T00:00:00"/>
    <d v="1899-12-30T12:04:33"/>
    <s v="Salem"/>
    <x v="3"/>
    <x v="25"/>
    <s v="Bhamini Ravi"/>
    <x v="0"/>
    <x v="59"/>
    <x v="2"/>
    <x v="3"/>
    <n v="314"/>
    <x v="249"/>
    <n v="439.59999999999997"/>
    <n v="188.40000000000003"/>
    <n v="0.30000000000000004"/>
    <n v="9"/>
    <x v="0"/>
    <n v="2"/>
    <s v="Q1"/>
    <n v="2023"/>
    <x v="2"/>
    <x v="2"/>
  </r>
  <r>
    <n v="493"/>
    <s v="C035"/>
    <n v="11"/>
    <n v="1"/>
    <d v="2023-02-05T00:00:00"/>
    <d v="1899-12-30T22:11:24"/>
    <d v="2023-02-06T00:00:00"/>
    <d v="1899-12-30T15:43:11"/>
    <s v="Gopalpur"/>
    <x v="3"/>
    <x v="61"/>
    <s v="Ira Sarna"/>
    <x v="0"/>
    <x v="45"/>
    <x v="6"/>
    <x v="3"/>
    <n v="1096"/>
    <x v="242"/>
    <n v="767.19999999999993"/>
    <n v="328.80000000000007"/>
    <n v="0.30000000000000004"/>
    <n v="1"/>
    <x v="0"/>
    <n v="2"/>
    <s v="Q1"/>
    <n v="2023"/>
    <x v="5"/>
    <x v="2"/>
  </r>
  <r>
    <n v="494"/>
    <s v="C082"/>
    <n v="7"/>
    <n v="4"/>
    <d v="2023-02-28T00:00:00"/>
    <d v="1899-12-30T03:11:22"/>
    <d v="2023-03-08T00:00:00"/>
    <d v="1899-12-30T19:06:48"/>
    <s v="Rewa"/>
    <x v="5"/>
    <x v="59"/>
    <s v="Anya Chaudhari"/>
    <x v="1"/>
    <x v="23"/>
    <x v="4"/>
    <x v="5"/>
    <n v="409"/>
    <x v="175"/>
    <n v="1145.1999999999998"/>
    <n v="490.80000000000018"/>
    <n v="0.3000000000000001"/>
    <n v="8"/>
    <x v="0"/>
    <n v="2"/>
    <s v="Q1"/>
    <n v="2023"/>
    <x v="1"/>
    <x v="2"/>
  </r>
  <r>
    <n v="495"/>
    <s v="C007"/>
    <n v="20"/>
    <n v="1"/>
    <d v="2023-08-28T00:00:00"/>
    <d v="1899-12-30T17:42:29"/>
    <d v="2023-08-29T00:00:00"/>
    <d v="1899-12-30T22:51:31"/>
    <s v="Pimpri-Chinchwad"/>
    <x v="0"/>
    <x v="70"/>
    <s v="Jayant Kamdar"/>
    <x v="0"/>
    <x v="11"/>
    <x v="2"/>
    <x v="0"/>
    <n v="697"/>
    <x v="257"/>
    <n v="487.9"/>
    <n v="209.10000000000002"/>
    <n v="0.30000000000000004"/>
    <n v="1"/>
    <x v="3"/>
    <n v="8"/>
    <s v="Q3"/>
    <n v="2023"/>
    <x v="1"/>
    <x v="2"/>
  </r>
  <r>
    <n v="496"/>
    <s v="C021"/>
    <n v="11"/>
    <n v="4"/>
    <d v="2023-02-09T00:00:00"/>
    <d v="1899-12-30T14:31:57"/>
    <d v="2023-02-16T00:00:00"/>
    <d v="1899-12-30T13:05:41"/>
    <s v="Sambhal"/>
    <x v="3"/>
    <x v="85"/>
    <s v="Siya Talwar"/>
    <x v="0"/>
    <x v="45"/>
    <x v="6"/>
    <x v="3"/>
    <n v="1096"/>
    <x v="258"/>
    <n v="3068.7999999999997"/>
    <n v="1315.2000000000003"/>
    <n v="0.30000000000000004"/>
    <n v="7"/>
    <x v="0"/>
    <n v="2"/>
    <s v="Q1"/>
    <n v="2023"/>
    <x v="6"/>
    <x v="1"/>
  </r>
  <r>
    <n v="497"/>
    <s v="C081"/>
    <n v="64"/>
    <n v="2"/>
    <d v="2023-08-29T00:00:00"/>
    <d v="1899-12-30T20:14:01"/>
    <d v="2023-09-01T00:00:00"/>
    <d v="1899-12-30T04:42:56"/>
    <s v="Alwar"/>
    <x v="4"/>
    <x v="58"/>
    <s v="Kaira Ramachandran"/>
    <x v="0"/>
    <x v="61"/>
    <x v="4"/>
    <x v="4"/>
    <n v="1878"/>
    <x v="201"/>
    <n v="2629.2"/>
    <n v="1126.8000000000002"/>
    <n v="0.30000000000000004"/>
    <n v="3"/>
    <x v="3"/>
    <n v="8"/>
    <s v="Q3"/>
    <n v="2023"/>
    <x v="4"/>
    <x v="1"/>
  </r>
  <r>
    <n v="498"/>
    <s v="C100"/>
    <n v="19"/>
    <n v="4"/>
    <d v="2023-02-13T00:00:00"/>
    <d v="1899-12-30T21:34:44"/>
    <d v="2023-02-20T00:00:00"/>
    <d v="1899-12-30T21:14:24"/>
    <s v="Bhusawal"/>
    <x v="3"/>
    <x v="56"/>
    <s v="Pranay Chaudhary"/>
    <x v="1"/>
    <x v="27"/>
    <x v="6"/>
    <x v="3"/>
    <n v="1234"/>
    <x v="259"/>
    <n v="3455.2"/>
    <n v="1480.8000000000002"/>
    <n v="0.30000000000000004"/>
    <n v="7"/>
    <x v="0"/>
    <n v="2"/>
    <s v="Q1"/>
    <n v="2023"/>
    <x v="3"/>
    <x v="1"/>
  </r>
  <r>
    <n v="499"/>
    <s v="C031"/>
    <n v="59"/>
    <n v="1"/>
    <d v="2023-08-27T00:00:00"/>
    <d v="1899-12-30T12:09:20"/>
    <d v="2023-09-02T00:00:00"/>
    <d v="1899-12-30T10:03:32"/>
    <s v="Ichalkaranji"/>
    <x v="4"/>
    <x v="35"/>
    <s v="Madhup Wable"/>
    <x v="1"/>
    <x v="58"/>
    <x v="3"/>
    <x v="4"/>
    <n v="811"/>
    <x v="260"/>
    <n v="567.69999999999993"/>
    <n v="243.30000000000007"/>
    <n v="0.3000000000000001"/>
    <n v="6"/>
    <x v="3"/>
    <n v="8"/>
    <s v="Q3"/>
    <n v="2023"/>
    <x v="3"/>
    <x v="2"/>
  </r>
  <r>
    <n v="500"/>
    <s v="C013"/>
    <n v="61"/>
    <n v="2"/>
    <d v="2023-06-29T00:00:00"/>
    <d v="1899-12-30T10:07:52"/>
    <d v="2023-07-05T00:00:00"/>
    <d v="1899-12-30T12:14:25"/>
    <s v="Bongaigaon"/>
    <x v="0"/>
    <x v="14"/>
    <s v="Manikya Goswami"/>
    <x v="1"/>
    <x v="33"/>
    <x v="5"/>
    <x v="0"/>
    <n v="810"/>
    <x v="119"/>
    <n v="1134"/>
    <n v="486"/>
    <n v="0.3"/>
    <n v="6"/>
    <x v="11"/>
    <n v="6"/>
    <s v="Q2"/>
    <n v="2023"/>
    <x v="4"/>
    <x v="2"/>
  </r>
  <r>
    <n v="501"/>
    <s v="C066"/>
    <n v="46"/>
    <n v="2"/>
    <d v="2023-09-02T00:00:00"/>
    <d v="1899-12-30T16:27:41"/>
    <d v="2023-09-08T00:00:00"/>
    <d v="1899-12-30T07:33:36"/>
    <s v="Navi Mumbai"/>
    <x v="0"/>
    <x v="30"/>
    <s v="Eshani Buch"/>
    <x v="1"/>
    <x v="62"/>
    <x v="3"/>
    <x v="0"/>
    <n v="758"/>
    <x v="253"/>
    <n v="1061.2"/>
    <n v="454.79999999999995"/>
    <n v="0.3"/>
    <n v="6"/>
    <x v="7"/>
    <n v="9"/>
    <s v="Q3"/>
    <n v="2023"/>
    <x v="6"/>
    <x v="2"/>
  </r>
  <r>
    <n v="502"/>
    <s v="C099"/>
    <n v="22"/>
    <n v="5"/>
    <d v="2023-06-24T00:00:00"/>
    <d v="1899-12-30T05:33:20"/>
    <d v="2023-06-30T00:00:00"/>
    <d v="1899-12-30T00:55:44"/>
    <s v="Munger"/>
    <x v="6"/>
    <x v="9"/>
    <s v="Ranbir Loyal"/>
    <x v="1"/>
    <x v="34"/>
    <x v="4"/>
    <x v="6"/>
    <n v="1639"/>
    <x v="138"/>
    <n v="5736.5"/>
    <n v="2458.5"/>
    <n v="0.3"/>
    <n v="6"/>
    <x v="11"/>
    <n v="6"/>
    <s v="Q2"/>
    <n v="2023"/>
    <x v="0"/>
    <x v="0"/>
  </r>
  <r>
    <n v="503"/>
    <s v="C020"/>
    <n v="34"/>
    <n v="1"/>
    <d v="2023-08-29T00:00:00"/>
    <d v="1899-12-30T20:45:45"/>
    <d v="2023-09-06T00:00:00"/>
    <d v="1899-12-30T07:49:54"/>
    <s v="Dehri"/>
    <x v="4"/>
    <x v="36"/>
    <s v="Samaira Ganesh"/>
    <x v="0"/>
    <x v="41"/>
    <x v="4"/>
    <x v="4"/>
    <n v="1335"/>
    <x v="159"/>
    <n v="934.49999999999989"/>
    <n v="400.50000000000011"/>
    <n v="0.3000000000000001"/>
    <n v="8"/>
    <x v="3"/>
    <n v="8"/>
    <s v="Q3"/>
    <n v="2023"/>
    <x v="4"/>
    <x v="2"/>
  </r>
  <r>
    <n v="504"/>
    <s v="C058"/>
    <n v="25"/>
    <n v="1"/>
    <d v="2023-07-14T00:00:00"/>
    <d v="1899-12-30T13:04:42"/>
    <d v="2023-07-24T00:00:00"/>
    <d v="1899-12-30T05:20:36"/>
    <s v="Meerut"/>
    <x v="0"/>
    <x v="42"/>
    <s v="Charvi Kanda"/>
    <x v="0"/>
    <x v="40"/>
    <x v="5"/>
    <x v="0"/>
    <n v="1202"/>
    <x v="53"/>
    <n v="841.4"/>
    <n v="360.6"/>
    <n v="0.30000000000000004"/>
    <n v="10"/>
    <x v="2"/>
    <n v="7"/>
    <s v="Q3"/>
    <n v="2023"/>
    <x v="1"/>
    <x v="2"/>
  </r>
  <r>
    <n v="505"/>
    <s v="C028"/>
    <n v="45"/>
    <n v="3"/>
    <d v="2023-06-02T00:00:00"/>
    <d v="1899-12-30T13:19:25"/>
    <d v="2023-06-05T00:00:00"/>
    <d v="1899-12-30T01:59:32"/>
    <s v="Allahabad"/>
    <x v="2"/>
    <x v="48"/>
    <s v="Hridaan Rajagopalan"/>
    <x v="1"/>
    <x v="5"/>
    <x v="0"/>
    <x v="2"/>
    <n v="722"/>
    <x v="233"/>
    <n v="1516.1999999999998"/>
    <n v="649.80000000000018"/>
    <n v="0.3000000000000001"/>
    <n v="3"/>
    <x v="11"/>
    <n v="6"/>
    <s v="Q2"/>
    <n v="2023"/>
    <x v="6"/>
    <x v="1"/>
  </r>
  <r>
    <n v="506"/>
    <s v="C058"/>
    <n v="55"/>
    <n v="4"/>
    <d v="2023-08-27T00:00:00"/>
    <d v="1899-12-30T08:52:04"/>
    <d v="2023-09-02T00:00:00"/>
    <d v="1899-12-30T11:43:24"/>
    <s v="Thrissur"/>
    <x v="4"/>
    <x v="42"/>
    <s v="Charvi Kanda"/>
    <x v="0"/>
    <x v="60"/>
    <x v="4"/>
    <x v="4"/>
    <n v="1904"/>
    <x v="146"/>
    <n v="5331.2"/>
    <n v="2284.8000000000002"/>
    <n v="0.30000000000000004"/>
    <n v="6"/>
    <x v="3"/>
    <n v="8"/>
    <s v="Q3"/>
    <n v="2023"/>
    <x v="3"/>
    <x v="0"/>
  </r>
  <r>
    <n v="507"/>
    <s v="C028"/>
    <n v="13"/>
    <n v="4"/>
    <d v="2023-03-07T00:00:00"/>
    <d v="1899-12-30T00:28:11"/>
    <d v="2023-03-13T00:00:00"/>
    <d v="1899-12-30T20:11:36"/>
    <s v="Malda"/>
    <x v="5"/>
    <x v="48"/>
    <s v="Hridaan Rajagopalan"/>
    <x v="1"/>
    <x v="64"/>
    <x v="6"/>
    <x v="5"/>
    <n v="1141"/>
    <x v="244"/>
    <n v="3194.7999999999997"/>
    <n v="1369.2000000000003"/>
    <n v="0.30000000000000004"/>
    <n v="6"/>
    <x v="5"/>
    <n v="3"/>
    <s v="Q1"/>
    <n v="2023"/>
    <x v="1"/>
    <x v="1"/>
  </r>
  <r>
    <n v="508"/>
    <s v="C035"/>
    <n v="69"/>
    <n v="1"/>
    <d v="2023-02-26T00:00:00"/>
    <d v="1899-12-30T17:29:28"/>
    <d v="2023-03-04T00:00:00"/>
    <d v="1899-12-30T07:11:06"/>
    <s v="Varanasi"/>
    <x v="5"/>
    <x v="61"/>
    <s v="Ira Sarna"/>
    <x v="0"/>
    <x v="55"/>
    <x v="3"/>
    <x v="5"/>
    <n v="998"/>
    <x v="261"/>
    <n v="698.59999999999991"/>
    <n v="299.40000000000009"/>
    <n v="0.3000000000000001"/>
    <n v="6"/>
    <x v="0"/>
    <n v="2"/>
    <s v="Q1"/>
    <n v="2023"/>
    <x v="5"/>
    <x v="2"/>
  </r>
  <r>
    <n v="509"/>
    <s v="C003"/>
    <n v="13"/>
    <n v="5"/>
    <d v="2023-03-05T00:00:00"/>
    <d v="1899-12-30T12:48:55"/>
    <d v="2023-03-09T00:00:00"/>
    <d v="1899-12-30T07:47:16"/>
    <s v="Uluberia"/>
    <x v="5"/>
    <x v="3"/>
    <s v="Jayesh Lanka"/>
    <x v="0"/>
    <x v="64"/>
    <x v="6"/>
    <x v="5"/>
    <n v="1141"/>
    <x v="218"/>
    <n v="3993.4999999999995"/>
    <n v="1711.5000000000005"/>
    <n v="0.3000000000000001"/>
    <n v="4"/>
    <x v="5"/>
    <n v="3"/>
    <s v="Q1"/>
    <n v="2023"/>
    <x v="5"/>
    <x v="0"/>
  </r>
  <r>
    <n v="510"/>
    <s v="C017"/>
    <n v="54"/>
    <n v="5"/>
    <d v="2023-12-08T00:00:00"/>
    <d v="1899-12-30T13:00:05"/>
    <d v="2023-12-17T00:00:00"/>
    <d v="1899-12-30T06:14:47"/>
    <s v="Panipat"/>
    <x v="0"/>
    <x v="46"/>
    <s v="Advika Dhar"/>
    <x v="0"/>
    <x v="30"/>
    <x v="3"/>
    <x v="0"/>
    <n v="1236"/>
    <x v="262"/>
    <n v="4326"/>
    <n v="1854"/>
    <n v="0.3"/>
    <n v="9"/>
    <x v="6"/>
    <n v="12"/>
    <s v="Q4"/>
    <n v="2023"/>
    <x v="4"/>
    <x v="0"/>
  </r>
  <r>
    <n v="511"/>
    <s v="C055"/>
    <n v="47"/>
    <n v="2"/>
    <d v="2023-02-27T00:00:00"/>
    <d v="1899-12-30T12:58:05"/>
    <d v="2023-03-04T00:00:00"/>
    <d v="1899-12-30T00:46:11"/>
    <s v="Dibrugarh"/>
    <x v="5"/>
    <x v="27"/>
    <s v="Umang Luthra"/>
    <x v="0"/>
    <x v="49"/>
    <x v="2"/>
    <x v="5"/>
    <n v="1638"/>
    <x v="107"/>
    <n v="2293.1999999999998"/>
    <n v="982.80000000000018"/>
    <n v="0.30000000000000004"/>
    <n v="5"/>
    <x v="0"/>
    <n v="2"/>
    <s v="Q1"/>
    <n v="2023"/>
    <x v="3"/>
    <x v="1"/>
  </r>
  <r>
    <n v="512"/>
    <s v="C008"/>
    <n v="41"/>
    <n v="1"/>
    <d v="2023-11-05T00:00:00"/>
    <d v="1899-12-30T02:42:41"/>
    <d v="2023-11-11T00:00:00"/>
    <d v="1899-12-30T13:10:40"/>
    <s v="Ranchi"/>
    <x v="1"/>
    <x v="51"/>
    <s v="Veer Ray"/>
    <x v="1"/>
    <x v="1"/>
    <x v="1"/>
    <x v="1"/>
    <n v="1977"/>
    <x v="80"/>
    <n v="1383.8999999999999"/>
    <n v="593.10000000000014"/>
    <n v="0.30000000000000004"/>
    <n v="6"/>
    <x v="1"/>
    <n v="11"/>
    <s v="Q4"/>
    <n v="2023"/>
    <x v="5"/>
    <x v="2"/>
  </r>
  <r>
    <n v="513"/>
    <s v="C088"/>
    <n v="1"/>
    <n v="4"/>
    <d v="2023-03-27T00:00:00"/>
    <d v="1899-12-30T09:57:32"/>
    <d v="2023-04-02T00:00:00"/>
    <d v="1899-12-30T13:56:41"/>
    <s v="Nandyal"/>
    <x v="6"/>
    <x v="23"/>
    <s v="Shalv Kulkarni"/>
    <x v="1"/>
    <x v="48"/>
    <x v="4"/>
    <x v="6"/>
    <n v="1935"/>
    <x v="193"/>
    <n v="5418"/>
    <n v="2322"/>
    <n v="0.3"/>
    <n v="6"/>
    <x v="5"/>
    <n v="3"/>
    <s v="Q1"/>
    <n v="2023"/>
    <x v="3"/>
    <x v="0"/>
  </r>
  <r>
    <n v="514"/>
    <s v="C090"/>
    <n v="24"/>
    <n v="1"/>
    <d v="2023-01-01T00:00:00"/>
    <d v="1899-12-30T09:56:10"/>
    <d v="2023-01-09T00:00:00"/>
    <d v="1899-12-30T17:56:52"/>
    <s v="Allahabad"/>
    <x v="2"/>
    <x v="17"/>
    <s v="Drishya De"/>
    <x v="1"/>
    <x v="54"/>
    <x v="6"/>
    <x v="2"/>
    <n v="535"/>
    <x v="224"/>
    <n v="374.5"/>
    <n v="160.5"/>
    <n v="0.3"/>
    <n v="8"/>
    <x v="8"/>
    <n v="1"/>
    <s v="Q1"/>
    <n v="2023"/>
    <x v="4"/>
    <x v="2"/>
  </r>
  <r>
    <n v="515"/>
    <s v="C078"/>
    <n v="14"/>
    <n v="5"/>
    <d v="2023-10-21T00:00:00"/>
    <d v="1899-12-30T23:22:39"/>
    <d v="2023-10-27T00:00:00"/>
    <d v="1899-12-30T14:59:49"/>
    <s v="Unnao"/>
    <x v="2"/>
    <x v="4"/>
    <s v="Jivika Rajan"/>
    <x v="1"/>
    <x v="2"/>
    <x v="2"/>
    <x v="2"/>
    <n v="1915"/>
    <x v="2"/>
    <n v="6702.5"/>
    <n v="2872.5"/>
    <n v="0.3"/>
    <n v="6"/>
    <x v="10"/>
    <n v="10"/>
    <s v="Q4"/>
    <n v="2023"/>
    <x v="1"/>
    <x v="0"/>
  </r>
  <r>
    <n v="516"/>
    <s v="C020"/>
    <n v="22"/>
    <n v="2"/>
    <d v="2023-07-05T00:00:00"/>
    <d v="1899-12-30T20:52:56"/>
    <d v="2023-07-06T00:00:00"/>
    <d v="1899-12-30T01:06:20"/>
    <s v="Gaya"/>
    <x v="6"/>
    <x v="36"/>
    <s v="Samaira Ganesh"/>
    <x v="0"/>
    <x v="34"/>
    <x v="4"/>
    <x v="6"/>
    <n v="1639"/>
    <x v="263"/>
    <n v="2294.6"/>
    <n v="983.40000000000009"/>
    <n v="0.30000000000000004"/>
    <n v="1"/>
    <x v="2"/>
    <n v="7"/>
    <s v="Q3"/>
    <n v="2023"/>
    <x v="5"/>
    <x v="1"/>
  </r>
  <r>
    <n v="517"/>
    <s v="C064"/>
    <n v="60"/>
    <n v="5"/>
    <d v="2023-11-09T00:00:00"/>
    <d v="1899-12-30T01:01:13"/>
    <d v="2023-11-17T00:00:00"/>
    <d v="1899-12-30T19:04:55"/>
    <s v="Aligarh"/>
    <x v="1"/>
    <x v="24"/>
    <s v="Indrajit Kale"/>
    <x v="0"/>
    <x v="12"/>
    <x v="1"/>
    <x v="1"/>
    <n v="827"/>
    <x v="139"/>
    <n v="2894.5"/>
    <n v="1240.5"/>
    <n v="0.3"/>
    <n v="8"/>
    <x v="1"/>
    <n v="11"/>
    <s v="Q4"/>
    <n v="2023"/>
    <x v="6"/>
    <x v="1"/>
  </r>
  <r>
    <n v="518"/>
    <s v="C045"/>
    <n v="45"/>
    <n v="3"/>
    <d v="2023-04-09T00:00:00"/>
    <d v="1899-12-30T04:46:41"/>
    <d v="2023-04-15T00:00:00"/>
    <d v="1899-12-30T19:40:46"/>
    <s v="Ahmednagar"/>
    <x v="2"/>
    <x v="39"/>
    <s v="Divit Mahajan"/>
    <x v="1"/>
    <x v="5"/>
    <x v="0"/>
    <x v="2"/>
    <n v="722"/>
    <x v="233"/>
    <n v="1516.1999999999998"/>
    <n v="649.80000000000018"/>
    <n v="0.3000000000000001"/>
    <n v="6"/>
    <x v="9"/>
    <n v="4"/>
    <s v="Q2"/>
    <n v="2023"/>
    <x v="6"/>
    <x v="1"/>
  </r>
  <r>
    <n v="519"/>
    <s v="C014"/>
    <n v="52"/>
    <n v="4"/>
    <d v="2023-02-07T00:00:00"/>
    <d v="1899-12-30T23:10:38"/>
    <d v="2023-02-15T00:00:00"/>
    <d v="1899-12-30T06:40:20"/>
    <s v="Hindupur"/>
    <x v="3"/>
    <x v="37"/>
    <s v="Indrans Shukla"/>
    <x v="1"/>
    <x v="15"/>
    <x v="0"/>
    <x v="3"/>
    <n v="236"/>
    <x v="264"/>
    <n v="660.8"/>
    <n v="283.20000000000005"/>
    <n v="0.30000000000000004"/>
    <n v="8"/>
    <x v="0"/>
    <n v="2"/>
    <s v="Q1"/>
    <n v="2023"/>
    <x v="1"/>
    <x v="2"/>
  </r>
  <r>
    <n v="520"/>
    <s v="C026"/>
    <n v="14"/>
    <n v="5"/>
    <d v="2023-04-07T00:00:00"/>
    <d v="1899-12-30T04:43:51"/>
    <d v="2023-04-08T00:00:00"/>
    <d v="1899-12-30T08:21:40"/>
    <s v="Mysore"/>
    <x v="2"/>
    <x v="63"/>
    <s v="Ira Chahal"/>
    <x v="1"/>
    <x v="2"/>
    <x v="2"/>
    <x v="2"/>
    <n v="1915"/>
    <x v="2"/>
    <n v="6702.5"/>
    <n v="2872.5"/>
    <n v="0.3"/>
    <n v="1"/>
    <x v="9"/>
    <n v="4"/>
    <s v="Q2"/>
    <n v="2023"/>
    <x v="1"/>
    <x v="0"/>
  </r>
  <r>
    <n v="521"/>
    <s v="C062"/>
    <n v="33"/>
    <n v="5"/>
    <d v="2023-02-04T00:00:00"/>
    <d v="1899-12-30T21:00:17"/>
    <d v="2023-02-08T00:00:00"/>
    <d v="1899-12-30T02:28:38"/>
    <s v="Noida"/>
    <x v="3"/>
    <x v="49"/>
    <s v="Inaaya  Sarraf"/>
    <x v="0"/>
    <x v="59"/>
    <x v="2"/>
    <x v="3"/>
    <n v="314"/>
    <x v="247"/>
    <n v="1099"/>
    <n v="471"/>
    <n v="0.3"/>
    <n v="4"/>
    <x v="0"/>
    <n v="2"/>
    <s v="Q1"/>
    <n v="2023"/>
    <x v="2"/>
    <x v="2"/>
  </r>
  <r>
    <n v="522"/>
    <s v="C011"/>
    <n v="50"/>
    <n v="3"/>
    <d v="2023-02-27T00:00:00"/>
    <d v="1899-12-30T21:04:28"/>
    <d v="2023-03-08T00:00:00"/>
    <d v="1899-12-30T01:34:50"/>
    <s v="Avadi"/>
    <x v="5"/>
    <x v="16"/>
    <s v="Lagan Kapoor"/>
    <x v="1"/>
    <x v="56"/>
    <x v="5"/>
    <x v="5"/>
    <n v="422"/>
    <x v="173"/>
    <n v="886.19999999999993"/>
    <n v="379.80000000000007"/>
    <n v="0.30000000000000004"/>
    <n v="9"/>
    <x v="0"/>
    <n v="2"/>
    <s v="Q1"/>
    <n v="2023"/>
    <x v="3"/>
    <x v="2"/>
  </r>
  <r>
    <n v="523"/>
    <s v="C071"/>
    <n v="30"/>
    <n v="3"/>
    <d v="2023-07-02T00:00:00"/>
    <d v="1899-12-30T13:37:08"/>
    <d v="2023-07-09T00:00:00"/>
    <d v="1899-12-30T15:38:36"/>
    <s v="Muzaffarpur"/>
    <x v="0"/>
    <x v="26"/>
    <s v="Purab Sheth"/>
    <x v="0"/>
    <x v="19"/>
    <x v="2"/>
    <x v="0"/>
    <n v="751"/>
    <x v="22"/>
    <n v="1577.1"/>
    <n v="675.90000000000009"/>
    <n v="0.30000000000000004"/>
    <n v="7"/>
    <x v="2"/>
    <n v="7"/>
    <s v="Q3"/>
    <n v="2023"/>
    <x v="6"/>
    <x v="1"/>
  </r>
  <r>
    <n v="524"/>
    <s v="C084"/>
    <n v="45"/>
    <n v="1"/>
    <d v="2023-08-15T00:00:00"/>
    <d v="1899-12-30T13:54:54"/>
    <d v="2023-08-22T00:00:00"/>
    <d v="1899-12-30T12:29:47"/>
    <s v="Jalandhar"/>
    <x v="2"/>
    <x v="68"/>
    <s v="Anahita Shankar"/>
    <x v="0"/>
    <x v="5"/>
    <x v="0"/>
    <x v="2"/>
    <n v="722"/>
    <x v="265"/>
    <n v="505.4"/>
    <n v="216.60000000000002"/>
    <n v="0.30000000000000004"/>
    <n v="7"/>
    <x v="3"/>
    <n v="8"/>
    <s v="Q3"/>
    <n v="2023"/>
    <x v="4"/>
    <x v="2"/>
  </r>
  <r>
    <n v="525"/>
    <s v="C033"/>
    <n v="16"/>
    <n v="2"/>
    <d v="2023-03-02T00:00:00"/>
    <d v="1899-12-30T20:06:08"/>
    <d v="2023-03-11T00:00:00"/>
    <d v="1899-12-30T22:22:35"/>
    <s v="Bhagalpur"/>
    <x v="5"/>
    <x v="45"/>
    <s v="Suhana Kurian"/>
    <x v="1"/>
    <x v="9"/>
    <x v="1"/>
    <x v="5"/>
    <n v="1721"/>
    <x v="266"/>
    <n v="2409.3999999999996"/>
    <n v="1032.6000000000004"/>
    <n v="0.3000000000000001"/>
    <n v="9"/>
    <x v="5"/>
    <n v="3"/>
    <s v="Q1"/>
    <n v="2023"/>
    <x v="6"/>
    <x v="1"/>
  </r>
  <r>
    <n v="526"/>
    <s v="C008"/>
    <n v="13"/>
    <n v="5"/>
    <d v="2023-03-02T00:00:00"/>
    <d v="1899-12-30T06:06:20"/>
    <d v="2023-03-08T00:00:00"/>
    <d v="1899-12-30T01:35:05"/>
    <s v="Bangalore"/>
    <x v="5"/>
    <x v="51"/>
    <s v="Veer Ray"/>
    <x v="1"/>
    <x v="64"/>
    <x v="6"/>
    <x v="5"/>
    <n v="1141"/>
    <x v="218"/>
    <n v="3993.4999999999995"/>
    <n v="1711.5000000000005"/>
    <n v="0.3000000000000001"/>
    <n v="6"/>
    <x v="5"/>
    <n v="3"/>
    <s v="Q1"/>
    <n v="2023"/>
    <x v="6"/>
    <x v="0"/>
  </r>
  <r>
    <n v="527"/>
    <s v="C036"/>
    <n v="33"/>
    <n v="3"/>
    <d v="2023-02-11T00:00:00"/>
    <d v="1899-12-30T12:51:40"/>
    <d v="2023-02-19T00:00:00"/>
    <d v="1899-12-30T15:58:07"/>
    <s v="Bardhaman"/>
    <x v="3"/>
    <x v="38"/>
    <s v="Biju Bajwa"/>
    <x v="1"/>
    <x v="59"/>
    <x v="2"/>
    <x v="3"/>
    <n v="314"/>
    <x v="96"/>
    <n v="659.4"/>
    <n v="282.60000000000002"/>
    <n v="0.30000000000000004"/>
    <n v="8"/>
    <x v="0"/>
    <n v="2"/>
    <s v="Q1"/>
    <n v="2023"/>
    <x v="2"/>
    <x v="2"/>
  </r>
  <r>
    <n v="528"/>
    <s v="C001"/>
    <n v="27"/>
    <n v="3"/>
    <d v="2023-08-27T00:00:00"/>
    <d v="1899-12-30T05:01:16"/>
    <d v="2023-08-30T00:00:00"/>
    <d v="1899-12-30T17:03:43"/>
    <s v="Tirunelveli"/>
    <x v="4"/>
    <x v="41"/>
    <s v="Tara Krishnan"/>
    <x v="1"/>
    <x v="7"/>
    <x v="3"/>
    <x v="4"/>
    <n v="548"/>
    <x v="167"/>
    <n v="1150.8"/>
    <n v="493.20000000000005"/>
    <n v="0.30000000000000004"/>
    <n v="3"/>
    <x v="3"/>
    <n v="8"/>
    <s v="Q3"/>
    <n v="2023"/>
    <x v="3"/>
    <x v="2"/>
  </r>
  <r>
    <n v="529"/>
    <s v="C013"/>
    <n v="64"/>
    <n v="2"/>
    <d v="2023-08-25T00:00:00"/>
    <d v="1899-12-30T15:47:28"/>
    <d v="2023-08-28T00:00:00"/>
    <d v="1899-12-30T14:05:18"/>
    <s v="Madurai"/>
    <x v="4"/>
    <x v="14"/>
    <s v="Manikya Goswami"/>
    <x v="1"/>
    <x v="61"/>
    <x v="4"/>
    <x v="4"/>
    <n v="1878"/>
    <x v="201"/>
    <n v="2629.2"/>
    <n v="1126.8000000000002"/>
    <n v="0.30000000000000004"/>
    <n v="3"/>
    <x v="3"/>
    <n v="8"/>
    <s v="Q3"/>
    <n v="2023"/>
    <x v="2"/>
    <x v="1"/>
  </r>
  <r>
    <n v="530"/>
    <s v="C008"/>
    <n v="5"/>
    <n v="2"/>
    <d v="2023-08-19T00:00:00"/>
    <d v="1899-12-30T10:45:21"/>
    <d v="2023-08-27T00:00:00"/>
    <d v="1899-12-30T00:23:56"/>
    <s v="Delhi"/>
    <x v="6"/>
    <x v="51"/>
    <s v="Veer Ray"/>
    <x v="1"/>
    <x v="36"/>
    <x v="2"/>
    <x v="6"/>
    <n v="1444"/>
    <x v="50"/>
    <n v="2021.6"/>
    <n v="866.40000000000009"/>
    <n v="0.30000000000000004"/>
    <n v="8"/>
    <x v="3"/>
    <n v="8"/>
    <s v="Q3"/>
    <n v="2023"/>
    <x v="5"/>
    <x v="1"/>
  </r>
  <r>
    <n v="531"/>
    <s v="C029"/>
    <n v="28"/>
    <n v="5"/>
    <d v="2023-08-29T00:00:00"/>
    <d v="1899-12-30T13:32:08"/>
    <d v="2023-09-07T00:00:00"/>
    <d v="1899-12-30T08:43:11"/>
    <s v="Dehradun"/>
    <x v="4"/>
    <x v="2"/>
    <s v="Badal Sathe"/>
    <x v="1"/>
    <x v="4"/>
    <x v="1"/>
    <x v="4"/>
    <n v="1778"/>
    <x v="213"/>
    <n v="6223"/>
    <n v="2667"/>
    <n v="0.3"/>
    <n v="9"/>
    <x v="3"/>
    <n v="8"/>
    <s v="Q3"/>
    <n v="2023"/>
    <x v="4"/>
    <x v="0"/>
  </r>
  <r>
    <n v="532"/>
    <s v="C036"/>
    <n v="30"/>
    <n v="5"/>
    <d v="2023-09-02T00:00:00"/>
    <d v="1899-12-30T13:25:06"/>
    <d v="2023-09-10T00:00:00"/>
    <d v="1899-12-30T02:55:07"/>
    <s v="Bharatpur"/>
    <x v="0"/>
    <x v="38"/>
    <s v="Biju Bajwa"/>
    <x v="1"/>
    <x v="19"/>
    <x v="2"/>
    <x v="0"/>
    <n v="751"/>
    <x v="246"/>
    <n v="2628.4999999999995"/>
    <n v="1126.5000000000005"/>
    <n v="0.3000000000000001"/>
    <n v="8"/>
    <x v="7"/>
    <n v="9"/>
    <s v="Q3"/>
    <n v="2023"/>
    <x v="6"/>
    <x v="1"/>
  </r>
  <r>
    <n v="533"/>
    <s v="C006"/>
    <n v="14"/>
    <n v="3"/>
    <d v="2023-04-18T00:00:00"/>
    <d v="1899-12-30T07:19:52"/>
    <d v="2023-04-20T00:00:00"/>
    <d v="1899-12-30T17:43:45"/>
    <s v="Raurkela Industrial Township"/>
    <x v="2"/>
    <x v="33"/>
    <s v="Rania Mann"/>
    <x v="1"/>
    <x v="2"/>
    <x v="2"/>
    <x v="2"/>
    <n v="1915"/>
    <x v="267"/>
    <n v="4021.5"/>
    <n v="1723.5"/>
    <n v="0.3"/>
    <n v="2"/>
    <x v="9"/>
    <n v="4"/>
    <s v="Q2"/>
    <n v="2023"/>
    <x v="2"/>
    <x v="0"/>
  </r>
  <r>
    <n v="534"/>
    <s v="C061"/>
    <n v="31"/>
    <n v="2"/>
    <d v="2023-11-27T00:00:00"/>
    <d v="1899-12-30T03:40:16"/>
    <d v="2023-12-04T00:00:00"/>
    <d v="1899-12-30T11:22:37"/>
    <s v="Naihati"/>
    <x v="6"/>
    <x v="11"/>
    <s v="Akarsh Ramesh"/>
    <x v="1"/>
    <x v="43"/>
    <x v="2"/>
    <x v="6"/>
    <n v="1804"/>
    <x v="100"/>
    <n v="2525.6"/>
    <n v="1082.4000000000001"/>
    <n v="0.30000000000000004"/>
    <n v="7"/>
    <x v="1"/>
    <n v="11"/>
    <s v="Q4"/>
    <n v="2023"/>
    <x v="3"/>
    <x v="1"/>
  </r>
  <r>
    <n v="535"/>
    <s v="C017"/>
    <n v="25"/>
    <n v="3"/>
    <d v="2023-07-08T00:00:00"/>
    <d v="1899-12-30T21:59:28"/>
    <d v="2023-07-11T00:00:00"/>
    <d v="1899-12-30T06:30:40"/>
    <s v="Saharsa"/>
    <x v="0"/>
    <x v="46"/>
    <s v="Advika Dhar"/>
    <x v="0"/>
    <x v="40"/>
    <x v="5"/>
    <x v="0"/>
    <n v="1202"/>
    <x v="79"/>
    <n v="2524.1999999999998"/>
    <n v="1081.8000000000002"/>
    <n v="0.30000000000000004"/>
    <n v="3"/>
    <x v="2"/>
    <n v="7"/>
    <s v="Q3"/>
    <n v="2023"/>
    <x v="4"/>
    <x v="1"/>
  </r>
  <r>
    <n v="536"/>
    <s v="C048"/>
    <n v="59"/>
    <n v="3"/>
    <d v="2023-08-25T00:00:00"/>
    <d v="1899-12-30T15:14:52"/>
    <d v="2023-08-30T00:00:00"/>
    <d v="1899-12-30T11:13:10"/>
    <s v="Kota"/>
    <x v="4"/>
    <x v="42"/>
    <s v="Aradhya Kale"/>
    <x v="0"/>
    <x v="58"/>
    <x v="3"/>
    <x v="4"/>
    <n v="811"/>
    <x v="93"/>
    <n v="1703.1"/>
    <n v="729.90000000000009"/>
    <n v="0.30000000000000004"/>
    <n v="5"/>
    <x v="3"/>
    <n v="8"/>
    <s v="Q3"/>
    <n v="2023"/>
    <x v="2"/>
    <x v="1"/>
  </r>
  <r>
    <n v="537"/>
    <s v="C064"/>
    <n v="42"/>
    <n v="3"/>
    <d v="2023-10-17T00:00:00"/>
    <d v="1899-12-30T06:19:24"/>
    <d v="2023-10-25T00:00:00"/>
    <d v="1899-12-30T03:09:08"/>
    <s v="Korba"/>
    <x v="6"/>
    <x v="24"/>
    <s v="Indrajit Kale"/>
    <x v="0"/>
    <x v="18"/>
    <x v="1"/>
    <x v="6"/>
    <n v="1744"/>
    <x v="21"/>
    <n v="3662.3999999999996"/>
    <n v="1569.6000000000004"/>
    <n v="0.30000000000000004"/>
    <n v="8"/>
    <x v="10"/>
    <n v="10"/>
    <s v="Q4"/>
    <n v="2023"/>
    <x v="0"/>
    <x v="0"/>
  </r>
  <r>
    <n v="538"/>
    <s v="C097"/>
    <n v="24"/>
    <n v="5"/>
    <d v="2023-05-18T00:00:00"/>
    <d v="1899-12-30T13:09:06"/>
    <d v="2023-05-19T00:00:00"/>
    <d v="1899-12-30T22:36:16"/>
    <s v="Ghaziabad"/>
    <x v="2"/>
    <x v="7"/>
    <s v="Nakul Randhawa"/>
    <x v="1"/>
    <x v="54"/>
    <x v="6"/>
    <x v="2"/>
    <n v="535"/>
    <x v="97"/>
    <n v="1872.5"/>
    <n v="802.5"/>
    <n v="0.3"/>
    <n v="1"/>
    <x v="4"/>
    <n v="5"/>
    <s v="Q2"/>
    <n v="2023"/>
    <x v="2"/>
    <x v="1"/>
  </r>
  <r>
    <n v="539"/>
    <s v="C056"/>
    <n v="20"/>
    <n v="3"/>
    <d v="2023-06-09T00:00:00"/>
    <d v="1899-12-30T15:39:18"/>
    <d v="2023-06-16T00:00:00"/>
    <d v="1899-12-30T14:17:05"/>
    <s v="Jehanabad"/>
    <x v="0"/>
    <x v="2"/>
    <s v="Pihu Choudhury"/>
    <x v="0"/>
    <x v="11"/>
    <x v="2"/>
    <x v="0"/>
    <n v="697"/>
    <x v="11"/>
    <n v="1463.6999999999998"/>
    <n v="627.30000000000018"/>
    <n v="0.3000000000000001"/>
    <n v="7"/>
    <x v="11"/>
    <n v="6"/>
    <s v="Q2"/>
    <n v="2023"/>
    <x v="6"/>
    <x v="1"/>
  </r>
  <r>
    <n v="540"/>
    <s v="C082"/>
    <n v="22"/>
    <n v="4"/>
    <d v="2023-09-06T00:00:00"/>
    <d v="1899-12-30T19:07:35"/>
    <d v="2023-09-09T00:00:00"/>
    <d v="1899-12-30T01:26:00"/>
    <s v="Morbi"/>
    <x v="6"/>
    <x v="59"/>
    <s v="Anya Chaudhari"/>
    <x v="1"/>
    <x v="34"/>
    <x v="4"/>
    <x v="6"/>
    <n v="1639"/>
    <x v="39"/>
    <n v="4589.2"/>
    <n v="1966.8000000000002"/>
    <n v="0.30000000000000004"/>
    <n v="3"/>
    <x v="7"/>
    <n v="9"/>
    <s v="Q3"/>
    <n v="2023"/>
    <x v="3"/>
    <x v="0"/>
  </r>
  <r>
    <n v="541"/>
    <s v="C007"/>
    <n v="24"/>
    <n v="3"/>
    <d v="2023-11-13T00:00:00"/>
    <d v="1899-12-30T05:51:09"/>
    <d v="2023-11-16T00:00:00"/>
    <d v="1899-12-30T22:56:34"/>
    <s v="Sasaram"/>
    <x v="2"/>
    <x v="70"/>
    <s v="Jayant Kamdar"/>
    <x v="0"/>
    <x v="54"/>
    <x v="6"/>
    <x v="2"/>
    <n v="535"/>
    <x v="43"/>
    <n v="1123.5"/>
    <n v="481.5"/>
    <n v="0.3"/>
    <n v="3"/>
    <x v="1"/>
    <n v="11"/>
    <s v="Q4"/>
    <n v="2023"/>
    <x v="3"/>
    <x v="2"/>
  </r>
  <r>
    <n v="542"/>
    <s v="C051"/>
    <n v="54"/>
    <n v="5"/>
    <d v="2023-07-07T00:00:00"/>
    <d v="1899-12-30T19:41:20"/>
    <d v="2023-07-12T00:00:00"/>
    <d v="1899-12-30T09:52:12"/>
    <s v="Satara"/>
    <x v="0"/>
    <x v="65"/>
    <s v="Aradhya Batta"/>
    <x v="1"/>
    <x v="30"/>
    <x v="3"/>
    <x v="0"/>
    <n v="1236"/>
    <x v="262"/>
    <n v="4326"/>
    <n v="1854"/>
    <n v="0.3"/>
    <n v="5"/>
    <x v="2"/>
    <n v="7"/>
    <s v="Q3"/>
    <n v="2023"/>
    <x v="1"/>
    <x v="0"/>
  </r>
  <r>
    <n v="543"/>
    <s v="C023"/>
    <n v="51"/>
    <n v="4"/>
    <d v="2023-02-12T00:00:00"/>
    <d v="1899-12-30T21:51:10"/>
    <d v="2023-02-17T00:00:00"/>
    <d v="1899-12-30T11:53:09"/>
    <s v="Saharanpur"/>
    <x v="6"/>
    <x v="18"/>
    <s v="Abram Sandhu"/>
    <x v="0"/>
    <x v="38"/>
    <x v="4"/>
    <x v="6"/>
    <n v="1084"/>
    <x v="243"/>
    <n v="3035.2"/>
    <n v="1300.8000000000002"/>
    <n v="0.30000000000000004"/>
    <n v="5"/>
    <x v="0"/>
    <n v="2"/>
    <s v="Q1"/>
    <n v="2023"/>
    <x v="5"/>
    <x v="1"/>
  </r>
  <r>
    <n v="544"/>
    <s v="C030"/>
    <n v="29"/>
    <n v="2"/>
    <d v="2023-03-01T00:00:00"/>
    <d v="1899-12-30T02:31:54"/>
    <d v="2023-03-11T00:00:00"/>
    <d v="1899-12-30T09:33:52"/>
    <s v="Belgaum"/>
    <x v="5"/>
    <x v="64"/>
    <s v="Vardaniya Contractor"/>
    <x v="0"/>
    <x v="66"/>
    <x v="2"/>
    <x v="5"/>
    <n v="1252"/>
    <x v="228"/>
    <n v="1752.8"/>
    <n v="751.2"/>
    <n v="0.30000000000000004"/>
    <n v="10"/>
    <x v="5"/>
    <n v="3"/>
    <s v="Q1"/>
    <n v="2023"/>
    <x v="4"/>
    <x v="1"/>
  </r>
  <r>
    <n v="545"/>
    <s v="C083"/>
    <n v="9"/>
    <n v="5"/>
    <d v="2023-08-20T00:00:00"/>
    <d v="1899-12-30T01:54:52"/>
    <d v="2023-08-26T00:00:00"/>
    <d v="1899-12-30T08:07:19"/>
    <s v="Ratlam"/>
    <x v="4"/>
    <x v="62"/>
    <s v="Aaryahi Sodhi"/>
    <x v="0"/>
    <x v="21"/>
    <x v="2"/>
    <x v="4"/>
    <n v="1605"/>
    <x v="44"/>
    <n v="5617.5"/>
    <n v="2407.5"/>
    <n v="0.3"/>
    <n v="6"/>
    <x v="3"/>
    <n v="8"/>
    <s v="Q3"/>
    <n v="2023"/>
    <x v="3"/>
    <x v="0"/>
  </r>
  <r>
    <n v="546"/>
    <s v="C064"/>
    <n v="25"/>
    <n v="3"/>
    <d v="2023-02-02T00:00:00"/>
    <d v="1899-12-30T22:04:53"/>
    <d v="2023-02-11T00:00:00"/>
    <d v="1899-12-30T10:00:07"/>
    <s v="Motihari"/>
    <x v="0"/>
    <x v="24"/>
    <s v="Indrajit Kale"/>
    <x v="0"/>
    <x v="40"/>
    <x v="5"/>
    <x v="0"/>
    <n v="1202"/>
    <x v="79"/>
    <n v="2524.1999999999998"/>
    <n v="1081.8000000000002"/>
    <n v="0.30000000000000004"/>
    <n v="9"/>
    <x v="0"/>
    <n v="2"/>
    <s v="Q1"/>
    <n v="2023"/>
    <x v="6"/>
    <x v="1"/>
  </r>
  <r>
    <n v="547"/>
    <s v="C088"/>
    <n v="30"/>
    <n v="5"/>
    <d v="2023-01-10T00:00:00"/>
    <d v="1899-12-30T02:30:12"/>
    <d v="2023-01-19T00:00:00"/>
    <d v="1899-12-30T13:56:41"/>
    <s v="Ahmedabad"/>
    <x v="0"/>
    <x v="23"/>
    <s v="Shalv Kulkarni"/>
    <x v="1"/>
    <x v="19"/>
    <x v="2"/>
    <x v="0"/>
    <n v="751"/>
    <x v="246"/>
    <n v="2628.4999999999995"/>
    <n v="1126.5000000000005"/>
    <n v="0.3000000000000001"/>
    <n v="9"/>
    <x v="8"/>
    <n v="1"/>
    <s v="Q1"/>
    <n v="2023"/>
    <x v="0"/>
    <x v="1"/>
  </r>
  <r>
    <n v="548"/>
    <s v="C012"/>
    <n v="25"/>
    <n v="2"/>
    <d v="2023-02-21T00:00:00"/>
    <d v="1899-12-30T12:32:50"/>
    <d v="2023-02-22T00:00:00"/>
    <d v="1899-12-30T19:47:44"/>
    <s v="Gorakhpur"/>
    <x v="0"/>
    <x v="3"/>
    <s v="Onkar Mangat"/>
    <x v="0"/>
    <x v="40"/>
    <x v="5"/>
    <x v="0"/>
    <n v="1202"/>
    <x v="268"/>
    <n v="1682.8"/>
    <n v="721.2"/>
    <n v="0.30000000000000004"/>
    <n v="1"/>
    <x v="0"/>
    <n v="2"/>
    <s v="Q1"/>
    <n v="2023"/>
    <x v="1"/>
    <x v="1"/>
  </r>
  <r>
    <n v="549"/>
    <s v="C021"/>
    <n v="64"/>
    <n v="1"/>
    <d v="2023-08-22T00:00:00"/>
    <d v="1899-12-30T19:29:43"/>
    <d v="2023-09-01T00:00:00"/>
    <d v="1899-12-30T02:29:10"/>
    <s v="Erode"/>
    <x v="4"/>
    <x v="85"/>
    <s v="Siya Talwar"/>
    <x v="0"/>
    <x v="61"/>
    <x v="4"/>
    <x v="4"/>
    <n v="1878"/>
    <x v="202"/>
    <n v="1314.6"/>
    <n v="563.40000000000009"/>
    <n v="0.30000000000000004"/>
    <n v="10"/>
    <x v="3"/>
    <n v="8"/>
    <s v="Q3"/>
    <n v="2023"/>
    <x v="4"/>
    <x v="2"/>
  </r>
  <r>
    <n v="550"/>
    <s v="C023"/>
    <n v="29"/>
    <n v="5"/>
    <d v="2023-02-27T00:00:00"/>
    <d v="1899-12-30T19:28:12"/>
    <d v="2023-03-05T00:00:00"/>
    <d v="1899-12-30T17:03:39"/>
    <s v="Bettiah"/>
    <x v="5"/>
    <x v="18"/>
    <s v="Abram Sandhu"/>
    <x v="0"/>
    <x v="66"/>
    <x v="2"/>
    <x v="5"/>
    <n v="1252"/>
    <x v="269"/>
    <n v="4382"/>
    <n v="1878"/>
    <n v="0.3"/>
    <n v="6"/>
    <x v="0"/>
    <n v="2"/>
    <s v="Q1"/>
    <n v="2023"/>
    <x v="3"/>
    <x v="0"/>
  </r>
  <r>
    <n v="551"/>
    <s v="C088"/>
    <n v="67"/>
    <n v="1"/>
    <d v="2023-04-19T00:00:00"/>
    <d v="1899-12-30T20:43:42"/>
    <d v="2023-04-23T00:00:00"/>
    <d v="1899-12-30T15:25:04"/>
    <s v="Kurnool"/>
    <x v="0"/>
    <x v="23"/>
    <s v="Shalv Kulkarni"/>
    <x v="1"/>
    <x v="0"/>
    <x v="0"/>
    <x v="0"/>
    <n v="1374"/>
    <x v="270"/>
    <n v="961.8"/>
    <n v="412.20000000000005"/>
    <n v="0.30000000000000004"/>
    <n v="4"/>
    <x v="9"/>
    <n v="4"/>
    <s v="Q2"/>
    <n v="2023"/>
    <x v="5"/>
    <x v="2"/>
  </r>
  <r>
    <n v="552"/>
    <s v="C064"/>
    <n v="31"/>
    <n v="3"/>
    <d v="2023-05-10T00:00:00"/>
    <d v="1899-12-30T18:59:31"/>
    <d v="2023-05-11T00:00:00"/>
    <d v="1899-12-30T17:09:07"/>
    <s v="Tezpur"/>
    <x v="6"/>
    <x v="24"/>
    <s v="Indrajit Kale"/>
    <x v="0"/>
    <x v="43"/>
    <x v="2"/>
    <x v="6"/>
    <n v="1804"/>
    <x v="61"/>
    <n v="3788.3999999999996"/>
    <n v="1623.6000000000004"/>
    <n v="0.30000000000000004"/>
    <n v="1"/>
    <x v="4"/>
    <n v="5"/>
    <s v="Q2"/>
    <n v="2023"/>
    <x v="0"/>
    <x v="0"/>
  </r>
  <r>
    <n v="553"/>
    <s v="C084"/>
    <n v="39"/>
    <n v="2"/>
    <d v="2023-08-22T00:00:00"/>
    <d v="1899-12-30T01:22:41"/>
    <d v="2023-08-26T00:00:00"/>
    <d v="1899-12-30T07:43:27"/>
    <s v="Alwar"/>
    <x v="6"/>
    <x v="68"/>
    <s v="Anahita Shankar"/>
    <x v="0"/>
    <x v="47"/>
    <x v="6"/>
    <x v="6"/>
    <n v="387"/>
    <x v="199"/>
    <n v="541.79999999999995"/>
    <n v="232.20000000000005"/>
    <n v="0.30000000000000004"/>
    <n v="4"/>
    <x v="3"/>
    <n v="8"/>
    <s v="Q3"/>
    <n v="2023"/>
    <x v="4"/>
    <x v="2"/>
  </r>
  <r>
    <n v="554"/>
    <s v="C045"/>
    <n v="29"/>
    <n v="4"/>
    <d v="2023-02-28T00:00:00"/>
    <d v="1899-12-30T20:25:07"/>
    <d v="2023-03-03T00:00:00"/>
    <d v="1899-12-30T16:49:01"/>
    <s v="Sangli-Miraj &amp; Kupwad"/>
    <x v="5"/>
    <x v="39"/>
    <s v="Divit Mahajan"/>
    <x v="1"/>
    <x v="66"/>
    <x v="2"/>
    <x v="5"/>
    <n v="1252"/>
    <x v="271"/>
    <n v="3505.6"/>
    <n v="1502.4"/>
    <n v="0.30000000000000004"/>
    <n v="3"/>
    <x v="0"/>
    <n v="2"/>
    <s v="Q1"/>
    <n v="2023"/>
    <x v="1"/>
    <x v="0"/>
  </r>
  <r>
    <n v="555"/>
    <s v="C100"/>
    <n v="56"/>
    <n v="4"/>
    <d v="2023-06-28T00:00:00"/>
    <d v="1899-12-30T12:05:43"/>
    <d v="2023-06-30T00:00:00"/>
    <d v="1899-12-30T17:58:12"/>
    <s v="Ratlam"/>
    <x v="0"/>
    <x v="56"/>
    <s v="Pranay Chaudhary"/>
    <x v="1"/>
    <x v="8"/>
    <x v="0"/>
    <x v="0"/>
    <n v="1272"/>
    <x v="272"/>
    <n v="3561.6"/>
    <n v="1526.4"/>
    <n v="0.30000000000000004"/>
    <n v="2"/>
    <x v="11"/>
    <n v="6"/>
    <s v="Q2"/>
    <n v="2023"/>
    <x v="1"/>
    <x v="0"/>
  </r>
  <r>
    <n v="556"/>
    <s v="C073"/>
    <n v="17"/>
    <n v="1"/>
    <d v="2023-12-13T00:00:00"/>
    <d v="1899-12-30T15:34:22"/>
    <d v="2023-12-21T00:00:00"/>
    <d v="1899-12-30T15:49:48"/>
    <s v="Cuttack"/>
    <x v="0"/>
    <x v="82"/>
    <s v="Zeeshan Tailor"/>
    <x v="0"/>
    <x v="25"/>
    <x v="4"/>
    <x v="0"/>
    <n v="1899"/>
    <x v="58"/>
    <n v="1329.3"/>
    <n v="569.70000000000005"/>
    <n v="0.30000000000000004"/>
    <n v="8"/>
    <x v="6"/>
    <n v="12"/>
    <s v="Q4"/>
    <n v="2023"/>
    <x v="3"/>
    <x v="2"/>
  </r>
  <r>
    <n v="557"/>
    <s v="C039"/>
    <n v="47"/>
    <n v="3"/>
    <d v="2023-03-01T00:00:00"/>
    <d v="1899-12-30T03:00:42"/>
    <d v="2023-03-08T00:00:00"/>
    <d v="1899-12-30T02:10:39"/>
    <s v="Kavali"/>
    <x v="5"/>
    <x v="57"/>
    <s v="Kaira Bahl"/>
    <x v="0"/>
    <x v="49"/>
    <x v="2"/>
    <x v="5"/>
    <n v="1638"/>
    <x v="130"/>
    <n v="3439.7999999999997"/>
    <n v="1474.2000000000003"/>
    <n v="0.30000000000000004"/>
    <n v="7"/>
    <x v="5"/>
    <n v="3"/>
    <s v="Q1"/>
    <n v="2023"/>
    <x v="4"/>
    <x v="1"/>
  </r>
  <r>
    <n v="558"/>
    <s v="C091"/>
    <n v="64"/>
    <n v="3"/>
    <d v="2023-08-22T00:00:00"/>
    <d v="1899-12-30T00:42:58"/>
    <d v="2023-08-25T00:00:00"/>
    <d v="1899-12-30T00:24:52"/>
    <s v="Muzaffarpur"/>
    <x v="4"/>
    <x v="21"/>
    <s v="Adira Rajan"/>
    <x v="1"/>
    <x v="61"/>
    <x v="4"/>
    <x v="4"/>
    <n v="1878"/>
    <x v="161"/>
    <n v="3943.7999999999997"/>
    <n v="1690.2000000000003"/>
    <n v="0.30000000000000004"/>
    <n v="3"/>
    <x v="3"/>
    <n v="8"/>
    <s v="Q3"/>
    <n v="2023"/>
    <x v="4"/>
    <x v="0"/>
  </r>
  <r>
    <n v="559"/>
    <s v="C084"/>
    <n v="45"/>
    <n v="1"/>
    <d v="2023-12-19T00:00:00"/>
    <d v="1899-12-30T16:37:11"/>
    <d v="2023-12-26T00:00:00"/>
    <d v="1899-12-30T18:35:43"/>
    <s v="Mau"/>
    <x v="2"/>
    <x v="68"/>
    <s v="Anahita Shankar"/>
    <x v="0"/>
    <x v="5"/>
    <x v="0"/>
    <x v="2"/>
    <n v="722"/>
    <x v="265"/>
    <n v="505.4"/>
    <n v="216.60000000000002"/>
    <n v="0.30000000000000004"/>
    <n v="7"/>
    <x v="6"/>
    <n v="12"/>
    <s v="Q4"/>
    <n v="2023"/>
    <x v="5"/>
    <x v="2"/>
  </r>
  <r>
    <n v="560"/>
    <s v="C019"/>
    <n v="39"/>
    <n v="2"/>
    <d v="2023-08-04T00:00:00"/>
    <d v="1899-12-30T12:52:20"/>
    <d v="2023-08-09T00:00:00"/>
    <d v="1899-12-30T09:50:53"/>
    <s v="Avadi"/>
    <x v="6"/>
    <x v="1"/>
    <s v="Amira Sengupta"/>
    <x v="0"/>
    <x v="47"/>
    <x v="6"/>
    <x v="6"/>
    <n v="387"/>
    <x v="199"/>
    <n v="541.79999999999995"/>
    <n v="232.20000000000005"/>
    <n v="0.30000000000000004"/>
    <n v="5"/>
    <x v="3"/>
    <n v="8"/>
    <s v="Q3"/>
    <n v="2023"/>
    <x v="2"/>
    <x v="2"/>
  </r>
  <r>
    <n v="561"/>
    <s v="C099"/>
    <n v="49"/>
    <n v="5"/>
    <d v="2023-02-12T00:00:00"/>
    <d v="1899-12-30T12:24:35"/>
    <d v="2023-02-21T00:00:00"/>
    <d v="1899-12-30T17:23:34"/>
    <s v="Ghaziabad"/>
    <x v="3"/>
    <x v="9"/>
    <s v="Ranbir Loyal"/>
    <x v="1"/>
    <x v="32"/>
    <x v="2"/>
    <x v="3"/>
    <n v="903"/>
    <x v="137"/>
    <n v="3160.4999999999995"/>
    <n v="1354.5000000000005"/>
    <n v="0.3000000000000001"/>
    <n v="9"/>
    <x v="0"/>
    <n v="2"/>
    <s v="Q1"/>
    <n v="2023"/>
    <x v="5"/>
    <x v="1"/>
  </r>
  <r>
    <n v="562"/>
    <s v="C066"/>
    <n v="24"/>
    <n v="4"/>
    <d v="2023-08-09T00:00:00"/>
    <d v="1899-12-30T09:18:20"/>
    <d v="2023-08-16T00:00:00"/>
    <d v="1899-12-30T01:34:07"/>
    <s v="Ranchi"/>
    <x v="2"/>
    <x v="30"/>
    <s v="Eshani Buch"/>
    <x v="1"/>
    <x v="54"/>
    <x v="6"/>
    <x v="2"/>
    <n v="535"/>
    <x v="76"/>
    <n v="1498"/>
    <n v="642"/>
    <n v="0.3"/>
    <n v="7"/>
    <x v="3"/>
    <n v="8"/>
    <s v="Q3"/>
    <n v="2023"/>
    <x v="6"/>
    <x v="1"/>
  </r>
  <r>
    <n v="563"/>
    <s v="C077"/>
    <n v="58"/>
    <n v="5"/>
    <d v="2023-02-11T00:00:00"/>
    <d v="1899-12-30T11:43:18"/>
    <d v="2023-02-19T00:00:00"/>
    <d v="1899-12-30T05:04:29"/>
    <s v="Jorhat"/>
    <x v="3"/>
    <x v="41"/>
    <s v="Gokul Ahluwalia"/>
    <x v="1"/>
    <x v="3"/>
    <x v="3"/>
    <x v="3"/>
    <n v="1492"/>
    <x v="46"/>
    <n v="5221.9999999999991"/>
    <n v="2238.0000000000009"/>
    <n v="0.3000000000000001"/>
    <n v="8"/>
    <x v="0"/>
    <n v="2"/>
    <s v="Q1"/>
    <n v="2023"/>
    <x v="2"/>
    <x v="0"/>
  </r>
  <r>
    <n v="564"/>
    <s v="C007"/>
    <n v="40"/>
    <n v="1"/>
    <d v="2023-04-07T00:00:00"/>
    <d v="1899-12-30T00:40:20"/>
    <d v="2023-04-15T00:00:00"/>
    <d v="1899-12-30T06:06:57"/>
    <s v="Gandhinagar"/>
    <x v="0"/>
    <x v="70"/>
    <s v="Jayant Kamdar"/>
    <x v="0"/>
    <x v="46"/>
    <x v="1"/>
    <x v="0"/>
    <n v="1923"/>
    <x v="273"/>
    <n v="1346.1"/>
    <n v="576.90000000000009"/>
    <n v="0.30000000000000004"/>
    <n v="8"/>
    <x v="9"/>
    <n v="4"/>
    <s v="Q2"/>
    <n v="2023"/>
    <x v="1"/>
    <x v="2"/>
  </r>
  <r>
    <n v="565"/>
    <s v="C011"/>
    <n v="50"/>
    <n v="3"/>
    <d v="2023-03-06T00:00:00"/>
    <d v="1899-12-30T17:28:16"/>
    <d v="2023-03-14T00:00:00"/>
    <d v="1899-12-30T13:12:47"/>
    <s v="Mehsana"/>
    <x v="5"/>
    <x v="16"/>
    <s v="Lagan Kapoor"/>
    <x v="1"/>
    <x v="56"/>
    <x v="5"/>
    <x v="5"/>
    <n v="422"/>
    <x v="173"/>
    <n v="886.19999999999993"/>
    <n v="379.80000000000007"/>
    <n v="0.30000000000000004"/>
    <n v="8"/>
    <x v="5"/>
    <n v="3"/>
    <s v="Q1"/>
    <n v="2023"/>
    <x v="3"/>
    <x v="2"/>
  </r>
  <r>
    <n v="566"/>
    <s v="C054"/>
    <n v="42"/>
    <n v="4"/>
    <d v="2023-05-12T00:00:00"/>
    <d v="1899-12-30T12:48:03"/>
    <d v="2023-05-14T00:00:00"/>
    <d v="1899-12-30T20:36:32"/>
    <s v="Patna"/>
    <x v="6"/>
    <x v="18"/>
    <s v="Umang Ahuja"/>
    <x v="1"/>
    <x v="18"/>
    <x v="1"/>
    <x v="6"/>
    <n v="1744"/>
    <x v="141"/>
    <n v="4883.2"/>
    <n v="2092.8000000000002"/>
    <n v="0.30000000000000004"/>
    <n v="2"/>
    <x v="4"/>
    <n v="5"/>
    <s v="Q2"/>
    <n v="2023"/>
    <x v="5"/>
    <x v="0"/>
  </r>
  <r>
    <n v="567"/>
    <s v="C090"/>
    <n v="66"/>
    <n v="1"/>
    <d v="2023-03-06T00:00:00"/>
    <d v="1899-12-30T06:11:59"/>
    <d v="2023-03-15T00:00:00"/>
    <d v="1899-12-30T18:57:04"/>
    <s v="Unnao"/>
    <x v="5"/>
    <x v="17"/>
    <s v="Drishya De"/>
    <x v="1"/>
    <x v="26"/>
    <x v="2"/>
    <x v="5"/>
    <n v="610"/>
    <x v="29"/>
    <n v="427"/>
    <n v="183"/>
    <n v="0.3"/>
    <n v="9"/>
    <x v="5"/>
    <n v="3"/>
    <s v="Q1"/>
    <n v="2023"/>
    <x v="3"/>
    <x v="2"/>
  </r>
  <r>
    <n v="568"/>
    <s v="C056"/>
    <n v="10"/>
    <n v="1"/>
    <d v="2023-06-29T00:00:00"/>
    <d v="1899-12-30T20:55:39"/>
    <d v="2023-07-08T00:00:00"/>
    <d v="1899-12-30T13:16:14"/>
    <s v="Bhubaneswar"/>
    <x v="2"/>
    <x v="2"/>
    <s v="Pihu Choudhury"/>
    <x v="0"/>
    <x v="22"/>
    <x v="3"/>
    <x v="2"/>
    <n v="259"/>
    <x v="42"/>
    <n v="181.29999999999998"/>
    <n v="77.700000000000017"/>
    <n v="0.30000000000000004"/>
    <n v="9"/>
    <x v="11"/>
    <n v="6"/>
    <s v="Q2"/>
    <n v="2023"/>
    <x v="4"/>
    <x v="2"/>
  </r>
  <r>
    <n v="569"/>
    <s v="C027"/>
    <n v="53"/>
    <n v="2"/>
    <d v="2023-08-28T00:00:00"/>
    <d v="1899-12-30T14:00:43"/>
    <d v="2023-09-04T00:00:00"/>
    <d v="1899-12-30T17:56:22"/>
    <s v="Purnia"/>
    <x v="4"/>
    <x v="72"/>
    <s v="Kashvi Sur"/>
    <x v="1"/>
    <x v="65"/>
    <x v="1"/>
    <x v="4"/>
    <n v="1672"/>
    <x v="238"/>
    <n v="2340.7999999999997"/>
    <n v="1003.2000000000003"/>
    <n v="0.3000000000000001"/>
    <n v="7"/>
    <x v="3"/>
    <n v="8"/>
    <s v="Q3"/>
    <n v="2023"/>
    <x v="1"/>
    <x v="1"/>
  </r>
  <r>
    <n v="570"/>
    <s v="C056"/>
    <n v="69"/>
    <n v="3"/>
    <d v="2023-02-28T00:00:00"/>
    <d v="1899-12-30T11:25:04"/>
    <d v="2023-03-09T00:00:00"/>
    <d v="1899-12-30T00:53:55"/>
    <s v="Satna"/>
    <x v="5"/>
    <x v="2"/>
    <s v="Pihu Choudhury"/>
    <x v="0"/>
    <x v="55"/>
    <x v="3"/>
    <x v="5"/>
    <n v="998"/>
    <x v="191"/>
    <n v="2095.7999999999997"/>
    <n v="898.20000000000027"/>
    <n v="0.3000000000000001"/>
    <n v="9"/>
    <x v="0"/>
    <n v="2"/>
    <s v="Q1"/>
    <n v="2023"/>
    <x v="1"/>
    <x v="1"/>
  </r>
  <r>
    <n v="571"/>
    <s v="C046"/>
    <n v="6"/>
    <n v="1"/>
    <d v="2023-02-28T00:00:00"/>
    <d v="1899-12-30T09:38:25"/>
    <d v="2023-03-09T00:00:00"/>
    <d v="1899-12-30T04:26:01"/>
    <s v="Bhatpara"/>
    <x v="5"/>
    <x v="32"/>
    <s v="Tara Kannan"/>
    <x v="0"/>
    <x v="20"/>
    <x v="3"/>
    <x v="5"/>
    <n v="1112"/>
    <x v="274"/>
    <n v="778.4"/>
    <n v="333.6"/>
    <n v="0.30000000000000004"/>
    <n v="9"/>
    <x v="0"/>
    <n v="2"/>
    <s v="Q1"/>
    <n v="2023"/>
    <x v="1"/>
    <x v="2"/>
  </r>
  <r>
    <n v="572"/>
    <s v="C060"/>
    <n v="25"/>
    <n v="5"/>
    <d v="2023-06-04T00:00:00"/>
    <d v="1899-12-30T15:48:37"/>
    <d v="2023-06-10T00:00:00"/>
    <d v="1899-12-30T10:11:48"/>
    <s v="Kamarhati"/>
    <x v="0"/>
    <x v="55"/>
    <s v="Riya Wagle"/>
    <x v="0"/>
    <x v="40"/>
    <x v="5"/>
    <x v="0"/>
    <n v="1202"/>
    <x v="275"/>
    <n v="4207"/>
    <n v="1803"/>
    <n v="0.3"/>
    <n v="6"/>
    <x v="11"/>
    <n v="6"/>
    <s v="Q2"/>
    <n v="2023"/>
    <x v="2"/>
    <x v="0"/>
  </r>
  <r>
    <n v="573"/>
    <s v="C040"/>
    <n v="3"/>
    <n v="5"/>
    <d v="2023-02-08T00:00:00"/>
    <d v="1899-12-30T02:52:06"/>
    <d v="2023-02-14T00:00:00"/>
    <d v="1899-12-30T02:57:06"/>
    <s v="Thane"/>
    <x v="3"/>
    <x v="5"/>
    <s v="Hazel Mangat"/>
    <x v="1"/>
    <x v="52"/>
    <x v="2"/>
    <x v="3"/>
    <n v="1534"/>
    <x v="72"/>
    <n v="5369"/>
    <n v="2301"/>
    <n v="0.3"/>
    <n v="6"/>
    <x v="0"/>
    <n v="2"/>
    <s v="Q1"/>
    <n v="2023"/>
    <x v="4"/>
    <x v="0"/>
  </r>
  <r>
    <n v="574"/>
    <s v="C064"/>
    <n v="29"/>
    <n v="3"/>
    <d v="2023-03-02T00:00:00"/>
    <d v="1899-12-30T23:57:06"/>
    <d v="2023-03-06T00:00:00"/>
    <d v="1899-12-30T21:45:12"/>
    <s v="Kozhikode"/>
    <x v="5"/>
    <x v="24"/>
    <s v="Indrajit Kale"/>
    <x v="0"/>
    <x v="66"/>
    <x v="2"/>
    <x v="5"/>
    <n v="1252"/>
    <x v="201"/>
    <n v="2629.2"/>
    <n v="1126.8000000000002"/>
    <n v="0.30000000000000004"/>
    <n v="4"/>
    <x v="5"/>
    <n v="3"/>
    <s v="Q1"/>
    <n v="2023"/>
    <x v="6"/>
    <x v="1"/>
  </r>
  <r>
    <n v="575"/>
    <s v="C076"/>
    <n v="49"/>
    <n v="2"/>
    <d v="2023-02-06T00:00:00"/>
    <d v="1899-12-30T13:24:32"/>
    <d v="2023-02-09T00:00:00"/>
    <d v="1899-12-30T14:55:08"/>
    <s v="Kota"/>
    <x v="3"/>
    <x v="78"/>
    <s v="Oorja Dayal"/>
    <x v="1"/>
    <x v="32"/>
    <x v="2"/>
    <x v="3"/>
    <n v="903"/>
    <x v="158"/>
    <n v="1264.1999999999998"/>
    <n v="541.80000000000018"/>
    <n v="0.3000000000000001"/>
    <n v="3"/>
    <x v="0"/>
    <n v="2"/>
    <s v="Q1"/>
    <n v="2023"/>
    <x v="3"/>
    <x v="2"/>
  </r>
  <r>
    <n v="576"/>
    <s v="C074"/>
    <n v="53"/>
    <n v="4"/>
    <d v="2023-08-20T00:00:00"/>
    <d v="1899-12-30T07:04:37"/>
    <d v="2023-08-26T00:00:00"/>
    <d v="1899-12-30T08:01:59"/>
    <s v="Aurangabad"/>
    <x v="4"/>
    <x v="43"/>
    <s v="Vanya Apte"/>
    <x v="1"/>
    <x v="65"/>
    <x v="1"/>
    <x v="4"/>
    <n v="1672"/>
    <x v="154"/>
    <n v="4681.5999999999995"/>
    <n v="2006.4000000000005"/>
    <n v="0.3000000000000001"/>
    <n v="6"/>
    <x v="3"/>
    <n v="8"/>
    <s v="Q3"/>
    <n v="2023"/>
    <x v="3"/>
    <x v="0"/>
  </r>
  <r>
    <n v="577"/>
    <s v="C008"/>
    <n v="20"/>
    <n v="4"/>
    <d v="2023-10-28T00:00:00"/>
    <d v="1899-12-30T14:51:26"/>
    <d v="2023-11-05T00:00:00"/>
    <d v="1899-12-30T18:50:45"/>
    <s v="Hazaribagh"/>
    <x v="0"/>
    <x v="51"/>
    <s v="Veer Ray"/>
    <x v="1"/>
    <x v="11"/>
    <x v="2"/>
    <x v="0"/>
    <n v="697"/>
    <x v="276"/>
    <n v="1951.6"/>
    <n v="836.40000000000009"/>
    <n v="0.30000000000000004"/>
    <n v="8"/>
    <x v="10"/>
    <n v="10"/>
    <s v="Q4"/>
    <n v="2023"/>
    <x v="1"/>
    <x v="1"/>
  </r>
  <r>
    <n v="578"/>
    <s v="C008"/>
    <n v="18"/>
    <n v="4"/>
    <d v="2023-07-31T00:00:00"/>
    <d v="1899-12-30T18:27:40"/>
    <d v="2023-08-06T00:00:00"/>
    <d v="1899-12-30T16:43:25"/>
    <s v="Warangal"/>
    <x v="2"/>
    <x v="51"/>
    <s v="Veer Ray"/>
    <x v="1"/>
    <x v="53"/>
    <x v="5"/>
    <x v="2"/>
    <n v="781"/>
    <x v="277"/>
    <n v="2186.7999999999997"/>
    <n v="937.20000000000027"/>
    <n v="0.3000000000000001"/>
    <n v="6"/>
    <x v="2"/>
    <n v="7"/>
    <s v="Q3"/>
    <n v="2023"/>
    <x v="0"/>
    <x v="1"/>
  </r>
  <r>
    <n v="579"/>
    <s v="C092"/>
    <n v="29"/>
    <n v="2"/>
    <d v="2023-03-07T00:00:00"/>
    <d v="1899-12-30T21:38:40"/>
    <d v="2023-03-14T00:00:00"/>
    <d v="1899-12-30T10:45:06"/>
    <s v="Maheshtala"/>
    <x v="5"/>
    <x v="38"/>
    <s v="Zoya Mani"/>
    <x v="0"/>
    <x v="66"/>
    <x v="2"/>
    <x v="5"/>
    <n v="1252"/>
    <x v="228"/>
    <n v="1752.8"/>
    <n v="751.2"/>
    <n v="0.30000000000000004"/>
    <n v="7"/>
    <x v="5"/>
    <n v="3"/>
    <s v="Q1"/>
    <n v="2023"/>
    <x v="1"/>
    <x v="1"/>
  </r>
  <r>
    <n v="580"/>
    <s v="C093"/>
    <n v="24"/>
    <n v="4"/>
    <d v="2023-06-16T00:00:00"/>
    <d v="1899-12-30T22:03:12"/>
    <d v="2023-06-20T00:00:00"/>
    <d v="1899-12-30T12:25:42"/>
    <s v="Bhatpara"/>
    <x v="2"/>
    <x v="74"/>
    <s v="Mamooty Bawa"/>
    <x v="0"/>
    <x v="54"/>
    <x v="6"/>
    <x v="2"/>
    <n v="535"/>
    <x v="76"/>
    <n v="1498"/>
    <n v="642"/>
    <n v="0.3"/>
    <n v="4"/>
    <x v="11"/>
    <n v="6"/>
    <s v="Q2"/>
    <n v="2023"/>
    <x v="6"/>
    <x v="1"/>
  </r>
  <r>
    <n v="581"/>
    <s v="C082"/>
    <n v="18"/>
    <n v="2"/>
    <d v="2023-07-02T00:00:00"/>
    <d v="1899-12-30T02:08:23"/>
    <d v="2023-07-11T00:00:00"/>
    <d v="1899-12-30T14:56:59"/>
    <s v="Anand"/>
    <x v="2"/>
    <x v="59"/>
    <s v="Anya Chaudhari"/>
    <x v="1"/>
    <x v="53"/>
    <x v="5"/>
    <x v="2"/>
    <n v="781"/>
    <x v="278"/>
    <n v="1093.3999999999999"/>
    <n v="468.60000000000014"/>
    <n v="0.3000000000000001"/>
    <n v="9"/>
    <x v="2"/>
    <n v="7"/>
    <s v="Q3"/>
    <n v="2023"/>
    <x v="6"/>
    <x v="2"/>
  </r>
  <r>
    <n v="582"/>
    <s v="C019"/>
    <n v="3"/>
    <n v="4"/>
    <d v="2023-02-04T00:00:00"/>
    <d v="1899-12-30T18:30:31"/>
    <d v="2023-02-05T00:00:00"/>
    <d v="1899-12-30T19:16:41"/>
    <s v="Latur"/>
    <x v="3"/>
    <x v="1"/>
    <s v="Amira Sengupta"/>
    <x v="0"/>
    <x v="52"/>
    <x v="2"/>
    <x v="3"/>
    <n v="1534"/>
    <x v="279"/>
    <n v="4295.2"/>
    <n v="1840.8000000000002"/>
    <n v="0.30000000000000004"/>
    <n v="1"/>
    <x v="0"/>
    <n v="2"/>
    <s v="Q1"/>
    <n v="2023"/>
    <x v="2"/>
    <x v="0"/>
  </r>
  <r>
    <n v="583"/>
    <s v="C025"/>
    <n v="56"/>
    <n v="4"/>
    <d v="2023-09-18T00:00:00"/>
    <d v="1899-12-30T16:47:25"/>
    <d v="2023-09-22T00:00:00"/>
    <d v="1899-12-30T19:58:33"/>
    <s v="Hosur"/>
    <x v="0"/>
    <x v="84"/>
    <s v="Ira Bava"/>
    <x v="1"/>
    <x v="8"/>
    <x v="0"/>
    <x v="0"/>
    <n v="1272"/>
    <x v="272"/>
    <n v="3561.6"/>
    <n v="1526.4"/>
    <n v="0.30000000000000004"/>
    <n v="4"/>
    <x v="7"/>
    <n v="9"/>
    <s v="Q3"/>
    <n v="2023"/>
    <x v="2"/>
    <x v="0"/>
  </r>
  <r>
    <n v="584"/>
    <s v="C089"/>
    <n v="34"/>
    <n v="2"/>
    <d v="2023-08-23T00:00:00"/>
    <d v="1899-12-30T07:39:30"/>
    <d v="2023-08-27T00:00:00"/>
    <d v="1899-12-30T16:10:28"/>
    <s v="Eluru"/>
    <x v="4"/>
    <x v="76"/>
    <s v="Oorja Dey"/>
    <x v="1"/>
    <x v="41"/>
    <x v="4"/>
    <x v="4"/>
    <n v="1335"/>
    <x v="189"/>
    <n v="1868.9999999999998"/>
    <n v="801.00000000000023"/>
    <n v="0.3000000000000001"/>
    <n v="4"/>
    <x v="3"/>
    <n v="8"/>
    <s v="Q3"/>
    <n v="2023"/>
    <x v="6"/>
    <x v="1"/>
  </r>
  <r>
    <n v="585"/>
    <s v="C013"/>
    <n v="63"/>
    <n v="5"/>
    <d v="2023-04-26T00:00:00"/>
    <d v="1899-12-30T18:32:41"/>
    <d v="2023-05-01T00:00:00"/>
    <d v="1899-12-30T01:52:06"/>
    <s v="Bhubaneswar"/>
    <x v="6"/>
    <x v="14"/>
    <s v="Manikya Goswami"/>
    <x v="1"/>
    <x v="67"/>
    <x v="1"/>
    <x v="6"/>
    <n v="1348"/>
    <x v="280"/>
    <n v="4718"/>
    <n v="2022"/>
    <n v="0.3"/>
    <n v="5"/>
    <x v="9"/>
    <n v="4"/>
    <s v="Q2"/>
    <n v="2023"/>
    <x v="5"/>
    <x v="0"/>
  </r>
  <r>
    <n v="586"/>
    <s v="C068"/>
    <n v="64"/>
    <n v="5"/>
    <d v="2023-08-27T00:00:00"/>
    <d v="1899-12-30T21:04:38"/>
    <d v="2023-09-04T00:00:00"/>
    <d v="1899-12-30T16:30:39"/>
    <s v="Bilaspur"/>
    <x v="4"/>
    <x v="34"/>
    <s v="Ritvik Garde"/>
    <x v="0"/>
    <x v="61"/>
    <x v="4"/>
    <x v="4"/>
    <n v="1878"/>
    <x v="140"/>
    <n v="6573"/>
    <n v="2817"/>
    <n v="0.3"/>
    <n v="8"/>
    <x v="3"/>
    <n v="8"/>
    <s v="Q3"/>
    <n v="2023"/>
    <x v="3"/>
    <x v="0"/>
  </r>
  <r>
    <n v="587"/>
    <s v="C018"/>
    <n v="43"/>
    <n v="1"/>
    <d v="2023-11-02T00:00:00"/>
    <d v="1899-12-30T00:51:24"/>
    <d v="2023-11-03T00:00:00"/>
    <d v="1899-12-30T10:41:06"/>
    <s v="Panchkula"/>
    <x v="1"/>
    <x v="20"/>
    <s v="Eva Vaidya"/>
    <x v="0"/>
    <x v="6"/>
    <x v="0"/>
    <x v="1"/>
    <n v="750"/>
    <x v="19"/>
    <n v="525"/>
    <n v="225"/>
    <n v="0.3"/>
    <n v="1"/>
    <x v="1"/>
    <n v="11"/>
    <s v="Q4"/>
    <n v="2023"/>
    <x v="6"/>
    <x v="2"/>
  </r>
  <r>
    <n v="588"/>
    <s v="C056"/>
    <n v="49"/>
    <n v="5"/>
    <d v="2023-02-04T00:00:00"/>
    <d v="1899-12-30T06:37:00"/>
    <d v="2023-02-05T00:00:00"/>
    <d v="1899-12-30T21:21:57"/>
    <s v="Kishanganj"/>
    <x v="3"/>
    <x v="2"/>
    <s v="Pihu Choudhury"/>
    <x v="0"/>
    <x v="32"/>
    <x v="2"/>
    <x v="3"/>
    <n v="903"/>
    <x v="137"/>
    <n v="3160.4999999999995"/>
    <n v="1354.5000000000005"/>
    <n v="0.3000000000000001"/>
    <n v="1"/>
    <x v="0"/>
    <n v="2"/>
    <s v="Q1"/>
    <n v="2023"/>
    <x v="2"/>
    <x v="1"/>
  </r>
  <r>
    <n v="589"/>
    <s v="C093"/>
    <n v="40"/>
    <n v="3"/>
    <d v="2023-12-09T00:00:00"/>
    <d v="1899-12-30T21:23:17"/>
    <d v="2023-12-19T00:00:00"/>
    <d v="1899-12-30T01:21:34"/>
    <s v="Lucknow"/>
    <x v="0"/>
    <x v="74"/>
    <s v="Mamooty Bawa"/>
    <x v="0"/>
    <x v="46"/>
    <x v="1"/>
    <x v="0"/>
    <n v="1923"/>
    <x v="281"/>
    <n v="4038.2999999999997"/>
    <n v="1730.7000000000003"/>
    <n v="0.30000000000000004"/>
    <n v="10"/>
    <x v="6"/>
    <n v="12"/>
    <s v="Q4"/>
    <n v="2023"/>
    <x v="6"/>
    <x v="0"/>
  </r>
  <r>
    <n v="590"/>
    <s v="C006"/>
    <n v="23"/>
    <n v="2"/>
    <d v="2023-01-19T00:00:00"/>
    <d v="1899-12-30T21:36:21"/>
    <d v="2023-01-23T00:00:00"/>
    <d v="1899-12-30T05:53:50"/>
    <s v="Durg"/>
    <x v="0"/>
    <x v="33"/>
    <s v="Rania Mann"/>
    <x v="1"/>
    <x v="13"/>
    <x v="1"/>
    <x v="0"/>
    <n v="1098"/>
    <x v="109"/>
    <n v="1537.1999999999998"/>
    <n v="658.80000000000018"/>
    <n v="0.3000000000000001"/>
    <n v="4"/>
    <x v="8"/>
    <n v="1"/>
    <s v="Q1"/>
    <n v="2023"/>
    <x v="5"/>
    <x v="1"/>
  </r>
  <r>
    <n v="591"/>
    <s v="C002"/>
    <n v="31"/>
    <n v="3"/>
    <d v="2023-07-06T00:00:00"/>
    <d v="1899-12-30T12:56:00"/>
    <d v="2023-07-14T00:00:00"/>
    <d v="1899-12-30T00:00:51"/>
    <s v="Surat"/>
    <x v="6"/>
    <x v="83"/>
    <s v="Myra Edwin"/>
    <x v="1"/>
    <x v="43"/>
    <x v="2"/>
    <x v="6"/>
    <n v="1804"/>
    <x v="61"/>
    <n v="3788.3999999999996"/>
    <n v="1623.6000000000004"/>
    <n v="0.30000000000000004"/>
    <n v="8"/>
    <x v="2"/>
    <n v="7"/>
    <s v="Q3"/>
    <n v="2023"/>
    <x v="3"/>
    <x v="0"/>
  </r>
  <r>
    <n v="592"/>
    <s v="C007"/>
    <n v="47"/>
    <n v="5"/>
    <d v="2023-03-07T00:00:00"/>
    <d v="1899-12-30T03:27:03"/>
    <d v="2023-03-11T00:00:00"/>
    <d v="1899-12-30T21:41:23"/>
    <s v="Phusro"/>
    <x v="5"/>
    <x v="70"/>
    <s v="Jayant Kamdar"/>
    <x v="0"/>
    <x v="49"/>
    <x v="2"/>
    <x v="5"/>
    <n v="1638"/>
    <x v="221"/>
    <n v="5733"/>
    <n v="2457"/>
    <n v="0.3"/>
    <n v="4"/>
    <x v="5"/>
    <n v="3"/>
    <s v="Q1"/>
    <n v="2023"/>
    <x v="1"/>
    <x v="0"/>
  </r>
  <r>
    <n v="593"/>
    <s v="C016"/>
    <n v="58"/>
    <n v="3"/>
    <d v="2023-02-05T00:00:00"/>
    <d v="1899-12-30T17:30:40"/>
    <d v="2023-02-12T00:00:00"/>
    <d v="1899-12-30T09:34:03"/>
    <s v="Bhilai"/>
    <x v="3"/>
    <x v="73"/>
    <s v="Amani Ganesh"/>
    <x v="0"/>
    <x v="3"/>
    <x v="3"/>
    <x v="3"/>
    <n v="1492"/>
    <x v="123"/>
    <n v="3133.2"/>
    <n v="1342.8000000000002"/>
    <n v="0.30000000000000004"/>
    <n v="7"/>
    <x v="0"/>
    <n v="2"/>
    <s v="Q1"/>
    <n v="2023"/>
    <x v="5"/>
    <x v="1"/>
  </r>
  <r>
    <n v="594"/>
    <s v="C060"/>
    <n v="20"/>
    <n v="2"/>
    <d v="2023-05-26T00:00:00"/>
    <d v="1899-12-30T21:26:03"/>
    <d v="2023-06-01T00:00:00"/>
    <d v="1899-12-30T04:59:28"/>
    <s v="Varanasi"/>
    <x v="0"/>
    <x v="55"/>
    <s v="Riya Wagle"/>
    <x v="0"/>
    <x v="11"/>
    <x v="2"/>
    <x v="0"/>
    <n v="697"/>
    <x v="169"/>
    <n v="975.8"/>
    <n v="418.20000000000005"/>
    <n v="0.30000000000000004"/>
    <n v="6"/>
    <x v="4"/>
    <n v="5"/>
    <s v="Q2"/>
    <n v="2023"/>
    <x v="5"/>
    <x v="2"/>
  </r>
  <r>
    <n v="595"/>
    <s v="C022"/>
    <n v="51"/>
    <n v="4"/>
    <d v="2023-11-08T00:00:00"/>
    <d v="1899-12-30T13:49:19"/>
    <d v="2023-11-15T00:00:00"/>
    <d v="1899-12-30T04:06:31"/>
    <s v="Dhanbad"/>
    <x v="6"/>
    <x v="67"/>
    <s v="Ivana Rout"/>
    <x v="0"/>
    <x v="38"/>
    <x v="4"/>
    <x v="6"/>
    <n v="1084"/>
    <x v="243"/>
    <n v="3035.2"/>
    <n v="1300.8000000000002"/>
    <n v="0.30000000000000004"/>
    <n v="7"/>
    <x v="1"/>
    <n v="11"/>
    <s v="Q4"/>
    <n v="2023"/>
    <x v="4"/>
    <x v="1"/>
  </r>
  <r>
    <n v="596"/>
    <s v="C046"/>
    <n v="50"/>
    <n v="1"/>
    <d v="2023-03-05T00:00:00"/>
    <d v="1899-12-30T14:57:41"/>
    <d v="2023-03-14T00:00:00"/>
    <d v="1899-12-30T17:58:44"/>
    <s v="Tiruppur"/>
    <x v="5"/>
    <x v="32"/>
    <s v="Tara Kannan"/>
    <x v="0"/>
    <x v="56"/>
    <x v="5"/>
    <x v="5"/>
    <n v="422"/>
    <x v="214"/>
    <n v="295.39999999999998"/>
    <n v="126.60000000000002"/>
    <n v="0.30000000000000004"/>
    <n v="9"/>
    <x v="5"/>
    <n v="3"/>
    <s v="Q1"/>
    <n v="2023"/>
    <x v="5"/>
    <x v="2"/>
  </r>
  <r>
    <n v="597"/>
    <s v="C074"/>
    <n v="16"/>
    <n v="1"/>
    <d v="2023-03-01T00:00:00"/>
    <d v="1899-12-30T01:05:53"/>
    <d v="2023-03-06T00:00:00"/>
    <d v="1899-12-30T02:49:44"/>
    <s v="Pimpri-Chinchwad"/>
    <x v="5"/>
    <x v="43"/>
    <s v="Vanya Apte"/>
    <x v="1"/>
    <x v="9"/>
    <x v="1"/>
    <x v="5"/>
    <n v="1721"/>
    <x v="248"/>
    <n v="1204.6999999999998"/>
    <n v="516.30000000000018"/>
    <n v="0.3000000000000001"/>
    <n v="5"/>
    <x v="5"/>
    <n v="3"/>
    <s v="Q1"/>
    <n v="2023"/>
    <x v="4"/>
    <x v="2"/>
  </r>
  <r>
    <n v="598"/>
    <s v="C054"/>
    <n v="37"/>
    <n v="3"/>
    <d v="2023-11-11T00:00:00"/>
    <d v="1899-12-30T02:51:23"/>
    <d v="2023-11-18T00:00:00"/>
    <d v="1899-12-30T21:53:27"/>
    <s v="Ratlam"/>
    <x v="1"/>
    <x v="18"/>
    <s v="Umang Ahuja"/>
    <x v="1"/>
    <x v="28"/>
    <x v="2"/>
    <x v="1"/>
    <n v="1428"/>
    <x v="31"/>
    <n v="2998.7999999999997"/>
    <n v="1285.2000000000003"/>
    <n v="0.30000000000000004"/>
    <n v="7"/>
    <x v="1"/>
    <n v="11"/>
    <s v="Q4"/>
    <n v="2023"/>
    <x v="2"/>
    <x v="1"/>
  </r>
  <r>
    <n v="599"/>
    <s v="C004"/>
    <n v="34"/>
    <n v="1"/>
    <d v="2023-08-21T00:00:00"/>
    <d v="1899-12-30T19:32:24"/>
    <d v="2023-08-24T00:00:00"/>
    <d v="1899-12-30T12:13:52"/>
    <s v="Naihati"/>
    <x v="4"/>
    <x v="75"/>
    <s v="Tarini Bava"/>
    <x v="0"/>
    <x v="41"/>
    <x v="4"/>
    <x v="4"/>
    <n v="1335"/>
    <x v="159"/>
    <n v="934.49999999999989"/>
    <n v="400.50000000000011"/>
    <n v="0.3000000000000001"/>
    <n v="3"/>
    <x v="3"/>
    <n v="8"/>
    <s v="Q3"/>
    <n v="2023"/>
    <x v="1"/>
    <x v="2"/>
  </r>
  <r>
    <n v="600"/>
    <s v="C095"/>
    <n v="47"/>
    <n v="4"/>
    <d v="2023-03-07T00:00:00"/>
    <d v="1899-12-30T21:24:39"/>
    <d v="2023-03-09T00:00:00"/>
    <d v="1899-12-30T15:17:19"/>
    <s v="Shimla"/>
    <x v="5"/>
    <x v="40"/>
    <s v="Mahika Cherian"/>
    <x v="1"/>
    <x v="49"/>
    <x v="2"/>
    <x v="5"/>
    <n v="1638"/>
    <x v="219"/>
    <n v="4586.3999999999996"/>
    <n v="1965.6000000000004"/>
    <n v="0.30000000000000004"/>
    <n v="2"/>
    <x v="5"/>
    <n v="3"/>
    <s v="Q1"/>
    <n v="2023"/>
    <x v="1"/>
    <x v="0"/>
  </r>
  <r>
    <n v="601"/>
    <s v="C030"/>
    <n v="1"/>
    <n v="4"/>
    <d v="2023-03-14T00:00:00"/>
    <d v="1899-12-30T02:37:47"/>
    <d v="2023-03-18T00:00:00"/>
    <d v="1899-12-30T03:37:12"/>
    <s v="Raurkela Industrial Township"/>
    <x v="6"/>
    <x v="64"/>
    <s v="Vardaniya Contractor"/>
    <x v="0"/>
    <x v="48"/>
    <x v="4"/>
    <x v="6"/>
    <n v="1935"/>
    <x v="193"/>
    <n v="5418"/>
    <n v="2322"/>
    <n v="0.3"/>
    <n v="4"/>
    <x v="5"/>
    <n v="3"/>
    <s v="Q1"/>
    <n v="2023"/>
    <x v="1"/>
    <x v="0"/>
  </r>
  <r>
    <n v="602"/>
    <s v="C042"/>
    <n v="43"/>
    <n v="5"/>
    <d v="2023-11-02T00:00:00"/>
    <d v="1899-12-30T10:17:25"/>
    <d v="2023-11-11T00:00:00"/>
    <d v="1899-12-30T06:02:00"/>
    <s v="Buxar"/>
    <x v="1"/>
    <x v="12"/>
    <s v="Eshani Sharma"/>
    <x v="0"/>
    <x v="6"/>
    <x v="0"/>
    <x v="1"/>
    <n v="750"/>
    <x v="104"/>
    <n v="2625"/>
    <n v="1125"/>
    <n v="0.3"/>
    <n v="9"/>
    <x v="1"/>
    <n v="11"/>
    <s v="Q4"/>
    <n v="2023"/>
    <x v="6"/>
    <x v="1"/>
  </r>
  <r>
    <n v="603"/>
    <s v="C079"/>
    <n v="8"/>
    <n v="3"/>
    <d v="2023-05-29T00:00:00"/>
    <d v="1899-12-30T05:23:57"/>
    <d v="2023-06-07T00:00:00"/>
    <d v="1899-12-30T15:14:45"/>
    <s v="Tiruvottiyur"/>
    <x v="0"/>
    <x v="79"/>
    <s v="Vedika Sankaran"/>
    <x v="1"/>
    <x v="24"/>
    <x v="1"/>
    <x v="0"/>
    <n v="252"/>
    <x v="27"/>
    <n v="529.19999999999993"/>
    <n v="226.80000000000007"/>
    <n v="0.3000000000000001"/>
    <n v="9"/>
    <x v="4"/>
    <n v="5"/>
    <s v="Q2"/>
    <n v="2023"/>
    <x v="4"/>
    <x v="2"/>
  </r>
  <r>
    <n v="604"/>
    <s v="C069"/>
    <n v="39"/>
    <n v="3"/>
    <d v="2023-01-31T00:00:00"/>
    <d v="1899-12-30T19:54:56"/>
    <d v="2023-02-03T00:00:00"/>
    <d v="1899-12-30T21:24:38"/>
    <s v="Tadipatri"/>
    <x v="6"/>
    <x v="13"/>
    <s v="Hunar Tripathi"/>
    <x v="1"/>
    <x v="47"/>
    <x v="6"/>
    <x v="6"/>
    <n v="387"/>
    <x v="282"/>
    <n v="812.69999999999993"/>
    <n v="348.30000000000007"/>
    <n v="0.30000000000000004"/>
    <n v="3"/>
    <x v="8"/>
    <n v="1"/>
    <s v="Q1"/>
    <n v="2023"/>
    <x v="0"/>
    <x v="2"/>
  </r>
  <r>
    <n v="605"/>
    <s v="C068"/>
    <n v="45"/>
    <n v="2"/>
    <d v="2023-12-21T00:00:00"/>
    <d v="1899-12-30T22:21:06"/>
    <d v="2023-12-25T00:00:00"/>
    <d v="1899-12-30T20:49:33"/>
    <s v="Kakinada"/>
    <x v="2"/>
    <x v="34"/>
    <s v="Ritvik Garde"/>
    <x v="0"/>
    <x v="5"/>
    <x v="0"/>
    <x v="2"/>
    <n v="722"/>
    <x v="5"/>
    <n v="1010.8"/>
    <n v="433.20000000000005"/>
    <n v="0.30000000000000004"/>
    <n v="4"/>
    <x v="6"/>
    <n v="12"/>
    <s v="Q4"/>
    <n v="2023"/>
    <x v="1"/>
    <x v="2"/>
  </r>
  <r>
    <n v="606"/>
    <s v="C047"/>
    <n v="3"/>
    <n v="5"/>
    <d v="2023-02-08T00:00:00"/>
    <d v="1899-12-30T02:13:13"/>
    <d v="2023-02-17T00:00:00"/>
    <d v="1899-12-30T07:31:32"/>
    <s v="Sambalpur"/>
    <x v="3"/>
    <x v="25"/>
    <s v="Bhamini Ravi"/>
    <x v="0"/>
    <x v="52"/>
    <x v="2"/>
    <x v="3"/>
    <n v="1534"/>
    <x v="72"/>
    <n v="5369"/>
    <n v="2301"/>
    <n v="0.3"/>
    <n v="9"/>
    <x v="0"/>
    <n v="2"/>
    <s v="Q1"/>
    <n v="2023"/>
    <x v="4"/>
    <x v="0"/>
  </r>
  <r>
    <n v="607"/>
    <s v="C028"/>
    <n v="50"/>
    <n v="3"/>
    <d v="2023-03-03T00:00:00"/>
    <d v="1899-12-30T01:50:25"/>
    <d v="2023-03-05T00:00:00"/>
    <d v="1899-12-30T09:52:56"/>
    <s v="Bidhannagar"/>
    <x v="5"/>
    <x v="48"/>
    <s v="Hridaan Rajagopalan"/>
    <x v="1"/>
    <x v="56"/>
    <x v="5"/>
    <x v="5"/>
    <n v="422"/>
    <x v="173"/>
    <n v="886.19999999999993"/>
    <n v="379.80000000000007"/>
    <n v="0.30000000000000004"/>
    <n v="2"/>
    <x v="5"/>
    <n v="3"/>
    <s v="Q1"/>
    <n v="2023"/>
    <x v="0"/>
    <x v="2"/>
  </r>
  <r>
    <n v="608"/>
    <s v="C030"/>
    <n v="55"/>
    <n v="5"/>
    <d v="2023-08-28T00:00:00"/>
    <d v="1899-12-30T20:30:15"/>
    <d v="2023-09-01T00:00:00"/>
    <d v="1899-12-30T07:14:20"/>
    <s v="Etawah"/>
    <x v="4"/>
    <x v="64"/>
    <s v="Vardaniya Contractor"/>
    <x v="0"/>
    <x v="60"/>
    <x v="4"/>
    <x v="4"/>
    <n v="1904"/>
    <x v="251"/>
    <n v="6664"/>
    <n v="2856"/>
    <n v="0.3"/>
    <n v="4"/>
    <x v="3"/>
    <n v="8"/>
    <s v="Q3"/>
    <n v="2023"/>
    <x v="1"/>
    <x v="0"/>
  </r>
  <r>
    <n v="609"/>
    <s v="C024"/>
    <n v="25"/>
    <n v="5"/>
    <d v="2023-10-27T00:00:00"/>
    <d v="1899-12-30T11:08:56"/>
    <d v="2023-10-28T00:00:00"/>
    <d v="1899-12-30T23:46:55"/>
    <s v="Hazaribagh"/>
    <x v="0"/>
    <x v="11"/>
    <s v="Jhanvi Chowdhury"/>
    <x v="1"/>
    <x v="40"/>
    <x v="5"/>
    <x v="0"/>
    <n v="1202"/>
    <x v="275"/>
    <n v="4207"/>
    <n v="1803"/>
    <n v="0.3"/>
    <n v="1"/>
    <x v="10"/>
    <n v="10"/>
    <s v="Q4"/>
    <n v="2023"/>
    <x v="3"/>
    <x v="0"/>
  </r>
  <r>
    <n v="610"/>
    <s v="C068"/>
    <n v="5"/>
    <n v="3"/>
    <d v="2023-01-03T00:00:00"/>
    <d v="1899-12-30T17:25:41"/>
    <d v="2023-01-05T00:00:00"/>
    <d v="1899-12-30T00:11:36"/>
    <s v="Sirsa"/>
    <x v="6"/>
    <x v="34"/>
    <s v="Ritvik Garde"/>
    <x v="0"/>
    <x v="36"/>
    <x v="2"/>
    <x v="6"/>
    <n v="1444"/>
    <x v="114"/>
    <n v="3032.3999999999996"/>
    <n v="1299.6000000000004"/>
    <n v="0.3000000000000001"/>
    <n v="2"/>
    <x v="8"/>
    <n v="1"/>
    <s v="Q1"/>
    <n v="2023"/>
    <x v="0"/>
    <x v="1"/>
  </r>
  <r>
    <n v="611"/>
    <s v="C056"/>
    <n v="28"/>
    <n v="2"/>
    <d v="2023-08-22T00:00:00"/>
    <d v="1899-12-30T21:17:50"/>
    <d v="2023-08-28T00:00:00"/>
    <d v="1899-12-30T03:27:30"/>
    <s v="Latur"/>
    <x v="4"/>
    <x v="2"/>
    <s v="Pihu Choudhury"/>
    <x v="0"/>
    <x v="4"/>
    <x v="1"/>
    <x v="4"/>
    <n v="1778"/>
    <x v="283"/>
    <n v="2489.1999999999998"/>
    <n v="1066.8000000000002"/>
    <n v="0.30000000000000004"/>
    <n v="6"/>
    <x v="3"/>
    <n v="8"/>
    <s v="Q3"/>
    <n v="2023"/>
    <x v="4"/>
    <x v="1"/>
  </r>
  <r>
    <n v="612"/>
    <s v="C075"/>
    <n v="26"/>
    <n v="1"/>
    <d v="2023-03-02T00:00:00"/>
    <d v="1899-12-30T10:22:25"/>
    <d v="2023-03-08T00:00:00"/>
    <d v="1899-12-30T12:39:50"/>
    <s v="Shivpuri"/>
    <x v="5"/>
    <x v="60"/>
    <s v="Yashvi Bansal"/>
    <x v="1"/>
    <x v="42"/>
    <x v="2"/>
    <x v="5"/>
    <n v="289"/>
    <x v="60"/>
    <n v="202.29999999999998"/>
    <n v="86.700000000000017"/>
    <n v="0.30000000000000004"/>
    <n v="6"/>
    <x v="5"/>
    <n v="3"/>
    <s v="Q1"/>
    <n v="2023"/>
    <x v="6"/>
    <x v="2"/>
  </r>
  <r>
    <n v="613"/>
    <s v="C063"/>
    <n v="4"/>
    <n v="5"/>
    <d v="2023-11-10T00:00:00"/>
    <d v="1899-12-30T17:54:34"/>
    <d v="2023-11-14T00:00:00"/>
    <d v="1899-12-30T19:18:27"/>
    <s v="Gwalior"/>
    <x v="1"/>
    <x v="22"/>
    <s v="Arhaan Ahluwalia"/>
    <x v="0"/>
    <x v="44"/>
    <x v="1"/>
    <x v="1"/>
    <n v="1199"/>
    <x v="178"/>
    <n v="4196.5"/>
    <n v="1798.5"/>
    <n v="0.3"/>
    <n v="4"/>
    <x v="1"/>
    <n v="11"/>
    <s v="Q4"/>
    <n v="2023"/>
    <x v="0"/>
    <x v="0"/>
  </r>
  <r>
    <n v="614"/>
    <s v="C089"/>
    <n v="26"/>
    <n v="1"/>
    <d v="2023-03-03T00:00:00"/>
    <d v="1899-12-30T15:36:13"/>
    <d v="2023-03-07T00:00:00"/>
    <d v="1899-12-30T18:51:41"/>
    <s v="Aizawl"/>
    <x v="5"/>
    <x v="76"/>
    <s v="Oorja Dey"/>
    <x v="1"/>
    <x v="42"/>
    <x v="2"/>
    <x v="5"/>
    <n v="289"/>
    <x v="60"/>
    <n v="202.29999999999998"/>
    <n v="86.700000000000017"/>
    <n v="0.30000000000000004"/>
    <n v="4"/>
    <x v="5"/>
    <n v="3"/>
    <s v="Q1"/>
    <n v="2023"/>
    <x v="0"/>
    <x v="2"/>
  </r>
  <r>
    <n v="615"/>
    <s v="C020"/>
    <n v="28"/>
    <n v="3"/>
    <d v="2023-08-25T00:00:00"/>
    <d v="1899-12-30T21:11:09"/>
    <d v="2023-09-01T00:00:00"/>
    <d v="1899-12-30T06:10:16"/>
    <s v="Allahabad"/>
    <x v="4"/>
    <x v="36"/>
    <s v="Samaira Ganesh"/>
    <x v="0"/>
    <x v="4"/>
    <x v="1"/>
    <x v="4"/>
    <n v="1778"/>
    <x v="162"/>
    <n v="3733.7999999999997"/>
    <n v="1600.2000000000003"/>
    <n v="0.30000000000000004"/>
    <n v="7"/>
    <x v="3"/>
    <n v="8"/>
    <s v="Q3"/>
    <n v="2023"/>
    <x v="2"/>
    <x v="0"/>
  </r>
  <r>
    <n v="616"/>
    <s v="C006"/>
    <n v="44"/>
    <n v="5"/>
    <d v="2023-11-08T00:00:00"/>
    <d v="1899-12-30T23:57:57"/>
    <d v="2023-11-12T00:00:00"/>
    <d v="1899-12-30T19:20:59"/>
    <s v="Phagwara"/>
    <x v="1"/>
    <x v="33"/>
    <s v="Rania Mann"/>
    <x v="1"/>
    <x v="39"/>
    <x v="5"/>
    <x v="1"/>
    <n v="794"/>
    <x v="284"/>
    <n v="2779"/>
    <n v="1191"/>
    <n v="0.3"/>
    <n v="4"/>
    <x v="1"/>
    <n v="11"/>
    <s v="Q4"/>
    <n v="2023"/>
    <x v="4"/>
    <x v="1"/>
  </r>
  <r>
    <n v="617"/>
    <s v="C083"/>
    <n v="22"/>
    <n v="1"/>
    <d v="2023-02-19T00:00:00"/>
    <d v="1899-12-30T02:53:42"/>
    <d v="2023-02-28T00:00:00"/>
    <d v="1899-12-30T17:01:34"/>
    <s v="Uluberia"/>
    <x v="6"/>
    <x v="62"/>
    <s v="Aaryahi Sodhi"/>
    <x v="0"/>
    <x v="34"/>
    <x v="4"/>
    <x v="6"/>
    <n v="1639"/>
    <x v="196"/>
    <n v="1147.3"/>
    <n v="491.70000000000005"/>
    <n v="0.30000000000000004"/>
    <n v="9"/>
    <x v="0"/>
    <n v="2"/>
    <s v="Q1"/>
    <n v="2023"/>
    <x v="5"/>
    <x v="2"/>
  </r>
  <r>
    <n v="618"/>
    <s v="C073"/>
    <n v="60"/>
    <n v="4"/>
    <d v="2023-11-05T00:00:00"/>
    <d v="1899-12-30T16:09:13"/>
    <d v="2023-11-15T00:00:00"/>
    <d v="1899-12-30T17:21:36"/>
    <s v="Lucknow"/>
    <x v="1"/>
    <x v="82"/>
    <s v="Zeeshan Tailor"/>
    <x v="0"/>
    <x v="12"/>
    <x v="1"/>
    <x v="1"/>
    <n v="827"/>
    <x v="101"/>
    <n v="2315.6"/>
    <n v="992.40000000000009"/>
    <n v="0.30000000000000004"/>
    <n v="10"/>
    <x v="1"/>
    <n v="11"/>
    <s v="Q4"/>
    <n v="2023"/>
    <x v="5"/>
    <x v="1"/>
  </r>
  <r>
    <n v="619"/>
    <s v="C091"/>
    <n v="35"/>
    <n v="1"/>
    <d v="2023-03-06T00:00:00"/>
    <d v="1899-12-30T07:18:46"/>
    <d v="2023-03-16T00:00:00"/>
    <d v="1899-12-30T03:17:33"/>
    <s v="Patiala"/>
    <x v="5"/>
    <x v="21"/>
    <s v="Adira Rajan"/>
    <x v="1"/>
    <x v="31"/>
    <x v="2"/>
    <x v="5"/>
    <n v="1865"/>
    <x v="35"/>
    <n v="1305.5"/>
    <n v="559.5"/>
    <n v="0.3"/>
    <n v="10"/>
    <x v="5"/>
    <n v="3"/>
    <s v="Q1"/>
    <n v="2023"/>
    <x v="3"/>
    <x v="2"/>
  </r>
  <r>
    <n v="620"/>
    <s v="C074"/>
    <n v="67"/>
    <n v="3"/>
    <d v="2023-07-11T00:00:00"/>
    <d v="1899-12-30T22:23:01"/>
    <d v="2023-07-18T00:00:00"/>
    <d v="1899-12-30T01:24:50"/>
    <s v="Chapra"/>
    <x v="0"/>
    <x v="43"/>
    <s v="Vanya Apte"/>
    <x v="1"/>
    <x v="0"/>
    <x v="0"/>
    <x v="0"/>
    <n v="1374"/>
    <x v="198"/>
    <n v="2885.3999999999996"/>
    <n v="1236.6000000000004"/>
    <n v="0.3000000000000001"/>
    <n v="7"/>
    <x v="2"/>
    <n v="7"/>
    <s v="Q3"/>
    <n v="2023"/>
    <x v="2"/>
    <x v="1"/>
  </r>
  <r>
    <n v="621"/>
    <s v="C070"/>
    <n v="64"/>
    <n v="3"/>
    <d v="2023-08-20T00:00:00"/>
    <d v="1899-12-30T07:17:03"/>
    <d v="2023-08-28T00:00:00"/>
    <d v="1899-12-30T01:32:49"/>
    <s v="Ahmedabad"/>
    <x v="4"/>
    <x v="66"/>
    <s v="Emir Gokhale"/>
    <x v="0"/>
    <x v="61"/>
    <x v="4"/>
    <x v="4"/>
    <n v="1878"/>
    <x v="161"/>
    <n v="3943.7999999999997"/>
    <n v="1690.2000000000003"/>
    <n v="0.30000000000000004"/>
    <n v="8"/>
    <x v="3"/>
    <n v="8"/>
    <s v="Q3"/>
    <n v="2023"/>
    <x v="3"/>
    <x v="0"/>
  </r>
  <r>
    <n v="622"/>
    <s v="C084"/>
    <n v="4"/>
    <n v="4"/>
    <d v="2023-11-08T00:00:00"/>
    <d v="1899-12-30T14:13:32"/>
    <d v="2023-11-09T00:00:00"/>
    <d v="1899-12-30T15:59:02"/>
    <s v="Bhiwandi"/>
    <x v="1"/>
    <x v="68"/>
    <s v="Anahita Shankar"/>
    <x v="0"/>
    <x v="44"/>
    <x v="1"/>
    <x v="1"/>
    <n v="1199"/>
    <x v="285"/>
    <n v="3357.2"/>
    <n v="1438.8000000000002"/>
    <n v="0.30000000000000004"/>
    <n v="1"/>
    <x v="1"/>
    <n v="11"/>
    <s v="Q4"/>
    <n v="2023"/>
    <x v="4"/>
    <x v="1"/>
  </r>
  <r>
    <n v="623"/>
    <s v="C045"/>
    <n v="37"/>
    <n v="2"/>
    <d v="2023-11-08T00:00:00"/>
    <d v="1899-12-30T13:37:50"/>
    <d v="2023-11-18T00:00:00"/>
    <d v="1899-12-30T14:25:39"/>
    <s v="Lucknow"/>
    <x v="1"/>
    <x v="39"/>
    <s v="Divit Mahajan"/>
    <x v="1"/>
    <x v="28"/>
    <x v="2"/>
    <x v="1"/>
    <n v="1428"/>
    <x v="286"/>
    <n v="1999.1999999999998"/>
    <n v="856.80000000000018"/>
    <n v="0.30000000000000004"/>
    <n v="10"/>
    <x v="1"/>
    <n v="11"/>
    <s v="Q4"/>
    <n v="2023"/>
    <x v="4"/>
    <x v="1"/>
  </r>
  <r>
    <n v="624"/>
    <s v="C024"/>
    <n v="53"/>
    <n v="5"/>
    <d v="2023-08-29T00:00:00"/>
    <d v="1899-12-30T09:19:59"/>
    <d v="2023-09-01T00:00:00"/>
    <d v="1899-12-30T08:29:54"/>
    <s v="Ambala"/>
    <x v="4"/>
    <x v="11"/>
    <s v="Jhanvi Chowdhury"/>
    <x v="1"/>
    <x v="65"/>
    <x v="1"/>
    <x v="4"/>
    <n v="1672"/>
    <x v="287"/>
    <n v="5851.9999999999991"/>
    <n v="2508.0000000000009"/>
    <n v="0.3000000000000001"/>
    <n v="3"/>
    <x v="3"/>
    <n v="8"/>
    <s v="Q3"/>
    <n v="2023"/>
    <x v="4"/>
    <x v="0"/>
  </r>
  <r>
    <n v="625"/>
    <s v="C089"/>
    <n v="63"/>
    <n v="5"/>
    <d v="2023-02-23T00:00:00"/>
    <d v="1899-12-30T21:15:42"/>
    <d v="2023-03-04T00:00:00"/>
    <d v="1899-12-30T02:46:06"/>
    <s v="Belgaum"/>
    <x v="6"/>
    <x v="76"/>
    <s v="Oorja Dey"/>
    <x v="1"/>
    <x v="67"/>
    <x v="1"/>
    <x v="6"/>
    <n v="1348"/>
    <x v="280"/>
    <n v="4718"/>
    <n v="2022"/>
    <n v="0.3"/>
    <n v="9"/>
    <x v="0"/>
    <n v="2"/>
    <s v="Q1"/>
    <n v="2023"/>
    <x v="6"/>
    <x v="0"/>
  </r>
  <r>
    <n v="626"/>
    <s v="C024"/>
    <n v="40"/>
    <n v="5"/>
    <d v="2023-09-23T00:00:00"/>
    <d v="1899-12-30T15:12:58"/>
    <d v="2023-09-27T00:00:00"/>
    <d v="1899-12-30T08:14:22"/>
    <s v="Bellary"/>
    <x v="0"/>
    <x v="11"/>
    <s v="Jhanvi Chowdhury"/>
    <x v="1"/>
    <x v="46"/>
    <x v="1"/>
    <x v="0"/>
    <n v="1923"/>
    <x v="125"/>
    <n v="6730.5"/>
    <n v="2884.5"/>
    <n v="0.3"/>
    <n v="4"/>
    <x v="7"/>
    <n v="9"/>
    <s v="Q3"/>
    <n v="2023"/>
    <x v="6"/>
    <x v="0"/>
  </r>
  <r>
    <n v="627"/>
    <s v="C024"/>
    <n v="51"/>
    <n v="4"/>
    <d v="2023-02-05T00:00:00"/>
    <d v="1899-12-30T04:30:25"/>
    <d v="2023-02-08T00:00:00"/>
    <d v="1899-12-30T23:38:12"/>
    <s v="Sirsa"/>
    <x v="6"/>
    <x v="11"/>
    <s v="Jhanvi Chowdhury"/>
    <x v="1"/>
    <x v="38"/>
    <x v="4"/>
    <x v="6"/>
    <n v="1084"/>
    <x v="243"/>
    <n v="3035.2"/>
    <n v="1300.8000000000002"/>
    <n v="0.30000000000000004"/>
    <n v="3"/>
    <x v="0"/>
    <n v="2"/>
    <s v="Q1"/>
    <n v="2023"/>
    <x v="5"/>
    <x v="1"/>
  </r>
  <r>
    <n v="628"/>
    <s v="C061"/>
    <n v="11"/>
    <n v="5"/>
    <d v="2023-02-10T00:00:00"/>
    <d v="1899-12-30T21:50:27"/>
    <d v="2023-02-13T00:00:00"/>
    <d v="1899-12-30T21:07:46"/>
    <s v="Ongole"/>
    <x v="3"/>
    <x v="11"/>
    <s v="Akarsh Ramesh"/>
    <x v="1"/>
    <x v="45"/>
    <x v="6"/>
    <x v="3"/>
    <n v="1096"/>
    <x v="255"/>
    <n v="3835.9999999999995"/>
    <n v="1644.0000000000005"/>
    <n v="0.3000000000000001"/>
    <n v="3"/>
    <x v="0"/>
    <n v="2"/>
    <s v="Q1"/>
    <n v="2023"/>
    <x v="0"/>
    <x v="0"/>
  </r>
  <r>
    <n v="629"/>
    <s v="C032"/>
    <n v="28"/>
    <n v="5"/>
    <d v="2023-08-27T00:00:00"/>
    <d v="1899-12-30T09:09:01"/>
    <d v="2023-09-04T00:00:00"/>
    <d v="1899-12-30T15:31:23"/>
    <s v="Sangli-Miraj &amp; Kupwad"/>
    <x v="4"/>
    <x v="54"/>
    <s v="Mannat Anand"/>
    <x v="0"/>
    <x v="4"/>
    <x v="1"/>
    <x v="4"/>
    <n v="1778"/>
    <x v="213"/>
    <n v="6223"/>
    <n v="2667"/>
    <n v="0.3"/>
    <n v="8"/>
    <x v="3"/>
    <n v="8"/>
    <s v="Q3"/>
    <n v="2023"/>
    <x v="3"/>
    <x v="0"/>
  </r>
  <r>
    <n v="630"/>
    <s v="C071"/>
    <n v="67"/>
    <n v="3"/>
    <d v="2023-02-21T00:00:00"/>
    <d v="1899-12-30T21:37:47"/>
    <d v="2023-03-01T00:00:00"/>
    <d v="1899-12-30T18:53:08"/>
    <s v="Karimnagar"/>
    <x v="0"/>
    <x v="26"/>
    <s v="Purab Sheth"/>
    <x v="0"/>
    <x v="0"/>
    <x v="0"/>
    <x v="0"/>
    <n v="1374"/>
    <x v="198"/>
    <n v="2885.3999999999996"/>
    <n v="1236.6000000000004"/>
    <n v="0.3000000000000001"/>
    <n v="8"/>
    <x v="0"/>
    <n v="2"/>
    <s v="Q1"/>
    <n v="2023"/>
    <x v="1"/>
    <x v="1"/>
  </r>
  <r>
    <n v="631"/>
    <s v="C044"/>
    <n v="32"/>
    <n v="4"/>
    <d v="2023-04-13T00:00:00"/>
    <d v="1899-12-30T21:41:50"/>
    <d v="2023-04-17T00:00:00"/>
    <d v="1899-12-30T03:45:03"/>
    <s v="Gopalpur"/>
    <x v="2"/>
    <x v="8"/>
    <s v="Seher Mann"/>
    <x v="0"/>
    <x v="16"/>
    <x v="4"/>
    <x v="2"/>
    <n v="1792"/>
    <x v="149"/>
    <n v="5017.5999999999995"/>
    <n v="2150.4000000000005"/>
    <n v="0.3000000000000001"/>
    <n v="4"/>
    <x v="9"/>
    <n v="4"/>
    <s v="Q2"/>
    <n v="2023"/>
    <x v="3"/>
    <x v="0"/>
  </r>
  <r>
    <n v="632"/>
    <s v="C075"/>
    <n v="51"/>
    <n v="1"/>
    <d v="2023-07-11T00:00:00"/>
    <d v="1899-12-30T22:35:01"/>
    <d v="2023-07-12T00:00:00"/>
    <d v="1899-12-30T11:32:50"/>
    <s v="Adoni"/>
    <x v="6"/>
    <x v="60"/>
    <s v="Yashvi Bansal"/>
    <x v="1"/>
    <x v="38"/>
    <x v="4"/>
    <x v="6"/>
    <n v="1084"/>
    <x v="207"/>
    <n v="758.8"/>
    <n v="325.20000000000005"/>
    <n v="0.30000000000000004"/>
    <n v="1"/>
    <x v="2"/>
    <n v="7"/>
    <s v="Q3"/>
    <n v="2023"/>
    <x v="2"/>
    <x v="2"/>
  </r>
  <r>
    <n v="633"/>
    <s v="C031"/>
    <n v="52"/>
    <n v="5"/>
    <d v="2023-02-10T00:00:00"/>
    <d v="1899-12-30T14:44:42"/>
    <d v="2023-02-15T00:00:00"/>
    <d v="1899-12-30T05:12:46"/>
    <s v="Surat"/>
    <x v="3"/>
    <x v="35"/>
    <s v="Madhup Wable"/>
    <x v="1"/>
    <x v="15"/>
    <x v="0"/>
    <x v="3"/>
    <n v="236"/>
    <x v="112"/>
    <n v="826"/>
    <n v="354"/>
    <n v="0.3"/>
    <n v="5"/>
    <x v="0"/>
    <n v="2"/>
    <s v="Q1"/>
    <n v="2023"/>
    <x v="0"/>
    <x v="2"/>
  </r>
  <r>
    <n v="634"/>
    <s v="C038"/>
    <n v="57"/>
    <n v="3"/>
    <d v="2023-05-07T00:00:00"/>
    <d v="1899-12-30T06:36:16"/>
    <d v="2023-05-11T00:00:00"/>
    <d v="1899-12-30T13:43:49"/>
    <s v="Fatehpur"/>
    <x v="2"/>
    <x v="53"/>
    <s v="Yakshit Shah"/>
    <x v="1"/>
    <x v="57"/>
    <x v="2"/>
    <x v="2"/>
    <n v="1582"/>
    <x v="288"/>
    <n v="3322.2"/>
    <n v="1423.8000000000002"/>
    <n v="0.30000000000000004"/>
    <n v="4"/>
    <x v="4"/>
    <n v="5"/>
    <s v="Q2"/>
    <n v="2023"/>
    <x v="1"/>
    <x v="1"/>
  </r>
  <r>
    <n v="635"/>
    <s v="C095"/>
    <n v="67"/>
    <n v="1"/>
    <d v="2023-11-12T00:00:00"/>
    <d v="1899-12-30T18:37:11"/>
    <d v="2023-11-22T00:00:00"/>
    <d v="1899-12-30T07:23:32"/>
    <s v="Navi Mumbai"/>
    <x v="0"/>
    <x v="40"/>
    <s v="Mahika Cherian"/>
    <x v="1"/>
    <x v="0"/>
    <x v="0"/>
    <x v="0"/>
    <n v="1374"/>
    <x v="270"/>
    <n v="961.8"/>
    <n v="412.20000000000005"/>
    <n v="0.30000000000000004"/>
    <n v="10"/>
    <x v="1"/>
    <n v="11"/>
    <s v="Q4"/>
    <n v="2023"/>
    <x v="5"/>
    <x v="2"/>
  </r>
  <r>
    <n v="636"/>
    <s v="C067"/>
    <n v="53"/>
    <n v="2"/>
    <d v="2023-08-25T00:00:00"/>
    <d v="1899-12-30T07:18:26"/>
    <d v="2023-09-02T00:00:00"/>
    <d v="1899-12-30T03:33:45"/>
    <s v="Panipat"/>
    <x v="4"/>
    <x v="29"/>
    <s v="Eva Sankaran"/>
    <x v="0"/>
    <x v="65"/>
    <x v="1"/>
    <x v="4"/>
    <n v="1672"/>
    <x v="238"/>
    <n v="2340.7999999999997"/>
    <n v="1003.2000000000003"/>
    <n v="0.3000000000000001"/>
    <n v="8"/>
    <x v="3"/>
    <n v="8"/>
    <s v="Q3"/>
    <n v="2023"/>
    <x v="2"/>
    <x v="1"/>
  </r>
  <r>
    <n v="637"/>
    <s v="C056"/>
    <n v="51"/>
    <n v="3"/>
    <d v="2023-03-12T00:00:00"/>
    <d v="1899-12-30T19:29:26"/>
    <d v="2023-03-20T00:00:00"/>
    <d v="1899-12-30T22:34:14"/>
    <s v="Darbhanga"/>
    <x v="6"/>
    <x v="2"/>
    <s v="Pihu Choudhury"/>
    <x v="0"/>
    <x v="38"/>
    <x v="4"/>
    <x v="6"/>
    <n v="1084"/>
    <x v="85"/>
    <n v="2276.3999999999996"/>
    <n v="975.60000000000036"/>
    <n v="0.3000000000000001"/>
    <n v="8"/>
    <x v="5"/>
    <n v="3"/>
    <s v="Q1"/>
    <n v="2023"/>
    <x v="5"/>
    <x v="1"/>
  </r>
  <r>
    <n v="638"/>
    <s v="C060"/>
    <n v="39"/>
    <n v="1"/>
    <d v="2023-04-23T00:00:00"/>
    <d v="1899-12-30T02:13:33"/>
    <d v="2023-04-27T00:00:00"/>
    <d v="1899-12-30T02:51:20"/>
    <s v="Mira-Bhayandar"/>
    <x v="6"/>
    <x v="55"/>
    <s v="Riya Wagle"/>
    <x v="0"/>
    <x v="47"/>
    <x v="6"/>
    <x v="6"/>
    <n v="387"/>
    <x v="289"/>
    <n v="270.89999999999998"/>
    <n v="116.10000000000002"/>
    <n v="0.30000000000000004"/>
    <n v="4"/>
    <x v="9"/>
    <n v="4"/>
    <s v="Q2"/>
    <n v="2023"/>
    <x v="6"/>
    <x v="2"/>
  </r>
  <r>
    <n v="639"/>
    <s v="C098"/>
    <n v="24"/>
    <n v="1"/>
    <d v="2023-05-26T00:00:00"/>
    <d v="1899-12-30T02:36:31"/>
    <d v="2023-05-31T00:00:00"/>
    <d v="1899-12-30T03:18:25"/>
    <s v="Amaravati"/>
    <x v="2"/>
    <x v="77"/>
    <s v="Navya Golla"/>
    <x v="0"/>
    <x v="54"/>
    <x v="6"/>
    <x v="2"/>
    <n v="535"/>
    <x v="224"/>
    <n v="374.5"/>
    <n v="160.5"/>
    <n v="0.3"/>
    <n v="5"/>
    <x v="4"/>
    <n v="5"/>
    <s v="Q2"/>
    <n v="2023"/>
    <x v="5"/>
    <x v="2"/>
  </r>
  <r>
    <n v="640"/>
    <s v="C089"/>
    <n v="59"/>
    <n v="3"/>
    <d v="2023-08-23T00:00:00"/>
    <d v="1899-12-30T06:16:51"/>
    <d v="2023-08-31T00:00:00"/>
    <d v="1899-12-30T19:07:21"/>
    <s v="Bathinda"/>
    <x v="4"/>
    <x v="76"/>
    <s v="Oorja Dey"/>
    <x v="1"/>
    <x v="58"/>
    <x v="3"/>
    <x v="4"/>
    <n v="811"/>
    <x v="93"/>
    <n v="1703.1"/>
    <n v="729.90000000000009"/>
    <n v="0.30000000000000004"/>
    <n v="8"/>
    <x v="3"/>
    <n v="8"/>
    <s v="Q3"/>
    <n v="2023"/>
    <x v="6"/>
    <x v="1"/>
  </r>
  <r>
    <n v="641"/>
    <s v="C063"/>
    <n v="15"/>
    <n v="4"/>
    <d v="2023-05-18T00:00:00"/>
    <d v="1899-12-30T23:59:56"/>
    <d v="2023-05-26T00:00:00"/>
    <d v="1899-12-30T19:14:55"/>
    <s v="South Dumdum"/>
    <x v="0"/>
    <x v="22"/>
    <s v="Arhaan Ahluwalia"/>
    <x v="0"/>
    <x v="51"/>
    <x v="0"/>
    <x v="0"/>
    <n v="1488"/>
    <x v="71"/>
    <n v="4166.3999999999996"/>
    <n v="1785.6000000000004"/>
    <n v="0.30000000000000004"/>
    <n v="8"/>
    <x v="4"/>
    <n v="5"/>
    <s v="Q2"/>
    <n v="2023"/>
    <x v="2"/>
    <x v="0"/>
  </r>
  <r>
    <n v="642"/>
    <s v="C021"/>
    <n v="44"/>
    <n v="5"/>
    <d v="2023-11-02T00:00:00"/>
    <d v="1899-12-30T05:26:04"/>
    <d v="2023-11-07T00:00:00"/>
    <d v="1899-12-30T00:29:51"/>
    <s v="Kozhikode"/>
    <x v="1"/>
    <x v="85"/>
    <s v="Siya Talwar"/>
    <x v="0"/>
    <x v="39"/>
    <x v="5"/>
    <x v="1"/>
    <n v="794"/>
    <x v="284"/>
    <n v="2779"/>
    <n v="1191"/>
    <n v="0.3"/>
    <n v="5"/>
    <x v="1"/>
    <n v="11"/>
    <s v="Q4"/>
    <n v="2023"/>
    <x v="6"/>
    <x v="1"/>
  </r>
  <r>
    <n v="643"/>
    <s v="C063"/>
    <n v="35"/>
    <n v="2"/>
    <d v="2023-02-26T00:00:00"/>
    <d v="1899-12-30T13:10:24"/>
    <d v="2023-03-06T00:00:00"/>
    <d v="1899-12-30T20:24:10"/>
    <s v="Malda"/>
    <x v="5"/>
    <x v="22"/>
    <s v="Arhaan Ahluwalia"/>
    <x v="0"/>
    <x v="31"/>
    <x v="2"/>
    <x v="5"/>
    <n v="1865"/>
    <x v="121"/>
    <n v="2611"/>
    <n v="1119"/>
    <n v="0.3"/>
    <n v="8"/>
    <x v="0"/>
    <n v="2"/>
    <s v="Q1"/>
    <n v="2023"/>
    <x v="5"/>
    <x v="1"/>
  </r>
  <r>
    <n v="644"/>
    <s v="C050"/>
    <n v="67"/>
    <n v="1"/>
    <d v="2023-09-01T00:00:00"/>
    <d v="1899-12-30T14:54:36"/>
    <d v="2023-09-11T00:00:00"/>
    <d v="1899-12-30T11:21:18"/>
    <s v="Parbhani"/>
    <x v="0"/>
    <x v="27"/>
    <s v="Chirag Srinivas"/>
    <x v="1"/>
    <x v="0"/>
    <x v="0"/>
    <x v="0"/>
    <n v="1374"/>
    <x v="270"/>
    <n v="961.8"/>
    <n v="412.20000000000005"/>
    <n v="0.30000000000000004"/>
    <n v="10"/>
    <x v="7"/>
    <n v="9"/>
    <s v="Q3"/>
    <n v="2023"/>
    <x v="4"/>
    <x v="2"/>
  </r>
  <r>
    <n v="645"/>
    <s v="C033"/>
    <n v="50"/>
    <n v="3"/>
    <d v="2023-02-27T00:00:00"/>
    <d v="1899-12-30T01:46:39"/>
    <d v="2023-02-28T00:00:00"/>
    <d v="1899-12-30T02:07:11"/>
    <s v="Danapur"/>
    <x v="5"/>
    <x v="45"/>
    <s v="Suhana Kurian"/>
    <x v="1"/>
    <x v="56"/>
    <x v="5"/>
    <x v="5"/>
    <n v="422"/>
    <x v="173"/>
    <n v="886.19999999999993"/>
    <n v="379.80000000000007"/>
    <n v="0.30000000000000004"/>
    <n v="1"/>
    <x v="0"/>
    <n v="2"/>
    <s v="Q1"/>
    <n v="2023"/>
    <x v="3"/>
    <x v="2"/>
  </r>
  <r>
    <n v="646"/>
    <s v="C015"/>
    <n v="38"/>
    <n v="5"/>
    <d v="2023-05-13T00:00:00"/>
    <d v="1899-12-30T16:30:10"/>
    <d v="2023-05-23T00:00:00"/>
    <d v="1899-12-30T09:16:58"/>
    <s v="Morbi"/>
    <x v="2"/>
    <x v="44"/>
    <s v="Romil Bajwa"/>
    <x v="1"/>
    <x v="10"/>
    <x v="3"/>
    <x v="2"/>
    <n v="562"/>
    <x v="231"/>
    <n v="1967"/>
    <n v="843"/>
    <n v="0.3"/>
    <n v="10"/>
    <x v="4"/>
    <n v="5"/>
    <s v="Q2"/>
    <n v="2023"/>
    <x v="3"/>
    <x v="1"/>
  </r>
  <r>
    <n v="647"/>
    <s v="C069"/>
    <n v="21"/>
    <n v="5"/>
    <d v="2023-08-25T00:00:00"/>
    <d v="1899-12-30T17:00:25"/>
    <d v="2023-08-26T00:00:00"/>
    <d v="1899-12-30T01:29:04"/>
    <s v="Anantapuram"/>
    <x v="4"/>
    <x v="13"/>
    <s v="Hunar Tripathi"/>
    <x v="1"/>
    <x v="8"/>
    <x v="2"/>
    <x v="4"/>
    <n v="1561"/>
    <x v="13"/>
    <n v="5463.4999999999991"/>
    <n v="2341.5000000000009"/>
    <n v="0.3000000000000001"/>
    <n v="1"/>
    <x v="3"/>
    <n v="8"/>
    <s v="Q3"/>
    <n v="2023"/>
    <x v="2"/>
    <x v="0"/>
  </r>
  <r>
    <n v="648"/>
    <s v="C040"/>
    <n v="41"/>
    <n v="3"/>
    <d v="2023-11-05T00:00:00"/>
    <d v="1899-12-30T19:06:16"/>
    <d v="2023-11-09T00:00:00"/>
    <d v="1899-12-30T08:25:00"/>
    <s v="Chittoor"/>
    <x v="1"/>
    <x v="5"/>
    <s v="Hazel Mangat"/>
    <x v="1"/>
    <x v="1"/>
    <x v="1"/>
    <x v="1"/>
    <n v="1977"/>
    <x v="73"/>
    <n v="4151.7"/>
    <n v="1779.3000000000002"/>
    <n v="0.30000000000000004"/>
    <n v="4"/>
    <x v="1"/>
    <n v="11"/>
    <s v="Q4"/>
    <n v="2023"/>
    <x v="5"/>
    <x v="0"/>
  </r>
  <r>
    <n v="649"/>
    <s v="C053"/>
    <n v="43"/>
    <n v="3"/>
    <d v="2023-11-02T00:00:00"/>
    <d v="1899-12-30T03:05:41"/>
    <d v="2023-11-11T00:00:00"/>
    <d v="1899-12-30T08:55:15"/>
    <s v="Naihati"/>
    <x v="1"/>
    <x v="52"/>
    <s v="Kismat Kapadia"/>
    <x v="1"/>
    <x v="6"/>
    <x v="0"/>
    <x v="1"/>
    <n v="750"/>
    <x v="6"/>
    <n v="1575"/>
    <n v="675"/>
    <n v="0.3"/>
    <n v="9"/>
    <x v="1"/>
    <n v="11"/>
    <s v="Q4"/>
    <n v="2023"/>
    <x v="6"/>
    <x v="1"/>
  </r>
  <r>
    <n v="650"/>
    <s v="C077"/>
    <n v="32"/>
    <n v="3"/>
    <d v="2023-02-23T00:00:00"/>
    <d v="1899-12-30T01:54:43"/>
    <d v="2023-03-02T00:00:00"/>
    <d v="1899-12-30T03:09:36"/>
    <s v="Guwahati"/>
    <x v="2"/>
    <x v="41"/>
    <s v="Gokul Ahluwalia"/>
    <x v="1"/>
    <x v="16"/>
    <x v="4"/>
    <x v="2"/>
    <n v="1792"/>
    <x v="290"/>
    <n v="3763.2"/>
    <n v="1612.8000000000002"/>
    <n v="0.30000000000000004"/>
    <n v="7"/>
    <x v="0"/>
    <n v="2"/>
    <s v="Q1"/>
    <n v="2023"/>
    <x v="6"/>
    <x v="0"/>
  </r>
  <r>
    <n v="651"/>
    <s v="C017"/>
    <n v="11"/>
    <n v="4"/>
    <d v="2023-02-13T00:00:00"/>
    <d v="1899-12-30T02:16:28"/>
    <d v="2023-02-19T00:00:00"/>
    <d v="1899-12-30T11:55:54"/>
    <s v="Panihati"/>
    <x v="3"/>
    <x v="46"/>
    <s v="Advika Dhar"/>
    <x v="0"/>
    <x v="45"/>
    <x v="6"/>
    <x v="3"/>
    <n v="1096"/>
    <x v="258"/>
    <n v="3068.7999999999997"/>
    <n v="1315.2000000000003"/>
    <n v="0.30000000000000004"/>
    <n v="6"/>
    <x v="0"/>
    <n v="2"/>
    <s v="Q1"/>
    <n v="2023"/>
    <x v="3"/>
    <x v="1"/>
  </r>
  <r>
    <n v="652"/>
    <s v="C032"/>
    <n v="21"/>
    <n v="2"/>
    <d v="2023-08-28T00:00:00"/>
    <d v="1899-12-30T19:41:09"/>
    <d v="2023-09-03T00:00:00"/>
    <d v="1899-12-30T00:01:31"/>
    <s v="Phagwara"/>
    <x v="4"/>
    <x v="54"/>
    <s v="Mannat Anand"/>
    <x v="0"/>
    <x v="8"/>
    <x v="2"/>
    <x v="4"/>
    <n v="1561"/>
    <x v="291"/>
    <n v="2185.3999999999996"/>
    <n v="936.60000000000036"/>
    <n v="0.3000000000000001"/>
    <n v="6"/>
    <x v="3"/>
    <n v="8"/>
    <s v="Q3"/>
    <n v="2023"/>
    <x v="1"/>
    <x v="1"/>
  </r>
  <r>
    <n v="653"/>
    <s v="C076"/>
    <n v="17"/>
    <n v="4"/>
    <d v="2023-11-29T00:00:00"/>
    <d v="1899-12-30T13:38:07"/>
    <d v="2023-12-01T00:00:00"/>
    <d v="1899-12-30T05:52:11"/>
    <s v="Bhilwara"/>
    <x v="0"/>
    <x v="78"/>
    <s v="Oorja Dayal"/>
    <x v="1"/>
    <x v="25"/>
    <x v="4"/>
    <x v="0"/>
    <n v="1899"/>
    <x v="292"/>
    <n v="5317.2"/>
    <n v="2278.8000000000002"/>
    <n v="0.30000000000000004"/>
    <n v="2"/>
    <x v="1"/>
    <n v="11"/>
    <s v="Q4"/>
    <n v="2023"/>
    <x v="4"/>
    <x v="0"/>
  </r>
  <r>
    <n v="654"/>
    <s v="C019"/>
    <n v="64"/>
    <n v="2"/>
    <d v="2023-08-29T00:00:00"/>
    <d v="1899-12-30T04:53:15"/>
    <d v="2023-09-02T00:00:00"/>
    <d v="1899-12-30T00:41:13"/>
    <s v="Jhansi"/>
    <x v="4"/>
    <x v="1"/>
    <s v="Amira Sengupta"/>
    <x v="0"/>
    <x v="61"/>
    <x v="4"/>
    <x v="4"/>
    <n v="1878"/>
    <x v="201"/>
    <n v="2629.2"/>
    <n v="1126.8000000000002"/>
    <n v="0.30000000000000004"/>
    <n v="4"/>
    <x v="3"/>
    <n v="8"/>
    <s v="Q3"/>
    <n v="2023"/>
    <x v="4"/>
    <x v="1"/>
  </r>
  <r>
    <n v="655"/>
    <s v="C015"/>
    <n v="17"/>
    <n v="1"/>
    <d v="2023-11-08T00:00:00"/>
    <d v="1899-12-30T21:19:04"/>
    <d v="2023-11-17T00:00:00"/>
    <d v="1899-12-30T18:57:37"/>
    <s v="Jalna"/>
    <x v="0"/>
    <x v="44"/>
    <s v="Romil Bajwa"/>
    <x v="1"/>
    <x v="25"/>
    <x v="4"/>
    <x v="0"/>
    <n v="1899"/>
    <x v="58"/>
    <n v="1329.3"/>
    <n v="569.70000000000005"/>
    <n v="0.30000000000000004"/>
    <n v="9"/>
    <x v="1"/>
    <n v="11"/>
    <s v="Q4"/>
    <n v="2023"/>
    <x v="4"/>
    <x v="2"/>
  </r>
  <r>
    <n v="656"/>
    <s v="C032"/>
    <n v="68"/>
    <n v="2"/>
    <d v="2023-02-05T00:00:00"/>
    <d v="1899-12-30T18:34:41"/>
    <d v="2023-02-06T00:00:00"/>
    <d v="1899-12-30T04:46:00"/>
    <s v="Dehri"/>
    <x v="3"/>
    <x v="54"/>
    <s v="Mannat Anand"/>
    <x v="0"/>
    <x v="63"/>
    <x v="4"/>
    <x v="3"/>
    <n v="597"/>
    <x v="177"/>
    <n v="835.8"/>
    <n v="358.20000000000005"/>
    <n v="0.30000000000000004"/>
    <n v="1"/>
    <x v="0"/>
    <n v="2"/>
    <s v="Q1"/>
    <n v="2023"/>
    <x v="5"/>
    <x v="2"/>
  </r>
  <r>
    <n v="657"/>
    <s v="C055"/>
    <n v="13"/>
    <n v="3"/>
    <d v="2023-03-03T00:00:00"/>
    <d v="1899-12-30T09:37:53"/>
    <d v="2023-03-08T00:00:00"/>
    <d v="1899-12-30T14:48:35"/>
    <s v="Kochi"/>
    <x v="5"/>
    <x v="27"/>
    <s v="Umang Luthra"/>
    <x v="0"/>
    <x v="64"/>
    <x v="6"/>
    <x v="5"/>
    <n v="1141"/>
    <x v="152"/>
    <n v="2396.1"/>
    <n v="1026.9000000000001"/>
    <n v="0.30000000000000004"/>
    <n v="5"/>
    <x v="5"/>
    <n v="3"/>
    <s v="Q1"/>
    <n v="2023"/>
    <x v="0"/>
    <x v="1"/>
  </r>
  <r>
    <n v="658"/>
    <s v="C061"/>
    <n v="21"/>
    <n v="3"/>
    <d v="2023-08-22T00:00:00"/>
    <d v="1899-12-30T20:54:56"/>
    <d v="2023-08-31T00:00:00"/>
    <d v="1899-12-30T08:54:06"/>
    <s v="Srikakulam"/>
    <x v="4"/>
    <x v="11"/>
    <s v="Akarsh Ramesh"/>
    <x v="1"/>
    <x v="8"/>
    <x v="2"/>
    <x v="4"/>
    <n v="1561"/>
    <x v="179"/>
    <n v="3278.0999999999995"/>
    <n v="1404.9000000000005"/>
    <n v="0.3000000000000001"/>
    <n v="9"/>
    <x v="3"/>
    <n v="8"/>
    <s v="Q3"/>
    <n v="2023"/>
    <x v="4"/>
    <x v="1"/>
  </r>
  <r>
    <n v="659"/>
    <s v="C048"/>
    <n v="19"/>
    <n v="5"/>
    <d v="2023-02-05T00:00:00"/>
    <d v="1899-12-30T17:44:56"/>
    <d v="2023-02-12T00:00:00"/>
    <d v="1899-12-30T22:37:43"/>
    <s v="Silchar"/>
    <x v="3"/>
    <x v="42"/>
    <s v="Aradhya Kale"/>
    <x v="0"/>
    <x v="27"/>
    <x v="6"/>
    <x v="3"/>
    <n v="1234"/>
    <x v="30"/>
    <n v="4319"/>
    <n v="1851"/>
    <n v="0.3"/>
    <n v="7"/>
    <x v="0"/>
    <n v="2"/>
    <s v="Q1"/>
    <n v="2023"/>
    <x v="5"/>
    <x v="0"/>
  </r>
  <r>
    <n v="660"/>
    <s v="C053"/>
    <n v="58"/>
    <n v="3"/>
    <d v="2023-02-11T00:00:00"/>
    <d v="1899-12-30T06:08:46"/>
    <d v="2023-02-21T00:00:00"/>
    <d v="1899-12-30T20:48:35"/>
    <s v="Amravati"/>
    <x v="3"/>
    <x v="52"/>
    <s v="Kismat Kapadia"/>
    <x v="1"/>
    <x v="3"/>
    <x v="3"/>
    <x v="3"/>
    <n v="1492"/>
    <x v="123"/>
    <n v="3133.2"/>
    <n v="1342.8000000000002"/>
    <n v="0.30000000000000004"/>
    <n v="10"/>
    <x v="0"/>
    <n v="2"/>
    <s v="Q1"/>
    <n v="2023"/>
    <x v="2"/>
    <x v="1"/>
  </r>
  <r>
    <n v="661"/>
    <s v="C018"/>
    <n v="22"/>
    <n v="2"/>
    <d v="2023-01-14T00:00:00"/>
    <d v="1899-12-30T23:51:27"/>
    <d v="2023-01-19T00:00:00"/>
    <d v="1899-12-30T09:50:46"/>
    <s v="Guwahati"/>
    <x v="6"/>
    <x v="20"/>
    <s v="Eva Vaidya"/>
    <x v="0"/>
    <x v="34"/>
    <x v="4"/>
    <x v="6"/>
    <n v="1639"/>
    <x v="263"/>
    <n v="2294.6"/>
    <n v="983.40000000000009"/>
    <n v="0.30000000000000004"/>
    <n v="5"/>
    <x v="8"/>
    <n v="1"/>
    <s v="Q1"/>
    <n v="2023"/>
    <x v="1"/>
    <x v="1"/>
  </r>
  <r>
    <n v="662"/>
    <s v="C068"/>
    <n v="20"/>
    <n v="3"/>
    <d v="2023-02-09T00:00:00"/>
    <d v="1899-12-30T18:29:52"/>
    <d v="2023-02-18T00:00:00"/>
    <d v="1899-12-30T08:27:53"/>
    <s v="Hazaribagh"/>
    <x v="0"/>
    <x v="34"/>
    <s v="Ritvik Garde"/>
    <x v="0"/>
    <x v="11"/>
    <x v="2"/>
    <x v="0"/>
    <n v="697"/>
    <x v="11"/>
    <n v="1463.6999999999998"/>
    <n v="627.30000000000018"/>
    <n v="0.3000000000000001"/>
    <n v="9"/>
    <x v="0"/>
    <n v="2"/>
    <s v="Q1"/>
    <n v="2023"/>
    <x v="6"/>
    <x v="1"/>
  </r>
  <r>
    <n v="663"/>
    <s v="C094"/>
    <n v="15"/>
    <n v="2"/>
    <d v="2023-10-11T00:00:00"/>
    <d v="1899-12-30T14:47:08"/>
    <d v="2023-10-12T00:00:00"/>
    <d v="1899-12-30T22:32:05"/>
    <s v="Hosur"/>
    <x v="0"/>
    <x v="69"/>
    <s v="Raghav Babu"/>
    <x v="1"/>
    <x v="51"/>
    <x v="0"/>
    <x v="0"/>
    <n v="1488"/>
    <x v="184"/>
    <n v="2083.1999999999998"/>
    <n v="892.80000000000018"/>
    <n v="0.30000000000000004"/>
    <n v="1"/>
    <x v="10"/>
    <n v="10"/>
    <s v="Q4"/>
    <n v="2023"/>
    <x v="2"/>
    <x v="1"/>
  </r>
  <r>
    <n v="664"/>
    <s v="C023"/>
    <n v="24"/>
    <n v="2"/>
    <d v="2023-01-18T00:00:00"/>
    <d v="1899-12-30T11:54:34"/>
    <d v="2023-01-28T00:00:00"/>
    <d v="1899-12-30T20:22:08"/>
    <s v="Hajipur"/>
    <x v="2"/>
    <x v="18"/>
    <s v="Abram Sandhu"/>
    <x v="0"/>
    <x v="54"/>
    <x v="6"/>
    <x v="2"/>
    <n v="535"/>
    <x v="143"/>
    <n v="749"/>
    <n v="321"/>
    <n v="0.3"/>
    <n v="10"/>
    <x v="8"/>
    <n v="1"/>
    <s v="Q1"/>
    <n v="2023"/>
    <x v="2"/>
    <x v="2"/>
  </r>
  <r>
    <n v="665"/>
    <s v="C060"/>
    <n v="62"/>
    <n v="5"/>
    <d v="2023-03-05T00:00:00"/>
    <d v="1899-12-30T14:23:22"/>
    <d v="2023-03-15T00:00:00"/>
    <d v="1899-12-30T15:54:03"/>
    <s v="Akola"/>
    <x v="5"/>
    <x v="55"/>
    <s v="Riya Wagle"/>
    <x v="0"/>
    <x v="14"/>
    <x v="2"/>
    <x v="5"/>
    <n v="1356"/>
    <x v="293"/>
    <n v="4746"/>
    <n v="2034"/>
    <n v="0.3"/>
    <n v="10"/>
    <x v="5"/>
    <n v="3"/>
    <s v="Q1"/>
    <n v="2023"/>
    <x v="5"/>
    <x v="0"/>
  </r>
  <r>
    <n v="666"/>
    <s v="C032"/>
    <n v="26"/>
    <n v="5"/>
    <d v="2023-03-02T00:00:00"/>
    <d v="1899-12-30T09:41:06"/>
    <d v="2023-03-08T00:00:00"/>
    <d v="1899-12-30T19:28:15"/>
    <s v="Jammu"/>
    <x v="5"/>
    <x v="54"/>
    <s v="Mannat Anand"/>
    <x v="0"/>
    <x v="42"/>
    <x v="2"/>
    <x v="5"/>
    <n v="289"/>
    <x v="194"/>
    <n v="1011.4999999999999"/>
    <n v="433.50000000000011"/>
    <n v="0.3000000000000001"/>
    <n v="6"/>
    <x v="5"/>
    <n v="3"/>
    <s v="Q1"/>
    <n v="2023"/>
    <x v="6"/>
    <x v="2"/>
  </r>
  <r>
    <n v="667"/>
    <s v="C052"/>
    <n v="44"/>
    <n v="3"/>
    <d v="2023-11-04T00:00:00"/>
    <d v="1899-12-30T08:26:58"/>
    <d v="2023-11-07T00:00:00"/>
    <d v="1899-12-30T10:30:59"/>
    <s v="Alwar"/>
    <x v="1"/>
    <x v="9"/>
    <s v="Vardaniya Apte"/>
    <x v="0"/>
    <x v="39"/>
    <x v="5"/>
    <x v="1"/>
    <n v="794"/>
    <x v="294"/>
    <n v="1667.3999999999999"/>
    <n v="714.60000000000014"/>
    <n v="0.30000000000000004"/>
    <n v="3"/>
    <x v="1"/>
    <n v="11"/>
    <s v="Q4"/>
    <n v="2023"/>
    <x v="2"/>
    <x v="1"/>
  </r>
  <r>
    <n v="668"/>
    <s v="C009"/>
    <n v="55"/>
    <n v="2"/>
    <d v="2023-08-21T00:00:00"/>
    <d v="1899-12-30T10:09:53"/>
    <d v="2023-08-30T00:00:00"/>
    <d v="1899-12-30T16:32:49"/>
    <s v="Ajmer"/>
    <x v="4"/>
    <x v="6"/>
    <s v="Ritvik Borah"/>
    <x v="1"/>
    <x v="60"/>
    <x v="4"/>
    <x v="4"/>
    <n v="1904"/>
    <x v="131"/>
    <n v="2665.6"/>
    <n v="1142.4000000000001"/>
    <n v="0.30000000000000004"/>
    <n v="9"/>
    <x v="3"/>
    <n v="8"/>
    <s v="Q3"/>
    <n v="2023"/>
    <x v="1"/>
    <x v="1"/>
  </r>
  <r>
    <n v="669"/>
    <s v="C035"/>
    <n v="68"/>
    <n v="5"/>
    <d v="2023-02-10T00:00:00"/>
    <d v="1899-12-30T07:11:50"/>
    <d v="2023-02-17T00:00:00"/>
    <d v="1899-12-30T09:56:42"/>
    <s v="Ludhiana"/>
    <x v="3"/>
    <x v="61"/>
    <s v="Ira Sarna"/>
    <x v="0"/>
    <x v="63"/>
    <x v="4"/>
    <x v="3"/>
    <n v="597"/>
    <x v="295"/>
    <n v="2089.5"/>
    <n v="895.5"/>
    <n v="0.3"/>
    <n v="7"/>
    <x v="0"/>
    <n v="2"/>
    <s v="Q1"/>
    <n v="2023"/>
    <x v="0"/>
    <x v="1"/>
  </r>
  <r>
    <n v="670"/>
    <s v="C057"/>
    <n v="23"/>
    <n v="5"/>
    <d v="2023-06-01T00:00:00"/>
    <d v="1899-12-30T05:47:59"/>
    <d v="2023-06-10T00:00:00"/>
    <d v="1899-12-30T05:09:00"/>
    <s v="Bhopal"/>
    <x v="0"/>
    <x v="47"/>
    <s v="Zain Hegde"/>
    <x v="1"/>
    <x v="13"/>
    <x v="1"/>
    <x v="0"/>
    <n v="1098"/>
    <x v="145"/>
    <n v="3842.9999999999995"/>
    <n v="1647.0000000000005"/>
    <n v="0.3000000000000001"/>
    <n v="9"/>
    <x v="11"/>
    <n v="6"/>
    <s v="Q2"/>
    <n v="2023"/>
    <x v="4"/>
    <x v="0"/>
  </r>
  <r>
    <n v="671"/>
    <s v="C059"/>
    <n v="31"/>
    <n v="4"/>
    <d v="2023-12-03T00:00:00"/>
    <d v="1899-12-30T06:54:18"/>
    <d v="2023-12-07T00:00:00"/>
    <d v="1899-12-30T23:16:19"/>
    <s v="Karnal"/>
    <x v="6"/>
    <x v="34"/>
    <s v="Nirvi Wagle"/>
    <x v="0"/>
    <x v="43"/>
    <x v="2"/>
    <x v="6"/>
    <n v="1804"/>
    <x v="155"/>
    <n v="5051.2"/>
    <n v="2164.8000000000002"/>
    <n v="0.30000000000000004"/>
    <n v="4"/>
    <x v="6"/>
    <n v="12"/>
    <s v="Q4"/>
    <n v="2023"/>
    <x v="0"/>
    <x v="0"/>
  </r>
  <r>
    <n v="672"/>
    <s v="C049"/>
    <n v="44"/>
    <n v="5"/>
    <d v="2023-11-07T00:00:00"/>
    <d v="1899-12-30T14:06:15"/>
    <d v="2023-11-09T00:00:00"/>
    <d v="1899-12-30T06:46:37"/>
    <s v="Saharanpur"/>
    <x v="1"/>
    <x v="27"/>
    <s v="Aarush Balasubramanian"/>
    <x v="1"/>
    <x v="39"/>
    <x v="5"/>
    <x v="1"/>
    <n v="794"/>
    <x v="284"/>
    <n v="2779"/>
    <n v="1191"/>
    <n v="0.3"/>
    <n v="2"/>
    <x v="1"/>
    <n v="11"/>
    <s v="Q4"/>
    <n v="2023"/>
    <x v="1"/>
    <x v="1"/>
  </r>
  <r>
    <n v="673"/>
    <s v="C008"/>
    <n v="33"/>
    <n v="3"/>
    <d v="2023-02-04T00:00:00"/>
    <d v="1899-12-30T05:54:49"/>
    <d v="2023-02-07T00:00:00"/>
    <d v="1899-12-30T04:25:38"/>
    <s v="Gaya"/>
    <x v="3"/>
    <x v="51"/>
    <s v="Veer Ray"/>
    <x v="1"/>
    <x v="59"/>
    <x v="2"/>
    <x v="3"/>
    <n v="314"/>
    <x v="96"/>
    <n v="659.4"/>
    <n v="282.60000000000002"/>
    <n v="0.30000000000000004"/>
    <n v="3"/>
    <x v="0"/>
    <n v="2"/>
    <s v="Q1"/>
    <n v="2023"/>
    <x v="2"/>
    <x v="2"/>
  </r>
  <r>
    <n v="674"/>
    <s v="C065"/>
    <n v="68"/>
    <n v="2"/>
    <d v="2023-02-07T00:00:00"/>
    <d v="1899-12-30T09:41:25"/>
    <d v="2023-02-16T00:00:00"/>
    <d v="1899-12-30T23:40:25"/>
    <s v="Chennai"/>
    <x v="3"/>
    <x v="10"/>
    <s v="Badal Vora"/>
    <x v="0"/>
    <x v="63"/>
    <x v="4"/>
    <x v="3"/>
    <n v="597"/>
    <x v="177"/>
    <n v="835.8"/>
    <n v="358.20000000000005"/>
    <n v="0.30000000000000004"/>
    <n v="9"/>
    <x v="0"/>
    <n v="2"/>
    <s v="Q1"/>
    <n v="2023"/>
    <x v="1"/>
    <x v="2"/>
  </r>
  <r>
    <n v="675"/>
    <s v="C052"/>
    <n v="13"/>
    <n v="4"/>
    <d v="2023-02-28T00:00:00"/>
    <d v="1899-12-30T08:04:46"/>
    <d v="2023-03-09T00:00:00"/>
    <d v="1899-12-30T23:52:12"/>
    <s v="Pali"/>
    <x v="5"/>
    <x v="9"/>
    <s v="Vardaniya Apte"/>
    <x v="0"/>
    <x v="64"/>
    <x v="6"/>
    <x v="5"/>
    <n v="1141"/>
    <x v="244"/>
    <n v="3194.7999999999997"/>
    <n v="1369.2000000000003"/>
    <n v="0.30000000000000004"/>
    <n v="9"/>
    <x v="0"/>
    <n v="2"/>
    <s v="Q1"/>
    <n v="2023"/>
    <x v="1"/>
    <x v="1"/>
  </r>
  <r>
    <n v="676"/>
    <s v="C038"/>
    <n v="46"/>
    <n v="4"/>
    <d v="2023-02-18T00:00:00"/>
    <d v="1899-12-30T12:42:24"/>
    <d v="2023-02-20T00:00:00"/>
    <d v="1899-12-30T20:52:32"/>
    <s v="Kanpur"/>
    <x v="0"/>
    <x v="53"/>
    <s v="Yakshit Shah"/>
    <x v="1"/>
    <x v="62"/>
    <x v="3"/>
    <x v="0"/>
    <n v="758"/>
    <x v="296"/>
    <n v="2122.4"/>
    <n v="909.59999999999991"/>
    <n v="0.3"/>
    <n v="2"/>
    <x v="0"/>
    <n v="2"/>
    <s v="Q1"/>
    <n v="2023"/>
    <x v="2"/>
    <x v="1"/>
  </r>
  <r>
    <n v="677"/>
    <s v="C045"/>
    <n v="37"/>
    <n v="5"/>
    <d v="2023-11-04T00:00:00"/>
    <d v="1899-12-30T07:54:01"/>
    <d v="2023-11-14T00:00:00"/>
    <d v="1899-12-30T05:32:35"/>
    <s v="Panihati"/>
    <x v="1"/>
    <x v="39"/>
    <s v="Divit Mahajan"/>
    <x v="1"/>
    <x v="28"/>
    <x v="2"/>
    <x v="1"/>
    <n v="1428"/>
    <x v="174"/>
    <n v="4998"/>
    <n v="2142"/>
    <n v="0.3"/>
    <n v="10"/>
    <x v="1"/>
    <n v="11"/>
    <s v="Q4"/>
    <n v="2023"/>
    <x v="2"/>
    <x v="0"/>
  </r>
  <r>
    <n v="678"/>
    <s v="C020"/>
    <n v="31"/>
    <n v="5"/>
    <d v="2023-09-10T00:00:00"/>
    <d v="1899-12-30T14:23:59"/>
    <d v="2023-09-20T00:00:00"/>
    <d v="1899-12-30T10:13:07"/>
    <s v="Jalna"/>
    <x v="6"/>
    <x v="36"/>
    <s v="Samaira Ganesh"/>
    <x v="0"/>
    <x v="43"/>
    <x v="2"/>
    <x v="6"/>
    <n v="1804"/>
    <x v="150"/>
    <n v="6314"/>
    <n v="2706"/>
    <n v="0.3"/>
    <n v="10"/>
    <x v="7"/>
    <n v="9"/>
    <s v="Q3"/>
    <n v="2023"/>
    <x v="0"/>
    <x v="0"/>
  </r>
  <r>
    <n v="679"/>
    <s v="C019"/>
    <n v="56"/>
    <n v="2"/>
    <d v="2023-10-05T00:00:00"/>
    <d v="1899-12-30T17:29:19"/>
    <d v="2023-10-14T00:00:00"/>
    <d v="1899-12-30T12:58:06"/>
    <s v="Durg"/>
    <x v="0"/>
    <x v="1"/>
    <s v="Amira Sengupta"/>
    <x v="0"/>
    <x v="8"/>
    <x v="0"/>
    <x v="0"/>
    <n v="1272"/>
    <x v="165"/>
    <n v="1780.8"/>
    <n v="763.2"/>
    <n v="0.30000000000000004"/>
    <n v="9"/>
    <x v="10"/>
    <n v="10"/>
    <s v="Q4"/>
    <n v="2023"/>
    <x v="5"/>
    <x v="1"/>
  </r>
  <r>
    <n v="680"/>
    <s v="C018"/>
    <n v="56"/>
    <n v="1"/>
    <d v="2023-12-02T00:00:00"/>
    <d v="1899-12-30T22:20:31"/>
    <d v="2023-12-08T00:00:00"/>
    <d v="1899-12-30T02:33:10"/>
    <s v="Avadi"/>
    <x v="0"/>
    <x v="20"/>
    <s v="Eva Vaidya"/>
    <x v="0"/>
    <x v="8"/>
    <x v="0"/>
    <x v="0"/>
    <n v="1272"/>
    <x v="106"/>
    <n v="890.4"/>
    <n v="381.6"/>
    <n v="0.30000000000000004"/>
    <n v="6"/>
    <x v="6"/>
    <n v="12"/>
    <s v="Q4"/>
    <n v="2023"/>
    <x v="6"/>
    <x v="2"/>
  </r>
  <r>
    <n v="681"/>
    <s v="C098"/>
    <n v="23"/>
    <n v="5"/>
    <d v="2023-01-29T00:00:00"/>
    <d v="1899-12-30T10:08:06"/>
    <d v="2023-02-05T00:00:00"/>
    <d v="1899-12-30T12:01:28"/>
    <s v="Nashik"/>
    <x v="0"/>
    <x v="77"/>
    <s v="Navya Golla"/>
    <x v="0"/>
    <x v="13"/>
    <x v="1"/>
    <x v="0"/>
    <n v="1098"/>
    <x v="145"/>
    <n v="3842.9999999999995"/>
    <n v="1647.0000000000005"/>
    <n v="0.3000000000000001"/>
    <n v="7"/>
    <x v="8"/>
    <n v="1"/>
    <s v="Q1"/>
    <n v="2023"/>
    <x v="4"/>
    <x v="0"/>
  </r>
  <r>
    <n v="682"/>
    <s v="C054"/>
    <n v="50"/>
    <n v="5"/>
    <d v="2023-02-26T00:00:00"/>
    <d v="1899-12-30T07:31:16"/>
    <d v="2023-03-05T00:00:00"/>
    <d v="1899-12-30T11:32:33"/>
    <s v="Hyderabad"/>
    <x v="5"/>
    <x v="18"/>
    <s v="Umang Ahuja"/>
    <x v="1"/>
    <x v="56"/>
    <x v="5"/>
    <x v="5"/>
    <n v="422"/>
    <x v="89"/>
    <n v="1477"/>
    <n v="633"/>
    <n v="0.3"/>
    <n v="7"/>
    <x v="0"/>
    <n v="2"/>
    <s v="Q1"/>
    <n v="2023"/>
    <x v="5"/>
    <x v="1"/>
  </r>
  <r>
    <n v="683"/>
    <s v="C024"/>
    <n v="27"/>
    <n v="3"/>
    <d v="2023-08-23T00:00:00"/>
    <d v="1899-12-30T21:26:58"/>
    <d v="2023-08-30T00:00:00"/>
    <d v="1899-12-30T19:25:08"/>
    <s v="Surendranagar Dudhrej"/>
    <x v="4"/>
    <x v="11"/>
    <s v="Jhanvi Chowdhury"/>
    <x v="1"/>
    <x v="7"/>
    <x v="3"/>
    <x v="4"/>
    <n v="548"/>
    <x v="167"/>
    <n v="1150.8"/>
    <n v="493.20000000000005"/>
    <n v="0.30000000000000004"/>
    <n v="7"/>
    <x v="3"/>
    <n v="8"/>
    <s v="Q3"/>
    <n v="2023"/>
    <x v="6"/>
    <x v="2"/>
  </r>
  <r>
    <n v="684"/>
    <s v="C029"/>
    <n v="70"/>
    <n v="3"/>
    <d v="2023-09-17T00:00:00"/>
    <d v="1899-12-30T01:33:50"/>
    <d v="2023-09-25T00:00:00"/>
    <d v="1899-12-30T02:44:39"/>
    <s v="Tumkur"/>
    <x v="2"/>
    <x v="2"/>
    <s v="Badal Sathe"/>
    <x v="1"/>
    <x v="35"/>
    <x v="1"/>
    <x v="2"/>
    <n v="866"/>
    <x v="67"/>
    <n v="1818.6"/>
    <n v="779.40000000000009"/>
    <n v="0.30000000000000004"/>
    <n v="8"/>
    <x v="7"/>
    <n v="9"/>
    <s v="Q3"/>
    <n v="2023"/>
    <x v="0"/>
    <x v="1"/>
  </r>
  <r>
    <n v="685"/>
    <s v="C054"/>
    <n v="22"/>
    <n v="1"/>
    <d v="2023-09-01T00:00:00"/>
    <d v="1899-12-30T21:04:40"/>
    <d v="2023-09-11T00:00:00"/>
    <d v="1899-12-30T08:30:45"/>
    <s v="Sikar"/>
    <x v="6"/>
    <x v="18"/>
    <s v="Umang Ahuja"/>
    <x v="1"/>
    <x v="34"/>
    <x v="4"/>
    <x v="6"/>
    <n v="1639"/>
    <x v="196"/>
    <n v="1147.3"/>
    <n v="491.70000000000005"/>
    <n v="0.30000000000000004"/>
    <n v="10"/>
    <x v="7"/>
    <n v="9"/>
    <s v="Q3"/>
    <n v="2023"/>
    <x v="4"/>
    <x v="2"/>
  </r>
  <r>
    <n v="686"/>
    <s v="C026"/>
    <n v="50"/>
    <n v="1"/>
    <d v="2023-03-01T00:00:00"/>
    <d v="1899-12-30T16:29:38"/>
    <d v="2023-03-11T00:00:00"/>
    <d v="1899-12-30T21:37:59"/>
    <s v="Bardhaman"/>
    <x v="5"/>
    <x v="63"/>
    <s v="Ira Chahal"/>
    <x v="1"/>
    <x v="56"/>
    <x v="5"/>
    <x v="5"/>
    <n v="422"/>
    <x v="214"/>
    <n v="295.39999999999998"/>
    <n v="126.60000000000002"/>
    <n v="0.30000000000000004"/>
    <n v="10"/>
    <x v="5"/>
    <n v="3"/>
    <s v="Q1"/>
    <n v="2023"/>
    <x v="4"/>
    <x v="2"/>
  </r>
  <r>
    <n v="687"/>
    <s v="C098"/>
    <n v="8"/>
    <n v="5"/>
    <d v="2023-03-15T00:00:00"/>
    <d v="1899-12-30T17:57:15"/>
    <d v="2023-03-19T00:00:00"/>
    <d v="1899-12-30T04:50:54"/>
    <s v="Raichur"/>
    <x v="0"/>
    <x v="77"/>
    <s v="Navya Golla"/>
    <x v="0"/>
    <x v="24"/>
    <x v="1"/>
    <x v="0"/>
    <n v="252"/>
    <x v="195"/>
    <n v="881.99999999999989"/>
    <n v="378.00000000000011"/>
    <n v="0.3000000000000001"/>
    <n v="4"/>
    <x v="5"/>
    <n v="3"/>
    <s v="Q1"/>
    <n v="2023"/>
    <x v="4"/>
    <x v="2"/>
  </r>
  <r>
    <n v="688"/>
    <s v="C015"/>
    <n v="54"/>
    <n v="2"/>
    <d v="2023-01-28T00:00:00"/>
    <d v="1899-12-30T19:02:07"/>
    <d v="2023-01-30T00:00:00"/>
    <d v="1899-12-30T13:51:22"/>
    <s v="Lucknow"/>
    <x v="0"/>
    <x v="44"/>
    <s v="Romil Bajwa"/>
    <x v="1"/>
    <x v="30"/>
    <x v="3"/>
    <x v="0"/>
    <n v="1236"/>
    <x v="54"/>
    <n v="1730.3999999999999"/>
    <n v="741.60000000000014"/>
    <n v="0.30000000000000004"/>
    <n v="2"/>
    <x v="8"/>
    <n v="1"/>
    <s v="Q1"/>
    <n v="2023"/>
    <x v="1"/>
    <x v="1"/>
  </r>
  <r>
    <n v="689"/>
    <s v="C046"/>
    <n v="66"/>
    <n v="4"/>
    <d v="2023-03-02T00:00:00"/>
    <d v="1899-12-30T05:52:42"/>
    <d v="2023-03-07T00:00:00"/>
    <d v="1899-12-30T11:00:27"/>
    <s v="Silchar"/>
    <x v="5"/>
    <x v="32"/>
    <s v="Tara Kannan"/>
    <x v="0"/>
    <x v="26"/>
    <x v="2"/>
    <x v="5"/>
    <n v="610"/>
    <x v="297"/>
    <n v="1708"/>
    <n v="732"/>
    <n v="0.3"/>
    <n v="5"/>
    <x v="5"/>
    <n v="3"/>
    <s v="Q1"/>
    <n v="2023"/>
    <x v="6"/>
    <x v="1"/>
  </r>
  <r>
    <n v="690"/>
    <s v="C083"/>
    <n v="48"/>
    <n v="2"/>
    <d v="2023-11-02T00:00:00"/>
    <d v="1899-12-30T21:13:25"/>
    <d v="2023-11-05T00:00:00"/>
    <d v="1899-12-30T21:32:48"/>
    <s v="Jaunpur"/>
    <x v="1"/>
    <x v="62"/>
    <s v="Aaryahi Sodhi"/>
    <x v="0"/>
    <x v="29"/>
    <x v="2"/>
    <x v="1"/>
    <n v="433"/>
    <x v="298"/>
    <n v="606.19999999999993"/>
    <n v="259.80000000000007"/>
    <n v="0.3000000000000001"/>
    <n v="3"/>
    <x v="1"/>
    <n v="11"/>
    <s v="Q4"/>
    <n v="2023"/>
    <x v="6"/>
    <x v="2"/>
  </r>
  <r>
    <n v="691"/>
    <s v="C002"/>
    <n v="48"/>
    <n v="5"/>
    <d v="2023-11-06T00:00:00"/>
    <d v="1899-12-30T05:22:43"/>
    <d v="2023-11-10T00:00:00"/>
    <d v="1899-12-30T11:08:26"/>
    <s v="Naihati"/>
    <x v="1"/>
    <x v="83"/>
    <s v="Myra Edwin"/>
    <x v="1"/>
    <x v="29"/>
    <x v="2"/>
    <x v="1"/>
    <n v="433"/>
    <x v="241"/>
    <n v="1515.4999999999998"/>
    <n v="649.50000000000023"/>
    <n v="0.3000000000000001"/>
    <n v="4"/>
    <x v="1"/>
    <n v="11"/>
    <s v="Q4"/>
    <n v="2023"/>
    <x v="3"/>
    <x v="1"/>
  </r>
  <r>
    <n v="692"/>
    <s v="C035"/>
    <n v="15"/>
    <n v="2"/>
    <d v="2023-08-11T00:00:00"/>
    <d v="1899-12-30T07:04:55"/>
    <d v="2023-08-18T00:00:00"/>
    <d v="1899-12-30T06:44:37"/>
    <s v="Tiruppur"/>
    <x v="0"/>
    <x v="61"/>
    <s v="Ira Sarna"/>
    <x v="0"/>
    <x v="51"/>
    <x v="0"/>
    <x v="0"/>
    <n v="1488"/>
    <x v="184"/>
    <n v="2083.1999999999998"/>
    <n v="892.80000000000018"/>
    <n v="0.30000000000000004"/>
    <n v="7"/>
    <x v="3"/>
    <n v="8"/>
    <s v="Q3"/>
    <n v="2023"/>
    <x v="2"/>
    <x v="1"/>
  </r>
  <r>
    <n v="693"/>
    <s v="C041"/>
    <n v="4"/>
    <n v="5"/>
    <d v="2023-11-04T00:00:00"/>
    <d v="1899-12-30T23:48:55"/>
    <d v="2023-11-07T00:00:00"/>
    <d v="1899-12-30T05:31:27"/>
    <s v="Ghaziabad"/>
    <x v="1"/>
    <x v="19"/>
    <s v="Rati Dhingra"/>
    <x v="0"/>
    <x v="44"/>
    <x v="1"/>
    <x v="1"/>
    <n v="1199"/>
    <x v="178"/>
    <n v="4196.5"/>
    <n v="1798.5"/>
    <n v="0.3"/>
    <n v="3"/>
    <x v="1"/>
    <n v="11"/>
    <s v="Q4"/>
    <n v="2023"/>
    <x v="2"/>
    <x v="0"/>
  </r>
  <r>
    <n v="694"/>
    <s v="C018"/>
    <n v="23"/>
    <n v="2"/>
    <d v="2023-04-15T00:00:00"/>
    <d v="1899-12-30T19:26:27"/>
    <d v="2023-04-21T00:00:00"/>
    <d v="1899-12-30T16:58:51"/>
    <s v="Kozhikode"/>
    <x v="0"/>
    <x v="20"/>
    <s v="Eva Vaidya"/>
    <x v="0"/>
    <x v="13"/>
    <x v="1"/>
    <x v="0"/>
    <n v="1098"/>
    <x v="109"/>
    <n v="1537.1999999999998"/>
    <n v="658.80000000000018"/>
    <n v="0.3000000000000001"/>
    <n v="6"/>
    <x v="9"/>
    <n v="4"/>
    <s v="Q2"/>
    <n v="2023"/>
    <x v="4"/>
    <x v="1"/>
  </r>
  <r>
    <n v="695"/>
    <s v="C046"/>
    <n v="23"/>
    <n v="4"/>
    <d v="2023-03-05T00:00:00"/>
    <d v="1899-12-30T16:36:52"/>
    <d v="2023-03-14T00:00:00"/>
    <d v="1899-12-30T17:01:44"/>
    <s v="Imphal"/>
    <x v="0"/>
    <x v="32"/>
    <s v="Tara Kannan"/>
    <x v="0"/>
    <x v="13"/>
    <x v="1"/>
    <x v="0"/>
    <n v="1098"/>
    <x v="15"/>
    <n v="3074.3999999999996"/>
    <n v="1317.6000000000004"/>
    <n v="0.3000000000000001"/>
    <n v="9"/>
    <x v="5"/>
    <n v="3"/>
    <s v="Q1"/>
    <n v="2023"/>
    <x v="5"/>
    <x v="1"/>
  </r>
  <r>
    <n v="696"/>
    <s v="C046"/>
    <n v="13"/>
    <n v="3"/>
    <d v="2023-03-07T00:00:00"/>
    <d v="1899-12-30T02:42:21"/>
    <d v="2023-03-14T00:00:00"/>
    <d v="1899-12-30T15:08:45"/>
    <s v="Rajpur Sonarpur"/>
    <x v="5"/>
    <x v="32"/>
    <s v="Tara Kannan"/>
    <x v="0"/>
    <x v="64"/>
    <x v="6"/>
    <x v="5"/>
    <n v="1141"/>
    <x v="152"/>
    <n v="2396.1"/>
    <n v="1026.9000000000001"/>
    <n v="0.30000000000000004"/>
    <n v="7"/>
    <x v="5"/>
    <n v="3"/>
    <s v="Q1"/>
    <n v="2023"/>
    <x v="1"/>
    <x v="1"/>
  </r>
  <r>
    <n v="697"/>
    <s v="C026"/>
    <n v="66"/>
    <n v="1"/>
    <d v="2023-03-03T00:00:00"/>
    <d v="1899-12-30T14:20:25"/>
    <d v="2023-03-07T00:00:00"/>
    <d v="1899-12-30T15:14:20"/>
    <s v="Ichalkaranji"/>
    <x v="5"/>
    <x v="63"/>
    <s v="Ira Chahal"/>
    <x v="1"/>
    <x v="26"/>
    <x v="2"/>
    <x v="5"/>
    <n v="610"/>
    <x v="29"/>
    <n v="427"/>
    <n v="183"/>
    <n v="0.3"/>
    <n v="4"/>
    <x v="5"/>
    <n v="3"/>
    <s v="Q1"/>
    <n v="2023"/>
    <x v="0"/>
    <x v="2"/>
  </r>
  <r>
    <n v="698"/>
    <s v="C060"/>
    <n v="64"/>
    <n v="3"/>
    <d v="2023-08-29T00:00:00"/>
    <d v="1899-12-30T20:44:11"/>
    <d v="2023-09-06T00:00:00"/>
    <d v="1899-12-30T15:00:13"/>
    <s v="Ozhukarai"/>
    <x v="4"/>
    <x v="55"/>
    <s v="Riya Wagle"/>
    <x v="0"/>
    <x v="61"/>
    <x v="4"/>
    <x v="4"/>
    <n v="1878"/>
    <x v="161"/>
    <n v="3943.7999999999997"/>
    <n v="1690.2000000000003"/>
    <n v="0.30000000000000004"/>
    <n v="8"/>
    <x v="3"/>
    <n v="8"/>
    <s v="Q3"/>
    <n v="2023"/>
    <x v="4"/>
    <x v="0"/>
  </r>
  <r>
    <n v="699"/>
    <s v="C011"/>
    <n v="1"/>
    <n v="4"/>
    <d v="2023-06-02T00:00:00"/>
    <d v="1899-12-30T12:14:44"/>
    <d v="2023-06-09T00:00:00"/>
    <d v="1899-12-30T23:09:03"/>
    <s v="Chittoor"/>
    <x v="6"/>
    <x v="16"/>
    <s v="Lagan Kapoor"/>
    <x v="1"/>
    <x v="48"/>
    <x v="4"/>
    <x v="6"/>
    <n v="1935"/>
    <x v="193"/>
    <n v="5418"/>
    <n v="2322"/>
    <n v="0.3"/>
    <n v="7"/>
    <x v="11"/>
    <n v="6"/>
    <s v="Q2"/>
    <n v="2023"/>
    <x v="6"/>
    <x v="0"/>
  </r>
  <r>
    <n v="700"/>
    <s v="C006"/>
    <n v="6"/>
    <n v="1"/>
    <d v="2023-03-04T00:00:00"/>
    <d v="1899-12-30T18:17:57"/>
    <d v="2023-03-09T00:00:00"/>
    <d v="1899-12-30T13:43:07"/>
    <s v="Gwalior"/>
    <x v="5"/>
    <x v="33"/>
    <s v="Rania Mann"/>
    <x v="1"/>
    <x v="20"/>
    <x v="3"/>
    <x v="5"/>
    <n v="1112"/>
    <x v="274"/>
    <n v="778.4"/>
    <n v="333.6"/>
    <n v="0.30000000000000004"/>
    <n v="5"/>
    <x v="5"/>
    <n v="3"/>
    <s v="Q1"/>
    <n v="2023"/>
    <x v="2"/>
    <x v="2"/>
  </r>
  <r>
    <n v="701"/>
    <s v="C080"/>
    <n v="41"/>
    <n v="5"/>
    <d v="2023-11-07T00:00:00"/>
    <d v="1899-12-30T10:57:34"/>
    <d v="2023-11-11T00:00:00"/>
    <d v="1899-12-30T04:56:26"/>
    <s v="Tezpur"/>
    <x v="1"/>
    <x v="31"/>
    <s v="Mohanlal Garde"/>
    <x v="0"/>
    <x v="1"/>
    <x v="1"/>
    <x v="1"/>
    <n v="1977"/>
    <x v="182"/>
    <n v="6919.4999999999991"/>
    <n v="2965.5000000000009"/>
    <n v="0.3000000000000001"/>
    <n v="4"/>
    <x v="1"/>
    <n v="11"/>
    <s v="Q4"/>
    <n v="2023"/>
    <x v="1"/>
    <x v="0"/>
  </r>
  <r>
    <n v="702"/>
    <s v="C067"/>
    <n v="60"/>
    <n v="1"/>
    <d v="2023-11-10T00:00:00"/>
    <d v="1899-12-30T08:44:24"/>
    <d v="2023-11-18T00:00:00"/>
    <d v="1899-12-30T06:26:10"/>
    <s v="Giridih"/>
    <x v="1"/>
    <x v="29"/>
    <s v="Eva Sankaran"/>
    <x v="0"/>
    <x v="12"/>
    <x v="1"/>
    <x v="1"/>
    <n v="827"/>
    <x v="12"/>
    <n v="578.9"/>
    <n v="248.10000000000002"/>
    <n v="0.30000000000000004"/>
    <n v="8"/>
    <x v="1"/>
    <n v="11"/>
    <s v="Q4"/>
    <n v="2023"/>
    <x v="0"/>
    <x v="2"/>
  </r>
  <r>
    <n v="703"/>
    <s v="C070"/>
    <n v="53"/>
    <n v="4"/>
    <d v="2023-08-23T00:00:00"/>
    <d v="1899-12-30T16:19:39"/>
    <d v="2023-09-01T00:00:00"/>
    <d v="1899-12-30T06:12:05"/>
    <s v="Khammam"/>
    <x v="4"/>
    <x v="66"/>
    <s v="Emir Gokhale"/>
    <x v="0"/>
    <x v="65"/>
    <x v="1"/>
    <x v="4"/>
    <n v="1672"/>
    <x v="154"/>
    <n v="4681.5999999999995"/>
    <n v="2006.4000000000005"/>
    <n v="0.3000000000000001"/>
    <n v="9"/>
    <x v="3"/>
    <n v="8"/>
    <s v="Q3"/>
    <n v="2023"/>
    <x v="6"/>
    <x v="0"/>
  </r>
  <r>
    <n v="704"/>
    <s v="C061"/>
    <n v="55"/>
    <n v="4"/>
    <d v="2023-08-29T00:00:00"/>
    <d v="1899-12-30T02:27:10"/>
    <d v="2023-08-30T00:00:00"/>
    <d v="1899-12-30T13:36:34"/>
    <s v="Jalgaon"/>
    <x v="4"/>
    <x v="11"/>
    <s v="Akarsh Ramesh"/>
    <x v="1"/>
    <x v="60"/>
    <x v="4"/>
    <x v="4"/>
    <n v="1904"/>
    <x v="146"/>
    <n v="5331.2"/>
    <n v="2284.8000000000002"/>
    <n v="0.30000000000000004"/>
    <n v="1"/>
    <x v="3"/>
    <n v="8"/>
    <s v="Q3"/>
    <n v="2023"/>
    <x v="4"/>
    <x v="0"/>
  </r>
  <r>
    <n v="705"/>
    <s v="C004"/>
    <n v="7"/>
    <n v="1"/>
    <d v="2023-03-05T00:00:00"/>
    <d v="1899-12-30T18:18:01"/>
    <d v="2023-03-14T00:00:00"/>
    <d v="1899-12-30T17:57:09"/>
    <s v="Pimpri-Chinchwad"/>
    <x v="5"/>
    <x v="75"/>
    <s v="Tarini Bava"/>
    <x v="0"/>
    <x v="23"/>
    <x v="4"/>
    <x v="5"/>
    <n v="409"/>
    <x v="299"/>
    <n v="286.29999999999995"/>
    <n v="122.70000000000005"/>
    <n v="0.3000000000000001"/>
    <n v="9"/>
    <x v="5"/>
    <n v="3"/>
    <s v="Q1"/>
    <n v="2023"/>
    <x v="5"/>
    <x v="2"/>
  </r>
  <r>
    <n v="706"/>
    <s v="C091"/>
    <n v="67"/>
    <n v="2"/>
    <d v="2023-04-26T00:00:00"/>
    <d v="1899-12-30T05:35:11"/>
    <d v="2023-05-04T00:00:00"/>
    <d v="1899-12-30T13:13:10"/>
    <s v="Madurai"/>
    <x v="0"/>
    <x v="21"/>
    <s v="Adira Rajan"/>
    <x v="1"/>
    <x v="0"/>
    <x v="0"/>
    <x v="0"/>
    <n v="1374"/>
    <x v="102"/>
    <n v="1923.6"/>
    <n v="824.40000000000009"/>
    <n v="0.30000000000000004"/>
    <n v="8"/>
    <x v="9"/>
    <n v="4"/>
    <s v="Q2"/>
    <n v="2023"/>
    <x v="5"/>
    <x v="1"/>
  </r>
  <r>
    <n v="707"/>
    <s v="C036"/>
    <n v="70"/>
    <n v="4"/>
    <d v="2023-02-03T00:00:00"/>
    <d v="1899-12-30T06:17:26"/>
    <d v="2023-02-12T00:00:00"/>
    <d v="1899-12-30T01:04:19"/>
    <s v="Tirunelveli"/>
    <x v="2"/>
    <x v="38"/>
    <s v="Biju Bajwa"/>
    <x v="1"/>
    <x v="35"/>
    <x v="1"/>
    <x v="2"/>
    <n v="866"/>
    <x v="78"/>
    <n v="2424.7999999999997"/>
    <n v="1039.2000000000003"/>
    <n v="0.3000000000000001"/>
    <n v="9"/>
    <x v="0"/>
    <n v="2"/>
    <s v="Q1"/>
    <n v="2023"/>
    <x v="0"/>
    <x v="1"/>
  </r>
  <r>
    <n v="708"/>
    <s v="C002"/>
    <n v="62"/>
    <n v="3"/>
    <d v="2023-03-03T00:00:00"/>
    <d v="1899-12-30T10:59:15"/>
    <d v="2023-03-12T00:00:00"/>
    <d v="1899-12-30T05:05:35"/>
    <s v="Ozhukarai"/>
    <x v="5"/>
    <x v="83"/>
    <s v="Myra Edwin"/>
    <x v="1"/>
    <x v="14"/>
    <x v="2"/>
    <x v="5"/>
    <n v="1356"/>
    <x v="300"/>
    <n v="2847.6"/>
    <n v="1220.4000000000001"/>
    <n v="0.30000000000000004"/>
    <n v="9"/>
    <x v="5"/>
    <n v="3"/>
    <s v="Q1"/>
    <n v="2023"/>
    <x v="0"/>
    <x v="1"/>
  </r>
  <r>
    <n v="709"/>
    <s v="C016"/>
    <n v="53"/>
    <n v="5"/>
    <d v="2023-08-29T00:00:00"/>
    <d v="1899-12-30T04:38:05"/>
    <d v="2023-09-07T00:00:00"/>
    <d v="1899-12-30T17:29:15"/>
    <s v="Kolkata"/>
    <x v="4"/>
    <x v="73"/>
    <s v="Amani Ganesh"/>
    <x v="0"/>
    <x v="65"/>
    <x v="1"/>
    <x v="4"/>
    <n v="1672"/>
    <x v="287"/>
    <n v="5851.9999999999991"/>
    <n v="2508.0000000000009"/>
    <n v="0.3000000000000001"/>
    <n v="9"/>
    <x v="3"/>
    <n v="8"/>
    <s v="Q3"/>
    <n v="2023"/>
    <x v="4"/>
    <x v="0"/>
  </r>
  <r>
    <n v="710"/>
    <s v="C087"/>
    <n v="54"/>
    <n v="5"/>
    <d v="2023-05-22T00:00:00"/>
    <d v="1899-12-30T01:33:03"/>
    <d v="2023-05-29T00:00:00"/>
    <d v="1899-12-30T01:43:52"/>
    <s v="Jalna"/>
    <x v="0"/>
    <x v="10"/>
    <s v="Rania Bhatt"/>
    <x v="1"/>
    <x v="30"/>
    <x v="3"/>
    <x v="0"/>
    <n v="1236"/>
    <x v="262"/>
    <n v="4326"/>
    <n v="1854"/>
    <n v="0.3"/>
    <n v="7"/>
    <x v="4"/>
    <n v="5"/>
    <s v="Q2"/>
    <n v="2023"/>
    <x v="4"/>
    <x v="0"/>
  </r>
  <r>
    <n v="711"/>
    <s v="C093"/>
    <n v="68"/>
    <n v="3"/>
    <d v="2023-02-04T00:00:00"/>
    <d v="1899-12-30T17:15:28"/>
    <d v="2023-02-06T00:00:00"/>
    <d v="1899-12-30T14:50:53"/>
    <s v="Tiruppur"/>
    <x v="3"/>
    <x v="74"/>
    <s v="Mamooty Bawa"/>
    <x v="0"/>
    <x v="63"/>
    <x v="4"/>
    <x v="3"/>
    <n v="597"/>
    <x v="148"/>
    <n v="1253.6999999999998"/>
    <n v="537.30000000000018"/>
    <n v="0.3000000000000001"/>
    <n v="2"/>
    <x v="0"/>
    <n v="2"/>
    <s v="Q1"/>
    <n v="2023"/>
    <x v="2"/>
    <x v="2"/>
  </r>
  <r>
    <n v="712"/>
    <s v="C057"/>
    <n v="65"/>
    <n v="5"/>
    <d v="2023-07-11T00:00:00"/>
    <d v="1899-12-30T13:00:12"/>
    <d v="2023-07-13T00:00:00"/>
    <d v="1899-12-30T06:34:57"/>
    <s v="Hazaribagh"/>
    <x v="6"/>
    <x v="47"/>
    <s v="Zain Hegde"/>
    <x v="1"/>
    <x v="35"/>
    <x v="0"/>
    <x v="6"/>
    <n v="1895"/>
    <x v="301"/>
    <n v="6632.5"/>
    <n v="2842.5"/>
    <n v="0.3"/>
    <n v="2"/>
    <x v="2"/>
    <n v="7"/>
    <s v="Q3"/>
    <n v="2023"/>
    <x v="2"/>
    <x v="0"/>
  </r>
  <r>
    <n v="713"/>
    <s v="C081"/>
    <n v="37"/>
    <n v="3"/>
    <d v="2023-11-08T00:00:00"/>
    <d v="1899-12-30T23:24:22"/>
    <d v="2023-11-15T00:00:00"/>
    <d v="1899-12-30T22:51:21"/>
    <s v="Tiruppur"/>
    <x v="1"/>
    <x v="58"/>
    <s v="Kaira Ramachandran"/>
    <x v="0"/>
    <x v="28"/>
    <x v="2"/>
    <x v="1"/>
    <n v="1428"/>
    <x v="31"/>
    <n v="2998.7999999999997"/>
    <n v="1285.2000000000003"/>
    <n v="0.30000000000000004"/>
    <n v="7"/>
    <x v="1"/>
    <n v="11"/>
    <s v="Q4"/>
    <n v="2023"/>
    <x v="4"/>
    <x v="1"/>
  </r>
  <r>
    <n v="714"/>
    <s v="C053"/>
    <n v="63"/>
    <n v="2"/>
    <d v="2023-06-01T00:00:00"/>
    <d v="1899-12-30T19:28:09"/>
    <d v="2023-06-03T00:00:00"/>
    <d v="1899-12-30T07:54:01"/>
    <s v="Dhule"/>
    <x v="6"/>
    <x v="52"/>
    <s v="Kismat Kapadia"/>
    <x v="1"/>
    <x v="67"/>
    <x v="1"/>
    <x v="6"/>
    <n v="1348"/>
    <x v="302"/>
    <n v="1887.1999999999998"/>
    <n v="808.80000000000018"/>
    <n v="0.30000000000000004"/>
    <n v="2"/>
    <x v="11"/>
    <n v="6"/>
    <s v="Q2"/>
    <n v="2023"/>
    <x v="4"/>
    <x v="1"/>
  </r>
  <r>
    <n v="715"/>
    <s v="C069"/>
    <n v="38"/>
    <n v="4"/>
    <d v="2023-04-14T00:00:00"/>
    <d v="1899-12-30T05:16:43"/>
    <d v="2023-04-21T00:00:00"/>
    <d v="1899-12-30T16:39:31"/>
    <s v="Tenali"/>
    <x v="2"/>
    <x v="13"/>
    <s v="Hunar Tripathi"/>
    <x v="1"/>
    <x v="10"/>
    <x v="3"/>
    <x v="2"/>
    <n v="562"/>
    <x v="237"/>
    <n v="1573.6"/>
    <n v="674.40000000000009"/>
    <n v="0.30000000000000004"/>
    <n v="7"/>
    <x v="9"/>
    <n v="4"/>
    <s v="Q2"/>
    <n v="2023"/>
    <x v="1"/>
    <x v="1"/>
  </r>
  <r>
    <n v="716"/>
    <s v="C076"/>
    <n v="40"/>
    <n v="3"/>
    <d v="2023-08-19T00:00:00"/>
    <d v="1899-12-30T23:18:12"/>
    <d v="2023-08-26T00:00:00"/>
    <d v="1899-12-30T01:39:58"/>
    <s v="Berhampore"/>
    <x v="0"/>
    <x v="78"/>
    <s v="Oorja Dayal"/>
    <x v="1"/>
    <x v="46"/>
    <x v="1"/>
    <x v="0"/>
    <n v="1923"/>
    <x v="281"/>
    <n v="4038.2999999999997"/>
    <n v="1730.7000000000003"/>
    <n v="0.30000000000000004"/>
    <n v="7"/>
    <x v="3"/>
    <n v="8"/>
    <s v="Q3"/>
    <n v="2023"/>
    <x v="5"/>
    <x v="0"/>
  </r>
  <r>
    <n v="717"/>
    <s v="C059"/>
    <n v="67"/>
    <n v="5"/>
    <d v="2023-06-25T00:00:00"/>
    <d v="1899-12-30T06:18:32"/>
    <d v="2023-06-26T00:00:00"/>
    <d v="1899-12-30T23:20:48"/>
    <s v="Yamunanagar"/>
    <x v="0"/>
    <x v="34"/>
    <s v="Nirvi Wagle"/>
    <x v="0"/>
    <x v="0"/>
    <x v="0"/>
    <x v="0"/>
    <n v="1374"/>
    <x v="0"/>
    <n v="4809"/>
    <n v="2061"/>
    <n v="0.3"/>
    <n v="1"/>
    <x v="11"/>
    <n v="6"/>
    <s v="Q2"/>
    <n v="2023"/>
    <x v="2"/>
    <x v="0"/>
  </r>
  <r>
    <n v="718"/>
    <s v="C028"/>
    <n v="49"/>
    <n v="1"/>
    <d v="2023-02-09T00:00:00"/>
    <d v="1899-12-30T05:13:35"/>
    <d v="2023-02-13T00:00:00"/>
    <d v="1899-12-30T06:22:05"/>
    <s v="Jabalpur"/>
    <x v="3"/>
    <x v="48"/>
    <s v="Hridaan Rajagopalan"/>
    <x v="1"/>
    <x v="32"/>
    <x v="2"/>
    <x v="3"/>
    <n v="903"/>
    <x v="234"/>
    <n v="632.09999999999991"/>
    <n v="270.90000000000009"/>
    <n v="0.3000000000000001"/>
    <n v="4"/>
    <x v="0"/>
    <n v="2"/>
    <s v="Q1"/>
    <n v="2023"/>
    <x v="6"/>
    <x v="2"/>
  </r>
  <r>
    <n v="719"/>
    <s v="C092"/>
    <n v="57"/>
    <n v="3"/>
    <d v="2023-07-12T00:00:00"/>
    <d v="1899-12-30T07:44:51"/>
    <d v="2023-07-19T00:00:00"/>
    <d v="1899-12-30T01:51:24"/>
    <s v="Phagwara"/>
    <x v="2"/>
    <x v="38"/>
    <s v="Zoya Mani"/>
    <x v="0"/>
    <x v="57"/>
    <x v="2"/>
    <x v="2"/>
    <n v="1582"/>
    <x v="288"/>
    <n v="3322.2"/>
    <n v="1423.8000000000002"/>
    <n v="0.30000000000000004"/>
    <n v="7"/>
    <x v="2"/>
    <n v="7"/>
    <s v="Q3"/>
    <n v="2023"/>
    <x v="5"/>
    <x v="1"/>
  </r>
  <r>
    <n v="720"/>
    <s v="C045"/>
    <n v="22"/>
    <n v="5"/>
    <d v="2023-12-15T00:00:00"/>
    <d v="1899-12-30T14:42:41"/>
    <d v="2023-12-20T00:00:00"/>
    <d v="1899-12-30T06:07:08"/>
    <s v="Vellore"/>
    <x v="6"/>
    <x v="39"/>
    <s v="Divit Mahajan"/>
    <x v="1"/>
    <x v="34"/>
    <x v="4"/>
    <x v="6"/>
    <n v="1639"/>
    <x v="138"/>
    <n v="5736.5"/>
    <n v="2458.5"/>
    <n v="0.3"/>
    <n v="5"/>
    <x v="6"/>
    <n v="12"/>
    <s v="Q4"/>
    <n v="2023"/>
    <x v="4"/>
    <x v="0"/>
  </r>
  <r>
    <n v="721"/>
    <s v="C022"/>
    <n v="3"/>
    <n v="5"/>
    <d v="2023-02-07T00:00:00"/>
    <d v="1899-12-30T03:28:21"/>
    <d v="2023-02-17T00:00:00"/>
    <d v="1899-12-30T18:28:02"/>
    <s v="Vasai-Virar"/>
    <x v="3"/>
    <x v="67"/>
    <s v="Ivana Rout"/>
    <x v="0"/>
    <x v="52"/>
    <x v="2"/>
    <x v="3"/>
    <n v="1534"/>
    <x v="72"/>
    <n v="5369"/>
    <n v="2301"/>
    <n v="0.3"/>
    <n v="10"/>
    <x v="0"/>
    <n v="2"/>
    <s v="Q1"/>
    <n v="2023"/>
    <x v="1"/>
    <x v="0"/>
  </r>
  <r>
    <n v="722"/>
    <s v="C044"/>
    <n v="13"/>
    <n v="5"/>
    <d v="2023-03-02T00:00:00"/>
    <d v="1899-12-30T17:30:25"/>
    <d v="2023-03-08T00:00:00"/>
    <d v="1899-12-30T08:06:58"/>
    <s v="Mathura"/>
    <x v="5"/>
    <x v="8"/>
    <s v="Seher Mann"/>
    <x v="0"/>
    <x v="64"/>
    <x v="6"/>
    <x v="5"/>
    <n v="1141"/>
    <x v="218"/>
    <n v="3993.4999999999995"/>
    <n v="1711.5000000000005"/>
    <n v="0.3000000000000001"/>
    <n v="6"/>
    <x v="5"/>
    <n v="3"/>
    <s v="Q1"/>
    <n v="2023"/>
    <x v="6"/>
    <x v="0"/>
  </r>
  <r>
    <n v="723"/>
    <s v="C045"/>
    <n v="14"/>
    <n v="3"/>
    <d v="2023-02-04T00:00:00"/>
    <d v="1899-12-30T18:00:57"/>
    <d v="2023-02-05T00:00:00"/>
    <d v="1899-12-30T00:57:28"/>
    <s v="Mau"/>
    <x v="2"/>
    <x v="39"/>
    <s v="Divit Mahajan"/>
    <x v="1"/>
    <x v="2"/>
    <x v="2"/>
    <x v="2"/>
    <n v="1915"/>
    <x v="267"/>
    <n v="4021.5"/>
    <n v="1723.5"/>
    <n v="0.3"/>
    <n v="1"/>
    <x v="0"/>
    <n v="2"/>
    <s v="Q1"/>
    <n v="2023"/>
    <x v="2"/>
    <x v="0"/>
  </r>
  <r>
    <n v="724"/>
    <s v="C059"/>
    <n v="51"/>
    <n v="1"/>
    <d v="2023-04-08T00:00:00"/>
    <d v="1899-12-30T23:02:18"/>
    <d v="2023-04-16T00:00:00"/>
    <d v="1899-12-30T08:00:19"/>
    <s v="Pallavaram"/>
    <x v="6"/>
    <x v="34"/>
    <s v="Nirvi Wagle"/>
    <x v="0"/>
    <x v="38"/>
    <x v="4"/>
    <x v="6"/>
    <n v="1084"/>
    <x v="207"/>
    <n v="758.8"/>
    <n v="325.20000000000005"/>
    <n v="0.30000000000000004"/>
    <n v="8"/>
    <x v="9"/>
    <n v="4"/>
    <s v="Q2"/>
    <n v="2023"/>
    <x v="4"/>
    <x v="2"/>
  </r>
  <r>
    <n v="725"/>
    <s v="C035"/>
    <n v="35"/>
    <n v="3"/>
    <d v="2023-03-06T00:00:00"/>
    <d v="1899-12-30T23:23:18"/>
    <d v="2023-03-11T00:00:00"/>
    <d v="1899-12-30T20:03:47"/>
    <s v="Kishanganj"/>
    <x v="5"/>
    <x v="61"/>
    <s v="Ira Sarna"/>
    <x v="0"/>
    <x v="31"/>
    <x v="2"/>
    <x v="5"/>
    <n v="1865"/>
    <x v="120"/>
    <n v="3916.5"/>
    <n v="1678.5"/>
    <n v="0.3"/>
    <n v="5"/>
    <x v="5"/>
    <n v="3"/>
    <s v="Q1"/>
    <n v="2023"/>
    <x v="3"/>
    <x v="0"/>
  </r>
  <r>
    <n v="726"/>
    <s v="C044"/>
    <n v="34"/>
    <n v="2"/>
    <d v="2023-08-21T00:00:00"/>
    <d v="1899-12-30T19:10:31"/>
    <d v="2023-08-31T00:00:00"/>
    <d v="1899-12-30T18:54:28"/>
    <s v="Hindupur"/>
    <x v="4"/>
    <x v="8"/>
    <s v="Seher Mann"/>
    <x v="0"/>
    <x v="41"/>
    <x v="4"/>
    <x v="4"/>
    <n v="1335"/>
    <x v="189"/>
    <n v="1868.9999999999998"/>
    <n v="801.00000000000023"/>
    <n v="0.3000000000000001"/>
    <n v="10"/>
    <x v="3"/>
    <n v="8"/>
    <s v="Q3"/>
    <n v="2023"/>
    <x v="1"/>
    <x v="1"/>
  </r>
  <r>
    <n v="727"/>
    <s v="C061"/>
    <n v="12"/>
    <n v="5"/>
    <d v="2023-11-18T00:00:00"/>
    <d v="1899-12-30T01:37:03"/>
    <d v="2023-11-22T00:00:00"/>
    <d v="1899-12-30T16:22:32"/>
    <s v="Anand"/>
    <x v="0"/>
    <x v="11"/>
    <s v="Akarsh Ramesh"/>
    <x v="1"/>
    <x v="17"/>
    <x v="5"/>
    <x v="0"/>
    <n v="672"/>
    <x v="204"/>
    <n v="2352"/>
    <n v="1008"/>
    <n v="0.3"/>
    <n v="4"/>
    <x v="1"/>
    <n v="11"/>
    <s v="Q4"/>
    <n v="2023"/>
    <x v="2"/>
    <x v="1"/>
  </r>
  <r>
    <n v="728"/>
    <s v="C073"/>
    <n v="52"/>
    <n v="2"/>
    <d v="2023-02-08T00:00:00"/>
    <d v="1899-12-30T13:45:46"/>
    <d v="2023-02-11T00:00:00"/>
    <d v="1899-12-30T16:07:16"/>
    <s v="Panchkula"/>
    <x v="3"/>
    <x v="82"/>
    <s v="Zeeshan Tailor"/>
    <x v="0"/>
    <x v="15"/>
    <x v="0"/>
    <x v="3"/>
    <n v="236"/>
    <x v="303"/>
    <n v="330.4"/>
    <n v="141.60000000000002"/>
    <n v="0.30000000000000004"/>
    <n v="3"/>
    <x v="0"/>
    <n v="2"/>
    <s v="Q1"/>
    <n v="2023"/>
    <x v="4"/>
    <x v="2"/>
  </r>
  <r>
    <n v="729"/>
    <s v="C030"/>
    <n v="17"/>
    <n v="1"/>
    <d v="2023-02-23T00:00:00"/>
    <d v="1899-12-30T18:19:53"/>
    <d v="2023-02-25T00:00:00"/>
    <d v="1899-12-30T11:51:19"/>
    <s v="Kollam"/>
    <x v="0"/>
    <x v="64"/>
    <s v="Vardaniya Contractor"/>
    <x v="0"/>
    <x v="25"/>
    <x v="4"/>
    <x v="0"/>
    <n v="1899"/>
    <x v="58"/>
    <n v="1329.3"/>
    <n v="569.70000000000005"/>
    <n v="0.30000000000000004"/>
    <n v="2"/>
    <x v="0"/>
    <n v="2"/>
    <s v="Q1"/>
    <n v="2023"/>
    <x v="6"/>
    <x v="2"/>
  </r>
  <r>
    <n v="730"/>
    <s v="C097"/>
    <n v="59"/>
    <n v="1"/>
    <d v="2023-08-22T00:00:00"/>
    <d v="1899-12-30T02:04:03"/>
    <d v="2023-08-25T00:00:00"/>
    <d v="1899-12-30T22:39:30"/>
    <s v="Sangli-Miraj &amp; Kupwad"/>
    <x v="4"/>
    <x v="7"/>
    <s v="Nakul Randhawa"/>
    <x v="1"/>
    <x v="58"/>
    <x v="3"/>
    <x v="4"/>
    <n v="811"/>
    <x v="260"/>
    <n v="567.69999999999993"/>
    <n v="243.30000000000007"/>
    <n v="0.3000000000000001"/>
    <n v="3"/>
    <x v="3"/>
    <n v="8"/>
    <s v="Q3"/>
    <n v="2023"/>
    <x v="4"/>
    <x v="2"/>
  </r>
  <r>
    <n v="731"/>
    <s v="C083"/>
    <n v="59"/>
    <n v="5"/>
    <d v="2023-08-25T00:00:00"/>
    <d v="1899-12-30T12:01:20"/>
    <d v="2023-09-02T00:00:00"/>
    <d v="1899-12-30T11:02:31"/>
    <s v="Bulandshahr"/>
    <x v="4"/>
    <x v="62"/>
    <s v="Aaryahi Sodhi"/>
    <x v="0"/>
    <x v="58"/>
    <x v="3"/>
    <x v="4"/>
    <n v="811"/>
    <x v="111"/>
    <n v="2838.4999999999995"/>
    <n v="1216.5000000000005"/>
    <n v="0.3000000000000001"/>
    <n v="8"/>
    <x v="3"/>
    <n v="8"/>
    <s v="Q3"/>
    <n v="2023"/>
    <x v="2"/>
    <x v="1"/>
  </r>
  <r>
    <n v="732"/>
    <s v="C087"/>
    <n v="1"/>
    <n v="2"/>
    <d v="2023-10-16T00:00:00"/>
    <d v="1899-12-30T16:47:12"/>
    <d v="2023-10-21T00:00:00"/>
    <d v="1899-12-30T18:56:15"/>
    <s v="Bongaigaon"/>
    <x v="6"/>
    <x v="10"/>
    <s v="Rania Bhatt"/>
    <x v="1"/>
    <x v="48"/>
    <x v="4"/>
    <x v="6"/>
    <n v="1935"/>
    <x v="186"/>
    <n v="2709"/>
    <n v="1161"/>
    <n v="0.3"/>
    <n v="5"/>
    <x v="10"/>
    <n v="10"/>
    <s v="Q4"/>
    <n v="2023"/>
    <x v="6"/>
    <x v="1"/>
  </r>
  <r>
    <n v="733"/>
    <s v="C060"/>
    <n v="32"/>
    <n v="3"/>
    <d v="2023-04-01T00:00:00"/>
    <d v="1899-12-30T00:51:37"/>
    <d v="2023-04-03T00:00:00"/>
    <d v="1899-12-30T02:26:43"/>
    <s v="Ludhiana"/>
    <x v="2"/>
    <x v="55"/>
    <s v="Riya Wagle"/>
    <x v="0"/>
    <x v="16"/>
    <x v="4"/>
    <x v="2"/>
    <n v="1792"/>
    <x v="290"/>
    <n v="3763.2"/>
    <n v="1612.8000000000002"/>
    <n v="0.30000000000000004"/>
    <n v="2"/>
    <x v="9"/>
    <n v="4"/>
    <s v="Q2"/>
    <n v="2023"/>
    <x v="4"/>
    <x v="0"/>
  </r>
  <r>
    <n v="734"/>
    <s v="C008"/>
    <n v="49"/>
    <n v="3"/>
    <d v="2023-02-11T00:00:00"/>
    <d v="1899-12-30T11:44:37"/>
    <d v="2023-02-14T00:00:00"/>
    <d v="1899-12-30T09:06:06"/>
    <s v="Morena"/>
    <x v="3"/>
    <x v="51"/>
    <s v="Veer Ray"/>
    <x v="1"/>
    <x v="32"/>
    <x v="2"/>
    <x v="3"/>
    <n v="903"/>
    <x v="36"/>
    <n v="1896.2999999999997"/>
    <n v="812.70000000000027"/>
    <n v="0.3000000000000001"/>
    <n v="3"/>
    <x v="0"/>
    <n v="2"/>
    <s v="Q1"/>
    <n v="2023"/>
    <x v="2"/>
    <x v="1"/>
  </r>
  <r>
    <n v="735"/>
    <s v="C037"/>
    <n v="56"/>
    <n v="1"/>
    <d v="2023-02-02T00:00:00"/>
    <d v="1899-12-30T07:22:26"/>
    <d v="2023-02-04T00:00:00"/>
    <d v="1899-12-30T05:57:58"/>
    <s v="Nandyal"/>
    <x v="0"/>
    <x v="0"/>
    <s v="Aradhya Kumar"/>
    <x v="0"/>
    <x v="8"/>
    <x v="0"/>
    <x v="0"/>
    <n v="1272"/>
    <x v="106"/>
    <n v="890.4"/>
    <n v="381.6"/>
    <n v="0.30000000000000004"/>
    <n v="2"/>
    <x v="0"/>
    <n v="2"/>
    <s v="Q1"/>
    <n v="2023"/>
    <x v="6"/>
    <x v="2"/>
  </r>
  <r>
    <n v="736"/>
    <s v="C008"/>
    <n v="70"/>
    <n v="5"/>
    <d v="2023-05-02T00:00:00"/>
    <d v="1899-12-30T03:47:04"/>
    <d v="2023-05-11T00:00:00"/>
    <d v="1899-12-30T04:38:44"/>
    <s v="Ghaziabad"/>
    <x v="2"/>
    <x v="51"/>
    <s v="Veer Ray"/>
    <x v="1"/>
    <x v="35"/>
    <x v="1"/>
    <x v="2"/>
    <n v="866"/>
    <x v="144"/>
    <n v="3030.9999999999995"/>
    <n v="1299.0000000000005"/>
    <n v="0.3000000000000001"/>
    <n v="9"/>
    <x v="4"/>
    <n v="5"/>
    <s v="Q2"/>
    <n v="2023"/>
    <x v="6"/>
    <x v="1"/>
  </r>
  <r>
    <n v="737"/>
    <s v="C068"/>
    <n v="46"/>
    <n v="5"/>
    <d v="2023-09-14T00:00:00"/>
    <d v="1899-12-30T07:35:50"/>
    <d v="2023-09-17T00:00:00"/>
    <d v="1899-12-30T13:37:05"/>
    <s v="Bhilwara"/>
    <x v="0"/>
    <x v="34"/>
    <s v="Ritvik Garde"/>
    <x v="0"/>
    <x v="62"/>
    <x v="3"/>
    <x v="0"/>
    <n v="758"/>
    <x v="62"/>
    <n v="2653"/>
    <n v="1137"/>
    <n v="0.3"/>
    <n v="3"/>
    <x v="7"/>
    <n v="9"/>
    <s v="Q3"/>
    <n v="2023"/>
    <x v="1"/>
    <x v="1"/>
  </r>
  <r>
    <n v="738"/>
    <s v="C098"/>
    <n v="16"/>
    <n v="5"/>
    <d v="2023-03-03T00:00:00"/>
    <d v="1899-12-30T16:23:38"/>
    <d v="2023-03-09T00:00:00"/>
    <d v="1899-12-30T01:36:32"/>
    <s v="Maheshtala"/>
    <x v="5"/>
    <x v="77"/>
    <s v="Navya Golla"/>
    <x v="0"/>
    <x v="9"/>
    <x v="1"/>
    <x v="5"/>
    <n v="1721"/>
    <x v="156"/>
    <n v="6023.4999999999991"/>
    <n v="2581.5000000000009"/>
    <n v="0.3000000000000001"/>
    <n v="6"/>
    <x v="5"/>
    <n v="3"/>
    <s v="Q1"/>
    <n v="2023"/>
    <x v="0"/>
    <x v="0"/>
  </r>
  <r>
    <n v="739"/>
    <s v="C094"/>
    <n v="24"/>
    <n v="5"/>
    <d v="2023-01-30T00:00:00"/>
    <d v="1899-12-30T09:43:50"/>
    <d v="2023-02-03T00:00:00"/>
    <d v="1899-12-30T10:33:33"/>
    <s v="Berhampur"/>
    <x v="2"/>
    <x v="69"/>
    <s v="Raghav Babu"/>
    <x v="1"/>
    <x v="54"/>
    <x v="6"/>
    <x v="2"/>
    <n v="535"/>
    <x v="97"/>
    <n v="1872.5"/>
    <n v="802.5"/>
    <n v="0.3"/>
    <n v="4"/>
    <x v="8"/>
    <n v="1"/>
    <s v="Q1"/>
    <n v="2023"/>
    <x v="6"/>
    <x v="1"/>
  </r>
  <r>
    <n v="740"/>
    <s v="C004"/>
    <n v="56"/>
    <n v="4"/>
    <d v="2023-11-07T00:00:00"/>
    <d v="1899-12-30T16:11:58"/>
    <d v="2023-11-12T00:00:00"/>
    <d v="1899-12-30T10:07:51"/>
    <s v="Silchar"/>
    <x v="0"/>
    <x v="75"/>
    <s v="Tarini Bava"/>
    <x v="0"/>
    <x v="8"/>
    <x v="0"/>
    <x v="0"/>
    <n v="1272"/>
    <x v="272"/>
    <n v="3561.6"/>
    <n v="1526.4"/>
    <n v="0.30000000000000004"/>
    <n v="5"/>
    <x v="1"/>
    <n v="11"/>
    <s v="Q4"/>
    <n v="2023"/>
    <x v="1"/>
    <x v="0"/>
  </r>
  <r>
    <n v="741"/>
    <s v="C072"/>
    <n v="53"/>
    <n v="5"/>
    <d v="2023-08-23T00:00:00"/>
    <d v="1899-12-30T12:47:09"/>
    <d v="2023-09-01T00:00:00"/>
    <d v="1899-12-30T21:37:19"/>
    <s v="Siwan"/>
    <x v="4"/>
    <x v="15"/>
    <s v="Charvi Karnik"/>
    <x v="0"/>
    <x v="65"/>
    <x v="1"/>
    <x v="4"/>
    <n v="1672"/>
    <x v="287"/>
    <n v="5851.9999999999991"/>
    <n v="2508.0000000000009"/>
    <n v="0.3000000000000001"/>
    <n v="9"/>
    <x v="3"/>
    <n v="8"/>
    <s v="Q3"/>
    <n v="2023"/>
    <x v="6"/>
    <x v="0"/>
  </r>
  <r>
    <n v="742"/>
    <s v="C089"/>
    <n v="53"/>
    <n v="5"/>
    <d v="2023-08-24T00:00:00"/>
    <d v="1899-12-30T19:50:07"/>
    <d v="2023-08-26T00:00:00"/>
    <d v="1899-12-30T15:58:06"/>
    <s v="Panchkula"/>
    <x v="4"/>
    <x v="76"/>
    <s v="Oorja Dey"/>
    <x v="1"/>
    <x v="65"/>
    <x v="1"/>
    <x v="4"/>
    <n v="1672"/>
    <x v="287"/>
    <n v="5851.9999999999991"/>
    <n v="2508.0000000000009"/>
    <n v="0.3000000000000001"/>
    <n v="2"/>
    <x v="3"/>
    <n v="8"/>
    <s v="Q3"/>
    <n v="2023"/>
    <x v="0"/>
    <x v="0"/>
  </r>
  <r>
    <n v="743"/>
    <s v="C045"/>
    <n v="4"/>
    <n v="2"/>
    <d v="2023-11-09T00:00:00"/>
    <d v="1899-12-30T13:28:07"/>
    <d v="2023-11-13T00:00:00"/>
    <d v="1899-12-30T01:16:24"/>
    <s v="Tiruppur"/>
    <x v="1"/>
    <x v="39"/>
    <s v="Divit Mahajan"/>
    <x v="1"/>
    <x v="44"/>
    <x v="1"/>
    <x v="1"/>
    <n v="1199"/>
    <x v="229"/>
    <n v="1678.6"/>
    <n v="719.40000000000009"/>
    <n v="0.30000000000000004"/>
    <n v="4"/>
    <x v="1"/>
    <n v="11"/>
    <s v="Q4"/>
    <n v="2023"/>
    <x v="6"/>
    <x v="1"/>
  </r>
  <r>
    <n v="744"/>
    <s v="C023"/>
    <n v="45"/>
    <n v="4"/>
    <d v="2023-10-13T00:00:00"/>
    <d v="1899-12-30T17:53:21"/>
    <d v="2023-10-14T00:00:00"/>
    <d v="1899-12-30T08:02:05"/>
    <s v="Junagadh"/>
    <x v="2"/>
    <x v="18"/>
    <s v="Abram Sandhu"/>
    <x v="0"/>
    <x v="5"/>
    <x v="0"/>
    <x v="2"/>
    <n v="722"/>
    <x v="50"/>
    <n v="2021.6"/>
    <n v="866.40000000000009"/>
    <n v="0.30000000000000004"/>
    <n v="1"/>
    <x v="10"/>
    <n v="10"/>
    <s v="Q4"/>
    <n v="2023"/>
    <x v="3"/>
    <x v="1"/>
  </r>
  <r>
    <n v="745"/>
    <s v="C052"/>
    <n v="44"/>
    <n v="1"/>
    <d v="2023-11-07T00:00:00"/>
    <d v="1899-12-30T09:12:26"/>
    <d v="2023-11-09T00:00:00"/>
    <d v="1899-12-30T00:30:04"/>
    <s v="Kolkata"/>
    <x v="1"/>
    <x v="9"/>
    <s v="Vardaniya Apte"/>
    <x v="0"/>
    <x v="39"/>
    <x v="5"/>
    <x v="1"/>
    <n v="794"/>
    <x v="304"/>
    <n v="555.79999999999995"/>
    <n v="238.20000000000005"/>
    <n v="0.30000000000000004"/>
    <n v="2"/>
    <x v="1"/>
    <n v="11"/>
    <s v="Q4"/>
    <n v="2023"/>
    <x v="1"/>
    <x v="2"/>
  </r>
  <r>
    <n v="746"/>
    <s v="C051"/>
    <n v="35"/>
    <n v="2"/>
    <d v="2023-03-02T00:00:00"/>
    <d v="1899-12-30T05:23:29"/>
    <d v="2023-03-06T00:00:00"/>
    <d v="1899-12-30T06:24:41"/>
    <s v="Parbhani"/>
    <x v="5"/>
    <x v="65"/>
    <s v="Aradhya Batta"/>
    <x v="1"/>
    <x v="31"/>
    <x v="2"/>
    <x v="5"/>
    <n v="1865"/>
    <x v="121"/>
    <n v="2611"/>
    <n v="1119"/>
    <n v="0.3"/>
    <n v="4"/>
    <x v="5"/>
    <n v="3"/>
    <s v="Q1"/>
    <n v="2023"/>
    <x v="6"/>
    <x v="1"/>
  </r>
  <r>
    <n v="747"/>
    <s v="C009"/>
    <n v="6"/>
    <n v="4"/>
    <d v="2023-03-06T00:00:00"/>
    <d v="1899-12-30T03:43:24"/>
    <d v="2023-03-11T00:00:00"/>
    <d v="1899-12-30T16:38:35"/>
    <s v="Dhanbad"/>
    <x v="5"/>
    <x v="6"/>
    <s v="Ritvik Borah"/>
    <x v="1"/>
    <x v="20"/>
    <x v="3"/>
    <x v="5"/>
    <n v="1112"/>
    <x v="52"/>
    <n v="3113.6"/>
    <n v="1334.4"/>
    <n v="0.30000000000000004"/>
    <n v="5"/>
    <x v="5"/>
    <n v="3"/>
    <s v="Q1"/>
    <n v="2023"/>
    <x v="3"/>
    <x v="1"/>
  </r>
  <r>
    <n v="748"/>
    <s v="C079"/>
    <n v="26"/>
    <n v="1"/>
    <d v="2023-03-06T00:00:00"/>
    <d v="1899-12-30T11:13:52"/>
    <d v="2023-03-07T00:00:00"/>
    <d v="1899-12-30T20:26:40"/>
    <s v="Tenali"/>
    <x v="5"/>
    <x v="79"/>
    <s v="Vedika Sankaran"/>
    <x v="1"/>
    <x v="42"/>
    <x v="2"/>
    <x v="5"/>
    <n v="289"/>
    <x v="60"/>
    <n v="202.29999999999998"/>
    <n v="86.700000000000017"/>
    <n v="0.30000000000000004"/>
    <n v="1"/>
    <x v="5"/>
    <n v="3"/>
    <s v="Q1"/>
    <n v="2023"/>
    <x v="3"/>
    <x v="2"/>
  </r>
  <r>
    <n v="749"/>
    <s v="C099"/>
    <n v="12"/>
    <n v="2"/>
    <d v="2023-06-19T00:00:00"/>
    <d v="1899-12-30T13:13:17"/>
    <d v="2023-06-24T00:00:00"/>
    <d v="1899-12-30T03:37:13"/>
    <s v="Nanded"/>
    <x v="0"/>
    <x v="9"/>
    <s v="Ranbir Loyal"/>
    <x v="1"/>
    <x v="17"/>
    <x v="5"/>
    <x v="0"/>
    <n v="672"/>
    <x v="250"/>
    <n v="940.8"/>
    <n v="403.20000000000005"/>
    <n v="0.30000000000000004"/>
    <n v="5"/>
    <x v="11"/>
    <n v="6"/>
    <s v="Q2"/>
    <n v="2023"/>
    <x v="5"/>
    <x v="2"/>
  </r>
  <r>
    <n v="750"/>
    <s v="C022"/>
    <n v="19"/>
    <n v="3"/>
    <d v="2023-02-08T00:00:00"/>
    <d v="1899-12-30T09:22:41"/>
    <d v="2023-02-14T00:00:00"/>
    <d v="1899-12-30T22:24:42"/>
    <s v="Chapra"/>
    <x v="3"/>
    <x v="67"/>
    <s v="Ivana Rout"/>
    <x v="0"/>
    <x v="27"/>
    <x v="6"/>
    <x v="3"/>
    <n v="1234"/>
    <x v="187"/>
    <n v="2591.3999999999996"/>
    <n v="1110.6000000000004"/>
    <n v="0.3000000000000001"/>
    <n v="6"/>
    <x v="0"/>
    <n v="2"/>
    <s v="Q1"/>
    <n v="2023"/>
    <x v="4"/>
    <x v="1"/>
  </r>
  <r>
    <n v="751"/>
    <s v="C084"/>
    <n v="23"/>
    <n v="5"/>
    <d v="2023-04-10T00:00:00"/>
    <d v="1899-12-30T07:12:34"/>
    <d v="2023-04-15T00:00:00"/>
    <d v="1899-12-30T01:52:34"/>
    <s v="Gandhidham"/>
    <x v="0"/>
    <x v="68"/>
    <s v="Anahita Shankar"/>
    <x v="0"/>
    <x v="13"/>
    <x v="1"/>
    <x v="0"/>
    <n v="1098"/>
    <x v="145"/>
    <n v="3842.9999999999995"/>
    <n v="1647.0000000000005"/>
    <n v="0.3000000000000001"/>
    <n v="5"/>
    <x v="9"/>
    <n v="4"/>
    <s v="Q2"/>
    <n v="2023"/>
    <x v="0"/>
    <x v="0"/>
  </r>
  <r>
    <n v="752"/>
    <s v="C034"/>
    <n v="3"/>
    <n v="5"/>
    <d v="2023-02-10T00:00:00"/>
    <d v="1899-12-30T11:38:01"/>
    <d v="2023-02-12T00:00:00"/>
    <d v="1899-12-30T10:35:58"/>
    <s v="Bally"/>
    <x v="3"/>
    <x v="66"/>
    <s v="Hridaan Sood"/>
    <x v="0"/>
    <x v="52"/>
    <x v="2"/>
    <x v="3"/>
    <n v="1534"/>
    <x v="72"/>
    <n v="5369"/>
    <n v="2301"/>
    <n v="0.3"/>
    <n v="2"/>
    <x v="0"/>
    <n v="2"/>
    <s v="Q1"/>
    <n v="2023"/>
    <x v="0"/>
    <x v="0"/>
  </r>
  <r>
    <n v="753"/>
    <s v="C045"/>
    <n v="60"/>
    <n v="1"/>
    <d v="2023-11-06T00:00:00"/>
    <d v="1899-12-30T06:55:38"/>
    <d v="2023-11-12T00:00:00"/>
    <d v="1899-12-30T04:49:01"/>
    <s v="Tinsukia"/>
    <x v="1"/>
    <x v="39"/>
    <s v="Divit Mahajan"/>
    <x v="1"/>
    <x v="12"/>
    <x v="1"/>
    <x v="1"/>
    <n v="827"/>
    <x v="12"/>
    <n v="578.9"/>
    <n v="248.10000000000002"/>
    <n v="0.30000000000000004"/>
    <n v="6"/>
    <x v="1"/>
    <n v="11"/>
    <s v="Q4"/>
    <n v="2023"/>
    <x v="3"/>
    <x v="2"/>
  </r>
  <r>
    <n v="754"/>
    <s v="C083"/>
    <n v="51"/>
    <n v="2"/>
    <d v="2023-11-01T00:00:00"/>
    <d v="1899-12-30T20:40:33"/>
    <d v="2023-11-08T00:00:00"/>
    <d v="1899-12-30T22:13:13"/>
    <s v="Pimpri-Chinchwad"/>
    <x v="6"/>
    <x v="62"/>
    <s v="Aaryahi Sodhi"/>
    <x v="0"/>
    <x v="38"/>
    <x v="4"/>
    <x v="6"/>
    <n v="1084"/>
    <x v="116"/>
    <n v="1517.6"/>
    <n v="650.40000000000009"/>
    <n v="0.30000000000000004"/>
    <n v="7"/>
    <x v="1"/>
    <n v="11"/>
    <s v="Q4"/>
    <n v="2023"/>
    <x v="4"/>
    <x v="1"/>
  </r>
  <r>
    <n v="755"/>
    <s v="C037"/>
    <n v="6"/>
    <n v="5"/>
    <d v="2023-02-27T00:00:00"/>
    <d v="1899-12-30T16:33:26"/>
    <d v="2023-03-06T00:00:00"/>
    <d v="1899-12-30T02:16:52"/>
    <s v="Aurangabad"/>
    <x v="5"/>
    <x v="0"/>
    <s v="Aradhya Kumar"/>
    <x v="0"/>
    <x v="20"/>
    <x v="3"/>
    <x v="5"/>
    <n v="1112"/>
    <x v="157"/>
    <n v="3892"/>
    <n v="1668"/>
    <n v="0.3"/>
    <n v="7"/>
    <x v="0"/>
    <n v="2"/>
    <s v="Q1"/>
    <n v="2023"/>
    <x v="3"/>
    <x v="0"/>
  </r>
  <r>
    <n v="756"/>
    <s v="C034"/>
    <n v="51"/>
    <n v="4"/>
    <d v="2023-07-29T00:00:00"/>
    <d v="1899-12-30T18:25:27"/>
    <d v="2023-08-03T00:00:00"/>
    <d v="1899-12-30T09:56:02"/>
    <s v="Buxar"/>
    <x v="6"/>
    <x v="66"/>
    <s v="Hridaan Sood"/>
    <x v="0"/>
    <x v="38"/>
    <x v="4"/>
    <x v="6"/>
    <n v="1084"/>
    <x v="243"/>
    <n v="3035.2"/>
    <n v="1300.8000000000002"/>
    <n v="0.30000000000000004"/>
    <n v="5"/>
    <x v="2"/>
    <n v="7"/>
    <s v="Q3"/>
    <n v="2023"/>
    <x v="4"/>
    <x v="1"/>
  </r>
  <r>
    <n v="757"/>
    <s v="C001"/>
    <n v="2"/>
    <n v="3"/>
    <d v="2023-02-12T00:00:00"/>
    <d v="1899-12-30T10:23:53"/>
    <d v="2023-02-20T00:00:00"/>
    <d v="1899-12-30T04:40:28"/>
    <s v="Shivpuri"/>
    <x v="3"/>
    <x v="41"/>
    <s v="Tara Krishnan"/>
    <x v="1"/>
    <x v="50"/>
    <x v="5"/>
    <x v="3"/>
    <n v="441"/>
    <x v="305"/>
    <n v="926.09999999999991"/>
    <n v="396.90000000000009"/>
    <n v="0.30000000000000004"/>
    <n v="8"/>
    <x v="0"/>
    <n v="2"/>
    <s v="Q1"/>
    <n v="2023"/>
    <x v="5"/>
    <x v="2"/>
  </r>
  <r>
    <n v="758"/>
    <s v="C043"/>
    <n v="40"/>
    <n v="5"/>
    <d v="2023-10-16T00:00:00"/>
    <d v="1899-12-30T09:12:26"/>
    <d v="2023-10-20T00:00:00"/>
    <d v="1899-12-30T03:46:58"/>
    <s v="Ajmer"/>
    <x v="0"/>
    <x v="61"/>
    <s v="Yasmin Sheth"/>
    <x v="1"/>
    <x v="46"/>
    <x v="1"/>
    <x v="0"/>
    <n v="1923"/>
    <x v="125"/>
    <n v="6730.5"/>
    <n v="2884.5"/>
    <n v="0.3"/>
    <n v="4"/>
    <x v="10"/>
    <n v="10"/>
    <s v="Q4"/>
    <n v="2023"/>
    <x v="6"/>
    <x v="0"/>
  </r>
  <r>
    <n v="759"/>
    <s v="C084"/>
    <n v="48"/>
    <n v="5"/>
    <d v="2023-11-02T00:00:00"/>
    <d v="1899-12-30T06:12:14"/>
    <d v="2023-11-11T00:00:00"/>
    <d v="1899-12-30T06:06:56"/>
    <s v="Bathinda"/>
    <x v="1"/>
    <x v="68"/>
    <s v="Anahita Shankar"/>
    <x v="0"/>
    <x v="29"/>
    <x v="2"/>
    <x v="1"/>
    <n v="433"/>
    <x v="241"/>
    <n v="1515.4999999999998"/>
    <n v="649.50000000000023"/>
    <n v="0.3000000000000001"/>
    <n v="9"/>
    <x v="1"/>
    <n v="11"/>
    <s v="Q4"/>
    <n v="2023"/>
    <x v="6"/>
    <x v="1"/>
  </r>
  <r>
    <n v="760"/>
    <s v="C043"/>
    <n v="18"/>
    <n v="1"/>
    <d v="2023-09-19T00:00:00"/>
    <d v="1899-12-30T02:28:05"/>
    <d v="2023-09-21T00:00:00"/>
    <d v="1899-12-30T13:29:38"/>
    <s v="Ghaziabad"/>
    <x v="2"/>
    <x v="61"/>
    <s v="Yasmin Sheth"/>
    <x v="1"/>
    <x v="53"/>
    <x v="5"/>
    <x v="2"/>
    <n v="781"/>
    <x v="136"/>
    <n v="546.69999999999993"/>
    <n v="234.30000000000007"/>
    <n v="0.3000000000000001"/>
    <n v="2"/>
    <x v="7"/>
    <n v="9"/>
    <s v="Q3"/>
    <n v="2023"/>
    <x v="5"/>
    <x v="2"/>
  </r>
  <r>
    <n v="761"/>
    <s v="C008"/>
    <n v="24"/>
    <n v="5"/>
    <d v="2023-04-18T00:00:00"/>
    <d v="1899-12-30T03:25:13"/>
    <d v="2023-04-25T00:00:00"/>
    <d v="1899-12-30T11:53:46"/>
    <s v="Ambala"/>
    <x v="2"/>
    <x v="51"/>
    <s v="Veer Ray"/>
    <x v="1"/>
    <x v="54"/>
    <x v="6"/>
    <x v="2"/>
    <n v="535"/>
    <x v="97"/>
    <n v="1872.5"/>
    <n v="802.5"/>
    <n v="0.3"/>
    <n v="7"/>
    <x v="9"/>
    <n v="4"/>
    <s v="Q2"/>
    <n v="2023"/>
    <x v="2"/>
    <x v="1"/>
  </r>
  <r>
    <n v="762"/>
    <s v="C064"/>
    <n v="50"/>
    <n v="1"/>
    <d v="2023-02-26T00:00:00"/>
    <d v="1899-12-30T10:11:19"/>
    <d v="2023-03-01T00:00:00"/>
    <d v="1899-12-30T03:56:20"/>
    <s v="Bangalore"/>
    <x v="5"/>
    <x v="24"/>
    <s v="Indrajit Kale"/>
    <x v="0"/>
    <x v="56"/>
    <x v="5"/>
    <x v="5"/>
    <n v="422"/>
    <x v="214"/>
    <n v="295.39999999999998"/>
    <n v="126.60000000000002"/>
    <n v="0.30000000000000004"/>
    <n v="3"/>
    <x v="0"/>
    <n v="2"/>
    <s v="Q1"/>
    <n v="2023"/>
    <x v="5"/>
    <x v="2"/>
  </r>
  <r>
    <n v="763"/>
    <s v="C070"/>
    <n v="29"/>
    <n v="4"/>
    <d v="2023-03-02T00:00:00"/>
    <d v="1899-12-30T15:22:09"/>
    <d v="2023-03-04T00:00:00"/>
    <d v="1899-12-30T04:30:07"/>
    <s v="Nellore"/>
    <x v="5"/>
    <x v="66"/>
    <s v="Emir Gokhale"/>
    <x v="0"/>
    <x v="66"/>
    <x v="2"/>
    <x v="5"/>
    <n v="1252"/>
    <x v="271"/>
    <n v="3505.6"/>
    <n v="1502.4"/>
    <n v="0.30000000000000004"/>
    <n v="2"/>
    <x v="5"/>
    <n v="3"/>
    <s v="Q1"/>
    <n v="2023"/>
    <x v="6"/>
    <x v="0"/>
  </r>
  <r>
    <n v="764"/>
    <s v="C039"/>
    <n v="65"/>
    <n v="3"/>
    <d v="2023-08-01T00:00:00"/>
    <d v="1899-12-30T19:59:36"/>
    <d v="2023-08-05T00:00:00"/>
    <d v="1899-12-30T09:24:36"/>
    <s v="Berhampur"/>
    <x v="6"/>
    <x v="57"/>
    <s v="Kaira Bahl"/>
    <x v="0"/>
    <x v="35"/>
    <x v="0"/>
    <x v="6"/>
    <n v="1895"/>
    <x v="172"/>
    <n v="3979.5"/>
    <n v="1705.5"/>
    <n v="0.3"/>
    <n v="4"/>
    <x v="3"/>
    <n v="8"/>
    <s v="Q3"/>
    <n v="2023"/>
    <x v="4"/>
    <x v="0"/>
  </r>
  <r>
    <n v="765"/>
    <s v="C055"/>
    <n v="41"/>
    <n v="2"/>
    <d v="2023-11-03T00:00:00"/>
    <d v="1899-12-30T02:37:40"/>
    <d v="2023-11-06T00:00:00"/>
    <d v="1899-12-30T03:52:27"/>
    <s v="Ambala"/>
    <x v="1"/>
    <x v="27"/>
    <s v="Umang Luthra"/>
    <x v="0"/>
    <x v="1"/>
    <x v="1"/>
    <x v="1"/>
    <n v="1977"/>
    <x v="1"/>
    <n v="2767.7999999999997"/>
    <n v="1186.2000000000003"/>
    <n v="0.30000000000000004"/>
    <n v="3"/>
    <x v="1"/>
    <n v="11"/>
    <s v="Q4"/>
    <n v="2023"/>
    <x v="0"/>
    <x v="1"/>
  </r>
  <r>
    <n v="766"/>
    <s v="C077"/>
    <n v="1"/>
    <n v="4"/>
    <d v="2023-07-02T00:00:00"/>
    <d v="1899-12-30T16:28:53"/>
    <d v="2023-07-07T00:00:00"/>
    <d v="1899-12-30T00:19:44"/>
    <s v="Hospet"/>
    <x v="6"/>
    <x v="41"/>
    <s v="Gokul Ahluwalia"/>
    <x v="1"/>
    <x v="48"/>
    <x v="4"/>
    <x v="6"/>
    <n v="1935"/>
    <x v="193"/>
    <n v="5418"/>
    <n v="2322"/>
    <n v="0.3"/>
    <n v="5"/>
    <x v="2"/>
    <n v="7"/>
    <s v="Q3"/>
    <n v="2023"/>
    <x v="6"/>
    <x v="0"/>
  </r>
  <r>
    <n v="767"/>
    <s v="C077"/>
    <n v="13"/>
    <n v="2"/>
    <d v="2023-03-03T00:00:00"/>
    <d v="1899-12-30T02:21:13"/>
    <d v="2023-03-04T00:00:00"/>
    <d v="1899-12-30T00:14:53"/>
    <s v="Rohtak"/>
    <x v="5"/>
    <x v="41"/>
    <s v="Gokul Ahluwalia"/>
    <x v="1"/>
    <x v="64"/>
    <x v="6"/>
    <x v="5"/>
    <n v="1141"/>
    <x v="306"/>
    <n v="1597.3999999999999"/>
    <n v="684.60000000000014"/>
    <n v="0.30000000000000004"/>
    <n v="1"/>
    <x v="5"/>
    <n v="3"/>
    <s v="Q1"/>
    <n v="2023"/>
    <x v="0"/>
    <x v="1"/>
  </r>
  <r>
    <n v="768"/>
    <s v="C087"/>
    <n v="1"/>
    <n v="1"/>
    <d v="2023-11-11T00:00:00"/>
    <d v="1899-12-30T18:37:41"/>
    <d v="2023-11-16T00:00:00"/>
    <d v="1899-12-30T12:19:42"/>
    <s v="Howrah"/>
    <x v="6"/>
    <x v="10"/>
    <s v="Rania Bhatt"/>
    <x v="1"/>
    <x v="48"/>
    <x v="4"/>
    <x v="6"/>
    <n v="1935"/>
    <x v="216"/>
    <n v="1354.5"/>
    <n v="580.5"/>
    <n v="0.3"/>
    <n v="5"/>
    <x v="1"/>
    <n v="11"/>
    <s v="Q4"/>
    <n v="2023"/>
    <x v="2"/>
    <x v="2"/>
  </r>
  <r>
    <n v="769"/>
    <s v="C029"/>
    <n v="28"/>
    <n v="2"/>
    <d v="2023-08-25T00:00:00"/>
    <d v="1899-12-30T09:37:39"/>
    <d v="2023-09-02T00:00:00"/>
    <d v="1899-12-30T20:10:20"/>
    <s v="Ongole"/>
    <x v="4"/>
    <x v="2"/>
    <s v="Badal Sathe"/>
    <x v="1"/>
    <x v="4"/>
    <x v="1"/>
    <x v="4"/>
    <n v="1778"/>
    <x v="283"/>
    <n v="2489.1999999999998"/>
    <n v="1066.8000000000002"/>
    <n v="0.30000000000000004"/>
    <n v="8"/>
    <x v="3"/>
    <n v="8"/>
    <s v="Q3"/>
    <n v="2023"/>
    <x v="2"/>
    <x v="1"/>
  </r>
  <r>
    <n v="770"/>
    <s v="C080"/>
    <n v="25"/>
    <n v="3"/>
    <d v="2023-05-29T00:00:00"/>
    <d v="1899-12-30T00:20:57"/>
    <d v="2023-06-07T00:00:00"/>
    <d v="1899-12-30T09:39:12"/>
    <s v="Pallavaram"/>
    <x v="0"/>
    <x v="31"/>
    <s v="Mohanlal Garde"/>
    <x v="0"/>
    <x v="40"/>
    <x v="5"/>
    <x v="0"/>
    <n v="1202"/>
    <x v="79"/>
    <n v="2524.1999999999998"/>
    <n v="1081.8000000000002"/>
    <n v="0.30000000000000004"/>
    <n v="9"/>
    <x v="4"/>
    <n v="5"/>
    <s v="Q2"/>
    <n v="2023"/>
    <x v="4"/>
    <x v="1"/>
  </r>
  <r>
    <n v="771"/>
    <s v="C056"/>
    <n v="9"/>
    <n v="2"/>
    <d v="2023-08-26T00:00:00"/>
    <d v="1899-12-30T17:00:07"/>
    <d v="2023-09-01T00:00:00"/>
    <d v="1899-12-30T10:54:16"/>
    <s v="Vijayanagaram"/>
    <x v="4"/>
    <x v="2"/>
    <s v="Pihu Choudhury"/>
    <x v="0"/>
    <x v="21"/>
    <x v="2"/>
    <x v="4"/>
    <n v="1605"/>
    <x v="24"/>
    <n v="2247"/>
    <n v="963"/>
    <n v="0.3"/>
    <n v="6"/>
    <x v="3"/>
    <n v="8"/>
    <s v="Q3"/>
    <n v="2023"/>
    <x v="5"/>
    <x v="1"/>
  </r>
  <r>
    <n v="772"/>
    <s v="C085"/>
    <n v="35"/>
    <n v="5"/>
    <d v="2023-03-01T00:00:00"/>
    <d v="1899-12-30T05:03:06"/>
    <d v="2023-03-04T00:00:00"/>
    <d v="1899-12-30T08:20:05"/>
    <s v="Machilipatnam"/>
    <x v="5"/>
    <x v="71"/>
    <s v="Bhamini Johal"/>
    <x v="0"/>
    <x v="31"/>
    <x v="2"/>
    <x v="5"/>
    <n v="1865"/>
    <x v="47"/>
    <n v="6527.5"/>
    <n v="2797.5"/>
    <n v="0.3"/>
    <n v="3"/>
    <x v="5"/>
    <n v="3"/>
    <s v="Q1"/>
    <n v="2023"/>
    <x v="4"/>
    <x v="0"/>
  </r>
  <r>
    <n v="773"/>
    <s v="C031"/>
    <n v="39"/>
    <n v="4"/>
    <d v="2023-01-07T00:00:00"/>
    <d v="1899-12-30T02:11:24"/>
    <d v="2023-01-13T00:00:00"/>
    <d v="1899-12-30T23:47:54"/>
    <s v="Karaikudi"/>
    <x v="6"/>
    <x v="35"/>
    <s v="Madhup Wable"/>
    <x v="1"/>
    <x v="47"/>
    <x v="6"/>
    <x v="6"/>
    <n v="387"/>
    <x v="65"/>
    <n v="1083.5999999999999"/>
    <n v="464.40000000000009"/>
    <n v="0.30000000000000004"/>
    <n v="6"/>
    <x v="8"/>
    <n v="1"/>
    <s v="Q1"/>
    <n v="2023"/>
    <x v="1"/>
    <x v="2"/>
  </r>
  <r>
    <n v="774"/>
    <s v="C051"/>
    <n v="65"/>
    <n v="5"/>
    <d v="2023-06-17T00:00:00"/>
    <d v="1899-12-30T21:28:21"/>
    <d v="2023-06-27T00:00:00"/>
    <d v="1899-12-30T03:01:20"/>
    <s v="Begusarai"/>
    <x v="6"/>
    <x v="65"/>
    <s v="Aradhya Batta"/>
    <x v="1"/>
    <x v="35"/>
    <x v="0"/>
    <x v="6"/>
    <n v="1895"/>
    <x v="301"/>
    <n v="6632.5"/>
    <n v="2842.5"/>
    <n v="0.3"/>
    <n v="10"/>
    <x v="11"/>
    <n v="6"/>
    <s v="Q2"/>
    <n v="2023"/>
    <x v="0"/>
    <x v="0"/>
  </r>
  <r>
    <n v="775"/>
    <s v="C077"/>
    <n v="45"/>
    <n v="1"/>
    <d v="2023-02-19T00:00:00"/>
    <d v="1899-12-30T03:48:10"/>
    <d v="2023-02-24T00:00:00"/>
    <d v="1899-12-30T23:31:47"/>
    <s v="Anand"/>
    <x v="2"/>
    <x v="41"/>
    <s v="Gokul Ahluwalia"/>
    <x v="1"/>
    <x v="5"/>
    <x v="0"/>
    <x v="2"/>
    <n v="722"/>
    <x v="265"/>
    <n v="505.4"/>
    <n v="216.60000000000002"/>
    <n v="0.30000000000000004"/>
    <n v="5"/>
    <x v="0"/>
    <n v="2"/>
    <s v="Q1"/>
    <n v="2023"/>
    <x v="5"/>
    <x v="2"/>
  </r>
  <r>
    <n v="776"/>
    <s v="C051"/>
    <n v="43"/>
    <n v="1"/>
    <d v="2023-11-09T00:00:00"/>
    <d v="1899-12-30T07:28:54"/>
    <d v="2023-11-12T00:00:00"/>
    <d v="1899-12-30T21:39:04"/>
    <s v="Alwar"/>
    <x v="1"/>
    <x v="65"/>
    <s v="Aradhya Batta"/>
    <x v="1"/>
    <x v="6"/>
    <x v="0"/>
    <x v="1"/>
    <n v="750"/>
    <x v="19"/>
    <n v="525"/>
    <n v="225"/>
    <n v="0.3"/>
    <n v="3"/>
    <x v="1"/>
    <n v="11"/>
    <s v="Q4"/>
    <n v="2023"/>
    <x v="6"/>
    <x v="2"/>
  </r>
  <r>
    <n v="777"/>
    <s v="C016"/>
    <n v="70"/>
    <n v="3"/>
    <d v="2023-02-24T00:00:00"/>
    <d v="1899-12-30T15:33:57"/>
    <d v="2023-02-27T00:00:00"/>
    <d v="1899-12-30T11:29:39"/>
    <s v="Bhusawal"/>
    <x v="2"/>
    <x v="73"/>
    <s v="Amani Ganesh"/>
    <x v="0"/>
    <x v="35"/>
    <x v="1"/>
    <x v="2"/>
    <n v="866"/>
    <x v="67"/>
    <n v="1818.6"/>
    <n v="779.40000000000009"/>
    <n v="0.30000000000000004"/>
    <n v="3"/>
    <x v="0"/>
    <n v="2"/>
    <s v="Q1"/>
    <n v="2023"/>
    <x v="0"/>
    <x v="1"/>
  </r>
  <r>
    <n v="778"/>
    <s v="C033"/>
    <n v="61"/>
    <n v="4"/>
    <d v="2023-05-10T00:00:00"/>
    <d v="1899-12-30T03:58:40"/>
    <d v="2023-05-13T00:00:00"/>
    <d v="1899-12-30T11:57:17"/>
    <s v="Raebareli"/>
    <x v="0"/>
    <x v="45"/>
    <s v="Suhana Kurian"/>
    <x v="1"/>
    <x v="33"/>
    <x v="5"/>
    <x v="0"/>
    <n v="810"/>
    <x v="307"/>
    <n v="2268"/>
    <n v="972"/>
    <n v="0.3"/>
    <n v="3"/>
    <x v="4"/>
    <n v="5"/>
    <s v="Q2"/>
    <n v="2023"/>
    <x v="0"/>
    <x v="1"/>
  </r>
  <r>
    <n v="779"/>
    <s v="C052"/>
    <n v="3"/>
    <n v="1"/>
    <d v="2023-02-06T00:00:00"/>
    <d v="1899-12-30T06:26:37"/>
    <d v="2023-02-08T00:00:00"/>
    <d v="1899-12-30T02:51:51"/>
    <s v="Durgapur"/>
    <x v="3"/>
    <x v="9"/>
    <s v="Vardaniya Apte"/>
    <x v="0"/>
    <x v="52"/>
    <x v="2"/>
    <x v="3"/>
    <n v="1534"/>
    <x v="171"/>
    <n v="1073.8"/>
    <n v="460.20000000000005"/>
    <n v="0.30000000000000004"/>
    <n v="2"/>
    <x v="0"/>
    <n v="2"/>
    <s v="Q1"/>
    <n v="2023"/>
    <x v="3"/>
    <x v="2"/>
  </r>
  <r>
    <n v="780"/>
    <s v="C070"/>
    <n v="33"/>
    <n v="2"/>
    <d v="2023-02-10T00:00:00"/>
    <d v="1899-12-30T11:30:51"/>
    <d v="2023-02-13T00:00:00"/>
    <d v="1899-12-30T04:28:25"/>
    <s v="Bikaner"/>
    <x v="3"/>
    <x v="66"/>
    <s v="Emir Gokhale"/>
    <x v="0"/>
    <x v="59"/>
    <x v="2"/>
    <x v="3"/>
    <n v="314"/>
    <x v="249"/>
    <n v="439.59999999999997"/>
    <n v="188.40000000000003"/>
    <n v="0.30000000000000004"/>
    <n v="3"/>
    <x v="0"/>
    <n v="2"/>
    <s v="Q1"/>
    <n v="2023"/>
    <x v="0"/>
    <x v="2"/>
  </r>
  <r>
    <n v="781"/>
    <s v="C084"/>
    <n v="40"/>
    <n v="2"/>
    <d v="2023-09-27T00:00:00"/>
    <d v="1899-12-30T15:26:58"/>
    <d v="2023-10-05T00:00:00"/>
    <d v="1899-12-30T19:39:28"/>
    <s v="Muzaffarnagar"/>
    <x v="0"/>
    <x v="68"/>
    <s v="Anahita Shankar"/>
    <x v="0"/>
    <x v="46"/>
    <x v="1"/>
    <x v="0"/>
    <n v="1923"/>
    <x v="64"/>
    <n v="2692.2"/>
    <n v="1153.8000000000002"/>
    <n v="0.30000000000000004"/>
    <n v="8"/>
    <x v="7"/>
    <n v="9"/>
    <s v="Q3"/>
    <n v="2023"/>
    <x v="3"/>
    <x v="1"/>
  </r>
  <r>
    <n v="782"/>
    <s v="C087"/>
    <n v="22"/>
    <n v="4"/>
    <d v="2023-04-18T00:00:00"/>
    <d v="1899-12-30T05:41:20"/>
    <d v="2023-04-26T00:00:00"/>
    <d v="1899-12-30T19:25:29"/>
    <s v="Shimoga"/>
    <x v="6"/>
    <x v="10"/>
    <s v="Rania Bhatt"/>
    <x v="1"/>
    <x v="34"/>
    <x v="4"/>
    <x v="6"/>
    <n v="1639"/>
    <x v="39"/>
    <n v="4589.2"/>
    <n v="1966.8000000000002"/>
    <n v="0.30000000000000004"/>
    <n v="8"/>
    <x v="9"/>
    <n v="4"/>
    <s v="Q2"/>
    <n v="2023"/>
    <x v="2"/>
    <x v="0"/>
  </r>
  <r>
    <n v="783"/>
    <s v="C024"/>
    <n v="55"/>
    <n v="5"/>
    <d v="2023-08-28T00:00:00"/>
    <d v="1899-12-30T04:31:27"/>
    <d v="2023-08-29T00:00:00"/>
    <d v="1899-12-30T05:10:51"/>
    <s v="Visakhapatnam"/>
    <x v="4"/>
    <x v="11"/>
    <s v="Jhanvi Chowdhury"/>
    <x v="1"/>
    <x v="60"/>
    <x v="4"/>
    <x v="4"/>
    <n v="1904"/>
    <x v="251"/>
    <n v="6664"/>
    <n v="2856"/>
    <n v="0.3"/>
    <n v="1"/>
    <x v="3"/>
    <n v="8"/>
    <s v="Q3"/>
    <n v="2023"/>
    <x v="1"/>
    <x v="0"/>
  </r>
  <r>
    <n v="784"/>
    <s v="C042"/>
    <n v="56"/>
    <n v="2"/>
    <d v="2023-06-02T00:00:00"/>
    <d v="1899-12-30T08:25:52"/>
    <d v="2023-06-07T00:00:00"/>
    <d v="1899-12-30T06:16:19"/>
    <s v="Bhalswa Jahangir Pur"/>
    <x v="0"/>
    <x v="12"/>
    <s v="Eshani Sharma"/>
    <x v="0"/>
    <x v="8"/>
    <x v="0"/>
    <x v="0"/>
    <n v="1272"/>
    <x v="165"/>
    <n v="1780.8"/>
    <n v="763.2"/>
    <n v="0.30000000000000004"/>
    <n v="5"/>
    <x v="11"/>
    <n v="6"/>
    <s v="Q2"/>
    <n v="2023"/>
    <x v="6"/>
    <x v="1"/>
  </r>
  <r>
    <n v="785"/>
    <s v="C052"/>
    <n v="47"/>
    <n v="5"/>
    <d v="2023-02-26T00:00:00"/>
    <d v="1899-12-30T17:41:34"/>
    <d v="2023-03-01T00:00:00"/>
    <d v="1899-12-30T13:09:23"/>
    <s v="Jodhpur"/>
    <x v="5"/>
    <x v="9"/>
    <s v="Vardaniya Apte"/>
    <x v="0"/>
    <x v="49"/>
    <x v="2"/>
    <x v="5"/>
    <n v="1638"/>
    <x v="221"/>
    <n v="5733"/>
    <n v="2457"/>
    <n v="0.3"/>
    <n v="3"/>
    <x v="0"/>
    <n v="2"/>
    <s v="Q1"/>
    <n v="2023"/>
    <x v="5"/>
    <x v="0"/>
  </r>
  <r>
    <n v="786"/>
    <s v="C003"/>
    <n v="47"/>
    <n v="1"/>
    <d v="2023-03-05T00:00:00"/>
    <d v="1899-12-30T22:47:05"/>
    <d v="2023-03-07T00:00:00"/>
    <d v="1899-12-30T07:16:53"/>
    <s v="Kirari Suleman Nagar"/>
    <x v="5"/>
    <x v="3"/>
    <s v="Jayesh Lanka"/>
    <x v="0"/>
    <x v="49"/>
    <x v="2"/>
    <x v="5"/>
    <n v="1638"/>
    <x v="68"/>
    <n v="1146.5999999999999"/>
    <n v="491.40000000000009"/>
    <n v="0.30000000000000004"/>
    <n v="2"/>
    <x v="5"/>
    <n v="3"/>
    <s v="Q1"/>
    <n v="2023"/>
    <x v="5"/>
    <x v="2"/>
  </r>
  <r>
    <n v="787"/>
    <s v="C069"/>
    <n v="9"/>
    <n v="1"/>
    <d v="2023-08-25T00:00:00"/>
    <d v="1899-12-30T21:42:12"/>
    <d v="2023-08-27T00:00:00"/>
    <d v="1899-12-30T14:10:59"/>
    <s v="Ambarnath"/>
    <x v="4"/>
    <x v="13"/>
    <s v="Hunar Tripathi"/>
    <x v="1"/>
    <x v="21"/>
    <x v="2"/>
    <x v="4"/>
    <n v="1605"/>
    <x v="43"/>
    <n v="1123.5"/>
    <n v="481.5"/>
    <n v="0.3"/>
    <n v="2"/>
    <x v="3"/>
    <n v="8"/>
    <s v="Q3"/>
    <n v="2023"/>
    <x v="2"/>
    <x v="2"/>
  </r>
  <r>
    <n v="788"/>
    <s v="C099"/>
    <n v="53"/>
    <n v="3"/>
    <d v="2023-08-24T00:00:00"/>
    <d v="1899-12-30T04:58:58"/>
    <d v="2023-08-27T00:00:00"/>
    <d v="1899-12-30T08:56:52"/>
    <s v="Durgapur"/>
    <x v="4"/>
    <x v="9"/>
    <s v="Ranbir Loyal"/>
    <x v="1"/>
    <x v="65"/>
    <x v="1"/>
    <x v="4"/>
    <n v="1672"/>
    <x v="308"/>
    <n v="3511.2"/>
    <n v="1504.8000000000002"/>
    <n v="0.30000000000000004"/>
    <n v="3"/>
    <x v="3"/>
    <n v="8"/>
    <s v="Q3"/>
    <n v="2023"/>
    <x v="0"/>
    <x v="0"/>
  </r>
  <r>
    <n v="789"/>
    <s v="C048"/>
    <n v="58"/>
    <n v="4"/>
    <d v="2023-02-08T00:00:00"/>
    <d v="1899-12-30T18:19:36"/>
    <d v="2023-02-15T00:00:00"/>
    <d v="1899-12-30T08:00:31"/>
    <s v="Bally"/>
    <x v="3"/>
    <x v="42"/>
    <s v="Aradhya Kale"/>
    <x v="0"/>
    <x v="3"/>
    <x v="3"/>
    <x v="3"/>
    <n v="1492"/>
    <x v="142"/>
    <n v="4177.5999999999995"/>
    <n v="1790.4000000000005"/>
    <n v="0.3000000000000001"/>
    <n v="7"/>
    <x v="0"/>
    <n v="2"/>
    <s v="Q1"/>
    <n v="2023"/>
    <x v="4"/>
    <x v="0"/>
  </r>
  <r>
    <n v="790"/>
    <s v="C046"/>
    <n v="26"/>
    <n v="2"/>
    <d v="2023-02-28T00:00:00"/>
    <d v="1899-12-30T06:03:29"/>
    <d v="2023-03-08T00:00:00"/>
    <d v="1899-12-30T04:20:38"/>
    <s v="Chennai"/>
    <x v="5"/>
    <x v="32"/>
    <s v="Tara Kannan"/>
    <x v="0"/>
    <x v="42"/>
    <x v="2"/>
    <x v="5"/>
    <n v="289"/>
    <x v="69"/>
    <n v="404.59999999999997"/>
    <n v="173.40000000000003"/>
    <n v="0.30000000000000004"/>
    <n v="8"/>
    <x v="0"/>
    <n v="2"/>
    <s v="Q1"/>
    <n v="2023"/>
    <x v="1"/>
    <x v="2"/>
  </r>
  <r>
    <n v="791"/>
    <s v="C093"/>
    <n v="51"/>
    <n v="2"/>
    <d v="2023-05-06T00:00:00"/>
    <d v="1899-12-30T02:29:51"/>
    <d v="2023-05-09T00:00:00"/>
    <d v="1899-12-30T06:53:48"/>
    <s v="Bhubaneswar"/>
    <x v="6"/>
    <x v="74"/>
    <s v="Mamooty Bawa"/>
    <x v="0"/>
    <x v="38"/>
    <x v="4"/>
    <x v="6"/>
    <n v="1084"/>
    <x v="116"/>
    <n v="1517.6"/>
    <n v="650.40000000000009"/>
    <n v="0.30000000000000004"/>
    <n v="3"/>
    <x v="4"/>
    <n v="5"/>
    <s v="Q2"/>
    <n v="2023"/>
    <x v="3"/>
    <x v="1"/>
  </r>
  <r>
    <n v="792"/>
    <s v="C015"/>
    <n v="43"/>
    <n v="2"/>
    <d v="2023-11-09T00:00:00"/>
    <d v="1899-12-30T07:00:56"/>
    <d v="2023-11-10T00:00:00"/>
    <d v="1899-12-30T05:14:12"/>
    <s v="Munger"/>
    <x v="1"/>
    <x v="44"/>
    <s v="Romil Bajwa"/>
    <x v="1"/>
    <x v="6"/>
    <x v="0"/>
    <x v="1"/>
    <n v="750"/>
    <x v="32"/>
    <n v="1050"/>
    <n v="450"/>
    <n v="0.3"/>
    <n v="1"/>
    <x v="1"/>
    <n v="11"/>
    <s v="Q4"/>
    <n v="2023"/>
    <x v="6"/>
    <x v="2"/>
  </r>
  <r>
    <n v="793"/>
    <s v="C095"/>
    <n v="58"/>
    <n v="5"/>
    <d v="2023-02-05T00:00:00"/>
    <d v="1899-12-30T17:37:16"/>
    <d v="2023-02-15T00:00:00"/>
    <d v="1899-12-30T01:28:17"/>
    <s v="Mirzapur"/>
    <x v="3"/>
    <x v="40"/>
    <s v="Mahika Cherian"/>
    <x v="1"/>
    <x v="3"/>
    <x v="3"/>
    <x v="3"/>
    <n v="1492"/>
    <x v="46"/>
    <n v="5221.9999999999991"/>
    <n v="2238.0000000000009"/>
    <n v="0.3000000000000001"/>
    <n v="10"/>
    <x v="0"/>
    <n v="2"/>
    <s v="Q1"/>
    <n v="2023"/>
    <x v="5"/>
    <x v="0"/>
  </r>
  <r>
    <n v="794"/>
    <s v="C079"/>
    <n v="13"/>
    <n v="4"/>
    <d v="2023-03-04T00:00:00"/>
    <d v="1899-12-30T17:11:58"/>
    <d v="2023-03-09T00:00:00"/>
    <d v="1899-12-30T14:51:06"/>
    <s v="Shimoga"/>
    <x v="5"/>
    <x v="79"/>
    <s v="Vedika Sankaran"/>
    <x v="1"/>
    <x v="64"/>
    <x v="6"/>
    <x v="5"/>
    <n v="1141"/>
    <x v="244"/>
    <n v="3194.7999999999997"/>
    <n v="1369.2000000000003"/>
    <n v="0.30000000000000004"/>
    <n v="5"/>
    <x v="5"/>
    <n v="3"/>
    <s v="Q1"/>
    <n v="2023"/>
    <x v="2"/>
    <x v="1"/>
  </r>
  <r>
    <n v="795"/>
    <s v="C070"/>
    <n v="7"/>
    <n v="1"/>
    <d v="2023-03-03T00:00:00"/>
    <d v="1899-12-30T17:58:36"/>
    <d v="2023-03-07T00:00:00"/>
    <d v="1899-12-30T22:17:46"/>
    <s v="Ujjain"/>
    <x v="5"/>
    <x v="66"/>
    <s v="Emir Gokhale"/>
    <x v="0"/>
    <x v="23"/>
    <x v="4"/>
    <x v="5"/>
    <n v="409"/>
    <x v="299"/>
    <n v="286.29999999999995"/>
    <n v="122.70000000000005"/>
    <n v="0.3000000000000001"/>
    <n v="4"/>
    <x v="5"/>
    <n v="3"/>
    <s v="Q1"/>
    <n v="2023"/>
    <x v="0"/>
    <x v="2"/>
  </r>
  <r>
    <n v="796"/>
    <s v="C002"/>
    <n v="61"/>
    <n v="4"/>
    <d v="2023-05-05T00:00:00"/>
    <d v="1899-12-30T07:53:26"/>
    <d v="2023-05-14T00:00:00"/>
    <d v="1899-12-30T08:08:25"/>
    <s v="Rajkot"/>
    <x v="0"/>
    <x v="83"/>
    <s v="Myra Edwin"/>
    <x v="1"/>
    <x v="33"/>
    <x v="5"/>
    <x v="0"/>
    <n v="810"/>
    <x v="307"/>
    <n v="2268"/>
    <n v="972"/>
    <n v="0.3"/>
    <n v="9"/>
    <x v="4"/>
    <n v="5"/>
    <s v="Q2"/>
    <n v="2023"/>
    <x v="5"/>
    <x v="1"/>
  </r>
  <r>
    <n v="797"/>
    <s v="C047"/>
    <n v="13"/>
    <n v="2"/>
    <d v="2023-03-03T00:00:00"/>
    <d v="1899-12-30T20:57:50"/>
    <d v="2023-03-10T00:00:00"/>
    <d v="1899-12-30T04:29:03"/>
    <s v="Tiruvottiyur"/>
    <x v="5"/>
    <x v="25"/>
    <s v="Bhamini Ravi"/>
    <x v="0"/>
    <x v="64"/>
    <x v="6"/>
    <x v="5"/>
    <n v="1141"/>
    <x v="306"/>
    <n v="1597.3999999999999"/>
    <n v="684.60000000000014"/>
    <n v="0.30000000000000004"/>
    <n v="7"/>
    <x v="5"/>
    <n v="3"/>
    <s v="Q1"/>
    <n v="2023"/>
    <x v="0"/>
    <x v="1"/>
  </r>
  <r>
    <n v="798"/>
    <s v="C043"/>
    <n v="30"/>
    <n v="5"/>
    <d v="2023-12-17T00:00:00"/>
    <d v="1899-12-30T17:35:18"/>
    <d v="2023-12-26T00:00:00"/>
    <d v="1899-12-30T01:52:09"/>
    <s v="Sultan Pur Majra"/>
    <x v="0"/>
    <x v="61"/>
    <s v="Yasmin Sheth"/>
    <x v="1"/>
    <x v="19"/>
    <x v="2"/>
    <x v="0"/>
    <n v="751"/>
    <x v="246"/>
    <n v="2628.4999999999995"/>
    <n v="1126.5000000000005"/>
    <n v="0.3000000000000001"/>
    <n v="9"/>
    <x v="6"/>
    <n v="12"/>
    <s v="Q4"/>
    <n v="2023"/>
    <x v="0"/>
    <x v="1"/>
  </r>
  <r>
    <n v="799"/>
    <s v="C084"/>
    <n v="32"/>
    <n v="5"/>
    <d v="2023-10-22T00:00:00"/>
    <d v="1899-12-30T01:50:09"/>
    <d v="2023-11-01T00:00:00"/>
    <d v="1899-12-30T20:22:26"/>
    <s v="Patna"/>
    <x v="2"/>
    <x v="68"/>
    <s v="Anahita Shankar"/>
    <x v="0"/>
    <x v="16"/>
    <x v="4"/>
    <x v="2"/>
    <n v="1792"/>
    <x v="309"/>
    <n v="6271.9999999999991"/>
    <n v="2688.0000000000009"/>
    <n v="0.3000000000000001"/>
    <n v="10"/>
    <x v="10"/>
    <n v="10"/>
    <s v="Q4"/>
    <n v="2023"/>
    <x v="4"/>
    <x v="0"/>
  </r>
  <r>
    <n v="800"/>
    <s v="C014"/>
    <n v="24"/>
    <n v="5"/>
    <d v="2023-06-17T00:00:00"/>
    <d v="1899-12-30T21:50:22"/>
    <d v="2023-06-21T00:00:00"/>
    <d v="1899-12-30T07:12:59"/>
    <s v="Machilipatnam"/>
    <x v="2"/>
    <x v="37"/>
    <s v="Indrans Shukla"/>
    <x v="1"/>
    <x v="54"/>
    <x v="6"/>
    <x v="2"/>
    <n v="535"/>
    <x v="97"/>
    <n v="1872.5"/>
    <n v="802.5"/>
    <n v="0.3"/>
    <n v="4"/>
    <x v="11"/>
    <n v="6"/>
    <s v="Q2"/>
    <n v="2023"/>
    <x v="0"/>
    <x v="1"/>
  </r>
  <r>
    <n v="801"/>
    <s v="C058"/>
    <n v="35"/>
    <n v="1"/>
    <d v="2023-03-07T00:00:00"/>
    <d v="1899-12-30T19:15:48"/>
    <d v="2023-03-15T00:00:00"/>
    <d v="1899-12-30T06:35:12"/>
    <s v="Dindigul"/>
    <x v="5"/>
    <x v="42"/>
    <s v="Charvi Kanda"/>
    <x v="0"/>
    <x v="31"/>
    <x v="2"/>
    <x v="5"/>
    <n v="1865"/>
    <x v="35"/>
    <n v="1305.5"/>
    <n v="559.5"/>
    <n v="0.3"/>
    <n v="8"/>
    <x v="5"/>
    <n v="3"/>
    <s v="Q1"/>
    <n v="2023"/>
    <x v="1"/>
    <x v="2"/>
  </r>
  <r>
    <n v="802"/>
    <s v="C097"/>
    <n v="45"/>
    <n v="3"/>
    <d v="2023-03-23T00:00:00"/>
    <d v="1899-12-30T12:37:23"/>
    <d v="2023-03-26T00:00:00"/>
    <d v="1899-12-30T06:19:00"/>
    <s v="Dibrugarh"/>
    <x v="2"/>
    <x v="7"/>
    <s v="Nakul Randhawa"/>
    <x v="1"/>
    <x v="5"/>
    <x v="0"/>
    <x v="2"/>
    <n v="722"/>
    <x v="233"/>
    <n v="1516.1999999999998"/>
    <n v="649.80000000000018"/>
    <n v="0.3000000000000001"/>
    <n v="3"/>
    <x v="5"/>
    <n v="3"/>
    <s v="Q1"/>
    <n v="2023"/>
    <x v="6"/>
    <x v="1"/>
  </r>
  <r>
    <n v="803"/>
    <s v="C040"/>
    <n v="26"/>
    <n v="1"/>
    <d v="2023-03-03T00:00:00"/>
    <d v="1899-12-30T12:03:48"/>
    <d v="2023-03-10T00:00:00"/>
    <d v="1899-12-30T02:50:05"/>
    <s v="Sambalpur"/>
    <x v="5"/>
    <x v="5"/>
    <s v="Hazel Mangat"/>
    <x v="1"/>
    <x v="42"/>
    <x v="2"/>
    <x v="5"/>
    <n v="289"/>
    <x v="60"/>
    <n v="202.29999999999998"/>
    <n v="86.700000000000017"/>
    <n v="0.30000000000000004"/>
    <n v="7"/>
    <x v="5"/>
    <n v="3"/>
    <s v="Q1"/>
    <n v="2023"/>
    <x v="0"/>
    <x v="2"/>
  </r>
  <r>
    <n v="804"/>
    <s v="C009"/>
    <n v="3"/>
    <n v="3"/>
    <d v="2023-02-05T00:00:00"/>
    <d v="1899-12-30T05:37:18"/>
    <d v="2023-02-07T00:00:00"/>
    <d v="1899-12-30T01:58:08"/>
    <s v="Deoghar"/>
    <x v="3"/>
    <x v="6"/>
    <s v="Ritvik Borah"/>
    <x v="1"/>
    <x v="52"/>
    <x v="2"/>
    <x v="3"/>
    <n v="1534"/>
    <x v="220"/>
    <n v="3221.3999999999996"/>
    <n v="1380.6000000000004"/>
    <n v="0.3000000000000001"/>
    <n v="2"/>
    <x v="0"/>
    <n v="2"/>
    <s v="Q1"/>
    <n v="2023"/>
    <x v="5"/>
    <x v="1"/>
  </r>
  <r>
    <n v="805"/>
    <s v="C028"/>
    <n v="24"/>
    <n v="3"/>
    <d v="2023-06-11T00:00:00"/>
    <d v="1899-12-30T14:39:08"/>
    <d v="2023-06-14T00:00:00"/>
    <d v="1899-12-30T18:07:19"/>
    <s v="Bareilly"/>
    <x v="2"/>
    <x v="48"/>
    <s v="Hridaan Rajagopalan"/>
    <x v="1"/>
    <x v="54"/>
    <x v="6"/>
    <x v="2"/>
    <n v="535"/>
    <x v="43"/>
    <n v="1123.5"/>
    <n v="481.5"/>
    <n v="0.3"/>
    <n v="3"/>
    <x v="11"/>
    <n v="6"/>
    <s v="Q2"/>
    <n v="2023"/>
    <x v="2"/>
    <x v="2"/>
  </r>
  <r>
    <n v="806"/>
    <s v="C088"/>
    <n v="29"/>
    <n v="2"/>
    <d v="2023-02-28T00:00:00"/>
    <d v="1899-12-30T13:01:22"/>
    <d v="2023-03-08T00:00:00"/>
    <d v="1899-12-30T06:38:58"/>
    <s v="Jhansi"/>
    <x v="5"/>
    <x v="23"/>
    <s v="Shalv Kulkarni"/>
    <x v="1"/>
    <x v="66"/>
    <x v="2"/>
    <x v="5"/>
    <n v="1252"/>
    <x v="228"/>
    <n v="1752.8"/>
    <n v="751.2"/>
    <n v="0.30000000000000004"/>
    <n v="8"/>
    <x v="0"/>
    <n v="2"/>
    <s v="Q1"/>
    <n v="2023"/>
    <x v="1"/>
    <x v="1"/>
  </r>
  <r>
    <n v="807"/>
    <s v="C006"/>
    <n v="40"/>
    <n v="4"/>
    <d v="2023-11-29T00:00:00"/>
    <d v="1899-12-30T16:20:19"/>
    <d v="2023-12-09T00:00:00"/>
    <d v="1899-12-30T03:09:57"/>
    <s v="Bhopal"/>
    <x v="0"/>
    <x v="33"/>
    <s v="Rania Mann"/>
    <x v="1"/>
    <x v="46"/>
    <x v="1"/>
    <x v="0"/>
    <n v="1923"/>
    <x v="91"/>
    <n v="5384.4"/>
    <n v="2307.6000000000004"/>
    <n v="0.30000000000000004"/>
    <n v="10"/>
    <x v="1"/>
    <n v="11"/>
    <s v="Q4"/>
    <n v="2023"/>
    <x v="4"/>
    <x v="0"/>
  </r>
  <r>
    <n v="808"/>
    <s v="C002"/>
    <n v="9"/>
    <n v="2"/>
    <d v="2023-08-29T00:00:00"/>
    <d v="1899-12-30T15:36:39"/>
    <d v="2023-08-30T00:00:00"/>
    <d v="1899-12-30T10:11:21"/>
    <s v="Raurkela Industrial Township"/>
    <x v="4"/>
    <x v="83"/>
    <s v="Myra Edwin"/>
    <x v="1"/>
    <x v="21"/>
    <x v="2"/>
    <x v="4"/>
    <n v="1605"/>
    <x v="24"/>
    <n v="2247"/>
    <n v="963"/>
    <n v="0.3"/>
    <n v="1"/>
    <x v="3"/>
    <n v="8"/>
    <s v="Q3"/>
    <n v="2023"/>
    <x v="4"/>
    <x v="1"/>
  </r>
  <r>
    <n v="809"/>
    <s v="C062"/>
    <n v="35"/>
    <n v="1"/>
    <d v="2023-03-07T00:00:00"/>
    <d v="1899-12-30T19:50:47"/>
    <d v="2023-03-17T00:00:00"/>
    <d v="1899-12-30T01:51:34"/>
    <s v="Ludhiana"/>
    <x v="5"/>
    <x v="49"/>
    <s v="Inaaya  Sarraf"/>
    <x v="0"/>
    <x v="31"/>
    <x v="2"/>
    <x v="5"/>
    <n v="1865"/>
    <x v="35"/>
    <n v="1305.5"/>
    <n v="559.5"/>
    <n v="0.3"/>
    <n v="10"/>
    <x v="5"/>
    <n v="3"/>
    <s v="Q1"/>
    <n v="2023"/>
    <x v="1"/>
    <x v="2"/>
  </r>
  <r>
    <n v="810"/>
    <s v="C059"/>
    <n v="24"/>
    <n v="3"/>
    <d v="2023-12-15T00:00:00"/>
    <d v="1899-12-30T05:57:14"/>
    <d v="2023-12-17T00:00:00"/>
    <d v="1899-12-30T12:05:52"/>
    <s v="New Delhi"/>
    <x v="2"/>
    <x v="34"/>
    <s v="Nirvi Wagle"/>
    <x v="0"/>
    <x v="54"/>
    <x v="6"/>
    <x v="2"/>
    <n v="535"/>
    <x v="43"/>
    <n v="1123.5"/>
    <n v="481.5"/>
    <n v="0.3"/>
    <n v="2"/>
    <x v="6"/>
    <n v="12"/>
    <s v="Q4"/>
    <n v="2023"/>
    <x v="4"/>
    <x v="2"/>
  </r>
  <r>
    <n v="811"/>
    <s v="C020"/>
    <n v="14"/>
    <n v="5"/>
    <d v="2023-10-18T00:00:00"/>
    <d v="1899-12-30T12:04:11"/>
    <d v="2023-10-25T00:00:00"/>
    <d v="1899-12-30T21:55:52"/>
    <s v="Bellary"/>
    <x v="2"/>
    <x v="36"/>
    <s v="Samaira Ganesh"/>
    <x v="0"/>
    <x v="2"/>
    <x v="2"/>
    <x v="2"/>
    <n v="1915"/>
    <x v="2"/>
    <n v="6702.5"/>
    <n v="2872.5"/>
    <n v="0.3"/>
    <n v="7"/>
    <x v="10"/>
    <n v="10"/>
    <s v="Q4"/>
    <n v="2023"/>
    <x v="2"/>
    <x v="0"/>
  </r>
  <r>
    <n v="812"/>
    <s v="C058"/>
    <n v="40"/>
    <n v="2"/>
    <d v="2023-12-12T00:00:00"/>
    <d v="1899-12-30T17:19:49"/>
    <d v="2023-12-14T00:00:00"/>
    <d v="1899-12-30T01:28:32"/>
    <s v="Ongole"/>
    <x v="0"/>
    <x v="42"/>
    <s v="Charvi Kanda"/>
    <x v="0"/>
    <x v="46"/>
    <x v="1"/>
    <x v="0"/>
    <n v="1923"/>
    <x v="64"/>
    <n v="2692.2"/>
    <n v="1153.8000000000002"/>
    <n v="0.30000000000000004"/>
    <n v="2"/>
    <x v="6"/>
    <n v="12"/>
    <s v="Q4"/>
    <n v="2023"/>
    <x v="5"/>
    <x v="1"/>
  </r>
  <r>
    <n v="813"/>
    <s v="C094"/>
    <n v="32"/>
    <n v="4"/>
    <d v="2023-01-19T00:00:00"/>
    <d v="1899-12-30T08:53:43"/>
    <d v="2023-01-23T00:00:00"/>
    <d v="1899-12-30T22:01:01"/>
    <s v="Bhind"/>
    <x v="2"/>
    <x v="69"/>
    <s v="Raghav Babu"/>
    <x v="1"/>
    <x v="16"/>
    <x v="4"/>
    <x v="2"/>
    <n v="1792"/>
    <x v="149"/>
    <n v="5017.5999999999995"/>
    <n v="2150.4000000000005"/>
    <n v="0.3000000000000001"/>
    <n v="4"/>
    <x v="8"/>
    <n v="1"/>
    <s v="Q1"/>
    <n v="2023"/>
    <x v="5"/>
    <x v="0"/>
  </r>
  <r>
    <n v="814"/>
    <s v="C094"/>
    <n v="47"/>
    <n v="5"/>
    <d v="2023-03-05T00:00:00"/>
    <d v="1899-12-30T01:59:20"/>
    <d v="2023-03-14T00:00:00"/>
    <d v="1899-12-30T04:41:16"/>
    <s v="Kumbakonam"/>
    <x v="5"/>
    <x v="69"/>
    <s v="Raghav Babu"/>
    <x v="1"/>
    <x v="49"/>
    <x v="2"/>
    <x v="5"/>
    <n v="1638"/>
    <x v="221"/>
    <n v="5733"/>
    <n v="2457"/>
    <n v="0.3"/>
    <n v="9"/>
    <x v="5"/>
    <n v="3"/>
    <s v="Q1"/>
    <n v="2023"/>
    <x v="5"/>
    <x v="0"/>
  </r>
  <r>
    <n v="815"/>
    <s v="C098"/>
    <n v="61"/>
    <n v="3"/>
    <d v="2023-09-29T00:00:00"/>
    <d v="1899-12-30T07:08:13"/>
    <d v="2023-10-08T00:00:00"/>
    <d v="1899-12-30T14:46:18"/>
    <s v="Bhatpara"/>
    <x v="0"/>
    <x v="77"/>
    <s v="Navya Golla"/>
    <x v="0"/>
    <x v="33"/>
    <x v="5"/>
    <x v="0"/>
    <n v="810"/>
    <x v="310"/>
    <n v="1701"/>
    <n v="729"/>
    <n v="0.3"/>
    <n v="9"/>
    <x v="7"/>
    <n v="9"/>
    <s v="Q3"/>
    <n v="2023"/>
    <x v="4"/>
    <x v="1"/>
  </r>
  <r>
    <n v="816"/>
    <s v="C042"/>
    <n v="35"/>
    <n v="3"/>
    <d v="2023-02-28T00:00:00"/>
    <d v="1899-12-30T19:44:25"/>
    <d v="2023-03-10T00:00:00"/>
    <d v="1899-12-30T13:41:37"/>
    <s v="Ujjain"/>
    <x v="5"/>
    <x v="12"/>
    <s v="Eshani Sharma"/>
    <x v="0"/>
    <x v="31"/>
    <x v="2"/>
    <x v="5"/>
    <n v="1865"/>
    <x v="120"/>
    <n v="3916.5"/>
    <n v="1678.5"/>
    <n v="0.3"/>
    <n v="10"/>
    <x v="0"/>
    <n v="2"/>
    <s v="Q1"/>
    <n v="2023"/>
    <x v="1"/>
    <x v="0"/>
  </r>
  <r>
    <n v="817"/>
    <s v="C066"/>
    <n v="21"/>
    <n v="2"/>
    <d v="2023-08-28T00:00:00"/>
    <d v="1899-12-30T05:37:00"/>
    <d v="2023-09-01T00:00:00"/>
    <d v="1899-12-30T22:05:03"/>
    <s v="Jalandhar"/>
    <x v="4"/>
    <x v="30"/>
    <s v="Eshani Buch"/>
    <x v="1"/>
    <x v="8"/>
    <x v="2"/>
    <x v="4"/>
    <n v="1561"/>
    <x v="291"/>
    <n v="2185.3999999999996"/>
    <n v="936.60000000000036"/>
    <n v="0.3000000000000001"/>
    <n v="4"/>
    <x v="3"/>
    <n v="8"/>
    <s v="Q3"/>
    <n v="2023"/>
    <x v="1"/>
    <x v="1"/>
  </r>
  <r>
    <n v="818"/>
    <s v="C004"/>
    <n v="8"/>
    <n v="4"/>
    <d v="2023-03-02T00:00:00"/>
    <d v="1899-12-30T07:51:06"/>
    <d v="2023-03-09T00:00:00"/>
    <d v="1899-12-30T09:07:41"/>
    <s v="Thrissur"/>
    <x v="0"/>
    <x v="75"/>
    <s v="Tarini Bava"/>
    <x v="0"/>
    <x v="24"/>
    <x v="1"/>
    <x v="0"/>
    <n v="252"/>
    <x v="113"/>
    <n v="705.59999999999991"/>
    <n v="302.40000000000009"/>
    <n v="0.3000000000000001"/>
    <n v="7"/>
    <x v="5"/>
    <n v="3"/>
    <s v="Q1"/>
    <n v="2023"/>
    <x v="6"/>
    <x v="2"/>
  </r>
  <r>
    <n v="819"/>
    <s v="C052"/>
    <n v="55"/>
    <n v="5"/>
    <d v="2023-08-22T00:00:00"/>
    <d v="1899-12-30T13:05:23"/>
    <d v="2023-08-24T00:00:00"/>
    <d v="1899-12-30T01:32:28"/>
    <s v="Kottayam"/>
    <x v="4"/>
    <x v="9"/>
    <s v="Vardaniya Apte"/>
    <x v="0"/>
    <x v="60"/>
    <x v="4"/>
    <x v="4"/>
    <n v="1904"/>
    <x v="251"/>
    <n v="6664"/>
    <n v="2856"/>
    <n v="0.3"/>
    <n v="2"/>
    <x v="3"/>
    <n v="8"/>
    <s v="Q3"/>
    <n v="2023"/>
    <x v="4"/>
    <x v="0"/>
  </r>
  <r>
    <n v="820"/>
    <s v="C033"/>
    <n v="64"/>
    <n v="3"/>
    <d v="2023-08-22T00:00:00"/>
    <d v="1899-12-30T05:51:43"/>
    <d v="2023-08-26T00:00:00"/>
    <d v="1899-12-30T04:52:23"/>
    <s v="Hapur"/>
    <x v="4"/>
    <x v="45"/>
    <s v="Suhana Kurian"/>
    <x v="1"/>
    <x v="61"/>
    <x v="4"/>
    <x v="4"/>
    <n v="1878"/>
    <x v="161"/>
    <n v="3943.7999999999997"/>
    <n v="1690.2000000000003"/>
    <n v="0.30000000000000004"/>
    <n v="4"/>
    <x v="3"/>
    <n v="8"/>
    <s v="Q3"/>
    <n v="2023"/>
    <x v="4"/>
    <x v="0"/>
  </r>
  <r>
    <n v="821"/>
    <s v="C050"/>
    <n v="32"/>
    <n v="4"/>
    <d v="2023-02-27T00:00:00"/>
    <d v="1899-12-30T20:15:31"/>
    <d v="2023-03-07T00:00:00"/>
    <d v="1899-12-30T22:46:00"/>
    <s v="Bareilly"/>
    <x v="2"/>
    <x v="27"/>
    <s v="Chirag Srinivas"/>
    <x v="1"/>
    <x v="16"/>
    <x v="4"/>
    <x v="2"/>
    <n v="1792"/>
    <x v="149"/>
    <n v="5017.5999999999995"/>
    <n v="2150.4000000000005"/>
    <n v="0.3000000000000001"/>
    <n v="8"/>
    <x v="0"/>
    <n v="2"/>
    <s v="Q1"/>
    <n v="2023"/>
    <x v="3"/>
    <x v="0"/>
  </r>
  <r>
    <n v="822"/>
    <s v="C075"/>
    <n v="41"/>
    <n v="5"/>
    <d v="2023-11-09T00:00:00"/>
    <d v="1899-12-30T03:23:06"/>
    <d v="2023-11-12T00:00:00"/>
    <d v="1899-12-30T04:15:17"/>
    <s v="Indore"/>
    <x v="1"/>
    <x v="60"/>
    <s v="Yashvi Bansal"/>
    <x v="1"/>
    <x v="1"/>
    <x v="1"/>
    <x v="1"/>
    <n v="1977"/>
    <x v="182"/>
    <n v="6919.4999999999991"/>
    <n v="2965.5000000000009"/>
    <n v="0.3000000000000001"/>
    <n v="3"/>
    <x v="1"/>
    <n v="11"/>
    <s v="Q4"/>
    <n v="2023"/>
    <x v="6"/>
    <x v="0"/>
  </r>
  <r>
    <n v="823"/>
    <s v="C087"/>
    <n v="64"/>
    <n v="3"/>
    <d v="2023-08-27T00:00:00"/>
    <d v="1899-12-30T15:23:25"/>
    <d v="2023-09-01T00:00:00"/>
    <d v="1899-12-30T14:52:40"/>
    <s v="Alappuzha"/>
    <x v="4"/>
    <x v="10"/>
    <s v="Rania Bhatt"/>
    <x v="1"/>
    <x v="61"/>
    <x v="4"/>
    <x v="4"/>
    <n v="1878"/>
    <x v="161"/>
    <n v="3943.7999999999997"/>
    <n v="1690.2000000000003"/>
    <n v="0.30000000000000004"/>
    <n v="5"/>
    <x v="3"/>
    <n v="8"/>
    <s v="Q3"/>
    <n v="2023"/>
    <x v="3"/>
    <x v="0"/>
  </r>
  <r>
    <n v="824"/>
    <s v="C097"/>
    <n v="46"/>
    <n v="4"/>
    <d v="2023-05-06T00:00:00"/>
    <d v="1899-12-30T07:56:11"/>
    <d v="2023-05-07T00:00:00"/>
    <d v="1899-12-30T15:23:52"/>
    <s v="Muzaffarpur"/>
    <x v="0"/>
    <x v="7"/>
    <s v="Nakul Randhawa"/>
    <x v="1"/>
    <x v="62"/>
    <x v="3"/>
    <x v="0"/>
    <n v="758"/>
    <x v="296"/>
    <n v="2122.4"/>
    <n v="909.59999999999991"/>
    <n v="0.3"/>
    <n v="1"/>
    <x v="4"/>
    <n v="5"/>
    <s v="Q2"/>
    <n v="2023"/>
    <x v="3"/>
    <x v="1"/>
  </r>
  <r>
    <n v="825"/>
    <s v="C044"/>
    <n v="25"/>
    <n v="5"/>
    <d v="2023-06-30T00:00:00"/>
    <d v="1899-12-30T10:50:24"/>
    <d v="2023-07-01T00:00:00"/>
    <d v="1899-12-30T18:08:04"/>
    <s v="Nellore"/>
    <x v="0"/>
    <x v="8"/>
    <s v="Seher Mann"/>
    <x v="0"/>
    <x v="40"/>
    <x v="5"/>
    <x v="0"/>
    <n v="1202"/>
    <x v="275"/>
    <n v="4207"/>
    <n v="1803"/>
    <n v="0.3"/>
    <n v="1"/>
    <x v="11"/>
    <n v="6"/>
    <s v="Q2"/>
    <n v="2023"/>
    <x v="6"/>
    <x v="0"/>
  </r>
  <r>
    <n v="826"/>
    <s v="C077"/>
    <n v="16"/>
    <n v="5"/>
    <d v="2023-03-02T00:00:00"/>
    <d v="1899-12-30T20:02:07"/>
    <d v="2023-03-08T00:00:00"/>
    <d v="1899-12-30T06:16:18"/>
    <s v="Udaipur"/>
    <x v="5"/>
    <x v="41"/>
    <s v="Gokul Ahluwalia"/>
    <x v="1"/>
    <x v="9"/>
    <x v="1"/>
    <x v="5"/>
    <n v="1721"/>
    <x v="156"/>
    <n v="6023.4999999999991"/>
    <n v="2581.5000000000009"/>
    <n v="0.3000000000000001"/>
    <n v="6"/>
    <x v="5"/>
    <n v="3"/>
    <s v="Q1"/>
    <n v="2023"/>
    <x v="6"/>
    <x v="0"/>
  </r>
  <r>
    <n v="827"/>
    <s v="C086"/>
    <n v="9"/>
    <n v="1"/>
    <d v="2023-08-29T00:00:00"/>
    <d v="1899-12-30T22:10:46"/>
    <d v="2023-08-30T00:00:00"/>
    <d v="1899-12-30T00:51:55"/>
    <s v="Surendranagar Dudhrej"/>
    <x v="4"/>
    <x v="80"/>
    <s v="Ivana Amble"/>
    <x v="1"/>
    <x v="21"/>
    <x v="2"/>
    <x v="4"/>
    <n v="1605"/>
    <x v="43"/>
    <n v="1123.5"/>
    <n v="481.5"/>
    <n v="0.3"/>
    <n v="1"/>
    <x v="3"/>
    <n v="8"/>
    <s v="Q3"/>
    <n v="2023"/>
    <x v="4"/>
    <x v="2"/>
  </r>
  <r>
    <n v="828"/>
    <s v="C044"/>
    <n v="8"/>
    <n v="3"/>
    <d v="2023-10-24T00:00:00"/>
    <d v="1899-12-30T16:47:01"/>
    <d v="2023-11-01T00:00:00"/>
    <d v="1899-12-30T22:18:58"/>
    <s v="Gwalior"/>
    <x v="0"/>
    <x v="8"/>
    <s v="Seher Mann"/>
    <x v="0"/>
    <x v="24"/>
    <x v="1"/>
    <x v="0"/>
    <n v="252"/>
    <x v="27"/>
    <n v="529.19999999999993"/>
    <n v="226.80000000000007"/>
    <n v="0.3000000000000001"/>
    <n v="8"/>
    <x v="10"/>
    <n v="10"/>
    <s v="Q4"/>
    <n v="2023"/>
    <x v="0"/>
    <x v="2"/>
  </r>
  <r>
    <n v="829"/>
    <s v="C020"/>
    <n v="42"/>
    <n v="4"/>
    <d v="2023-12-19T00:00:00"/>
    <d v="1899-12-30T18:35:41"/>
    <d v="2023-12-26T00:00:00"/>
    <d v="1899-12-30T10:18:04"/>
    <s v="Visakhapatnam"/>
    <x v="6"/>
    <x v="36"/>
    <s v="Samaira Ganesh"/>
    <x v="0"/>
    <x v="18"/>
    <x v="1"/>
    <x v="6"/>
    <n v="1744"/>
    <x v="141"/>
    <n v="4883.2"/>
    <n v="2092.8000000000002"/>
    <n v="0.30000000000000004"/>
    <n v="7"/>
    <x v="6"/>
    <n v="12"/>
    <s v="Q4"/>
    <n v="2023"/>
    <x v="5"/>
    <x v="0"/>
  </r>
  <r>
    <n v="830"/>
    <s v="C007"/>
    <n v="46"/>
    <n v="2"/>
    <d v="2023-01-12T00:00:00"/>
    <d v="1899-12-30T19:18:53"/>
    <d v="2023-01-15T00:00:00"/>
    <d v="1899-12-30T05:04:21"/>
    <s v="Indore"/>
    <x v="0"/>
    <x v="70"/>
    <s v="Jayant Kamdar"/>
    <x v="0"/>
    <x v="62"/>
    <x v="3"/>
    <x v="0"/>
    <n v="758"/>
    <x v="253"/>
    <n v="1061.2"/>
    <n v="454.79999999999995"/>
    <n v="0.3"/>
    <n v="3"/>
    <x v="8"/>
    <n v="1"/>
    <s v="Q1"/>
    <n v="2023"/>
    <x v="5"/>
    <x v="2"/>
  </r>
  <r>
    <n v="831"/>
    <s v="C079"/>
    <n v="56"/>
    <n v="5"/>
    <d v="2023-05-24T00:00:00"/>
    <d v="1899-12-30T18:41:33"/>
    <d v="2023-06-03T00:00:00"/>
    <d v="1899-12-30T19:06:17"/>
    <s v="Rajahmundry"/>
    <x v="0"/>
    <x v="79"/>
    <s v="Vedika Sankaran"/>
    <x v="1"/>
    <x v="8"/>
    <x v="0"/>
    <x v="0"/>
    <n v="1272"/>
    <x v="311"/>
    <n v="4452"/>
    <n v="1908"/>
    <n v="0.3"/>
    <n v="10"/>
    <x v="4"/>
    <n v="5"/>
    <s v="Q2"/>
    <n v="2023"/>
    <x v="0"/>
    <x v="0"/>
  </r>
  <r>
    <n v="832"/>
    <s v="C026"/>
    <n v="65"/>
    <n v="4"/>
    <d v="2023-02-01T00:00:00"/>
    <d v="1899-12-30T18:56:24"/>
    <d v="2023-02-10T00:00:00"/>
    <d v="1899-12-30T02:19:29"/>
    <s v="Etawah"/>
    <x v="6"/>
    <x v="63"/>
    <s v="Ira Chahal"/>
    <x v="1"/>
    <x v="35"/>
    <x v="0"/>
    <x v="6"/>
    <n v="1895"/>
    <x v="40"/>
    <n v="5306"/>
    <n v="2274"/>
    <n v="0.3"/>
    <n v="9"/>
    <x v="0"/>
    <n v="2"/>
    <s v="Q1"/>
    <n v="2023"/>
    <x v="4"/>
    <x v="0"/>
  </r>
  <r>
    <n v="833"/>
    <s v="C002"/>
    <n v="26"/>
    <n v="3"/>
    <d v="2023-03-05T00:00:00"/>
    <d v="1899-12-30T00:40:48"/>
    <d v="2023-03-13T00:00:00"/>
    <d v="1899-12-30T01:40:17"/>
    <s v="Shahjahanpur"/>
    <x v="5"/>
    <x v="83"/>
    <s v="Myra Edwin"/>
    <x v="1"/>
    <x v="42"/>
    <x v="2"/>
    <x v="5"/>
    <n v="289"/>
    <x v="59"/>
    <n v="606.9"/>
    <n v="260.10000000000002"/>
    <n v="0.30000000000000004"/>
    <n v="8"/>
    <x v="5"/>
    <n v="3"/>
    <s v="Q1"/>
    <n v="2023"/>
    <x v="5"/>
    <x v="2"/>
  </r>
  <r>
    <n v="834"/>
    <s v="C029"/>
    <n v="60"/>
    <n v="5"/>
    <d v="2023-11-03T00:00:00"/>
    <d v="1899-12-30T18:35:20"/>
    <d v="2023-11-12T00:00:00"/>
    <d v="1899-12-30T14:01:49"/>
    <s v="Thrissur"/>
    <x v="1"/>
    <x v="2"/>
    <s v="Badal Sathe"/>
    <x v="1"/>
    <x v="12"/>
    <x v="1"/>
    <x v="1"/>
    <n v="827"/>
    <x v="139"/>
    <n v="2894.5"/>
    <n v="1240.5"/>
    <n v="0.3"/>
    <n v="9"/>
    <x v="1"/>
    <n v="11"/>
    <s v="Q4"/>
    <n v="2023"/>
    <x v="0"/>
    <x v="1"/>
  </r>
  <r>
    <n v="835"/>
    <s v="C089"/>
    <n v="32"/>
    <n v="2"/>
    <d v="2023-07-05T00:00:00"/>
    <d v="1899-12-30T17:35:53"/>
    <d v="2023-07-06T00:00:00"/>
    <d v="1899-12-30T23:34:11"/>
    <s v="Cuttack"/>
    <x v="2"/>
    <x v="76"/>
    <s v="Oorja Dey"/>
    <x v="1"/>
    <x v="16"/>
    <x v="4"/>
    <x v="2"/>
    <n v="1792"/>
    <x v="127"/>
    <n v="2508.7999999999997"/>
    <n v="1075.2000000000003"/>
    <n v="0.3000000000000001"/>
    <n v="1"/>
    <x v="2"/>
    <n v="7"/>
    <s v="Q3"/>
    <n v="2023"/>
    <x v="5"/>
    <x v="1"/>
  </r>
  <r>
    <n v="836"/>
    <s v="C020"/>
    <n v="44"/>
    <n v="5"/>
    <d v="2023-11-08T00:00:00"/>
    <d v="1899-12-30T02:36:05"/>
    <d v="2023-11-11T00:00:00"/>
    <d v="1899-12-30T03:11:27"/>
    <s v="Tumkur"/>
    <x v="1"/>
    <x v="36"/>
    <s v="Samaira Ganesh"/>
    <x v="0"/>
    <x v="39"/>
    <x v="5"/>
    <x v="1"/>
    <n v="794"/>
    <x v="284"/>
    <n v="2779"/>
    <n v="1191"/>
    <n v="0.3"/>
    <n v="3"/>
    <x v="1"/>
    <n v="11"/>
    <s v="Q4"/>
    <n v="2023"/>
    <x v="4"/>
    <x v="1"/>
  </r>
  <r>
    <n v="837"/>
    <s v="C036"/>
    <n v="14"/>
    <n v="5"/>
    <d v="2023-12-19T00:00:00"/>
    <d v="1899-12-30T12:57:12"/>
    <d v="2023-12-21T00:00:00"/>
    <d v="1899-12-30T00:00:36"/>
    <s v="Raebareli"/>
    <x v="2"/>
    <x v="38"/>
    <s v="Biju Bajwa"/>
    <x v="1"/>
    <x v="2"/>
    <x v="2"/>
    <x v="2"/>
    <n v="1915"/>
    <x v="2"/>
    <n v="6702.5"/>
    <n v="2872.5"/>
    <n v="0.3"/>
    <n v="2"/>
    <x v="6"/>
    <n v="12"/>
    <s v="Q4"/>
    <n v="2023"/>
    <x v="5"/>
    <x v="0"/>
  </r>
  <r>
    <n v="838"/>
    <s v="C003"/>
    <n v="19"/>
    <n v="3"/>
    <d v="2023-02-09T00:00:00"/>
    <d v="1899-12-30T10:18:01"/>
    <d v="2023-02-17T00:00:00"/>
    <d v="1899-12-30T06:09:40"/>
    <s v="Sirsa"/>
    <x v="3"/>
    <x v="3"/>
    <s v="Jayesh Lanka"/>
    <x v="0"/>
    <x v="27"/>
    <x v="6"/>
    <x v="3"/>
    <n v="1234"/>
    <x v="187"/>
    <n v="2591.3999999999996"/>
    <n v="1110.6000000000004"/>
    <n v="0.3000000000000001"/>
    <n v="8"/>
    <x v="0"/>
    <n v="2"/>
    <s v="Q1"/>
    <n v="2023"/>
    <x v="6"/>
    <x v="1"/>
  </r>
  <r>
    <n v="839"/>
    <s v="C072"/>
    <n v="51"/>
    <n v="4"/>
    <d v="2023-11-02T00:00:00"/>
    <d v="1899-12-30T03:51:23"/>
    <d v="2023-11-12T00:00:00"/>
    <d v="1899-12-30T01:49:51"/>
    <s v="Udupi"/>
    <x v="6"/>
    <x v="15"/>
    <s v="Charvi Karnik"/>
    <x v="0"/>
    <x v="38"/>
    <x v="4"/>
    <x v="6"/>
    <n v="1084"/>
    <x v="243"/>
    <n v="3035.2"/>
    <n v="1300.8000000000002"/>
    <n v="0.30000000000000004"/>
    <n v="10"/>
    <x v="1"/>
    <n v="11"/>
    <s v="Q4"/>
    <n v="2023"/>
    <x v="6"/>
    <x v="1"/>
  </r>
  <r>
    <n v="840"/>
    <s v="C031"/>
    <n v="67"/>
    <n v="2"/>
    <d v="2023-01-13T00:00:00"/>
    <d v="1899-12-30T19:19:35"/>
    <d v="2023-01-16T00:00:00"/>
    <d v="1899-12-30T11:50:30"/>
    <s v="Tirunelveli"/>
    <x v="0"/>
    <x v="35"/>
    <s v="Madhup Wable"/>
    <x v="1"/>
    <x v="0"/>
    <x v="0"/>
    <x v="0"/>
    <n v="1374"/>
    <x v="102"/>
    <n v="1923.6"/>
    <n v="824.40000000000009"/>
    <n v="0.30000000000000004"/>
    <n v="3"/>
    <x v="8"/>
    <n v="1"/>
    <s v="Q1"/>
    <n v="2023"/>
    <x v="3"/>
    <x v="1"/>
  </r>
  <r>
    <n v="841"/>
    <s v="C041"/>
    <n v="26"/>
    <n v="5"/>
    <d v="2023-03-07T00:00:00"/>
    <d v="1899-12-30T06:16:00"/>
    <d v="2023-03-12T00:00:00"/>
    <d v="1899-12-30T23:16:39"/>
    <s v="Bhalswa Jahangir Pur"/>
    <x v="5"/>
    <x v="19"/>
    <s v="Rati Dhingra"/>
    <x v="0"/>
    <x v="42"/>
    <x v="2"/>
    <x v="5"/>
    <n v="289"/>
    <x v="194"/>
    <n v="1011.4999999999999"/>
    <n v="433.50000000000011"/>
    <n v="0.3000000000000001"/>
    <n v="5"/>
    <x v="5"/>
    <n v="3"/>
    <s v="Q1"/>
    <n v="2023"/>
    <x v="1"/>
    <x v="2"/>
  </r>
  <r>
    <n v="842"/>
    <s v="C085"/>
    <n v="46"/>
    <n v="2"/>
    <d v="2023-12-29T00:00:00"/>
    <d v="1899-12-30T17:11:33"/>
    <d v="2024-01-01T00:00:00"/>
    <d v="1899-12-30T02:27:46"/>
    <s v="Kulti"/>
    <x v="0"/>
    <x v="71"/>
    <s v="Bhamini Johal"/>
    <x v="0"/>
    <x v="62"/>
    <x v="3"/>
    <x v="0"/>
    <n v="758"/>
    <x v="253"/>
    <n v="1061.2"/>
    <n v="454.79999999999995"/>
    <n v="0.3"/>
    <n v="3"/>
    <x v="6"/>
    <n v="12"/>
    <s v="Q4"/>
    <n v="2023"/>
    <x v="4"/>
    <x v="2"/>
  </r>
  <r>
    <n v="843"/>
    <s v="C007"/>
    <n v="68"/>
    <n v="1"/>
    <d v="2023-02-11T00:00:00"/>
    <d v="1899-12-30T21:46:03"/>
    <d v="2023-02-12T00:00:00"/>
    <d v="1899-12-30T19:27:09"/>
    <s v="Bikaner"/>
    <x v="3"/>
    <x v="70"/>
    <s v="Jayant Kamdar"/>
    <x v="0"/>
    <x v="63"/>
    <x v="4"/>
    <x v="3"/>
    <n v="597"/>
    <x v="232"/>
    <n v="417.9"/>
    <n v="179.10000000000002"/>
    <n v="0.30000000000000004"/>
    <n v="1"/>
    <x v="0"/>
    <n v="2"/>
    <s v="Q1"/>
    <n v="2023"/>
    <x v="2"/>
    <x v="2"/>
  </r>
  <r>
    <n v="844"/>
    <s v="C067"/>
    <n v="51"/>
    <n v="1"/>
    <d v="2023-10-09T00:00:00"/>
    <d v="1899-12-30T19:12:55"/>
    <d v="2023-10-10T00:00:00"/>
    <d v="1899-12-30T09:48:27"/>
    <s v="Satara"/>
    <x v="6"/>
    <x v="29"/>
    <s v="Eva Sankaran"/>
    <x v="0"/>
    <x v="38"/>
    <x v="4"/>
    <x v="6"/>
    <n v="1084"/>
    <x v="207"/>
    <n v="758.8"/>
    <n v="325.20000000000005"/>
    <n v="0.30000000000000004"/>
    <n v="1"/>
    <x v="10"/>
    <n v="10"/>
    <s v="Q4"/>
    <n v="2023"/>
    <x v="6"/>
    <x v="2"/>
  </r>
  <r>
    <n v="845"/>
    <s v="C032"/>
    <n v="57"/>
    <n v="5"/>
    <d v="2023-10-17T00:00:00"/>
    <d v="1899-12-30T18:51:16"/>
    <d v="2023-10-25T00:00:00"/>
    <d v="1899-12-30T02:55:03"/>
    <s v="Hospet"/>
    <x v="2"/>
    <x v="54"/>
    <s v="Mannat Anand"/>
    <x v="0"/>
    <x v="57"/>
    <x v="2"/>
    <x v="2"/>
    <n v="1582"/>
    <x v="312"/>
    <n v="5536.9999999999991"/>
    <n v="2373.0000000000009"/>
    <n v="0.3000000000000001"/>
    <n v="8"/>
    <x v="10"/>
    <n v="10"/>
    <s v="Q4"/>
    <n v="2023"/>
    <x v="0"/>
    <x v="0"/>
  </r>
  <r>
    <n v="846"/>
    <s v="C069"/>
    <n v="15"/>
    <n v="4"/>
    <d v="2023-11-28T00:00:00"/>
    <d v="1899-12-30T02:47:39"/>
    <d v="2023-12-02T00:00:00"/>
    <d v="1899-12-30T06:56:03"/>
    <s v="Bhalswa Jahangir Pur"/>
    <x v="0"/>
    <x v="13"/>
    <s v="Hunar Tripathi"/>
    <x v="1"/>
    <x v="51"/>
    <x v="0"/>
    <x v="0"/>
    <n v="1488"/>
    <x v="71"/>
    <n v="4166.3999999999996"/>
    <n v="1785.6000000000004"/>
    <n v="0.30000000000000004"/>
    <n v="4"/>
    <x v="1"/>
    <n v="11"/>
    <s v="Q4"/>
    <n v="2023"/>
    <x v="1"/>
    <x v="0"/>
  </r>
  <r>
    <n v="847"/>
    <s v="C009"/>
    <n v="44"/>
    <n v="4"/>
    <d v="2023-11-07T00:00:00"/>
    <d v="1899-12-30T18:10:17"/>
    <d v="2023-11-12T00:00:00"/>
    <d v="1899-12-30T10:21:36"/>
    <s v="Bareilly"/>
    <x v="1"/>
    <x v="6"/>
    <s v="Ritvik Borah"/>
    <x v="1"/>
    <x v="39"/>
    <x v="5"/>
    <x v="1"/>
    <n v="794"/>
    <x v="215"/>
    <n v="2223.1999999999998"/>
    <n v="952.80000000000018"/>
    <n v="0.30000000000000004"/>
    <n v="5"/>
    <x v="1"/>
    <n v="11"/>
    <s v="Q4"/>
    <n v="2023"/>
    <x v="1"/>
    <x v="1"/>
  </r>
  <r>
    <n v="848"/>
    <s v="C005"/>
    <n v="6"/>
    <n v="1"/>
    <d v="2023-03-06T00:00:00"/>
    <d v="1899-12-30T16:52:57"/>
    <d v="2023-03-10T00:00:00"/>
    <d v="1899-12-30T22:26:48"/>
    <s v="Shimla"/>
    <x v="5"/>
    <x v="81"/>
    <s v="Hiran Kaul"/>
    <x v="0"/>
    <x v="20"/>
    <x v="3"/>
    <x v="5"/>
    <n v="1112"/>
    <x v="274"/>
    <n v="778.4"/>
    <n v="333.6"/>
    <n v="0.30000000000000004"/>
    <n v="4"/>
    <x v="5"/>
    <n v="3"/>
    <s v="Q1"/>
    <n v="2023"/>
    <x v="3"/>
    <x v="2"/>
  </r>
  <r>
    <n v="849"/>
    <s v="C013"/>
    <n v="57"/>
    <n v="1"/>
    <d v="2023-03-12T00:00:00"/>
    <d v="1899-12-30T01:16:48"/>
    <d v="2023-03-14T00:00:00"/>
    <d v="1899-12-30T00:50:03"/>
    <s v="Panipat"/>
    <x v="2"/>
    <x v="14"/>
    <s v="Manikya Goswami"/>
    <x v="1"/>
    <x v="57"/>
    <x v="2"/>
    <x v="2"/>
    <n v="1582"/>
    <x v="92"/>
    <n v="1107.3999999999999"/>
    <n v="474.60000000000014"/>
    <n v="0.3000000000000001"/>
    <n v="2"/>
    <x v="5"/>
    <n v="3"/>
    <s v="Q1"/>
    <n v="2023"/>
    <x v="5"/>
    <x v="2"/>
  </r>
  <r>
    <n v="850"/>
    <s v="C092"/>
    <n v="21"/>
    <n v="4"/>
    <d v="2023-08-23T00:00:00"/>
    <d v="1899-12-30T23:15:17"/>
    <d v="2023-08-25T00:00:00"/>
    <d v="1899-12-30T10:31:01"/>
    <s v="Darbhanga"/>
    <x v="4"/>
    <x v="38"/>
    <s v="Zoya Mani"/>
    <x v="0"/>
    <x v="8"/>
    <x v="2"/>
    <x v="4"/>
    <n v="1561"/>
    <x v="256"/>
    <n v="4370.7999999999993"/>
    <n v="1873.2000000000007"/>
    <n v="0.3000000000000001"/>
    <n v="2"/>
    <x v="3"/>
    <n v="8"/>
    <s v="Q3"/>
    <n v="2023"/>
    <x v="6"/>
    <x v="0"/>
  </r>
  <r>
    <n v="851"/>
    <s v="C030"/>
    <n v="13"/>
    <n v="3"/>
    <d v="2023-03-06T00:00:00"/>
    <d v="1899-12-30T11:31:57"/>
    <d v="2023-03-10T00:00:00"/>
    <d v="1899-12-30T18:17:54"/>
    <s v="Singrauli"/>
    <x v="5"/>
    <x v="64"/>
    <s v="Vardaniya Contractor"/>
    <x v="0"/>
    <x v="64"/>
    <x v="6"/>
    <x v="5"/>
    <n v="1141"/>
    <x v="152"/>
    <n v="2396.1"/>
    <n v="1026.9000000000001"/>
    <n v="0.30000000000000004"/>
    <n v="4"/>
    <x v="5"/>
    <n v="3"/>
    <s v="Q1"/>
    <n v="2023"/>
    <x v="3"/>
    <x v="1"/>
  </r>
  <r>
    <n v="852"/>
    <s v="C035"/>
    <n v="44"/>
    <n v="2"/>
    <d v="2023-11-11T00:00:00"/>
    <d v="1899-12-30T09:41:46"/>
    <d v="2023-11-14T00:00:00"/>
    <d v="1899-12-30T14:15:30"/>
    <s v="Ozhukarai"/>
    <x v="1"/>
    <x v="61"/>
    <s v="Ira Sarna"/>
    <x v="0"/>
    <x v="39"/>
    <x v="5"/>
    <x v="1"/>
    <n v="794"/>
    <x v="51"/>
    <n v="1111.5999999999999"/>
    <n v="476.40000000000009"/>
    <n v="0.30000000000000004"/>
    <n v="3"/>
    <x v="1"/>
    <n v="11"/>
    <s v="Q4"/>
    <n v="2023"/>
    <x v="2"/>
    <x v="2"/>
  </r>
  <r>
    <n v="853"/>
    <s v="C050"/>
    <n v="51"/>
    <n v="3"/>
    <d v="2023-09-17T00:00:00"/>
    <d v="1899-12-30T21:14:53"/>
    <d v="2023-09-23T00:00:00"/>
    <d v="1899-12-30T14:27:28"/>
    <s v="Jorhat"/>
    <x v="6"/>
    <x v="27"/>
    <s v="Chirag Srinivas"/>
    <x v="1"/>
    <x v="38"/>
    <x v="4"/>
    <x v="6"/>
    <n v="1084"/>
    <x v="85"/>
    <n v="2276.3999999999996"/>
    <n v="975.60000000000036"/>
    <n v="0.3000000000000001"/>
    <n v="6"/>
    <x v="7"/>
    <n v="9"/>
    <s v="Q3"/>
    <n v="2023"/>
    <x v="0"/>
    <x v="1"/>
  </r>
  <r>
    <n v="854"/>
    <s v="C016"/>
    <n v="62"/>
    <n v="3"/>
    <d v="2023-02-27T00:00:00"/>
    <d v="1899-12-30T02:00:33"/>
    <d v="2023-03-02T00:00:00"/>
    <d v="1899-12-30T02:51:29"/>
    <s v="Bhind"/>
    <x v="5"/>
    <x v="73"/>
    <s v="Amani Ganesh"/>
    <x v="0"/>
    <x v="14"/>
    <x v="2"/>
    <x v="5"/>
    <n v="1356"/>
    <x v="300"/>
    <n v="2847.6"/>
    <n v="1220.4000000000001"/>
    <n v="0.30000000000000004"/>
    <n v="3"/>
    <x v="0"/>
    <n v="2"/>
    <s v="Q1"/>
    <n v="2023"/>
    <x v="3"/>
    <x v="1"/>
  </r>
  <r>
    <n v="855"/>
    <s v="C033"/>
    <n v="57"/>
    <n v="5"/>
    <d v="2023-08-07T00:00:00"/>
    <d v="1899-12-30T23:50:11"/>
    <d v="2023-08-17T00:00:00"/>
    <d v="1899-12-30T20:15:43"/>
    <s v="Allahabad"/>
    <x v="2"/>
    <x v="45"/>
    <s v="Suhana Kurian"/>
    <x v="1"/>
    <x v="57"/>
    <x v="2"/>
    <x v="2"/>
    <n v="1582"/>
    <x v="312"/>
    <n v="5536.9999999999991"/>
    <n v="2373.0000000000009"/>
    <n v="0.3000000000000001"/>
    <n v="10"/>
    <x v="3"/>
    <n v="8"/>
    <s v="Q3"/>
    <n v="2023"/>
    <x v="1"/>
    <x v="0"/>
  </r>
  <r>
    <n v="856"/>
    <s v="C077"/>
    <n v="21"/>
    <n v="2"/>
    <d v="2023-08-27T00:00:00"/>
    <d v="1899-12-30T17:40:11"/>
    <d v="2023-09-02T00:00:00"/>
    <d v="1899-12-30T16:16:50"/>
    <s v="Kanpur"/>
    <x v="4"/>
    <x v="41"/>
    <s v="Gokul Ahluwalia"/>
    <x v="1"/>
    <x v="8"/>
    <x v="2"/>
    <x v="4"/>
    <n v="1561"/>
    <x v="291"/>
    <n v="2185.3999999999996"/>
    <n v="936.60000000000036"/>
    <n v="0.3000000000000001"/>
    <n v="6"/>
    <x v="3"/>
    <n v="8"/>
    <s v="Q3"/>
    <n v="2023"/>
    <x v="3"/>
    <x v="1"/>
  </r>
  <r>
    <n v="857"/>
    <s v="C053"/>
    <n v="63"/>
    <n v="1"/>
    <d v="2023-02-09T00:00:00"/>
    <d v="1899-12-30T09:22:18"/>
    <d v="2023-02-18T00:00:00"/>
    <d v="1899-12-30T14:00:44"/>
    <s v="Bareilly"/>
    <x v="6"/>
    <x v="52"/>
    <s v="Kismat Kapadia"/>
    <x v="1"/>
    <x v="67"/>
    <x v="1"/>
    <x v="6"/>
    <n v="1348"/>
    <x v="313"/>
    <n v="943.59999999999991"/>
    <n v="404.40000000000009"/>
    <n v="0.30000000000000004"/>
    <n v="9"/>
    <x v="0"/>
    <n v="2"/>
    <s v="Q1"/>
    <n v="2023"/>
    <x v="6"/>
    <x v="2"/>
  </r>
  <r>
    <n v="858"/>
    <s v="C046"/>
    <n v="44"/>
    <n v="4"/>
    <d v="2023-11-08T00:00:00"/>
    <d v="1899-12-30T01:51:48"/>
    <d v="2023-11-09T00:00:00"/>
    <d v="1899-12-30T16:01:24"/>
    <s v="Saharanpur"/>
    <x v="1"/>
    <x v="32"/>
    <s v="Tara Kannan"/>
    <x v="0"/>
    <x v="39"/>
    <x v="5"/>
    <x v="1"/>
    <n v="794"/>
    <x v="215"/>
    <n v="2223.1999999999998"/>
    <n v="952.80000000000018"/>
    <n v="0.30000000000000004"/>
    <n v="1"/>
    <x v="1"/>
    <n v="11"/>
    <s v="Q4"/>
    <n v="2023"/>
    <x v="4"/>
    <x v="1"/>
  </r>
  <r>
    <n v="859"/>
    <s v="C047"/>
    <n v="43"/>
    <n v="1"/>
    <d v="2023-11-10T00:00:00"/>
    <d v="1899-12-30T07:06:21"/>
    <d v="2023-11-15T00:00:00"/>
    <d v="1899-12-30T01:46:27"/>
    <s v="Varanasi"/>
    <x v="1"/>
    <x v="25"/>
    <s v="Bhamini Ravi"/>
    <x v="0"/>
    <x v="6"/>
    <x v="0"/>
    <x v="1"/>
    <n v="750"/>
    <x v="19"/>
    <n v="525"/>
    <n v="225"/>
    <n v="0.3"/>
    <n v="5"/>
    <x v="1"/>
    <n v="11"/>
    <s v="Q4"/>
    <n v="2023"/>
    <x v="0"/>
    <x v="2"/>
  </r>
  <r>
    <n v="860"/>
    <s v="C064"/>
    <n v="14"/>
    <n v="1"/>
    <d v="2023-01-10T00:00:00"/>
    <d v="1899-12-30T19:29:59"/>
    <d v="2023-01-13T00:00:00"/>
    <d v="1899-12-30T13:30:30"/>
    <s v="Adoni"/>
    <x v="2"/>
    <x v="24"/>
    <s v="Indrajit Kale"/>
    <x v="0"/>
    <x v="2"/>
    <x v="2"/>
    <x v="2"/>
    <n v="1915"/>
    <x v="37"/>
    <n v="1340.5"/>
    <n v="574.5"/>
    <n v="0.3"/>
    <n v="3"/>
    <x v="8"/>
    <n v="1"/>
    <s v="Q1"/>
    <n v="2023"/>
    <x v="0"/>
    <x v="2"/>
  </r>
  <r>
    <n v="861"/>
    <s v="C030"/>
    <n v="32"/>
    <n v="1"/>
    <d v="2023-02-09T00:00:00"/>
    <d v="1899-12-30T08:19:31"/>
    <d v="2023-02-14T00:00:00"/>
    <d v="1899-12-30T02:37:34"/>
    <s v="Bidar"/>
    <x v="2"/>
    <x v="64"/>
    <s v="Vardaniya Contractor"/>
    <x v="0"/>
    <x v="16"/>
    <x v="4"/>
    <x v="2"/>
    <n v="1792"/>
    <x v="18"/>
    <n v="1254.3999999999999"/>
    <n v="537.60000000000014"/>
    <n v="0.3000000000000001"/>
    <n v="5"/>
    <x v="0"/>
    <n v="2"/>
    <s v="Q1"/>
    <n v="2023"/>
    <x v="6"/>
    <x v="2"/>
  </r>
  <r>
    <n v="862"/>
    <s v="C049"/>
    <n v="6"/>
    <n v="4"/>
    <d v="2023-03-07T00:00:00"/>
    <d v="1899-12-30T05:51:14"/>
    <d v="2023-03-15T00:00:00"/>
    <d v="1899-12-30T08:23:47"/>
    <s v="Shimoga"/>
    <x v="5"/>
    <x v="27"/>
    <s v="Aarush Balasubramanian"/>
    <x v="1"/>
    <x v="20"/>
    <x v="3"/>
    <x v="5"/>
    <n v="1112"/>
    <x v="52"/>
    <n v="3113.6"/>
    <n v="1334.4"/>
    <n v="0.30000000000000004"/>
    <n v="8"/>
    <x v="5"/>
    <n v="3"/>
    <s v="Q1"/>
    <n v="2023"/>
    <x v="1"/>
    <x v="1"/>
  </r>
  <r>
    <n v="863"/>
    <s v="C099"/>
    <n v="20"/>
    <n v="3"/>
    <d v="2023-06-05T00:00:00"/>
    <d v="1899-12-30T09:28:04"/>
    <d v="2023-06-15T00:00:00"/>
    <d v="1899-12-30T03:13:05"/>
    <s v="Jehanabad"/>
    <x v="0"/>
    <x v="9"/>
    <s v="Ranbir Loyal"/>
    <x v="1"/>
    <x v="11"/>
    <x v="2"/>
    <x v="0"/>
    <n v="697"/>
    <x v="11"/>
    <n v="1463.6999999999998"/>
    <n v="627.30000000000018"/>
    <n v="0.3000000000000001"/>
    <n v="10"/>
    <x v="11"/>
    <n v="6"/>
    <s v="Q2"/>
    <n v="2023"/>
    <x v="5"/>
    <x v="1"/>
  </r>
  <r>
    <n v="864"/>
    <s v="C033"/>
    <n v="11"/>
    <n v="1"/>
    <d v="2023-02-11T00:00:00"/>
    <d v="1899-12-30T19:34:22"/>
    <d v="2023-02-15T00:00:00"/>
    <d v="1899-12-30T08:05:38"/>
    <s v="Lucknow"/>
    <x v="3"/>
    <x v="45"/>
    <s v="Suhana Kurian"/>
    <x v="1"/>
    <x v="45"/>
    <x v="6"/>
    <x v="3"/>
    <n v="1096"/>
    <x v="242"/>
    <n v="767.19999999999993"/>
    <n v="328.80000000000007"/>
    <n v="0.30000000000000004"/>
    <n v="4"/>
    <x v="0"/>
    <n v="2"/>
    <s v="Q1"/>
    <n v="2023"/>
    <x v="2"/>
    <x v="2"/>
  </r>
  <r>
    <n v="865"/>
    <s v="C032"/>
    <n v="19"/>
    <n v="1"/>
    <d v="2023-02-12T00:00:00"/>
    <d v="1899-12-30T18:09:14"/>
    <d v="2023-02-13T00:00:00"/>
    <d v="1899-12-30T06:38:00"/>
    <s v="Kumbakonam"/>
    <x v="3"/>
    <x v="54"/>
    <s v="Mannat Anand"/>
    <x v="0"/>
    <x v="27"/>
    <x v="6"/>
    <x v="3"/>
    <n v="1234"/>
    <x v="239"/>
    <n v="863.8"/>
    <n v="370.20000000000005"/>
    <n v="0.30000000000000004"/>
    <n v="1"/>
    <x v="0"/>
    <n v="2"/>
    <s v="Q1"/>
    <n v="2023"/>
    <x v="5"/>
    <x v="2"/>
  </r>
  <r>
    <n v="866"/>
    <s v="C021"/>
    <n v="15"/>
    <n v="5"/>
    <d v="2023-08-10T00:00:00"/>
    <d v="1899-12-30T20:06:37"/>
    <d v="2023-08-11T00:00:00"/>
    <d v="1899-12-30T08:02:41"/>
    <s v="Medininagar"/>
    <x v="0"/>
    <x v="85"/>
    <s v="Siya Talwar"/>
    <x v="0"/>
    <x v="51"/>
    <x v="0"/>
    <x v="0"/>
    <n v="1488"/>
    <x v="314"/>
    <n v="5208"/>
    <n v="2232"/>
    <n v="0.3"/>
    <n v="1"/>
    <x v="3"/>
    <n v="8"/>
    <s v="Q3"/>
    <n v="2023"/>
    <x v="0"/>
    <x v="0"/>
  </r>
  <r>
    <n v="867"/>
    <s v="C014"/>
    <n v="48"/>
    <n v="1"/>
    <d v="2023-11-02T00:00:00"/>
    <d v="1899-12-30T12:22:06"/>
    <d v="2023-11-04T00:00:00"/>
    <d v="1899-12-30T05:08:47"/>
    <s v="Hajipur"/>
    <x v="1"/>
    <x v="37"/>
    <s v="Indrans Shukla"/>
    <x v="1"/>
    <x v="29"/>
    <x v="2"/>
    <x v="1"/>
    <n v="433"/>
    <x v="235"/>
    <n v="303.09999999999997"/>
    <n v="129.90000000000003"/>
    <n v="0.3000000000000001"/>
    <n v="2"/>
    <x v="1"/>
    <n v="11"/>
    <s v="Q4"/>
    <n v="2023"/>
    <x v="6"/>
    <x v="2"/>
  </r>
  <r>
    <n v="868"/>
    <s v="C099"/>
    <n v="32"/>
    <n v="1"/>
    <d v="2023-08-22T00:00:00"/>
    <d v="1899-12-30T01:01:17"/>
    <d v="2023-08-30T00:00:00"/>
    <d v="1899-12-30T10:09:12"/>
    <s v="Anand"/>
    <x v="2"/>
    <x v="9"/>
    <s v="Ranbir Loyal"/>
    <x v="1"/>
    <x v="16"/>
    <x v="4"/>
    <x v="2"/>
    <n v="1792"/>
    <x v="18"/>
    <n v="1254.3999999999999"/>
    <n v="537.60000000000014"/>
    <n v="0.3000000000000001"/>
    <n v="8"/>
    <x v="3"/>
    <n v="8"/>
    <s v="Q3"/>
    <n v="2023"/>
    <x v="4"/>
    <x v="2"/>
  </r>
  <r>
    <n v="869"/>
    <s v="C032"/>
    <n v="3"/>
    <n v="5"/>
    <d v="2023-02-06T00:00:00"/>
    <d v="1899-12-30T10:03:19"/>
    <d v="2023-02-11T00:00:00"/>
    <d v="1899-12-30T23:16:28"/>
    <s v="Hazaribagh"/>
    <x v="3"/>
    <x v="54"/>
    <s v="Mannat Anand"/>
    <x v="0"/>
    <x v="52"/>
    <x v="2"/>
    <x v="3"/>
    <n v="1534"/>
    <x v="72"/>
    <n v="5369"/>
    <n v="2301"/>
    <n v="0.3"/>
    <n v="5"/>
    <x v="0"/>
    <n v="2"/>
    <s v="Q1"/>
    <n v="2023"/>
    <x v="3"/>
    <x v="0"/>
  </r>
  <r>
    <n v="870"/>
    <s v="C018"/>
    <n v="43"/>
    <n v="5"/>
    <d v="2023-11-05T00:00:00"/>
    <d v="1899-12-30T15:13:46"/>
    <d v="2023-11-07T00:00:00"/>
    <d v="1899-12-30T06:49:39"/>
    <s v="Pallavaram"/>
    <x v="1"/>
    <x v="20"/>
    <s v="Eva Vaidya"/>
    <x v="0"/>
    <x v="6"/>
    <x v="0"/>
    <x v="1"/>
    <n v="750"/>
    <x v="104"/>
    <n v="2625"/>
    <n v="1125"/>
    <n v="0.3"/>
    <n v="2"/>
    <x v="1"/>
    <n v="11"/>
    <s v="Q4"/>
    <n v="2023"/>
    <x v="5"/>
    <x v="1"/>
  </r>
  <r>
    <n v="871"/>
    <s v="C062"/>
    <n v="15"/>
    <n v="1"/>
    <d v="2023-06-11T00:00:00"/>
    <d v="1899-12-30T06:05:30"/>
    <d v="2023-06-15T00:00:00"/>
    <d v="1899-12-30T20:56:56"/>
    <s v="Secunderabad"/>
    <x v="0"/>
    <x v="49"/>
    <s v="Inaaya  Sarraf"/>
    <x v="0"/>
    <x v="51"/>
    <x v="0"/>
    <x v="0"/>
    <n v="1488"/>
    <x v="205"/>
    <n v="1041.5999999999999"/>
    <n v="446.40000000000009"/>
    <n v="0.30000000000000004"/>
    <n v="4"/>
    <x v="11"/>
    <n v="6"/>
    <s v="Q2"/>
    <n v="2023"/>
    <x v="2"/>
    <x v="2"/>
  </r>
  <r>
    <n v="872"/>
    <s v="C094"/>
    <n v="13"/>
    <n v="2"/>
    <d v="2023-03-05T00:00:00"/>
    <d v="1899-12-30T20:27:57"/>
    <d v="2023-03-10T00:00:00"/>
    <d v="1899-12-30T01:32:23"/>
    <s v="Bokaro"/>
    <x v="5"/>
    <x v="69"/>
    <s v="Raghav Babu"/>
    <x v="1"/>
    <x v="64"/>
    <x v="6"/>
    <x v="5"/>
    <n v="1141"/>
    <x v="306"/>
    <n v="1597.3999999999999"/>
    <n v="684.60000000000014"/>
    <n v="0.30000000000000004"/>
    <n v="5"/>
    <x v="5"/>
    <n v="3"/>
    <s v="Q1"/>
    <n v="2023"/>
    <x v="5"/>
    <x v="1"/>
  </r>
  <r>
    <n v="873"/>
    <s v="C027"/>
    <n v="64"/>
    <n v="4"/>
    <d v="2023-08-26T00:00:00"/>
    <d v="1899-12-30T10:57:00"/>
    <d v="2023-09-05T00:00:00"/>
    <d v="1899-12-30T15:45:27"/>
    <s v="Nandyal"/>
    <x v="4"/>
    <x v="72"/>
    <s v="Kashvi Sur"/>
    <x v="1"/>
    <x v="61"/>
    <x v="4"/>
    <x v="4"/>
    <n v="1878"/>
    <x v="163"/>
    <n v="5258.4"/>
    <n v="2253.6000000000004"/>
    <n v="0.30000000000000004"/>
    <n v="10"/>
    <x v="3"/>
    <n v="8"/>
    <s v="Q3"/>
    <n v="2023"/>
    <x v="5"/>
    <x v="0"/>
  </r>
  <r>
    <n v="874"/>
    <s v="C010"/>
    <n v="68"/>
    <n v="1"/>
    <d v="2023-02-11T00:00:00"/>
    <d v="1899-12-30T12:42:30"/>
    <d v="2023-02-21T00:00:00"/>
    <d v="1899-12-30T17:35:44"/>
    <s v="Ramagundam"/>
    <x v="3"/>
    <x v="50"/>
    <s v="Darshit Dave"/>
    <x v="0"/>
    <x v="63"/>
    <x v="4"/>
    <x v="3"/>
    <n v="597"/>
    <x v="232"/>
    <n v="417.9"/>
    <n v="179.10000000000002"/>
    <n v="0.30000000000000004"/>
    <n v="10"/>
    <x v="0"/>
    <n v="2"/>
    <s v="Q1"/>
    <n v="2023"/>
    <x v="2"/>
    <x v="2"/>
  </r>
  <r>
    <n v="875"/>
    <s v="C011"/>
    <n v="13"/>
    <n v="1"/>
    <d v="2023-03-05T00:00:00"/>
    <d v="1899-12-30T21:22:31"/>
    <d v="2023-03-14T00:00:00"/>
    <d v="1899-12-30T19:57:46"/>
    <s v="Purnia"/>
    <x v="5"/>
    <x v="16"/>
    <s v="Lagan Kapoor"/>
    <x v="1"/>
    <x v="64"/>
    <x v="6"/>
    <x v="5"/>
    <n v="1141"/>
    <x v="203"/>
    <n v="798.69999999999993"/>
    <n v="342.30000000000007"/>
    <n v="0.30000000000000004"/>
    <n v="9"/>
    <x v="5"/>
    <n v="3"/>
    <s v="Q1"/>
    <n v="2023"/>
    <x v="5"/>
    <x v="2"/>
  </r>
  <r>
    <n v="876"/>
    <s v="C016"/>
    <n v="4"/>
    <n v="4"/>
    <d v="2023-11-06T00:00:00"/>
    <d v="1899-12-30T09:38:36"/>
    <d v="2023-11-14T00:00:00"/>
    <d v="1899-12-30T20:47:44"/>
    <s v="Jaunpur"/>
    <x v="1"/>
    <x v="73"/>
    <s v="Amani Ganesh"/>
    <x v="0"/>
    <x v="44"/>
    <x v="1"/>
    <x v="1"/>
    <n v="1199"/>
    <x v="285"/>
    <n v="3357.2"/>
    <n v="1438.8000000000002"/>
    <n v="0.30000000000000004"/>
    <n v="8"/>
    <x v="1"/>
    <n v="11"/>
    <s v="Q4"/>
    <n v="2023"/>
    <x v="3"/>
    <x v="1"/>
  </r>
  <r>
    <n v="877"/>
    <s v="C041"/>
    <n v="46"/>
    <n v="5"/>
    <d v="2023-03-09T00:00:00"/>
    <d v="1899-12-30T23:16:16"/>
    <d v="2023-03-18T00:00:00"/>
    <d v="1899-12-30T12:27:24"/>
    <s v="Hazaribagh"/>
    <x v="0"/>
    <x v="19"/>
    <s v="Rati Dhingra"/>
    <x v="0"/>
    <x v="62"/>
    <x v="3"/>
    <x v="0"/>
    <n v="758"/>
    <x v="62"/>
    <n v="2653"/>
    <n v="1137"/>
    <n v="0.3"/>
    <n v="9"/>
    <x v="5"/>
    <n v="3"/>
    <s v="Q1"/>
    <n v="2023"/>
    <x v="6"/>
    <x v="1"/>
  </r>
  <r>
    <n v="878"/>
    <s v="C057"/>
    <n v="4"/>
    <n v="2"/>
    <d v="2023-11-10T00:00:00"/>
    <d v="1899-12-30T16:36:59"/>
    <d v="2023-11-19T00:00:00"/>
    <d v="1899-12-30T16:45:34"/>
    <s v="Singrauli"/>
    <x v="1"/>
    <x v="47"/>
    <s v="Zain Hegde"/>
    <x v="1"/>
    <x v="44"/>
    <x v="1"/>
    <x v="1"/>
    <n v="1199"/>
    <x v="229"/>
    <n v="1678.6"/>
    <n v="719.40000000000009"/>
    <n v="0.30000000000000004"/>
    <n v="9"/>
    <x v="1"/>
    <n v="11"/>
    <s v="Q4"/>
    <n v="2023"/>
    <x v="0"/>
    <x v="1"/>
  </r>
  <r>
    <n v="879"/>
    <s v="C092"/>
    <n v="33"/>
    <n v="2"/>
    <d v="2023-02-07T00:00:00"/>
    <d v="1899-12-30T05:34:34"/>
    <d v="2023-02-10T00:00:00"/>
    <d v="1899-12-30T11:27:38"/>
    <s v="Kishanganj"/>
    <x v="3"/>
    <x v="38"/>
    <s v="Zoya Mani"/>
    <x v="0"/>
    <x v="59"/>
    <x v="2"/>
    <x v="3"/>
    <n v="314"/>
    <x v="249"/>
    <n v="439.59999999999997"/>
    <n v="188.40000000000003"/>
    <n v="0.30000000000000004"/>
    <n v="3"/>
    <x v="0"/>
    <n v="2"/>
    <s v="Q1"/>
    <n v="2023"/>
    <x v="1"/>
    <x v="2"/>
  </r>
  <r>
    <n v="880"/>
    <s v="C044"/>
    <n v="34"/>
    <n v="5"/>
    <d v="2023-08-29T00:00:00"/>
    <d v="1899-12-30T22:14:26"/>
    <d v="2023-08-31T00:00:00"/>
    <d v="1899-12-30T04:54:50"/>
    <s v="Purnia"/>
    <x v="4"/>
    <x v="8"/>
    <s v="Seher Mann"/>
    <x v="0"/>
    <x v="41"/>
    <x v="4"/>
    <x v="4"/>
    <n v="1335"/>
    <x v="185"/>
    <n v="4672.4999999999991"/>
    <n v="2002.5000000000009"/>
    <n v="0.30000000000000016"/>
    <n v="2"/>
    <x v="3"/>
    <n v="8"/>
    <s v="Q3"/>
    <n v="2023"/>
    <x v="4"/>
    <x v="0"/>
  </r>
  <r>
    <n v="881"/>
    <s v="C015"/>
    <n v="28"/>
    <n v="4"/>
    <d v="2023-08-21T00:00:00"/>
    <d v="1899-12-30T15:17:42"/>
    <d v="2023-08-28T00:00:00"/>
    <d v="1899-12-30T12:59:45"/>
    <s v="New Delhi"/>
    <x v="4"/>
    <x v="44"/>
    <s v="Romil Bajwa"/>
    <x v="1"/>
    <x v="4"/>
    <x v="1"/>
    <x v="4"/>
    <n v="1778"/>
    <x v="4"/>
    <n v="4978.3999999999996"/>
    <n v="2133.6000000000004"/>
    <n v="0.30000000000000004"/>
    <n v="7"/>
    <x v="3"/>
    <n v="8"/>
    <s v="Q3"/>
    <n v="2023"/>
    <x v="1"/>
    <x v="0"/>
  </r>
  <r>
    <n v="882"/>
    <s v="C089"/>
    <n v="64"/>
    <n v="2"/>
    <d v="2023-08-29T00:00:00"/>
    <d v="1899-12-30T05:32:40"/>
    <d v="2023-09-08T00:00:00"/>
    <d v="1899-12-30T16:14:53"/>
    <s v="Srikakulam"/>
    <x v="4"/>
    <x v="76"/>
    <s v="Oorja Dey"/>
    <x v="1"/>
    <x v="61"/>
    <x v="4"/>
    <x v="4"/>
    <n v="1878"/>
    <x v="201"/>
    <n v="2629.2"/>
    <n v="1126.8000000000002"/>
    <n v="0.30000000000000004"/>
    <n v="10"/>
    <x v="3"/>
    <n v="8"/>
    <s v="Q3"/>
    <n v="2023"/>
    <x v="4"/>
    <x v="1"/>
  </r>
  <r>
    <n v="883"/>
    <s v="C041"/>
    <n v="36"/>
    <n v="4"/>
    <d v="2023-07-16T00:00:00"/>
    <d v="1899-12-30T19:44:04"/>
    <d v="2023-07-17T00:00:00"/>
    <d v="1899-12-30T21:03:02"/>
    <s v="Shahjahanpur"/>
    <x v="2"/>
    <x v="19"/>
    <s v="Rati Dhingra"/>
    <x v="0"/>
    <x v="37"/>
    <x v="5"/>
    <x v="2"/>
    <n v="203"/>
    <x v="315"/>
    <n v="568.4"/>
    <n v="243.60000000000002"/>
    <n v="0.30000000000000004"/>
    <n v="1"/>
    <x v="2"/>
    <n v="7"/>
    <s v="Q3"/>
    <n v="2023"/>
    <x v="6"/>
    <x v="2"/>
  </r>
  <r>
    <n v="884"/>
    <s v="C091"/>
    <n v="10"/>
    <n v="3"/>
    <d v="2023-03-18T00:00:00"/>
    <d v="1899-12-30T22:15:44"/>
    <d v="2023-03-27T00:00:00"/>
    <d v="1899-12-30T18:59:55"/>
    <s v="Tezpur"/>
    <x v="2"/>
    <x v="21"/>
    <s v="Adira Rajan"/>
    <x v="1"/>
    <x v="22"/>
    <x v="3"/>
    <x v="2"/>
    <n v="259"/>
    <x v="83"/>
    <n v="543.9"/>
    <n v="233.10000000000002"/>
    <n v="0.30000000000000004"/>
    <n v="9"/>
    <x v="5"/>
    <n v="3"/>
    <s v="Q1"/>
    <n v="2023"/>
    <x v="2"/>
    <x v="2"/>
  </r>
  <r>
    <n v="885"/>
    <s v="C084"/>
    <n v="42"/>
    <n v="2"/>
    <d v="2023-10-17T00:00:00"/>
    <d v="1899-12-30T19:52:58"/>
    <d v="2023-10-21T00:00:00"/>
    <d v="1899-12-30T18:46:10"/>
    <s v="Pudukkottai"/>
    <x v="6"/>
    <x v="68"/>
    <s v="Anahita Shankar"/>
    <x v="0"/>
    <x v="18"/>
    <x v="1"/>
    <x v="6"/>
    <n v="1744"/>
    <x v="316"/>
    <n v="2441.6"/>
    <n v="1046.4000000000001"/>
    <n v="0.30000000000000004"/>
    <n v="4"/>
    <x v="10"/>
    <n v="10"/>
    <s v="Q4"/>
    <n v="2023"/>
    <x v="0"/>
    <x v="1"/>
  </r>
  <r>
    <n v="886"/>
    <s v="C045"/>
    <n v="53"/>
    <n v="3"/>
    <d v="2023-08-21T00:00:00"/>
    <d v="1899-12-30T08:23:02"/>
    <d v="2023-08-25T00:00:00"/>
    <d v="1899-12-30T19:52:35"/>
    <s v="Nanded"/>
    <x v="4"/>
    <x v="39"/>
    <s v="Divit Mahajan"/>
    <x v="1"/>
    <x v="65"/>
    <x v="1"/>
    <x v="4"/>
    <n v="1672"/>
    <x v="308"/>
    <n v="3511.2"/>
    <n v="1504.8000000000002"/>
    <n v="0.30000000000000004"/>
    <n v="4"/>
    <x v="3"/>
    <n v="8"/>
    <s v="Q3"/>
    <n v="2023"/>
    <x v="1"/>
    <x v="0"/>
  </r>
  <r>
    <n v="887"/>
    <s v="C091"/>
    <n v="51"/>
    <n v="3"/>
    <d v="2023-06-29T00:00:00"/>
    <d v="1899-12-30T17:20:29"/>
    <d v="2023-06-30T00:00:00"/>
    <d v="1899-12-30T09:55:50"/>
    <s v="Visakhapatnam"/>
    <x v="6"/>
    <x v="21"/>
    <s v="Adira Rajan"/>
    <x v="1"/>
    <x v="38"/>
    <x v="4"/>
    <x v="6"/>
    <n v="1084"/>
    <x v="85"/>
    <n v="2276.3999999999996"/>
    <n v="975.60000000000036"/>
    <n v="0.3000000000000001"/>
    <n v="1"/>
    <x v="11"/>
    <n v="6"/>
    <s v="Q2"/>
    <n v="2023"/>
    <x v="4"/>
    <x v="1"/>
  </r>
  <r>
    <n v="888"/>
    <s v="C014"/>
    <n v="69"/>
    <n v="3"/>
    <d v="2023-03-06T00:00:00"/>
    <d v="1899-12-30T11:34:43"/>
    <d v="2023-03-11T00:00:00"/>
    <d v="1899-12-30T15:14:09"/>
    <s v="Gandhinagar"/>
    <x v="5"/>
    <x v="37"/>
    <s v="Indrans Shukla"/>
    <x v="1"/>
    <x v="55"/>
    <x v="3"/>
    <x v="5"/>
    <n v="998"/>
    <x v="191"/>
    <n v="2095.7999999999997"/>
    <n v="898.20000000000027"/>
    <n v="0.3000000000000001"/>
    <n v="5"/>
    <x v="5"/>
    <n v="3"/>
    <s v="Q1"/>
    <n v="2023"/>
    <x v="3"/>
    <x v="1"/>
  </r>
  <r>
    <n v="889"/>
    <s v="C050"/>
    <n v="36"/>
    <n v="3"/>
    <d v="2023-08-16T00:00:00"/>
    <d v="1899-12-30T23:06:44"/>
    <d v="2023-08-18T00:00:00"/>
    <d v="1899-12-30T10:05:02"/>
    <s v="Bangalore"/>
    <x v="2"/>
    <x v="27"/>
    <s v="Chirag Srinivas"/>
    <x v="1"/>
    <x v="37"/>
    <x v="5"/>
    <x v="2"/>
    <n v="203"/>
    <x v="122"/>
    <n v="426.29999999999995"/>
    <n v="182.70000000000005"/>
    <n v="0.3000000000000001"/>
    <n v="2"/>
    <x v="3"/>
    <n v="8"/>
    <s v="Q3"/>
    <n v="2023"/>
    <x v="6"/>
    <x v="2"/>
  </r>
  <r>
    <n v="890"/>
    <s v="C064"/>
    <n v="45"/>
    <n v="4"/>
    <d v="2023-03-23T00:00:00"/>
    <d v="1899-12-30T23:25:20"/>
    <d v="2023-03-27T00:00:00"/>
    <d v="1899-12-30T11:38:15"/>
    <s v="Kharagpur"/>
    <x v="2"/>
    <x v="24"/>
    <s v="Indrajit Kale"/>
    <x v="0"/>
    <x v="5"/>
    <x v="0"/>
    <x v="2"/>
    <n v="722"/>
    <x v="50"/>
    <n v="2021.6"/>
    <n v="866.40000000000009"/>
    <n v="0.30000000000000004"/>
    <n v="4"/>
    <x v="5"/>
    <n v="3"/>
    <s v="Q1"/>
    <n v="2023"/>
    <x v="6"/>
    <x v="1"/>
  </r>
  <r>
    <n v="891"/>
    <s v="C027"/>
    <n v="58"/>
    <n v="2"/>
    <d v="2023-02-08T00:00:00"/>
    <d v="1899-12-30T14:56:43"/>
    <d v="2023-02-16T00:00:00"/>
    <d v="1899-12-30T23:54:45"/>
    <s v="Shivpuri"/>
    <x v="3"/>
    <x v="72"/>
    <s v="Kashvi Sur"/>
    <x v="1"/>
    <x v="3"/>
    <x v="3"/>
    <x v="3"/>
    <n v="1492"/>
    <x v="3"/>
    <n v="2088.7999999999997"/>
    <n v="895.20000000000027"/>
    <n v="0.3000000000000001"/>
    <n v="8"/>
    <x v="0"/>
    <n v="2"/>
    <s v="Q1"/>
    <n v="2023"/>
    <x v="4"/>
    <x v="1"/>
  </r>
  <r>
    <n v="892"/>
    <s v="C025"/>
    <n v="11"/>
    <n v="4"/>
    <d v="2023-02-06T00:00:00"/>
    <d v="1899-12-30T18:33:04"/>
    <d v="2023-02-07T00:00:00"/>
    <d v="1899-12-30T01:26:54"/>
    <s v="Thrissur"/>
    <x v="3"/>
    <x v="84"/>
    <s v="Ira Bava"/>
    <x v="1"/>
    <x v="45"/>
    <x v="6"/>
    <x v="3"/>
    <n v="1096"/>
    <x v="258"/>
    <n v="3068.7999999999997"/>
    <n v="1315.2000000000003"/>
    <n v="0.30000000000000004"/>
    <n v="1"/>
    <x v="0"/>
    <n v="2"/>
    <s v="Q1"/>
    <n v="2023"/>
    <x v="3"/>
    <x v="1"/>
  </r>
  <r>
    <n v="893"/>
    <s v="C010"/>
    <n v="63"/>
    <n v="3"/>
    <d v="2023-03-28T00:00:00"/>
    <d v="1899-12-30T15:40:42"/>
    <d v="2023-04-07T00:00:00"/>
    <d v="1899-12-30T14:49:23"/>
    <s v="Sangli-Miraj &amp; Kupwad"/>
    <x v="6"/>
    <x v="50"/>
    <s v="Darshit Dave"/>
    <x v="0"/>
    <x v="67"/>
    <x v="1"/>
    <x v="6"/>
    <n v="1348"/>
    <x v="222"/>
    <n v="2830.7999999999997"/>
    <n v="1213.2000000000003"/>
    <n v="0.30000000000000004"/>
    <n v="10"/>
    <x v="5"/>
    <n v="3"/>
    <s v="Q1"/>
    <n v="2023"/>
    <x v="1"/>
    <x v="1"/>
  </r>
  <r>
    <n v="894"/>
    <s v="C092"/>
    <n v="54"/>
    <n v="4"/>
    <d v="2023-10-14T00:00:00"/>
    <d v="1899-12-30T14:05:43"/>
    <d v="2023-10-21T00:00:00"/>
    <d v="1899-12-30T23:10:21"/>
    <s v="Proddatur"/>
    <x v="0"/>
    <x v="38"/>
    <s v="Zoya Mani"/>
    <x v="0"/>
    <x v="30"/>
    <x v="3"/>
    <x v="0"/>
    <n v="1236"/>
    <x v="34"/>
    <n v="3460.7999999999997"/>
    <n v="1483.2000000000003"/>
    <n v="0.30000000000000004"/>
    <n v="7"/>
    <x v="10"/>
    <n v="10"/>
    <s v="Q4"/>
    <n v="2023"/>
    <x v="1"/>
    <x v="1"/>
  </r>
  <r>
    <n v="895"/>
    <s v="C066"/>
    <n v="45"/>
    <n v="1"/>
    <d v="2023-03-28T00:00:00"/>
    <d v="1899-12-30T18:45:56"/>
    <d v="2023-04-06T00:00:00"/>
    <d v="1899-12-30T02:53:40"/>
    <s v="Sambhal"/>
    <x v="2"/>
    <x v="30"/>
    <s v="Eshani Buch"/>
    <x v="1"/>
    <x v="5"/>
    <x v="0"/>
    <x v="2"/>
    <n v="722"/>
    <x v="265"/>
    <n v="505.4"/>
    <n v="216.60000000000002"/>
    <n v="0.30000000000000004"/>
    <n v="9"/>
    <x v="5"/>
    <n v="3"/>
    <s v="Q1"/>
    <n v="2023"/>
    <x v="1"/>
    <x v="2"/>
  </r>
  <r>
    <n v="896"/>
    <s v="C053"/>
    <n v="46"/>
    <n v="1"/>
    <d v="2023-04-05T00:00:00"/>
    <d v="1899-12-30T04:13:55"/>
    <d v="2023-04-10T00:00:00"/>
    <d v="1899-12-30T12:50:15"/>
    <s v="Haldia"/>
    <x v="0"/>
    <x v="52"/>
    <s v="Kismat Kapadia"/>
    <x v="1"/>
    <x v="62"/>
    <x v="3"/>
    <x v="0"/>
    <n v="758"/>
    <x v="223"/>
    <n v="530.6"/>
    <n v="227.39999999999998"/>
    <n v="0.3"/>
    <n v="5"/>
    <x v="9"/>
    <n v="4"/>
    <s v="Q2"/>
    <n v="2023"/>
    <x v="5"/>
    <x v="2"/>
  </r>
  <r>
    <n v="897"/>
    <s v="C031"/>
    <n v="34"/>
    <n v="5"/>
    <d v="2023-08-25T00:00:00"/>
    <d v="1899-12-30T07:53:21"/>
    <d v="2023-09-01T00:00:00"/>
    <d v="1899-12-30T14:02:50"/>
    <s v="Dhule"/>
    <x v="4"/>
    <x v="35"/>
    <s v="Madhup Wable"/>
    <x v="1"/>
    <x v="41"/>
    <x v="4"/>
    <x v="4"/>
    <n v="1335"/>
    <x v="185"/>
    <n v="4672.4999999999991"/>
    <n v="2002.5000000000009"/>
    <n v="0.30000000000000016"/>
    <n v="7"/>
    <x v="3"/>
    <n v="8"/>
    <s v="Q3"/>
    <n v="2023"/>
    <x v="2"/>
    <x v="0"/>
  </r>
  <r>
    <n v="898"/>
    <s v="C018"/>
    <n v="52"/>
    <n v="1"/>
    <d v="2023-02-09T00:00:00"/>
    <d v="1899-12-30T06:18:52"/>
    <d v="2023-02-13T00:00:00"/>
    <d v="1899-12-30T23:13:42"/>
    <s v="Kadapa"/>
    <x v="3"/>
    <x v="20"/>
    <s v="Eva Vaidya"/>
    <x v="0"/>
    <x v="15"/>
    <x v="0"/>
    <x v="3"/>
    <n v="236"/>
    <x v="17"/>
    <n v="165.2"/>
    <n v="70.800000000000011"/>
    <n v="0.30000000000000004"/>
    <n v="4"/>
    <x v="0"/>
    <n v="2"/>
    <s v="Q1"/>
    <n v="2023"/>
    <x v="6"/>
    <x v="2"/>
  </r>
  <r>
    <n v="899"/>
    <s v="C011"/>
    <n v="63"/>
    <n v="1"/>
    <d v="2023-12-17T00:00:00"/>
    <d v="1899-12-30T21:29:55"/>
    <d v="2023-12-24T00:00:00"/>
    <d v="1899-12-30T00:16:41"/>
    <s v="Bijapur"/>
    <x v="6"/>
    <x v="16"/>
    <s v="Lagan Kapoor"/>
    <x v="1"/>
    <x v="67"/>
    <x v="1"/>
    <x v="6"/>
    <n v="1348"/>
    <x v="313"/>
    <n v="943.59999999999991"/>
    <n v="404.40000000000009"/>
    <n v="0.30000000000000004"/>
    <n v="7"/>
    <x v="6"/>
    <n v="12"/>
    <s v="Q4"/>
    <n v="2023"/>
    <x v="0"/>
    <x v="2"/>
  </r>
  <r>
    <n v="900"/>
    <s v="C027"/>
    <n v="57"/>
    <n v="3"/>
    <d v="2023-04-07T00:00:00"/>
    <d v="1899-12-30T15:09:00"/>
    <d v="2023-04-15T00:00:00"/>
    <d v="1899-12-30T08:30:53"/>
    <s v="Sagar"/>
    <x v="2"/>
    <x v="72"/>
    <s v="Kashvi Sur"/>
    <x v="1"/>
    <x v="57"/>
    <x v="2"/>
    <x v="2"/>
    <n v="1582"/>
    <x v="288"/>
    <n v="3322.2"/>
    <n v="1423.8000000000002"/>
    <n v="0.30000000000000004"/>
    <n v="8"/>
    <x v="9"/>
    <n v="4"/>
    <s v="Q2"/>
    <n v="2023"/>
    <x v="1"/>
    <x v="1"/>
  </r>
  <r>
    <n v="901"/>
    <s v="C043"/>
    <n v="27"/>
    <n v="4"/>
    <d v="2023-08-22T00:00:00"/>
    <d v="1899-12-30T07:55:38"/>
    <d v="2023-08-27T00:00:00"/>
    <d v="1899-12-30T01:32:30"/>
    <s v="Deoghar"/>
    <x v="4"/>
    <x v="61"/>
    <s v="Yasmin Sheth"/>
    <x v="1"/>
    <x v="7"/>
    <x v="3"/>
    <x v="4"/>
    <n v="548"/>
    <x v="7"/>
    <n v="1534.3999999999999"/>
    <n v="657.60000000000014"/>
    <n v="0.30000000000000004"/>
    <n v="5"/>
    <x v="3"/>
    <n v="8"/>
    <s v="Q3"/>
    <n v="2023"/>
    <x v="4"/>
    <x v="1"/>
  </r>
  <r>
    <n v="902"/>
    <s v="C025"/>
    <n v="32"/>
    <n v="5"/>
    <d v="2023-03-22T00:00:00"/>
    <d v="1899-12-30T13:29:55"/>
    <d v="2023-03-24T00:00:00"/>
    <d v="1899-12-30T12:24:01"/>
    <s v="Bidar"/>
    <x v="2"/>
    <x v="84"/>
    <s v="Ira Bava"/>
    <x v="1"/>
    <x v="16"/>
    <x v="4"/>
    <x v="2"/>
    <n v="1792"/>
    <x v="309"/>
    <n v="6271.9999999999991"/>
    <n v="2688.0000000000009"/>
    <n v="0.3000000000000001"/>
    <n v="2"/>
    <x v="5"/>
    <n v="3"/>
    <s v="Q1"/>
    <n v="2023"/>
    <x v="4"/>
    <x v="0"/>
  </r>
  <r>
    <n v="903"/>
    <s v="C066"/>
    <n v="63"/>
    <n v="2"/>
    <d v="2023-09-15T00:00:00"/>
    <d v="1899-12-30T17:42:23"/>
    <d v="2023-09-22T00:00:00"/>
    <d v="1899-12-30T19:28:38"/>
    <s v="Bhusawal"/>
    <x v="6"/>
    <x v="30"/>
    <s v="Eshani Buch"/>
    <x v="1"/>
    <x v="67"/>
    <x v="1"/>
    <x v="6"/>
    <n v="1348"/>
    <x v="302"/>
    <n v="1887.1999999999998"/>
    <n v="808.80000000000018"/>
    <n v="0.30000000000000004"/>
    <n v="7"/>
    <x v="7"/>
    <n v="9"/>
    <s v="Q3"/>
    <n v="2023"/>
    <x v="4"/>
    <x v="1"/>
  </r>
  <r>
    <n v="904"/>
    <s v="C013"/>
    <n v="2"/>
    <n v="4"/>
    <d v="2023-02-12T00:00:00"/>
    <d v="1899-12-30T22:05:48"/>
    <d v="2023-02-17T00:00:00"/>
    <d v="1899-12-30T01:05:37"/>
    <s v="Mira-Bhayandar"/>
    <x v="3"/>
    <x v="14"/>
    <s v="Manikya Goswami"/>
    <x v="1"/>
    <x v="50"/>
    <x v="5"/>
    <x v="3"/>
    <n v="441"/>
    <x v="317"/>
    <n v="1234.8"/>
    <n v="529.20000000000005"/>
    <n v="0.30000000000000004"/>
    <n v="5"/>
    <x v="0"/>
    <n v="2"/>
    <s v="Q1"/>
    <n v="2023"/>
    <x v="5"/>
    <x v="2"/>
  </r>
  <r>
    <n v="905"/>
    <s v="C080"/>
    <n v="58"/>
    <n v="1"/>
    <d v="2023-02-10T00:00:00"/>
    <d v="1899-12-30T19:31:35"/>
    <d v="2023-02-16T00:00:00"/>
    <d v="1899-12-30T08:32:14"/>
    <s v="Ichalkaranji"/>
    <x v="3"/>
    <x v="31"/>
    <s v="Mohanlal Garde"/>
    <x v="0"/>
    <x v="3"/>
    <x v="3"/>
    <x v="3"/>
    <n v="1492"/>
    <x v="180"/>
    <n v="1044.3999999999999"/>
    <n v="447.60000000000014"/>
    <n v="0.3000000000000001"/>
    <n v="6"/>
    <x v="0"/>
    <n v="2"/>
    <s v="Q1"/>
    <n v="2023"/>
    <x v="0"/>
    <x v="2"/>
  </r>
  <r>
    <n v="906"/>
    <s v="C100"/>
    <n v="49"/>
    <n v="3"/>
    <d v="2023-02-06T00:00:00"/>
    <d v="1899-12-30T01:16:20"/>
    <d v="2023-02-16T00:00:00"/>
    <d v="1899-12-30T09:14:48"/>
    <s v="Jalandhar"/>
    <x v="3"/>
    <x v="56"/>
    <s v="Pranay Chaudhary"/>
    <x v="1"/>
    <x v="32"/>
    <x v="2"/>
    <x v="3"/>
    <n v="903"/>
    <x v="36"/>
    <n v="1896.2999999999997"/>
    <n v="812.70000000000027"/>
    <n v="0.3000000000000001"/>
    <n v="10"/>
    <x v="0"/>
    <n v="2"/>
    <s v="Q1"/>
    <n v="2023"/>
    <x v="3"/>
    <x v="1"/>
  </r>
  <r>
    <n v="907"/>
    <s v="C046"/>
    <n v="30"/>
    <n v="2"/>
    <d v="2023-04-19T00:00:00"/>
    <d v="1899-12-30T21:36:41"/>
    <d v="2023-04-25T00:00:00"/>
    <d v="1899-12-30T11:12:03"/>
    <s v="Burhanpur"/>
    <x v="0"/>
    <x v="32"/>
    <s v="Tara Kannan"/>
    <x v="0"/>
    <x v="19"/>
    <x v="2"/>
    <x v="0"/>
    <n v="751"/>
    <x v="105"/>
    <n v="1051.3999999999999"/>
    <n v="450.60000000000014"/>
    <n v="0.3000000000000001"/>
    <n v="6"/>
    <x v="9"/>
    <n v="4"/>
    <s v="Q2"/>
    <n v="2023"/>
    <x v="5"/>
    <x v="2"/>
  </r>
  <r>
    <n v="908"/>
    <s v="C090"/>
    <n v="28"/>
    <n v="5"/>
    <d v="2023-08-22T00:00:00"/>
    <d v="1899-12-30T15:51:25"/>
    <d v="2023-08-24T00:00:00"/>
    <d v="1899-12-30T22:50:08"/>
    <s v="Ozhukarai"/>
    <x v="4"/>
    <x v="17"/>
    <s v="Drishya De"/>
    <x v="1"/>
    <x v="4"/>
    <x v="1"/>
    <x v="4"/>
    <n v="1778"/>
    <x v="213"/>
    <n v="6223"/>
    <n v="2667"/>
    <n v="0.3"/>
    <n v="2"/>
    <x v="3"/>
    <n v="8"/>
    <s v="Q3"/>
    <n v="2023"/>
    <x v="4"/>
    <x v="0"/>
  </r>
  <r>
    <n v="909"/>
    <s v="C084"/>
    <n v="42"/>
    <n v="1"/>
    <d v="2023-11-04T00:00:00"/>
    <d v="1899-12-30T07:43:51"/>
    <d v="2023-11-08T00:00:00"/>
    <d v="1899-12-30T22:25:25"/>
    <s v="Hyderabad"/>
    <x v="6"/>
    <x v="68"/>
    <s v="Anahita Shankar"/>
    <x v="0"/>
    <x v="18"/>
    <x v="1"/>
    <x v="6"/>
    <n v="1744"/>
    <x v="164"/>
    <n v="1220.8"/>
    <n v="523.20000000000005"/>
    <n v="0.30000000000000004"/>
    <n v="4"/>
    <x v="1"/>
    <n v="11"/>
    <s v="Q4"/>
    <n v="2023"/>
    <x v="2"/>
    <x v="2"/>
  </r>
  <r>
    <n v="910"/>
    <s v="C066"/>
    <n v="55"/>
    <n v="4"/>
    <d v="2023-08-26T00:00:00"/>
    <d v="1899-12-30T02:03:23"/>
    <d v="2023-09-04T00:00:00"/>
    <d v="1899-12-30T17:03:10"/>
    <s v="Kamarhati"/>
    <x v="4"/>
    <x v="30"/>
    <s v="Eshani Buch"/>
    <x v="1"/>
    <x v="60"/>
    <x v="4"/>
    <x v="4"/>
    <n v="1904"/>
    <x v="146"/>
    <n v="5331.2"/>
    <n v="2284.8000000000002"/>
    <n v="0.30000000000000004"/>
    <n v="9"/>
    <x v="3"/>
    <n v="8"/>
    <s v="Q3"/>
    <n v="2023"/>
    <x v="5"/>
    <x v="0"/>
  </r>
  <r>
    <n v="911"/>
    <s v="C071"/>
    <n v="22"/>
    <n v="4"/>
    <d v="2023-01-23T00:00:00"/>
    <d v="1899-12-30T05:18:52"/>
    <d v="2023-01-28T00:00:00"/>
    <d v="1899-12-30T01:35:19"/>
    <s v="Nangloi Jat"/>
    <x v="6"/>
    <x v="26"/>
    <s v="Purab Sheth"/>
    <x v="0"/>
    <x v="34"/>
    <x v="4"/>
    <x v="6"/>
    <n v="1639"/>
    <x v="39"/>
    <n v="4589.2"/>
    <n v="1966.8000000000002"/>
    <n v="0.30000000000000004"/>
    <n v="5"/>
    <x v="8"/>
    <n v="1"/>
    <s v="Q1"/>
    <n v="2023"/>
    <x v="6"/>
    <x v="0"/>
  </r>
  <r>
    <n v="912"/>
    <s v="C062"/>
    <n v="9"/>
    <n v="4"/>
    <d v="2023-08-29T00:00:00"/>
    <d v="1899-12-30T03:09:59"/>
    <d v="2023-09-06T00:00:00"/>
    <d v="1899-12-30T11:36:14"/>
    <s v="Ghaziabad"/>
    <x v="4"/>
    <x v="49"/>
    <s v="Inaaya  Sarraf"/>
    <x v="0"/>
    <x v="21"/>
    <x v="2"/>
    <x v="4"/>
    <n v="1605"/>
    <x v="318"/>
    <n v="4494"/>
    <n v="1926"/>
    <n v="0.3"/>
    <n v="8"/>
    <x v="3"/>
    <n v="8"/>
    <s v="Q3"/>
    <n v="2023"/>
    <x v="4"/>
    <x v="0"/>
  </r>
  <r>
    <n v="913"/>
    <s v="C092"/>
    <n v="56"/>
    <n v="5"/>
    <d v="2023-12-10T00:00:00"/>
    <d v="1899-12-30T18:39:24"/>
    <d v="2023-12-12T00:00:00"/>
    <d v="1899-12-30T05:37:07"/>
    <s v="Bharatpur"/>
    <x v="0"/>
    <x v="38"/>
    <s v="Zoya Mani"/>
    <x v="0"/>
    <x v="8"/>
    <x v="0"/>
    <x v="0"/>
    <n v="1272"/>
    <x v="311"/>
    <n v="4452"/>
    <n v="1908"/>
    <n v="0.3"/>
    <n v="2"/>
    <x v="6"/>
    <n v="12"/>
    <s v="Q4"/>
    <n v="2023"/>
    <x v="0"/>
    <x v="0"/>
  </r>
  <r>
    <n v="914"/>
    <s v="C048"/>
    <n v="33"/>
    <n v="4"/>
    <d v="2023-02-09T00:00:00"/>
    <d v="1899-12-30T14:52:18"/>
    <d v="2023-02-14T00:00:00"/>
    <d v="1899-12-30T09:47:20"/>
    <s v="Sambhal"/>
    <x v="3"/>
    <x v="42"/>
    <s v="Aradhya Kale"/>
    <x v="0"/>
    <x v="59"/>
    <x v="2"/>
    <x v="3"/>
    <n v="314"/>
    <x v="254"/>
    <n v="879.19999999999993"/>
    <n v="376.80000000000007"/>
    <n v="0.30000000000000004"/>
    <n v="5"/>
    <x v="0"/>
    <n v="2"/>
    <s v="Q1"/>
    <n v="2023"/>
    <x v="6"/>
    <x v="2"/>
  </r>
  <r>
    <n v="915"/>
    <s v="C014"/>
    <n v="35"/>
    <n v="1"/>
    <d v="2023-03-06T00:00:00"/>
    <d v="1899-12-30T21:12:40"/>
    <d v="2023-03-14T00:00:00"/>
    <d v="1899-12-30T05:32:37"/>
    <s v="Uluberia"/>
    <x v="5"/>
    <x v="37"/>
    <s v="Indrans Shukla"/>
    <x v="1"/>
    <x v="31"/>
    <x v="2"/>
    <x v="5"/>
    <n v="1865"/>
    <x v="35"/>
    <n v="1305.5"/>
    <n v="559.5"/>
    <n v="0.3"/>
    <n v="8"/>
    <x v="5"/>
    <n v="3"/>
    <s v="Q1"/>
    <n v="2023"/>
    <x v="3"/>
    <x v="2"/>
  </r>
  <r>
    <n v="916"/>
    <s v="C063"/>
    <n v="33"/>
    <n v="2"/>
    <d v="2023-02-06T00:00:00"/>
    <d v="1899-12-30T04:23:09"/>
    <d v="2023-02-14T00:00:00"/>
    <d v="1899-12-30T21:19:24"/>
    <s v="Darbhanga"/>
    <x v="3"/>
    <x v="22"/>
    <s v="Arhaan Ahluwalia"/>
    <x v="0"/>
    <x v="59"/>
    <x v="2"/>
    <x v="3"/>
    <n v="314"/>
    <x v="249"/>
    <n v="439.59999999999997"/>
    <n v="188.40000000000003"/>
    <n v="0.30000000000000004"/>
    <n v="8"/>
    <x v="0"/>
    <n v="2"/>
    <s v="Q1"/>
    <n v="2023"/>
    <x v="3"/>
    <x v="2"/>
  </r>
  <r>
    <n v="917"/>
    <s v="C052"/>
    <n v="12"/>
    <n v="3"/>
    <d v="2023-01-24T00:00:00"/>
    <d v="1899-12-30T05:56:54"/>
    <d v="2023-01-29T00:00:00"/>
    <d v="1899-12-30T11:04:23"/>
    <s v="Bareilly"/>
    <x v="0"/>
    <x v="9"/>
    <s v="Vardaniya Apte"/>
    <x v="0"/>
    <x v="17"/>
    <x v="5"/>
    <x v="0"/>
    <n v="672"/>
    <x v="20"/>
    <n v="1411.1999999999998"/>
    <n v="604.80000000000018"/>
    <n v="0.3000000000000001"/>
    <n v="5"/>
    <x v="8"/>
    <n v="1"/>
    <s v="Q1"/>
    <n v="2023"/>
    <x v="0"/>
    <x v="1"/>
  </r>
  <r>
    <n v="918"/>
    <s v="C083"/>
    <n v="19"/>
    <n v="2"/>
    <d v="2023-02-12T00:00:00"/>
    <d v="1899-12-30T18:13:06"/>
    <d v="2023-02-21T00:00:00"/>
    <d v="1899-12-30T22:02:06"/>
    <s v="Pali"/>
    <x v="3"/>
    <x v="62"/>
    <s v="Aaryahi Sodhi"/>
    <x v="0"/>
    <x v="27"/>
    <x v="6"/>
    <x v="3"/>
    <n v="1234"/>
    <x v="319"/>
    <n v="1727.6"/>
    <n v="740.40000000000009"/>
    <n v="0.30000000000000004"/>
    <n v="9"/>
    <x v="0"/>
    <n v="2"/>
    <s v="Q1"/>
    <n v="2023"/>
    <x v="5"/>
    <x v="1"/>
  </r>
  <r>
    <n v="919"/>
    <s v="C038"/>
    <n v="35"/>
    <n v="5"/>
    <d v="2023-02-28T00:00:00"/>
    <d v="1899-12-30T08:27:53"/>
    <d v="2023-03-04T00:00:00"/>
    <d v="1899-12-30T00:05:29"/>
    <s v="Delhi"/>
    <x v="5"/>
    <x v="53"/>
    <s v="Yakshit Shah"/>
    <x v="1"/>
    <x v="31"/>
    <x v="2"/>
    <x v="5"/>
    <n v="1865"/>
    <x v="47"/>
    <n v="6527.5"/>
    <n v="2797.5"/>
    <n v="0.3"/>
    <n v="4"/>
    <x v="0"/>
    <n v="2"/>
    <s v="Q1"/>
    <n v="2023"/>
    <x v="1"/>
    <x v="0"/>
  </r>
  <r>
    <n v="920"/>
    <s v="C026"/>
    <n v="45"/>
    <n v="1"/>
    <d v="2023-06-29T00:00:00"/>
    <d v="1899-12-30T20:23:05"/>
    <d v="2023-07-08T00:00:00"/>
    <d v="1899-12-30T23:41:37"/>
    <s v="Gorakhpur"/>
    <x v="2"/>
    <x v="63"/>
    <s v="Ira Chahal"/>
    <x v="1"/>
    <x v="5"/>
    <x v="0"/>
    <x v="2"/>
    <n v="722"/>
    <x v="265"/>
    <n v="505.4"/>
    <n v="216.60000000000002"/>
    <n v="0.30000000000000004"/>
    <n v="9"/>
    <x v="11"/>
    <n v="6"/>
    <s v="Q2"/>
    <n v="2023"/>
    <x v="4"/>
    <x v="2"/>
  </r>
  <r>
    <n v="921"/>
    <s v="C078"/>
    <n v="23"/>
    <n v="4"/>
    <d v="2023-09-18T00:00:00"/>
    <d v="1899-12-30T13:52:40"/>
    <d v="2023-09-23T00:00:00"/>
    <d v="1899-12-30T07:22:26"/>
    <s v="Ghaziabad"/>
    <x v="0"/>
    <x v="4"/>
    <s v="Jivika Rajan"/>
    <x v="1"/>
    <x v="13"/>
    <x v="1"/>
    <x v="0"/>
    <n v="1098"/>
    <x v="15"/>
    <n v="3074.3999999999996"/>
    <n v="1317.6000000000004"/>
    <n v="0.3000000000000001"/>
    <n v="5"/>
    <x v="7"/>
    <n v="9"/>
    <s v="Q3"/>
    <n v="2023"/>
    <x v="2"/>
    <x v="1"/>
  </r>
  <r>
    <n v="922"/>
    <s v="C009"/>
    <n v="23"/>
    <n v="1"/>
    <d v="2023-12-14T00:00:00"/>
    <d v="1899-12-30T09:16:24"/>
    <d v="2023-12-18T00:00:00"/>
    <d v="1899-12-30T08:03:37"/>
    <s v="Mahbubnagar"/>
    <x v="0"/>
    <x v="6"/>
    <s v="Ritvik Borah"/>
    <x v="1"/>
    <x v="13"/>
    <x v="1"/>
    <x v="0"/>
    <n v="1098"/>
    <x v="153"/>
    <n v="768.59999999999991"/>
    <n v="329.40000000000009"/>
    <n v="0.3000000000000001"/>
    <n v="4"/>
    <x v="6"/>
    <n v="12"/>
    <s v="Q4"/>
    <n v="2023"/>
    <x v="1"/>
    <x v="2"/>
  </r>
  <r>
    <n v="923"/>
    <s v="C034"/>
    <n v="7"/>
    <n v="4"/>
    <d v="2023-02-27T00:00:00"/>
    <d v="1899-12-30T14:37:32"/>
    <d v="2023-02-28T00:00:00"/>
    <d v="1899-12-30T22:01:37"/>
    <s v="Ahmedabad"/>
    <x v="5"/>
    <x v="66"/>
    <s v="Hridaan Sood"/>
    <x v="0"/>
    <x v="23"/>
    <x v="4"/>
    <x v="5"/>
    <n v="409"/>
    <x v="175"/>
    <n v="1145.1999999999998"/>
    <n v="490.80000000000018"/>
    <n v="0.3000000000000001"/>
    <n v="1"/>
    <x v="0"/>
    <n v="2"/>
    <s v="Q1"/>
    <n v="2023"/>
    <x v="3"/>
    <x v="2"/>
  </r>
  <r>
    <n v="924"/>
    <s v="C013"/>
    <n v="17"/>
    <n v="1"/>
    <d v="2023-03-25T00:00:00"/>
    <d v="1899-12-30T09:47:09"/>
    <d v="2023-04-04T00:00:00"/>
    <d v="1899-12-30T22:56:05"/>
    <s v="Sagar"/>
    <x v="0"/>
    <x v="14"/>
    <s v="Manikya Goswami"/>
    <x v="1"/>
    <x v="25"/>
    <x v="4"/>
    <x v="0"/>
    <n v="1899"/>
    <x v="58"/>
    <n v="1329.3"/>
    <n v="569.70000000000005"/>
    <n v="0.30000000000000004"/>
    <n v="10"/>
    <x v="5"/>
    <n v="3"/>
    <s v="Q1"/>
    <n v="2023"/>
    <x v="2"/>
    <x v="2"/>
  </r>
  <r>
    <n v="925"/>
    <s v="C012"/>
    <n v="31"/>
    <n v="1"/>
    <d v="2023-01-08T00:00:00"/>
    <d v="1899-12-30T00:55:51"/>
    <d v="2023-01-12T00:00:00"/>
    <d v="1899-12-30T06:39:07"/>
    <s v="Pallavaram"/>
    <x v="6"/>
    <x v="3"/>
    <s v="Onkar Mangat"/>
    <x v="0"/>
    <x v="43"/>
    <x v="2"/>
    <x v="6"/>
    <n v="1804"/>
    <x v="129"/>
    <n v="1262.8"/>
    <n v="541.20000000000005"/>
    <n v="0.30000000000000004"/>
    <n v="4"/>
    <x v="8"/>
    <n v="1"/>
    <s v="Q1"/>
    <n v="2023"/>
    <x v="4"/>
    <x v="2"/>
  </r>
  <r>
    <n v="926"/>
    <s v="C049"/>
    <n v="40"/>
    <n v="4"/>
    <d v="2023-03-28T00:00:00"/>
    <d v="1899-12-30T23:01:58"/>
    <d v="2023-03-31T00:00:00"/>
    <d v="1899-12-30T23:51:25"/>
    <s v="Kulti"/>
    <x v="0"/>
    <x v="27"/>
    <s v="Aarush Balasubramanian"/>
    <x v="1"/>
    <x v="46"/>
    <x v="1"/>
    <x v="0"/>
    <n v="1923"/>
    <x v="91"/>
    <n v="5384.4"/>
    <n v="2307.6000000000004"/>
    <n v="0.30000000000000004"/>
    <n v="3"/>
    <x v="5"/>
    <n v="3"/>
    <s v="Q1"/>
    <n v="2023"/>
    <x v="1"/>
    <x v="0"/>
  </r>
  <r>
    <n v="927"/>
    <s v="C100"/>
    <n v="43"/>
    <n v="4"/>
    <d v="2023-11-03T00:00:00"/>
    <d v="1899-12-30T06:38:15"/>
    <d v="2023-11-11T00:00:00"/>
    <d v="1899-12-30T05:00:17"/>
    <s v="Gopalpur"/>
    <x v="1"/>
    <x v="56"/>
    <s v="Pranay Chaudhary"/>
    <x v="1"/>
    <x v="6"/>
    <x v="0"/>
    <x v="1"/>
    <n v="750"/>
    <x v="200"/>
    <n v="2100"/>
    <n v="900"/>
    <n v="0.3"/>
    <n v="8"/>
    <x v="1"/>
    <n v="11"/>
    <s v="Q4"/>
    <n v="2023"/>
    <x v="0"/>
    <x v="1"/>
  </r>
  <r>
    <n v="928"/>
    <s v="C012"/>
    <n v="23"/>
    <n v="3"/>
    <d v="2023-11-19T00:00:00"/>
    <d v="1899-12-30T11:06:24"/>
    <d v="2023-11-27T00:00:00"/>
    <d v="1899-12-30T10:16:12"/>
    <s v="Bihar Sharif"/>
    <x v="0"/>
    <x v="3"/>
    <s v="Onkar Mangat"/>
    <x v="0"/>
    <x v="13"/>
    <x v="1"/>
    <x v="0"/>
    <n v="1098"/>
    <x v="118"/>
    <n v="2305.7999999999997"/>
    <n v="988.20000000000027"/>
    <n v="0.3000000000000001"/>
    <n v="8"/>
    <x v="1"/>
    <n v="11"/>
    <s v="Q4"/>
    <n v="2023"/>
    <x v="5"/>
    <x v="1"/>
  </r>
  <r>
    <n v="929"/>
    <s v="C085"/>
    <n v="23"/>
    <n v="1"/>
    <d v="2023-03-19T00:00:00"/>
    <d v="1899-12-30T07:00:52"/>
    <d v="2023-03-26T00:00:00"/>
    <d v="1899-12-30T13:02:32"/>
    <s v="Kavali"/>
    <x v="0"/>
    <x v="71"/>
    <s v="Bhamini Johal"/>
    <x v="0"/>
    <x v="13"/>
    <x v="1"/>
    <x v="0"/>
    <n v="1098"/>
    <x v="153"/>
    <n v="768.59999999999991"/>
    <n v="329.40000000000009"/>
    <n v="0.3000000000000001"/>
    <n v="7"/>
    <x v="5"/>
    <n v="3"/>
    <s v="Q1"/>
    <n v="2023"/>
    <x v="5"/>
    <x v="2"/>
  </r>
  <r>
    <n v="930"/>
    <s v="C083"/>
    <n v="61"/>
    <n v="3"/>
    <d v="2023-06-03T00:00:00"/>
    <d v="1899-12-30T15:52:31"/>
    <d v="2023-06-07T00:00:00"/>
    <d v="1899-12-30T19:41:15"/>
    <s v="Gangtok"/>
    <x v="0"/>
    <x v="62"/>
    <s v="Aaryahi Sodhi"/>
    <x v="0"/>
    <x v="33"/>
    <x v="5"/>
    <x v="0"/>
    <n v="810"/>
    <x v="310"/>
    <n v="1701"/>
    <n v="729"/>
    <n v="0.3"/>
    <n v="4"/>
    <x v="11"/>
    <n v="6"/>
    <s v="Q2"/>
    <n v="2023"/>
    <x v="0"/>
    <x v="1"/>
  </r>
  <r>
    <n v="931"/>
    <s v="C053"/>
    <n v="14"/>
    <n v="1"/>
    <d v="2023-04-17T00:00:00"/>
    <d v="1899-12-30T19:48:12"/>
    <d v="2023-04-19T00:00:00"/>
    <d v="1899-12-30T10:25:35"/>
    <s v="Mahbubnagar"/>
    <x v="2"/>
    <x v="52"/>
    <s v="Kismat Kapadia"/>
    <x v="1"/>
    <x v="2"/>
    <x v="2"/>
    <x v="2"/>
    <n v="1915"/>
    <x v="37"/>
    <n v="1340.5"/>
    <n v="574.5"/>
    <n v="0.3"/>
    <n v="2"/>
    <x v="9"/>
    <n v="4"/>
    <s v="Q2"/>
    <n v="2023"/>
    <x v="0"/>
    <x v="2"/>
  </r>
  <r>
    <n v="932"/>
    <s v="C038"/>
    <n v="63"/>
    <n v="2"/>
    <d v="2023-10-29T00:00:00"/>
    <d v="1899-12-30T16:32:30"/>
    <d v="2023-11-02T00:00:00"/>
    <d v="1899-12-30T22:17:11"/>
    <s v="Durgapur"/>
    <x v="6"/>
    <x v="53"/>
    <s v="Yakshit Shah"/>
    <x v="1"/>
    <x v="67"/>
    <x v="1"/>
    <x v="6"/>
    <n v="1348"/>
    <x v="302"/>
    <n v="1887.1999999999998"/>
    <n v="808.80000000000018"/>
    <n v="0.30000000000000004"/>
    <n v="4"/>
    <x v="10"/>
    <n v="10"/>
    <s v="Q4"/>
    <n v="2023"/>
    <x v="4"/>
    <x v="1"/>
  </r>
  <r>
    <n v="933"/>
    <s v="C038"/>
    <n v="51"/>
    <n v="3"/>
    <d v="2023-11-14T00:00:00"/>
    <d v="1899-12-30T12:17:01"/>
    <d v="2023-11-23T00:00:00"/>
    <d v="1899-12-30T02:50:02"/>
    <s v="Muzaffarnagar"/>
    <x v="6"/>
    <x v="53"/>
    <s v="Yakshit Shah"/>
    <x v="1"/>
    <x v="38"/>
    <x v="4"/>
    <x v="6"/>
    <n v="1084"/>
    <x v="85"/>
    <n v="2276.3999999999996"/>
    <n v="975.60000000000036"/>
    <n v="0.3000000000000001"/>
    <n v="9"/>
    <x v="1"/>
    <n v="11"/>
    <s v="Q4"/>
    <n v="2023"/>
    <x v="1"/>
    <x v="1"/>
  </r>
  <r>
    <n v="934"/>
    <s v="C022"/>
    <n v="27"/>
    <n v="5"/>
    <d v="2023-08-22T00:00:00"/>
    <d v="1899-12-30T00:41:04"/>
    <d v="2023-08-23T00:00:00"/>
    <d v="1899-12-30T08:38:52"/>
    <s v="Agartala"/>
    <x v="4"/>
    <x v="67"/>
    <s v="Ivana Rout"/>
    <x v="0"/>
    <x v="7"/>
    <x v="3"/>
    <x v="4"/>
    <n v="548"/>
    <x v="115"/>
    <n v="1917.9999999999998"/>
    <n v="822.00000000000023"/>
    <n v="0.3000000000000001"/>
    <n v="1"/>
    <x v="3"/>
    <n v="8"/>
    <s v="Q3"/>
    <n v="2023"/>
    <x v="4"/>
    <x v="1"/>
  </r>
  <r>
    <n v="935"/>
    <s v="C046"/>
    <n v="27"/>
    <n v="5"/>
    <d v="2023-08-20T00:00:00"/>
    <d v="1899-12-30T09:38:15"/>
    <d v="2023-08-29T00:00:00"/>
    <d v="1899-12-30T17:18:37"/>
    <s v="Kurnool"/>
    <x v="4"/>
    <x v="32"/>
    <s v="Tara Kannan"/>
    <x v="0"/>
    <x v="7"/>
    <x v="3"/>
    <x v="4"/>
    <n v="548"/>
    <x v="115"/>
    <n v="1917.9999999999998"/>
    <n v="822.00000000000023"/>
    <n v="0.3000000000000001"/>
    <n v="9"/>
    <x v="3"/>
    <n v="8"/>
    <s v="Q3"/>
    <n v="2023"/>
    <x v="3"/>
    <x v="1"/>
  </r>
  <r>
    <n v="936"/>
    <s v="C045"/>
    <n v="43"/>
    <n v="4"/>
    <d v="2023-11-02T00:00:00"/>
    <d v="1899-12-30T21:26:31"/>
    <d v="2023-11-08T00:00:00"/>
    <d v="1899-12-30T10:03:32"/>
    <s v="Bardhaman"/>
    <x v="1"/>
    <x v="39"/>
    <s v="Divit Mahajan"/>
    <x v="1"/>
    <x v="6"/>
    <x v="0"/>
    <x v="1"/>
    <n v="750"/>
    <x v="200"/>
    <n v="2100"/>
    <n v="900"/>
    <n v="0.3"/>
    <n v="6"/>
    <x v="1"/>
    <n v="11"/>
    <s v="Q4"/>
    <n v="2023"/>
    <x v="6"/>
    <x v="1"/>
  </r>
  <r>
    <n v="937"/>
    <s v="C097"/>
    <n v="51"/>
    <n v="2"/>
    <d v="2023-03-11T00:00:00"/>
    <d v="1899-12-30T03:57:43"/>
    <d v="2023-03-15T00:00:00"/>
    <d v="1899-12-30T19:27:13"/>
    <s v="Rohtak"/>
    <x v="6"/>
    <x v="7"/>
    <s v="Nakul Randhawa"/>
    <x v="1"/>
    <x v="38"/>
    <x v="4"/>
    <x v="6"/>
    <n v="1084"/>
    <x v="116"/>
    <n v="1517.6"/>
    <n v="650.40000000000009"/>
    <n v="0.30000000000000004"/>
    <n v="4"/>
    <x v="5"/>
    <n v="3"/>
    <s v="Q1"/>
    <n v="2023"/>
    <x v="2"/>
    <x v="1"/>
  </r>
  <r>
    <n v="938"/>
    <s v="C005"/>
    <n v="59"/>
    <n v="3"/>
    <d v="2023-08-29T00:00:00"/>
    <d v="1899-12-30T18:12:49"/>
    <d v="2023-09-08T00:00:00"/>
    <d v="1899-12-30T01:17:33"/>
    <s v="Ratlam"/>
    <x v="4"/>
    <x v="81"/>
    <s v="Hiran Kaul"/>
    <x v="0"/>
    <x v="58"/>
    <x v="3"/>
    <x v="4"/>
    <n v="811"/>
    <x v="93"/>
    <n v="1703.1"/>
    <n v="729.90000000000009"/>
    <n v="0.30000000000000004"/>
    <n v="10"/>
    <x v="3"/>
    <n v="8"/>
    <s v="Q3"/>
    <n v="2023"/>
    <x v="4"/>
    <x v="1"/>
  </r>
  <r>
    <n v="939"/>
    <s v="C084"/>
    <n v="9"/>
    <n v="4"/>
    <d v="2023-08-20T00:00:00"/>
    <d v="1899-12-30T20:55:05"/>
    <d v="2023-08-21T00:00:00"/>
    <d v="1899-12-30T04:36:14"/>
    <s v="Bhilai"/>
    <x v="4"/>
    <x v="68"/>
    <s v="Anahita Shankar"/>
    <x v="0"/>
    <x v="21"/>
    <x v="2"/>
    <x v="4"/>
    <n v="1605"/>
    <x v="318"/>
    <n v="4494"/>
    <n v="1926"/>
    <n v="0.3"/>
    <n v="1"/>
    <x v="3"/>
    <n v="8"/>
    <s v="Q3"/>
    <n v="2023"/>
    <x v="3"/>
    <x v="0"/>
  </r>
  <r>
    <n v="940"/>
    <s v="C082"/>
    <n v="57"/>
    <n v="4"/>
    <d v="2023-01-11T00:00:00"/>
    <d v="1899-12-30T23:38:25"/>
    <d v="2023-01-12T00:00:00"/>
    <d v="1899-12-30T04:04:53"/>
    <s v="Orai"/>
    <x v="2"/>
    <x v="59"/>
    <s v="Anya Chaudhari"/>
    <x v="1"/>
    <x v="57"/>
    <x v="2"/>
    <x v="2"/>
    <n v="1582"/>
    <x v="108"/>
    <n v="4429.5999999999995"/>
    <n v="1898.4000000000005"/>
    <n v="0.3000000000000001"/>
    <n v="1"/>
    <x v="8"/>
    <n v="1"/>
    <s v="Q1"/>
    <n v="2023"/>
    <x v="2"/>
    <x v="0"/>
  </r>
  <r>
    <n v="941"/>
    <s v="C058"/>
    <n v="18"/>
    <n v="4"/>
    <d v="2023-05-19T00:00:00"/>
    <d v="1899-12-30T09:16:07"/>
    <d v="2023-05-22T00:00:00"/>
    <d v="1899-12-30T10:28:01"/>
    <s v="Bidar"/>
    <x v="2"/>
    <x v="42"/>
    <s v="Charvi Kanda"/>
    <x v="0"/>
    <x v="53"/>
    <x v="5"/>
    <x v="2"/>
    <n v="781"/>
    <x v="277"/>
    <n v="2186.7999999999997"/>
    <n v="937.20000000000027"/>
    <n v="0.3000000000000001"/>
    <n v="3"/>
    <x v="4"/>
    <n v="5"/>
    <s v="Q2"/>
    <n v="2023"/>
    <x v="5"/>
    <x v="1"/>
  </r>
  <r>
    <n v="942"/>
    <s v="C024"/>
    <n v="51"/>
    <n v="1"/>
    <d v="2023-12-23T00:00:00"/>
    <d v="1899-12-30T04:59:43"/>
    <d v="2023-12-26T00:00:00"/>
    <d v="1899-12-30T15:56:22"/>
    <s v="Surat"/>
    <x v="6"/>
    <x v="11"/>
    <s v="Jhanvi Chowdhury"/>
    <x v="1"/>
    <x v="38"/>
    <x v="4"/>
    <x v="6"/>
    <n v="1084"/>
    <x v="207"/>
    <n v="758.8"/>
    <n v="325.20000000000005"/>
    <n v="0.30000000000000004"/>
    <n v="3"/>
    <x v="6"/>
    <n v="12"/>
    <s v="Q4"/>
    <n v="2023"/>
    <x v="6"/>
    <x v="2"/>
  </r>
  <r>
    <n v="943"/>
    <s v="C026"/>
    <n v="22"/>
    <n v="4"/>
    <d v="2023-02-19T00:00:00"/>
    <d v="1899-12-30T14:27:09"/>
    <d v="2023-02-22T00:00:00"/>
    <d v="1899-12-30T19:05:59"/>
    <s v="Narasaraopet"/>
    <x v="6"/>
    <x v="63"/>
    <s v="Ira Chahal"/>
    <x v="1"/>
    <x v="34"/>
    <x v="4"/>
    <x v="6"/>
    <n v="1639"/>
    <x v="39"/>
    <n v="4589.2"/>
    <n v="1966.8000000000002"/>
    <n v="0.30000000000000004"/>
    <n v="3"/>
    <x v="0"/>
    <n v="2"/>
    <s v="Q1"/>
    <n v="2023"/>
    <x v="5"/>
    <x v="0"/>
  </r>
  <r>
    <n v="944"/>
    <s v="C024"/>
    <n v="67"/>
    <n v="4"/>
    <d v="2023-11-17T00:00:00"/>
    <d v="1899-12-30T20:34:33"/>
    <d v="2023-11-21T00:00:00"/>
    <d v="1899-12-30T16:40:40"/>
    <s v="Amravati"/>
    <x v="0"/>
    <x v="11"/>
    <s v="Jhanvi Chowdhury"/>
    <x v="1"/>
    <x v="0"/>
    <x v="0"/>
    <x v="0"/>
    <n v="1374"/>
    <x v="99"/>
    <n v="3847.2"/>
    <n v="1648.8000000000002"/>
    <n v="0.30000000000000004"/>
    <n v="4"/>
    <x v="1"/>
    <n v="11"/>
    <s v="Q4"/>
    <n v="2023"/>
    <x v="0"/>
    <x v="0"/>
  </r>
  <r>
    <n v="945"/>
    <s v="C038"/>
    <n v="18"/>
    <n v="2"/>
    <d v="2023-07-30T00:00:00"/>
    <d v="1899-12-30T12:00:02"/>
    <d v="2023-08-06T00:00:00"/>
    <d v="1899-12-30T12:44:49"/>
    <s v="Raebareli"/>
    <x v="2"/>
    <x v="53"/>
    <s v="Yakshit Shah"/>
    <x v="1"/>
    <x v="53"/>
    <x v="5"/>
    <x v="2"/>
    <n v="781"/>
    <x v="278"/>
    <n v="1093.3999999999999"/>
    <n v="468.60000000000014"/>
    <n v="0.3000000000000001"/>
    <n v="7"/>
    <x v="2"/>
    <n v="7"/>
    <s v="Q3"/>
    <n v="2023"/>
    <x v="6"/>
    <x v="2"/>
  </r>
  <r>
    <n v="946"/>
    <s v="C050"/>
    <n v="17"/>
    <n v="4"/>
    <d v="2023-12-02T00:00:00"/>
    <d v="1899-12-30T11:07:29"/>
    <d v="2023-12-09T00:00:00"/>
    <d v="1899-12-30T17:43:17"/>
    <s v="Ratlam"/>
    <x v="0"/>
    <x v="27"/>
    <s v="Chirag Srinivas"/>
    <x v="1"/>
    <x v="25"/>
    <x v="4"/>
    <x v="0"/>
    <n v="1899"/>
    <x v="292"/>
    <n v="5317.2"/>
    <n v="2278.8000000000002"/>
    <n v="0.30000000000000004"/>
    <n v="7"/>
    <x v="6"/>
    <n v="12"/>
    <s v="Q4"/>
    <n v="2023"/>
    <x v="6"/>
    <x v="0"/>
  </r>
  <r>
    <n v="947"/>
    <s v="C100"/>
    <n v="38"/>
    <n v="3"/>
    <d v="2023-10-06T00:00:00"/>
    <d v="1899-12-30T19:16:19"/>
    <d v="2023-10-08T00:00:00"/>
    <d v="1899-12-30T23:24:47"/>
    <s v="Nadiad"/>
    <x v="2"/>
    <x v="56"/>
    <s v="Pranay Chaudhary"/>
    <x v="1"/>
    <x v="10"/>
    <x v="3"/>
    <x v="2"/>
    <n v="562"/>
    <x v="10"/>
    <n v="1180.1999999999998"/>
    <n v="505.80000000000018"/>
    <n v="0.3000000000000001"/>
    <n v="2"/>
    <x v="10"/>
    <n v="10"/>
    <s v="Q4"/>
    <n v="2023"/>
    <x v="3"/>
    <x v="2"/>
  </r>
  <r>
    <n v="948"/>
    <s v="C061"/>
    <n v="26"/>
    <n v="3"/>
    <d v="2023-03-04T00:00:00"/>
    <d v="1899-12-30T18:21:51"/>
    <d v="2023-03-07T00:00:00"/>
    <d v="1899-12-30T13:11:26"/>
    <s v="Dehradun"/>
    <x v="5"/>
    <x v="11"/>
    <s v="Akarsh Ramesh"/>
    <x v="1"/>
    <x v="42"/>
    <x v="2"/>
    <x v="5"/>
    <n v="289"/>
    <x v="59"/>
    <n v="606.9"/>
    <n v="260.10000000000002"/>
    <n v="0.30000000000000004"/>
    <n v="3"/>
    <x v="5"/>
    <n v="3"/>
    <s v="Q1"/>
    <n v="2023"/>
    <x v="2"/>
    <x v="2"/>
  </r>
  <r>
    <n v="949"/>
    <s v="C020"/>
    <n v="6"/>
    <n v="4"/>
    <d v="2023-02-27T00:00:00"/>
    <d v="1899-12-30T20:55:01"/>
    <d v="2023-03-06T00:00:00"/>
    <d v="1899-12-30T09:35:17"/>
    <s v="Begusarai"/>
    <x v="5"/>
    <x v="36"/>
    <s v="Samaira Ganesh"/>
    <x v="0"/>
    <x v="20"/>
    <x v="3"/>
    <x v="5"/>
    <n v="1112"/>
    <x v="52"/>
    <n v="3113.6"/>
    <n v="1334.4"/>
    <n v="0.30000000000000004"/>
    <n v="7"/>
    <x v="0"/>
    <n v="2"/>
    <s v="Q1"/>
    <n v="2023"/>
    <x v="3"/>
    <x v="1"/>
  </r>
  <r>
    <n v="950"/>
    <s v="C014"/>
    <n v="39"/>
    <n v="3"/>
    <d v="2023-10-16T00:00:00"/>
    <d v="1899-12-30T19:31:00"/>
    <d v="2023-10-18T00:00:00"/>
    <d v="1899-12-30T21:09:20"/>
    <s v="Tiruchirappalli"/>
    <x v="6"/>
    <x v="37"/>
    <s v="Indrans Shukla"/>
    <x v="1"/>
    <x v="47"/>
    <x v="6"/>
    <x v="6"/>
    <n v="387"/>
    <x v="282"/>
    <n v="812.69999999999993"/>
    <n v="348.30000000000007"/>
    <n v="0.30000000000000004"/>
    <n v="2"/>
    <x v="10"/>
    <n v="10"/>
    <s v="Q4"/>
    <n v="2023"/>
    <x v="6"/>
    <x v="2"/>
  </r>
  <r>
    <n v="951"/>
    <s v="C024"/>
    <n v="20"/>
    <n v="1"/>
    <d v="2023-11-23T00:00:00"/>
    <d v="1899-12-30T15:34:09"/>
    <d v="2023-11-25T00:00:00"/>
    <d v="1899-12-30T19:03:34"/>
    <s v="Bongaigaon"/>
    <x v="0"/>
    <x v="11"/>
    <s v="Jhanvi Chowdhury"/>
    <x v="1"/>
    <x v="11"/>
    <x v="2"/>
    <x v="0"/>
    <n v="697"/>
    <x v="257"/>
    <n v="487.9"/>
    <n v="209.10000000000002"/>
    <n v="0.30000000000000004"/>
    <n v="2"/>
    <x v="1"/>
    <n v="11"/>
    <s v="Q4"/>
    <n v="2023"/>
    <x v="6"/>
    <x v="2"/>
  </r>
  <r>
    <n v="952"/>
    <s v="C027"/>
    <n v="49"/>
    <n v="4"/>
    <d v="2023-02-12T00:00:00"/>
    <d v="1899-12-30T02:48:07"/>
    <d v="2023-02-22T00:00:00"/>
    <d v="1899-12-30T09:19:09"/>
    <s v="Bidar"/>
    <x v="3"/>
    <x v="72"/>
    <s v="Kashvi Sur"/>
    <x v="1"/>
    <x v="32"/>
    <x v="2"/>
    <x v="3"/>
    <n v="903"/>
    <x v="103"/>
    <n v="2528.3999999999996"/>
    <n v="1083.6000000000004"/>
    <n v="0.3000000000000001"/>
    <n v="10"/>
    <x v="0"/>
    <n v="2"/>
    <s v="Q1"/>
    <n v="2023"/>
    <x v="5"/>
    <x v="1"/>
  </r>
  <r>
    <n v="953"/>
    <s v="C076"/>
    <n v="40"/>
    <n v="1"/>
    <d v="2023-09-03T00:00:00"/>
    <d v="1899-12-30T00:26:01"/>
    <d v="2023-09-04T00:00:00"/>
    <d v="1899-12-30T07:33:50"/>
    <s v="Varanasi"/>
    <x v="0"/>
    <x v="78"/>
    <s v="Oorja Dayal"/>
    <x v="1"/>
    <x v="46"/>
    <x v="1"/>
    <x v="0"/>
    <n v="1923"/>
    <x v="273"/>
    <n v="1346.1"/>
    <n v="576.90000000000009"/>
    <n v="0.30000000000000004"/>
    <n v="1"/>
    <x v="7"/>
    <n v="9"/>
    <s v="Q3"/>
    <n v="2023"/>
    <x v="0"/>
    <x v="2"/>
  </r>
  <r>
    <n v="954"/>
    <s v="C063"/>
    <n v="44"/>
    <n v="3"/>
    <d v="2023-11-02T00:00:00"/>
    <d v="1899-12-30T04:01:43"/>
    <d v="2023-11-03T00:00:00"/>
    <d v="1899-12-30T18:21:01"/>
    <s v="Ballia"/>
    <x v="1"/>
    <x v="22"/>
    <s v="Arhaan Ahluwalia"/>
    <x v="0"/>
    <x v="39"/>
    <x v="5"/>
    <x v="1"/>
    <n v="794"/>
    <x v="294"/>
    <n v="1667.3999999999999"/>
    <n v="714.60000000000014"/>
    <n v="0.30000000000000004"/>
    <n v="1"/>
    <x v="1"/>
    <n v="11"/>
    <s v="Q4"/>
    <n v="2023"/>
    <x v="6"/>
    <x v="1"/>
  </r>
  <r>
    <n v="955"/>
    <s v="C015"/>
    <n v="24"/>
    <n v="4"/>
    <d v="2023-06-03T00:00:00"/>
    <d v="1899-12-30T00:30:48"/>
    <d v="2023-06-07T00:00:00"/>
    <d v="1899-12-30T09:07:26"/>
    <s v="Singrauli"/>
    <x v="2"/>
    <x v="44"/>
    <s v="Romil Bajwa"/>
    <x v="1"/>
    <x v="54"/>
    <x v="6"/>
    <x v="2"/>
    <n v="535"/>
    <x v="76"/>
    <n v="1498"/>
    <n v="642"/>
    <n v="0.3"/>
    <n v="4"/>
    <x v="11"/>
    <n v="6"/>
    <s v="Q2"/>
    <n v="2023"/>
    <x v="0"/>
    <x v="1"/>
  </r>
  <r>
    <n v="956"/>
    <s v="C037"/>
    <n v="34"/>
    <n v="5"/>
    <d v="2023-08-29T00:00:00"/>
    <d v="1899-12-30T04:52:24"/>
    <d v="2023-09-03T00:00:00"/>
    <d v="1899-12-30T14:53:28"/>
    <s v="Sagar"/>
    <x v="4"/>
    <x v="0"/>
    <s v="Aradhya Kumar"/>
    <x v="0"/>
    <x v="41"/>
    <x v="4"/>
    <x v="4"/>
    <n v="1335"/>
    <x v="185"/>
    <n v="4672.4999999999991"/>
    <n v="2002.5000000000009"/>
    <n v="0.30000000000000016"/>
    <n v="5"/>
    <x v="3"/>
    <n v="8"/>
    <s v="Q3"/>
    <n v="2023"/>
    <x v="4"/>
    <x v="0"/>
  </r>
  <r>
    <n v="957"/>
    <s v="C038"/>
    <n v="23"/>
    <n v="1"/>
    <d v="2023-12-15T00:00:00"/>
    <d v="1899-12-30T01:56:38"/>
    <d v="2023-12-17T00:00:00"/>
    <d v="1899-12-30T21:07:55"/>
    <s v="Kanpur"/>
    <x v="0"/>
    <x v="53"/>
    <s v="Yakshit Shah"/>
    <x v="1"/>
    <x v="13"/>
    <x v="1"/>
    <x v="0"/>
    <n v="1098"/>
    <x v="153"/>
    <n v="768.59999999999991"/>
    <n v="329.40000000000009"/>
    <n v="0.3000000000000001"/>
    <n v="2"/>
    <x v="6"/>
    <n v="12"/>
    <s v="Q4"/>
    <n v="2023"/>
    <x v="4"/>
    <x v="2"/>
  </r>
  <r>
    <n v="958"/>
    <s v="C009"/>
    <n v="16"/>
    <n v="3"/>
    <d v="2023-03-07T00:00:00"/>
    <d v="1899-12-30T14:02:57"/>
    <d v="2023-03-14T00:00:00"/>
    <d v="1899-12-30T22:04:41"/>
    <s v="Bihar Sharif"/>
    <x v="5"/>
    <x v="6"/>
    <s v="Ritvik Borah"/>
    <x v="1"/>
    <x v="9"/>
    <x v="1"/>
    <x v="5"/>
    <n v="1721"/>
    <x v="320"/>
    <n v="3614.0999999999995"/>
    <n v="1548.9000000000005"/>
    <n v="0.3000000000000001"/>
    <n v="7"/>
    <x v="5"/>
    <n v="3"/>
    <s v="Q1"/>
    <n v="2023"/>
    <x v="1"/>
    <x v="0"/>
  </r>
  <r>
    <n v="959"/>
    <s v="C098"/>
    <n v="40"/>
    <n v="1"/>
    <d v="2023-12-21T00:00:00"/>
    <d v="1899-12-30T01:54:46"/>
    <d v="2023-12-26T00:00:00"/>
    <d v="1899-12-30T21:05:45"/>
    <s v="Raebareli"/>
    <x v="0"/>
    <x v="77"/>
    <s v="Navya Golla"/>
    <x v="0"/>
    <x v="46"/>
    <x v="1"/>
    <x v="0"/>
    <n v="1923"/>
    <x v="273"/>
    <n v="1346.1"/>
    <n v="576.90000000000009"/>
    <n v="0.30000000000000004"/>
    <n v="5"/>
    <x v="6"/>
    <n v="12"/>
    <s v="Q4"/>
    <n v="2023"/>
    <x v="1"/>
    <x v="2"/>
  </r>
  <r>
    <n v="960"/>
    <s v="C032"/>
    <n v="48"/>
    <n v="3"/>
    <d v="2023-11-05T00:00:00"/>
    <d v="1899-12-30T05:25:49"/>
    <d v="2023-11-08T00:00:00"/>
    <d v="1899-12-30T09:56:17"/>
    <s v="Nadiad"/>
    <x v="1"/>
    <x v="54"/>
    <s v="Mannat Anand"/>
    <x v="0"/>
    <x v="29"/>
    <x v="2"/>
    <x v="1"/>
    <n v="433"/>
    <x v="134"/>
    <n v="909.3"/>
    <n v="389.70000000000005"/>
    <n v="0.30000000000000004"/>
    <n v="3"/>
    <x v="1"/>
    <n v="11"/>
    <s v="Q4"/>
    <n v="2023"/>
    <x v="5"/>
    <x v="2"/>
  </r>
  <r>
    <n v="961"/>
    <s v="C016"/>
    <n v="1"/>
    <n v="5"/>
    <d v="2023-02-01T00:00:00"/>
    <d v="1899-12-30T06:49:28"/>
    <d v="2023-02-10T00:00:00"/>
    <d v="1899-12-30T20:54:38"/>
    <s v="Gulbarga"/>
    <x v="6"/>
    <x v="73"/>
    <s v="Amani Ganesh"/>
    <x v="0"/>
    <x v="48"/>
    <x v="4"/>
    <x v="6"/>
    <n v="1935"/>
    <x v="66"/>
    <n v="6772.5"/>
    <n v="2902.5"/>
    <n v="0.3"/>
    <n v="9"/>
    <x v="0"/>
    <n v="2"/>
    <s v="Q1"/>
    <n v="2023"/>
    <x v="4"/>
    <x v="0"/>
  </r>
  <r>
    <n v="962"/>
    <s v="C028"/>
    <n v="17"/>
    <n v="5"/>
    <d v="2023-09-29T00:00:00"/>
    <d v="1899-12-30T11:55:53"/>
    <d v="2023-10-01T00:00:00"/>
    <d v="1899-12-30T16:15:08"/>
    <s v="Kalyan-Dombivli"/>
    <x v="0"/>
    <x v="48"/>
    <s v="Hridaan Rajagopalan"/>
    <x v="1"/>
    <x v="25"/>
    <x v="4"/>
    <x v="0"/>
    <n v="1899"/>
    <x v="230"/>
    <n v="6646.5"/>
    <n v="2848.5"/>
    <n v="0.3"/>
    <n v="2"/>
    <x v="7"/>
    <n v="9"/>
    <s v="Q3"/>
    <n v="2023"/>
    <x v="4"/>
    <x v="0"/>
  </r>
  <r>
    <n v="963"/>
    <s v="C025"/>
    <n v="29"/>
    <n v="1"/>
    <d v="2023-03-03T00:00:00"/>
    <d v="1899-12-30T08:44:19"/>
    <d v="2023-03-06T00:00:00"/>
    <d v="1899-12-30T10:36:46"/>
    <s v="Phagwara"/>
    <x v="5"/>
    <x v="84"/>
    <s v="Ira Bava"/>
    <x v="1"/>
    <x v="66"/>
    <x v="2"/>
    <x v="5"/>
    <n v="1252"/>
    <x v="183"/>
    <n v="876.4"/>
    <n v="375.6"/>
    <n v="0.30000000000000004"/>
    <n v="3"/>
    <x v="5"/>
    <n v="3"/>
    <s v="Q1"/>
    <n v="2023"/>
    <x v="0"/>
    <x v="2"/>
  </r>
  <r>
    <n v="964"/>
    <s v="C098"/>
    <n v="32"/>
    <n v="4"/>
    <d v="2023-10-19T00:00:00"/>
    <d v="1899-12-30T06:39:41"/>
    <d v="2023-10-23T00:00:00"/>
    <d v="1899-12-30T22:22:39"/>
    <s v="Jammu"/>
    <x v="2"/>
    <x v="77"/>
    <s v="Navya Golla"/>
    <x v="0"/>
    <x v="16"/>
    <x v="4"/>
    <x v="2"/>
    <n v="1792"/>
    <x v="149"/>
    <n v="5017.5999999999995"/>
    <n v="2150.4000000000005"/>
    <n v="0.3000000000000001"/>
    <n v="4"/>
    <x v="10"/>
    <n v="10"/>
    <s v="Q4"/>
    <n v="2023"/>
    <x v="5"/>
    <x v="0"/>
  </r>
  <r>
    <n v="965"/>
    <s v="C080"/>
    <n v="62"/>
    <n v="1"/>
    <d v="2023-03-02T00:00:00"/>
    <d v="1899-12-30T03:15:10"/>
    <d v="2023-03-06T00:00:00"/>
    <d v="1899-12-30T17:20:22"/>
    <s v="Amaravati"/>
    <x v="5"/>
    <x v="31"/>
    <s v="Mohanlal Garde"/>
    <x v="0"/>
    <x v="14"/>
    <x v="2"/>
    <x v="5"/>
    <n v="1356"/>
    <x v="94"/>
    <n v="949.19999999999993"/>
    <n v="406.80000000000007"/>
    <n v="0.30000000000000004"/>
    <n v="4"/>
    <x v="5"/>
    <n v="3"/>
    <s v="Q1"/>
    <n v="2023"/>
    <x v="6"/>
    <x v="2"/>
  </r>
  <r>
    <n v="966"/>
    <s v="C061"/>
    <n v="13"/>
    <n v="2"/>
    <d v="2023-03-01T00:00:00"/>
    <d v="1899-12-30T02:21:06"/>
    <d v="2023-03-10T00:00:00"/>
    <d v="1899-12-30T10:22:53"/>
    <s v="Nellore"/>
    <x v="5"/>
    <x v="11"/>
    <s v="Akarsh Ramesh"/>
    <x v="1"/>
    <x v="64"/>
    <x v="6"/>
    <x v="5"/>
    <n v="1141"/>
    <x v="306"/>
    <n v="1597.3999999999999"/>
    <n v="684.60000000000014"/>
    <n v="0.30000000000000004"/>
    <n v="9"/>
    <x v="5"/>
    <n v="3"/>
    <s v="Q1"/>
    <n v="2023"/>
    <x v="4"/>
    <x v="1"/>
  </r>
  <r>
    <n v="967"/>
    <s v="C041"/>
    <n v="68"/>
    <n v="4"/>
    <d v="2023-02-12T00:00:00"/>
    <d v="1899-12-30T00:21:23"/>
    <d v="2023-02-20T00:00:00"/>
    <d v="1899-12-30T18:29:48"/>
    <s v="Siliguri"/>
    <x v="3"/>
    <x v="19"/>
    <s v="Rati Dhingra"/>
    <x v="0"/>
    <x v="63"/>
    <x v="4"/>
    <x v="3"/>
    <n v="597"/>
    <x v="321"/>
    <n v="1671.6"/>
    <n v="716.40000000000009"/>
    <n v="0.30000000000000004"/>
    <n v="8"/>
    <x v="0"/>
    <n v="2"/>
    <s v="Q1"/>
    <n v="2023"/>
    <x v="5"/>
    <x v="1"/>
  </r>
  <r>
    <n v="968"/>
    <s v="C002"/>
    <n v="9"/>
    <n v="2"/>
    <d v="2023-08-25T00:00:00"/>
    <d v="1899-12-30T23:55:22"/>
    <d v="2023-09-01T00:00:00"/>
    <d v="1899-12-30T20:24:11"/>
    <s v="Jaunpur"/>
    <x v="4"/>
    <x v="83"/>
    <s v="Myra Edwin"/>
    <x v="1"/>
    <x v="21"/>
    <x v="2"/>
    <x v="4"/>
    <n v="1605"/>
    <x v="24"/>
    <n v="2247"/>
    <n v="963"/>
    <n v="0.3"/>
    <n v="7"/>
    <x v="3"/>
    <n v="8"/>
    <s v="Q3"/>
    <n v="2023"/>
    <x v="2"/>
    <x v="1"/>
  </r>
  <r>
    <n v="969"/>
    <s v="C004"/>
    <n v="42"/>
    <n v="4"/>
    <d v="2023-08-30T00:00:00"/>
    <d v="1899-12-30T22:56:34"/>
    <d v="2023-09-03T00:00:00"/>
    <d v="1899-12-30T03:22:59"/>
    <s v="Khammam"/>
    <x v="6"/>
    <x v="75"/>
    <s v="Tarini Bava"/>
    <x v="0"/>
    <x v="18"/>
    <x v="1"/>
    <x v="6"/>
    <n v="1744"/>
    <x v="141"/>
    <n v="4883.2"/>
    <n v="2092.8000000000002"/>
    <n v="0.30000000000000004"/>
    <n v="4"/>
    <x v="3"/>
    <n v="8"/>
    <s v="Q3"/>
    <n v="2023"/>
    <x v="6"/>
    <x v="0"/>
  </r>
  <r>
    <n v="970"/>
    <s v="C020"/>
    <n v="54"/>
    <n v="4"/>
    <d v="2023-04-13T00:00:00"/>
    <d v="1899-12-30T03:26:33"/>
    <d v="2023-04-21T00:00:00"/>
    <d v="1899-12-30T21:37:17"/>
    <s v="Siliguri"/>
    <x v="0"/>
    <x v="36"/>
    <s v="Samaira Ganesh"/>
    <x v="0"/>
    <x v="30"/>
    <x v="3"/>
    <x v="0"/>
    <n v="1236"/>
    <x v="34"/>
    <n v="3460.7999999999997"/>
    <n v="1483.2000000000003"/>
    <n v="0.30000000000000004"/>
    <n v="8"/>
    <x v="9"/>
    <n v="4"/>
    <s v="Q2"/>
    <n v="2023"/>
    <x v="3"/>
    <x v="1"/>
  </r>
  <r>
    <n v="971"/>
    <s v="C027"/>
    <n v="47"/>
    <n v="1"/>
    <d v="2023-03-02T00:00:00"/>
    <d v="1899-12-30T04:02:13"/>
    <d v="2023-03-10T00:00:00"/>
    <d v="1899-12-30T19:17:36"/>
    <s v="Sultan Pur Majra"/>
    <x v="5"/>
    <x v="72"/>
    <s v="Kashvi Sur"/>
    <x v="1"/>
    <x v="49"/>
    <x v="2"/>
    <x v="5"/>
    <n v="1638"/>
    <x v="68"/>
    <n v="1146.5999999999999"/>
    <n v="491.40000000000009"/>
    <n v="0.30000000000000004"/>
    <n v="8"/>
    <x v="5"/>
    <n v="3"/>
    <s v="Q1"/>
    <n v="2023"/>
    <x v="6"/>
    <x v="2"/>
  </r>
  <r>
    <n v="972"/>
    <s v="C026"/>
    <n v="30"/>
    <n v="2"/>
    <d v="2023-04-30T00:00:00"/>
    <d v="1899-12-30T01:34:34"/>
    <d v="2023-05-02T00:00:00"/>
    <d v="1899-12-30T05:27:14"/>
    <s v="Ujjain"/>
    <x v="0"/>
    <x v="63"/>
    <s v="Ira Chahal"/>
    <x v="1"/>
    <x v="19"/>
    <x v="2"/>
    <x v="0"/>
    <n v="751"/>
    <x v="105"/>
    <n v="1051.3999999999999"/>
    <n v="450.60000000000014"/>
    <n v="0.3000000000000001"/>
    <n v="2"/>
    <x v="9"/>
    <n v="4"/>
    <s v="Q2"/>
    <n v="2023"/>
    <x v="6"/>
    <x v="2"/>
  </r>
  <r>
    <n v="973"/>
    <s v="C031"/>
    <n v="66"/>
    <n v="3"/>
    <d v="2023-02-26T00:00:00"/>
    <d v="1899-12-30T10:35:55"/>
    <d v="2023-03-07T00:00:00"/>
    <d v="1899-12-30T03:46:24"/>
    <s v="Barasat"/>
    <x v="5"/>
    <x v="35"/>
    <s v="Madhup Wable"/>
    <x v="1"/>
    <x v="26"/>
    <x v="2"/>
    <x v="5"/>
    <n v="610"/>
    <x v="212"/>
    <n v="1281"/>
    <n v="549"/>
    <n v="0.3"/>
    <n v="9"/>
    <x v="0"/>
    <n v="2"/>
    <s v="Q1"/>
    <n v="2023"/>
    <x v="5"/>
    <x v="2"/>
  </r>
  <r>
    <n v="974"/>
    <s v="C014"/>
    <n v="17"/>
    <n v="4"/>
    <d v="2023-11-04T00:00:00"/>
    <d v="1899-12-30T19:16:59"/>
    <d v="2023-11-07T00:00:00"/>
    <d v="1899-12-30T16:11:27"/>
    <s v="Pallavaram"/>
    <x v="0"/>
    <x v="37"/>
    <s v="Indrans Shukla"/>
    <x v="1"/>
    <x v="25"/>
    <x v="4"/>
    <x v="0"/>
    <n v="1899"/>
    <x v="292"/>
    <n v="5317.2"/>
    <n v="2278.8000000000002"/>
    <n v="0.30000000000000004"/>
    <n v="3"/>
    <x v="1"/>
    <n v="11"/>
    <s v="Q4"/>
    <n v="2023"/>
    <x v="2"/>
    <x v="0"/>
  </r>
  <r>
    <n v="975"/>
    <s v="C077"/>
    <n v="62"/>
    <n v="2"/>
    <d v="2023-03-04T00:00:00"/>
    <d v="1899-12-30T00:26:32"/>
    <d v="2023-03-12T00:00:00"/>
    <d v="1899-12-30T08:03:42"/>
    <s v="Sultan Pur Majra"/>
    <x v="5"/>
    <x v="41"/>
    <s v="Gokul Ahluwalia"/>
    <x v="1"/>
    <x v="14"/>
    <x v="2"/>
    <x v="5"/>
    <n v="1356"/>
    <x v="322"/>
    <n v="1898.3999999999999"/>
    <n v="813.60000000000014"/>
    <n v="0.30000000000000004"/>
    <n v="8"/>
    <x v="5"/>
    <n v="3"/>
    <s v="Q1"/>
    <n v="2023"/>
    <x v="2"/>
    <x v="1"/>
  </r>
  <r>
    <n v="976"/>
    <s v="C017"/>
    <n v="17"/>
    <n v="2"/>
    <d v="2023-05-19T00:00:00"/>
    <d v="1899-12-30T07:11:09"/>
    <d v="2023-05-20T00:00:00"/>
    <d v="1899-12-30T08:38:28"/>
    <s v="Raichur"/>
    <x v="0"/>
    <x v="46"/>
    <s v="Advika Dhar"/>
    <x v="0"/>
    <x v="25"/>
    <x v="4"/>
    <x v="0"/>
    <n v="1899"/>
    <x v="28"/>
    <n v="2658.6"/>
    <n v="1139.4000000000001"/>
    <n v="0.30000000000000004"/>
    <n v="1"/>
    <x v="4"/>
    <n v="5"/>
    <s v="Q2"/>
    <n v="2023"/>
    <x v="5"/>
    <x v="1"/>
  </r>
  <r>
    <n v="977"/>
    <s v="C005"/>
    <n v="47"/>
    <n v="2"/>
    <d v="2023-03-05T00:00:00"/>
    <d v="1899-12-30T12:33:31"/>
    <d v="2023-03-07T00:00:00"/>
    <d v="1899-12-30T23:39:44"/>
    <s v="Rajpur Sonarpur"/>
    <x v="5"/>
    <x v="81"/>
    <s v="Hiran Kaul"/>
    <x v="0"/>
    <x v="49"/>
    <x v="2"/>
    <x v="5"/>
    <n v="1638"/>
    <x v="107"/>
    <n v="2293.1999999999998"/>
    <n v="982.80000000000018"/>
    <n v="0.30000000000000004"/>
    <n v="2"/>
    <x v="5"/>
    <n v="3"/>
    <s v="Q1"/>
    <n v="2023"/>
    <x v="5"/>
    <x v="1"/>
  </r>
  <r>
    <n v="978"/>
    <s v="C019"/>
    <n v="29"/>
    <n v="4"/>
    <d v="2023-02-28T00:00:00"/>
    <d v="1899-12-30T08:59:15"/>
    <d v="2023-03-09T00:00:00"/>
    <d v="1899-12-30T06:31:07"/>
    <s v="Barasat"/>
    <x v="5"/>
    <x v="1"/>
    <s v="Amira Sengupta"/>
    <x v="0"/>
    <x v="66"/>
    <x v="2"/>
    <x v="5"/>
    <n v="1252"/>
    <x v="271"/>
    <n v="3505.6"/>
    <n v="1502.4"/>
    <n v="0.30000000000000004"/>
    <n v="9"/>
    <x v="0"/>
    <n v="2"/>
    <s v="Q1"/>
    <n v="2023"/>
    <x v="1"/>
    <x v="0"/>
  </r>
  <r>
    <n v="979"/>
    <s v="C030"/>
    <n v="9"/>
    <n v="4"/>
    <d v="2023-08-28T00:00:00"/>
    <d v="1899-12-30T18:43:04"/>
    <d v="2023-08-31T00:00:00"/>
    <d v="1899-12-30T20:12:58"/>
    <s v="Adoni"/>
    <x v="4"/>
    <x v="64"/>
    <s v="Vardaniya Contractor"/>
    <x v="0"/>
    <x v="21"/>
    <x v="2"/>
    <x v="4"/>
    <n v="1605"/>
    <x v="318"/>
    <n v="4494"/>
    <n v="1926"/>
    <n v="0.3"/>
    <n v="3"/>
    <x v="3"/>
    <n v="8"/>
    <s v="Q3"/>
    <n v="2023"/>
    <x v="1"/>
    <x v="0"/>
  </r>
  <r>
    <n v="980"/>
    <s v="C067"/>
    <n v="12"/>
    <n v="5"/>
    <d v="2023-09-21T00:00:00"/>
    <d v="1899-12-30T20:35:26"/>
    <d v="2023-09-30T00:00:00"/>
    <d v="1899-12-30T00:43:39"/>
    <s v="Bijapur"/>
    <x v="0"/>
    <x v="29"/>
    <s v="Eva Sankaran"/>
    <x v="0"/>
    <x v="17"/>
    <x v="5"/>
    <x v="0"/>
    <n v="672"/>
    <x v="204"/>
    <n v="2352"/>
    <n v="1008"/>
    <n v="0.3"/>
    <n v="9"/>
    <x v="7"/>
    <n v="9"/>
    <s v="Q3"/>
    <n v="2023"/>
    <x v="1"/>
    <x v="1"/>
  </r>
  <r>
    <n v="981"/>
    <s v="C014"/>
    <n v="46"/>
    <n v="2"/>
    <d v="2023-04-02T00:00:00"/>
    <d v="1899-12-30T20:01:08"/>
    <d v="2023-04-03T00:00:00"/>
    <d v="1899-12-30T20:21:37"/>
    <s v="Dehradun"/>
    <x v="0"/>
    <x v="37"/>
    <s v="Indrans Shukla"/>
    <x v="1"/>
    <x v="62"/>
    <x v="3"/>
    <x v="0"/>
    <n v="758"/>
    <x v="253"/>
    <n v="1061.2"/>
    <n v="454.79999999999995"/>
    <n v="0.3"/>
    <n v="1"/>
    <x v="9"/>
    <n v="4"/>
    <s v="Q2"/>
    <n v="2023"/>
    <x v="6"/>
    <x v="2"/>
  </r>
  <r>
    <n v="982"/>
    <s v="C019"/>
    <n v="47"/>
    <n v="4"/>
    <d v="2023-02-28T00:00:00"/>
    <d v="1899-12-30T18:56:23"/>
    <d v="2023-03-04T00:00:00"/>
    <d v="1899-12-30T03:11:23"/>
    <s v="Srinagar"/>
    <x v="5"/>
    <x v="1"/>
    <s v="Amira Sengupta"/>
    <x v="0"/>
    <x v="49"/>
    <x v="2"/>
    <x v="5"/>
    <n v="1638"/>
    <x v="219"/>
    <n v="4586.3999999999996"/>
    <n v="1965.6000000000004"/>
    <n v="0.30000000000000004"/>
    <n v="4"/>
    <x v="0"/>
    <n v="2"/>
    <s v="Q1"/>
    <n v="2023"/>
    <x v="1"/>
    <x v="0"/>
  </r>
  <r>
    <n v="983"/>
    <s v="C094"/>
    <n v="70"/>
    <n v="1"/>
    <d v="2023-03-25T00:00:00"/>
    <d v="1899-12-30T09:39:44"/>
    <d v="2023-04-01T00:00:00"/>
    <d v="1899-12-30T06:38:43"/>
    <s v="Satna"/>
    <x v="2"/>
    <x v="69"/>
    <s v="Raghav Babu"/>
    <x v="1"/>
    <x v="35"/>
    <x v="1"/>
    <x v="2"/>
    <n v="866"/>
    <x v="298"/>
    <n v="606.19999999999993"/>
    <n v="259.80000000000007"/>
    <n v="0.3000000000000001"/>
    <n v="7"/>
    <x v="5"/>
    <n v="3"/>
    <s v="Q1"/>
    <n v="2023"/>
    <x v="2"/>
    <x v="2"/>
  </r>
  <r>
    <n v="984"/>
    <s v="C058"/>
    <n v="65"/>
    <n v="1"/>
    <d v="2023-08-03T00:00:00"/>
    <d v="1899-12-30T22:31:02"/>
    <d v="2023-08-07T00:00:00"/>
    <d v="1899-12-30T16:39:11"/>
    <s v="Ballia"/>
    <x v="6"/>
    <x v="42"/>
    <s v="Charvi Kanda"/>
    <x v="0"/>
    <x v="35"/>
    <x v="0"/>
    <x v="6"/>
    <n v="1895"/>
    <x v="323"/>
    <n v="1326.5"/>
    <n v="568.5"/>
    <n v="0.3"/>
    <n v="4"/>
    <x v="3"/>
    <n v="8"/>
    <s v="Q3"/>
    <n v="2023"/>
    <x v="0"/>
    <x v="2"/>
  </r>
  <r>
    <n v="985"/>
    <s v="C070"/>
    <n v="31"/>
    <n v="4"/>
    <d v="2023-10-05T00:00:00"/>
    <d v="1899-12-30T11:27:20"/>
    <d v="2023-10-13T00:00:00"/>
    <d v="1899-12-30T16:53:35"/>
    <s v="Ludhiana"/>
    <x v="6"/>
    <x v="66"/>
    <s v="Emir Gokhale"/>
    <x v="0"/>
    <x v="43"/>
    <x v="2"/>
    <x v="6"/>
    <n v="1804"/>
    <x v="155"/>
    <n v="5051.2"/>
    <n v="2164.8000000000002"/>
    <n v="0.30000000000000004"/>
    <n v="8"/>
    <x v="10"/>
    <n v="10"/>
    <s v="Q4"/>
    <n v="2023"/>
    <x v="5"/>
    <x v="0"/>
  </r>
  <r>
    <n v="986"/>
    <s v="C086"/>
    <n v="1"/>
    <n v="2"/>
    <d v="2023-11-03T00:00:00"/>
    <d v="1899-12-30T16:41:54"/>
    <d v="2023-11-05T00:00:00"/>
    <d v="1899-12-30T22:43:28"/>
    <s v="Bally"/>
    <x v="6"/>
    <x v="80"/>
    <s v="Ivana Amble"/>
    <x v="1"/>
    <x v="48"/>
    <x v="4"/>
    <x v="6"/>
    <n v="1935"/>
    <x v="186"/>
    <n v="2709"/>
    <n v="1161"/>
    <n v="0.3"/>
    <n v="2"/>
    <x v="1"/>
    <n v="11"/>
    <s v="Q4"/>
    <n v="2023"/>
    <x v="0"/>
    <x v="1"/>
  </r>
  <r>
    <n v="987"/>
    <s v="C018"/>
    <n v="65"/>
    <n v="3"/>
    <d v="2023-12-20T00:00:00"/>
    <d v="1899-12-30T09:13:17"/>
    <d v="2023-12-25T00:00:00"/>
    <d v="1899-12-30T04:10:09"/>
    <s v="Bulandshahr"/>
    <x v="6"/>
    <x v="20"/>
    <s v="Eva Vaidya"/>
    <x v="0"/>
    <x v="35"/>
    <x v="0"/>
    <x v="6"/>
    <n v="1895"/>
    <x v="172"/>
    <n v="3979.5"/>
    <n v="1705.5"/>
    <n v="0.3"/>
    <n v="5"/>
    <x v="6"/>
    <n v="12"/>
    <s v="Q4"/>
    <n v="2023"/>
    <x v="3"/>
    <x v="0"/>
  </r>
  <r>
    <n v="988"/>
    <s v="C020"/>
    <n v="4"/>
    <n v="3"/>
    <d v="2023-11-10T00:00:00"/>
    <d v="1899-12-30T09:47:17"/>
    <d v="2023-11-15T00:00:00"/>
    <d v="1899-12-30T10:29:19"/>
    <s v="Mau"/>
    <x v="1"/>
    <x v="36"/>
    <s v="Samaira Ganesh"/>
    <x v="0"/>
    <x v="44"/>
    <x v="1"/>
    <x v="1"/>
    <n v="1199"/>
    <x v="87"/>
    <n v="2517.8999999999996"/>
    <n v="1079.1000000000004"/>
    <n v="0.3000000000000001"/>
    <n v="5"/>
    <x v="1"/>
    <n v="11"/>
    <s v="Q4"/>
    <n v="2023"/>
    <x v="0"/>
    <x v="1"/>
  </r>
  <r>
    <n v="989"/>
    <s v="C017"/>
    <n v="52"/>
    <n v="3"/>
    <d v="2023-02-06T00:00:00"/>
    <d v="1899-12-30T08:11:27"/>
    <d v="2023-02-15T00:00:00"/>
    <d v="1899-12-30T02:00:04"/>
    <s v="Bidhannagar"/>
    <x v="3"/>
    <x v="46"/>
    <s v="Advika Dhar"/>
    <x v="0"/>
    <x v="15"/>
    <x v="0"/>
    <x v="3"/>
    <n v="236"/>
    <x v="135"/>
    <n v="495.59999999999997"/>
    <n v="212.40000000000003"/>
    <n v="0.30000000000000004"/>
    <n v="9"/>
    <x v="0"/>
    <n v="2"/>
    <s v="Q1"/>
    <n v="2023"/>
    <x v="3"/>
    <x v="2"/>
  </r>
  <r>
    <n v="990"/>
    <s v="C021"/>
    <n v="42"/>
    <n v="2"/>
    <d v="2023-12-04T00:00:00"/>
    <d v="1899-12-30T22:20:00"/>
    <d v="2023-12-08T00:00:00"/>
    <d v="1899-12-30T23:57:55"/>
    <s v="Amritsar"/>
    <x v="6"/>
    <x v="85"/>
    <s v="Siya Talwar"/>
    <x v="0"/>
    <x v="18"/>
    <x v="1"/>
    <x v="6"/>
    <n v="1744"/>
    <x v="316"/>
    <n v="2441.6"/>
    <n v="1046.4000000000001"/>
    <n v="0.30000000000000004"/>
    <n v="4"/>
    <x v="6"/>
    <n v="12"/>
    <s v="Q4"/>
    <n v="2023"/>
    <x v="2"/>
    <x v="1"/>
  </r>
  <r>
    <n v="991"/>
    <s v="C054"/>
    <n v="36"/>
    <n v="5"/>
    <d v="2023-02-09T00:00:00"/>
    <d v="1899-12-30T15:01:12"/>
    <d v="2023-02-15T00:00:00"/>
    <d v="1899-12-30T17:16:56"/>
    <s v="Barasat"/>
    <x v="2"/>
    <x v="18"/>
    <s v="Umang Ahuja"/>
    <x v="1"/>
    <x v="37"/>
    <x v="5"/>
    <x v="2"/>
    <n v="203"/>
    <x v="147"/>
    <n v="710.5"/>
    <n v="304.5"/>
    <n v="0.3"/>
    <n v="6"/>
    <x v="0"/>
    <n v="2"/>
    <s v="Q1"/>
    <n v="2023"/>
    <x v="6"/>
    <x v="2"/>
  </r>
  <r>
    <n v="992"/>
    <s v="C091"/>
    <n v="43"/>
    <n v="3"/>
    <d v="2023-11-02T00:00:00"/>
    <d v="1899-12-30T14:09:04"/>
    <d v="2023-11-03T00:00:00"/>
    <d v="1899-12-30T19:32:39"/>
    <s v="Chittoor"/>
    <x v="1"/>
    <x v="21"/>
    <s v="Adira Rajan"/>
    <x v="1"/>
    <x v="6"/>
    <x v="0"/>
    <x v="1"/>
    <n v="750"/>
    <x v="6"/>
    <n v="1575"/>
    <n v="675"/>
    <n v="0.3"/>
    <n v="1"/>
    <x v="1"/>
    <n v="11"/>
    <s v="Q4"/>
    <n v="2023"/>
    <x v="6"/>
    <x v="1"/>
  </r>
  <r>
    <n v="993"/>
    <s v="C082"/>
    <n v="61"/>
    <n v="5"/>
    <d v="2023-10-08T00:00:00"/>
    <d v="1899-12-30T21:34:06"/>
    <d v="2023-10-14T00:00:00"/>
    <d v="1899-12-30T15:55:58"/>
    <s v="Kishanganj"/>
    <x v="0"/>
    <x v="59"/>
    <s v="Anya Chaudhari"/>
    <x v="1"/>
    <x v="33"/>
    <x v="5"/>
    <x v="0"/>
    <n v="810"/>
    <x v="38"/>
    <n v="2835"/>
    <n v="1215"/>
    <n v="0.3"/>
    <n v="6"/>
    <x v="10"/>
    <n v="10"/>
    <s v="Q4"/>
    <n v="2023"/>
    <x v="4"/>
    <x v="1"/>
  </r>
  <r>
    <n v="994"/>
    <s v="C004"/>
    <n v="68"/>
    <n v="2"/>
    <d v="2023-02-13T00:00:00"/>
    <d v="1899-12-30T22:44:36"/>
    <d v="2023-02-21T00:00:00"/>
    <d v="1899-12-30T06:45:30"/>
    <s v="Chandigarh"/>
    <x v="3"/>
    <x v="75"/>
    <s v="Tarini Bava"/>
    <x v="0"/>
    <x v="63"/>
    <x v="4"/>
    <x v="3"/>
    <n v="597"/>
    <x v="177"/>
    <n v="835.8"/>
    <n v="358.20000000000005"/>
    <n v="0.30000000000000004"/>
    <n v="8"/>
    <x v="0"/>
    <n v="2"/>
    <s v="Q1"/>
    <n v="2023"/>
    <x v="3"/>
    <x v="2"/>
  </r>
  <r>
    <n v="995"/>
    <s v="C089"/>
    <n v="57"/>
    <n v="2"/>
    <d v="2023-07-20T00:00:00"/>
    <d v="1899-12-30T00:40:38"/>
    <d v="2023-07-27T00:00:00"/>
    <d v="1899-12-30T11:42:03"/>
    <s v="Muzaffarnagar"/>
    <x v="2"/>
    <x v="76"/>
    <s v="Oorja Dey"/>
    <x v="1"/>
    <x v="57"/>
    <x v="2"/>
    <x v="2"/>
    <n v="1582"/>
    <x v="324"/>
    <n v="2214.7999999999997"/>
    <n v="949.20000000000027"/>
    <n v="0.3000000000000001"/>
    <n v="7"/>
    <x v="2"/>
    <n v="7"/>
    <s v="Q3"/>
    <n v="2023"/>
    <x v="3"/>
    <x v="1"/>
  </r>
  <r>
    <n v="996"/>
    <s v="C077"/>
    <n v="25"/>
    <n v="5"/>
    <d v="2023-05-13T00:00:00"/>
    <d v="1899-12-30T06:55:09"/>
    <d v="2023-05-19T00:00:00"/>
    <d v="1899-12-30T05:41:20"/>
    <s v="Faridabad"/>
    <x v="0"/>
    <x v="41"/>
    <s v="Gokul Ahluwalia"/>
    <x v="1"/>
    <x v="40"/>
    <x v="5"/>
    <x v="0"/>
    <n v="1202"/>
    <x v="275"/>
    <n v="4207"/>
    <n v="1803"/>
    <n v="0.3"/>
    <n v="6"/>
    <x v="4"/>
    <n v="5"/>
    <s v="Q2"/>
    <n v="2023"/>
    <x v="3"/>
    <x v="0"/>
  </r>
  <r>
    <n v="997"/>
    <s v="C098"/>
    <n v="19"/>
    <n v="2"/>
    <d v="2023-02-04T00:00:00"/>
    <d v="1899-12-30T04:28:27"/>
    <d v="2023-02-10T00:00:00"/>
    <d v="1899-12-30T11:50:24"/>
    <s v="Vasai-Virar"/>
    <x v="3"/>
    <x v="77"/>
    <s v="Navya Golla"/>
    <x v="0"/>
    <x v="27"/>
    <x v="6"/>
    <x v="3"/>
    <n v="1234"/>
    <x v="319"/>
    <n v="1727.6"/>
    <n v="740.40000000000009"/>
    <n v="0.30000000000000004"/>
    <n v="6"/>
    <x v="0"/>
    <n v="2"/>
    <s v="Q1"/>
    <n v="2023"/>
    <x v="2"/>
    <x v="1"/>
  </r>
  <r>
    <n v="998"/>
    <s v="C046"/>
    <n v="44"/>
    <n v="1"/>
    <d v="2023-11-06T00:00:00"/>
    <d v="1899-12-30T16:17:11"/>
    <d v="2023-11-14T00:00:00"/>
    <d v="1899-12-30T04:33:25"/>
    <s v="Ballia"/>
    <x v="1"/>
    <x v="32"/>
    <s v="Tara Kannan"/>
    <x v="0"/>
    <x v="39"/>
    <x v="5"/>
    <x v="1"/>
    <n v="794"/>
    <x v="304"/>
    <n v="555.79999999999995"/>
    <n v="238.20000000000005"/>
    <n v="0.30000000000000004"/>
    <n v="8"/>
    <x v="1"/>
    <n v="11"/>
    <s v="Q4"/>
    <n v="2023"/>
    <x v="3"/>
    <x v="2"/>
  </r>
  <r>
    <n v="999"/>
    <s v="C054"/>
    <n v="52"/>
    <n v="2"/>
    <d v="2023-02-06T00:00:00"/>
    <d v="1899-12-30T22:40:49"/>
    <d v="2023-02-10T00:00:00"/>
    <d v="1899-12-30T12:29:21"/>
    <s v="Miryalaguda"/>
    <x v="3"/>
    <x v="18"/>
    <s v="Umang Ahuja"/>
    <x v="1"/>
    <x v="15"/>
    <x v="0"/>
    <x v="3"/>
    <n v="236"/>
    <x v="303"/>
    <n v="330.4"/>
    <n v="141.60000000000002"/>
    <n v="0.30000000000000004"/>
    <n v="4"/>
    <x v="0"/>
    <n v="2"/>
    <s v="Q1"/>
    <n v="2023"/>
    <x v="3"/>
    <x v="2"/>
  </r>
  <r>
    <n v="1000"/>
    <s v="C012"/>
    <n v="27"/>
    <n v="4"/>
    <d v="2023-08-25T00:00:00"/>
    <d v="1899-12-30T01:22:43"/>
    <d v="2023-08-31T00:00:00"/>
    <d v="1899-12-30T06:57:59"/>
    <s v="Tadepalligudem"/>
    <x v="4"/>
    <x v="3"/>
    <s v="Onkar Mangat"/>
    <x v="0"/>
    <x v="7"/>
    <x v="3"/>
    <x v="4"/>
    <n v="548"/>
    <x v="7"/>
    <n v="1534.3999999999999"/>
    <n v="657.60000000000014"/>
    <n v="0.30000000000000004"/>
    <n v="6"/>
    <x v="3"/>
    <n v="8"/>
    <s v="Q3"/>
    <n v="202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7821F5-696B-4B54-AF9A-8802A4317458}"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ity">
  <location ref="A128:C215" firstHeaderRow="0" firstDataRow="1" firstDataCol="1"/>
  <pivotFields count="28">
    <pivotField showAll="0"/>
    <pivotField showAll="0"/>
    <pivotField showAll="0"/>
    <pivotField showAll="0"/>
    <pivotField numFmtId="14" showAll="0"/>
    <pivotField numFmtId="164" showAll="0"/>
    <pivotField numFmtId="14" showAll="0"/>
    <pivotField numFmtId="164" showAll="0"/>
    <pivotField showAll="0"/>
    <pivotField showAll="0">
      <items count="8">
        <item x="6"/>
        <item x="0"/>
        <item x="2"/>
        <item x="1"/>
        <item x="5"/>
        <item x="4"/>
        <item x="3"/>
        <item t="default"/>
      </items>
    </pivotField>
    <pivotField axis="axisRow" showAll="0" sortType="ascending">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items count="3">
        <item x="1"/>
        <item x="0"/>
        <item t="default"/>
      </items>
    </pivotField>
    <pivotField showAll="0"/>
    <pivotField showAll="0">
      <items count="8">
        <item x="3"/>
        <item x="2"/>
        <item x="6"/>
        <item x="5"/>
        <item x="0"/>
        <item x="4"/>
        <item x="1"/>
        <item t="default"/>
      </items>
    </pivotField>
    <pivotField showAll="0"/>
    <pivotField showAll="0"/>
    <pivotField dataField="1" showAll="0"/>
    <pivotField showAll="0"/>
    <pivotField dataField="1" showAll="0"/>
    <pivotField showAll="0"/>
    <pivotField showAll="0"/>
    <pivotField showAll="0">
      <items count="13">
        <item x="8"/>
        <item x="0"/>
        <item x="5"/>
        <item x="9"/>
        <item x="4"/>
        <item x="11"/>
        <item x="2"/>
        <item x="3"/>
        <item x="7"/>
        <item x="10"/>
        <item x="1"/>
        <item x="6"/>
        <item t="default"/>
      </items>
    </pivotField>
    <pivotField showAll="0"/>
    <pivotField showAll="0"/>
    <pivotField showAll="0"/>
    <pivotField showAll="0"/>
    <pivotField showAll="0">
      <items count="4">
        <item x="0"/>
        <item x="2"/>
        <item x="1"/>
        <item t="default"/>
      </items>
    </pivotField>
  </pivotFields>
  <rowFields count="1">
    <field x="1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Fields count="1">
    <field x="-2"/>
  </colFields>
  <colItems count="2">
    <i>
      <x/>
    </i>
    <i i="1">
      <x v="1"/>
    </i>
  </colItems>
  <dataFields count="2">
    <dataField name="Total Revenue" fld="17" baseField="10" baseItem="0"/>
    <dataField name="Total Profit" fld="19" baseField="10" baseItem="31"/>
  </dataFields>
  <conditionalFormats count="4">
    <conditionalFormat type="all" priority="4">
      <pivotAreas count="1">
        <pivotArea type="data" collapsedLevelsAreSubtotals="1" fieldPosition="0">
          <references count="2">
            <reference field="4294967294" count="1" selected="0">
              <x v="0"/>
            </reference>
            <reference field="10" count="86">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reference>
          </references>
        </pivotArea>
      </pivotAreas>
    </conditionalFormat>
    <conditionalFormat type="all" priority="3">
      <pivotAreas count="1">
        <pivotArea type="data" collapsedLevelsAreSubtotals="1" fieldPosition="0">
          <references count="2">
            <reference field="4294967294" count="1" selected="0">
              <x v="1"/>
            </reference>
            <reference field="10" count="86">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reference>
          </references>
        </pivotArea>
      </pivotAreas>
    </conditionalFormat>
    <conditionalFormat type="all" priority="2">
      <pivotAreas count="1">
        <pivotArea type="data" collapsedLevelsAreSubtotals="1" fieldPosition="0">
          <references count="2">
            <reference field="4294967294" count="1" selected="0">
              <x v="1"/>
            </reference>
            <reference field="10" count="86">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reference>
          </references>
        </pivotArea>
      </pivotAreas>
    </conditionalFormat>
    <conditionalFormat type="all" priority="1">
      <pivotAreas count="1">
        <pivotArea type="data" collapsedLevelsAreSubtotals="1" fieldPosition="0">
          <references count="2">
            <reference field="4294967294" count="1" selected="0">
              <x v="0"/>
            </reference>
            <reference field="10" count="86">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825131-206F-4C00-91A2-52E2F121DA4C}" name="Top Produc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55:C124" firstHeaderRow="0" firstDataRow="1" firstDataCol="1"/>
  <pivotFields count="28">
    <pivotField showAll="0"/>
    <pivotField showAll="0"/>
    <pivotField showAll="0"/>
    <pivotField showAll="0"/>
    <pivotField numFmtId="14" showAll="0"/>
    <pivotField numFmtId="164" showAll="0"/>
    <pivotField numFmtId="14" showAll="0"/>
    <pivotField numFmtId="164" showAll="0"/>
    <pivotField showAll="0"/>
    <pivotField showAll="0">
      <items count="8">
        <item x="6"/>
        <item x="0"/>
        <item x="2"/>
        <item x="1"/>
        <item x="5"/>
        <item x="4"/>
        <item x="3"/>
        <item t="default"/>
      </items>
    </pivotField>
    <pivotField showAll="0">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items count="3">
        <item x="1"/>
        <item x="0"/>
        <item t="default"/>
      </items>
    </pivotField>
    <pivotField axis="axisRow" showAll="0" sortType="ascending">
      <items count="69">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 t="default"/>
      </items>
    </pivotField>
    <pivotField showAll="0">
      <items count="8">
        <item x="3"/>
        <item x="2"/>
        <item x="6"/>
        <item x="5"/>
        <item x="0"/>
        <item x="4"/>
        <item x="1"/>
        <item t="default"/>
      </items>
    </pivotField>
    <pivotField showAll="0"/>
    <pivotField showAll="0"/>
    <pivotField dataField="1" showAll="0"/>
    <pivotField showAll="0"/>
    <pivotField dataField="1" showAll="0"/>
    <pivotField showAll="0"/>
    <pivotField showAll="0"/>
    <pivotField showAll="0">
      <items count="13">
        <item x="8"/>
        <item x="0"/>
        <item x="5"/>
        <item x="9"/>
        <item x="4"/>
        <item x="11"/>
        <item x="2"/>
        <item x="3"/>
        <item x="7"/>
        <item x="10"/>
        <item x="1"/>
        <item x="6"/>
        <item t="default"/>
      </items>
    </pivotField>
    <pivotField showAll="0"/>
    <pivotField showAll="0"/>
    <pivotField showAll="0"/>
    <pivotField showAll="0"/>
    <pivotField showAll="0">
      <items count="4">
        <item x="0"/>
        <item x="2"/>
        <item x="1"/>
        <item t="default"/>
      </items>
    </pivotField>
  </pivotFields>
  <rowFields count="1">
    <field x="13"/>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Fields count="1">
    <field x="-2"/>
  </colFields>
  <colItems count="2">
    <i>
      <x/>
    </i>
    <i i="1">
      <x v="1"/>
    </i>
  </colItems>
  <dataFields count="2">
    <dataField name="Total Revenue" fld="17" baseField="13" baseItem="0"/>
    <dataField name="Total Profit" fld="19" baseField="13" baseItem="32"/>
  </dataFields>
  <conditionalFormats count="5">
    <conditionalFormat type="all" priority="9">
      <pivotAreas count="1">
        <pivotArea type="data" collapsedLevelsAreSubtotals="1" fieldPosition="0">
          <references count="2">
            <reference field="4294967294" count="1" selected="0">
              <x v="0"/>
            </reference>
            <reference field="13" count="6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reference>
          </references>
        </pivotArea>
      </pivotAreas>
    </conditionalFormat>
    <conditionalFormat type="all" priority="8">
      <pivotAreas count="1">
        <pivotArea type="data" collapsedLevelsAreSubtotals="1" fieldPosition="0">
          <references count="2">
            <reference field="4294967294" count="1" selected="0">
              <x v="1"/>
            </reference>
            <reference field="13" count="6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reference>
          </references>
        </pivotArea>
      </pivotAreas>
    </conditionalFormat>
    <conditionalFormat type="all" priority="7">
      <pivotAreas count="1">
        <pivotArea type="data" collapsedLevelsAreSubtotals="1" fieldPosition="0">
          <references count="2">
            <reference field="4294967294" count="1" selected="0">
              <x v="1"/>
            </reference>
            <reference field="13" count="6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reference>
          </references>
        </pivotArea>
      </pivotAreas>
    </conditionalFormat>
    <conditionalFormat type="all" priority="6">
      <pivotAreas count="1">
        <pivotArea type="data" collapsedLevelsAreSubtotals="1" fieldPosition="0">
          <references count="2">
            <reference field="4294967294" count="1" selected="0">
              <x v="0"/>
            </reference>
            <reference field="13" count="6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reference>
          </references>
        </pivotArea>
      </pivotAreas>
    </conditionalFormat>
    <conditionalFormat type="all" priority="5">
      <pivotAreas count="1">
        <pivotArea type="data" collapsedLevelsAreSubtotals="1" fieldPosition="0">
          <references count="2">
            <reference field="4294967294" count="1" selected="0">
              <x v="0"/>
            </reference>
            <reference field="13" count="6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4E9B3C-C622-49E5-9E63-04D018B10D5D}"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Weekday">
  <location ref="G37:I45" firstHeaderRow="0" firstDataRow="1" firstDataCol="1"/>
  <pivotFields count="28">
    <pivotField showAll="0"/>
    <pivotField showAll="0"/>
    <pivotField showAll="0"/>
    <pivotField showAll="0"/>
    <pivotField numFmtId="14" showAll="0"/>
    <pivotField numFmtId="164" showAll="0"/>
    <pivotField numFmtId="14" showAll="0"/>
    <pivotField numFmtId="164" showAll="0"/>
    <pivotField showAll="0"/>
    <pivotField showAll="0">
      <items count="8">
        <item x="6"/>
        <item x="0"/>
        <item x="2"/>
        <item x="1"/>
        <item x="5"/>
        <item x="4"/>
        <item x="3"/>
        <item t="default"/>
      </items>
    </pivotField>
    <pivotField showAll="0">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items count="3">
        <item x="1"/>
        <item x="0"/>
        <item t="default"/>
      </items>
    </pivotField>
    <pivotField showAll="0"/>
    <pivotField showAll="0">
      <items count="8">
        <item x="3"/>
        <item x="2"/>
        <item x="6"/>
        <item x="5"/>
        <item x="0"/>
        <item x="4"/>
        <item x="1"/>
        <item t="default"/>
      </items>
    </pivotField>
    <pivotField showAll="0"/>
    <pivotField showAll="0"/>
    <pivotField dataField="1" showAll="0"/>
    <pivotField showAll="0"/>
    <pivotField dataField="1" showAll="0"/>
    <pivotField showAll="0"/>
    <pivotField showAll="0"/>
    <pivotField showAll="0">
      <items count="13">
        <item x="8"/>
        <item x="0"/>
        <item x="5"/>
        <item x="9"/>
        <item x="4"/>
        <item x="11"/>
        <item x="2"/>
        <item x="3"/>
        <item x="7"/>
        <item x="10"/>
        <item x="1"/>
        <item x="6"/>
        <item t="default"/>
      </items>
    </pivotField>
    <pivotField showAll="0"/>
    <pivotField showAll="0"/>
    <pivotField showAll="0"/>
    <pivotField axis="axisRow" showAll="0">
      <items count="8">
        <item x="6"/>
        <item x="0"/>
        <item x="2"/>
        <item x="5"/>
        <item x="3"/>
        <item x="1"/>
        <item x="4"/>
        <item t="default"/>
      </items>
    </pivotField>
    <pivotField showAll="0">
      <items count="4">
        <item x="0"/>
        <item x="2"/>
        <item x="1"/>
        <item t="default"/>
      </items>
    </pivotField>
  </pivotFields>
  <rowFields count="1">
    <field x="26"/>
  </rowFields>
  <rowItems count="8">
    <i>
      <x/>
    </i>
    <i>
      <x v="1"/>
    </i>
    <i>
      <x v="2"/>
    </i>
    <i>
      <x v="3"/>
    </i>
    <i>
      <x v="4"/>
    </i>
    <i>
      <x v="5"/>
    </i>
    <i>
      <x v="6"/>
    </i>
    <i t="grand">
      <x/>
    </i>
  </rowItems>
  <colFields count="1">
    <field x="-2"/>
  </colFields>
  <colItems count="2">
    <i>
      <x/>
    </i>
    <i i="1">
      <x v="1"/>
    </i>
  </colItems>
  <dataFields count="2">
    <dataField name="Total Revenue" fld="17" baseField="26" baseItem="0"/>
    <dataField name="Total Profit" fld="19" baseField="2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9F3CFE-1562-4A70-958E-1113D5F5CABA}" name="Revenue by Category"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ategory">
  <location ref="A25:C33" firstHeaderRow="0" firstDataRow="1" firstDataCol="1"/>
  <pivotFields count="28">
    <pivotField showAll="0"/>
    <pivotField showAll="0"/>
    <pivotField showAll="0"/>
    <pivotField showAll="0"/>
    <pivotField numFmtId="14" showAll="0"/>
    <pivotField numFmtId="164" showAll="0"/>
    <pivotField numFmtId="14" showAll="0"/>
    <pivotField numFmtId="164" showAll="0"/>
    <pivotField showAll="0"/>
    <pivotField showAll="0">
      <items count="8">
        <item x="6"/>
        <item x="0"/>
        <item x="2"/>
        <item x="1"/>
        <item x="5"/>
        <item x="4"/>
        <item x="3"/>
        <item t="default"/>
      </items>
    </pivotField>
    <pivotField showAll="0">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items count="3">
        <item x="1"/>
        <item x="0"/>
        <item t="default"/>
      </items>
    </pivotField>
    <pivotField showAll="0"/>
    <pivotField axis="axisRow" showAll="0" sortType="ascending">
      <items count="8">
        <item x="3"/>
        <item x="2"/>
        <item x="6"/>
        <item x="5"/>
        <item x="0"/>
        <item x="4"/>
        <item x="1"/>
        <item t="default"/>
      </items>
    </pivotField>
    <pivotField showAll="0"/>
    <pivotField showAll="0"/>
    <pivotField dataField="1" showAll="0"/>
    <pivotField showAll="0"/>
    <pivotField dataField="1" showAll="0"/>
    <pivotField showAll="0"/>
    <pivotField showAll="0"/>
    <pivotField showAll="0">
      <items count="13">
        <item x="8"/>
        <item x="0"/>
        <item x="5"/>
        <item x="9"/>
        <item x="4"/>
        <item x="11"/>
        <item x="2"/>
        <item x="3"/>
        <item x="7"/>
        <item x="10"/>
        <item x="1"/>
        <item x="6"/>
        <item t="default"/>
      </items>
    </pivotField>
    <pivotField showAll="0"/>
    <pivotField showAll="0"/>
    <pivotField showAll="0"/>
    <pivotField showAll="0"/>
    <pivotField showAll="0">
      <items count="4">
        <item x="0"/>
        <item x="2"/>
        <item x="1"/>
        <item t="default"/>
      </items>
    </pivotField>
  </pivotFields>
  <rowFields count="1">
    <field x="14"/>
  </rowFields>
  <rowItems count="8">
    <i>
      <x/>
    </i>
    <i>
      <x v="1"/>
    </i>
    <i>
      <x v="2"/>
    </i>
    <i>
      <x v="3"/>
    </i>
    <i>
      <x v="4"/>
    </i>
    <i>
      <x v="5"/>
    </i>
    <i>
      <x v="6"/>
    </i>
    <i t="grand">
      <x/>
    </i>
  </rowItems>
  <colFields count="1">
    <field x="-2"/>
  </colFields>
  <colItems count="2">
    <i>
      <x/>
    </i>
    <i i="1">
      <x v="1"/>
    </i>
  </colItems>
  <dataFields count="2">
    <dataField name="Total Revenue" fld="17" baseField="14" baseItem="0"/>
    <dataField name="Total Profit" fld="19" baseField="14"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CDCEB9-1AD7-42ED-ABCE-27F40D2942FF}"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Order Size">
  <location ref="G3:H7" firstHeaderRow="1" firstDataRow="1" firstDataCol="1"/>
  <pivotFields count="28">
    <pivotField dataField="1" showAll="0"/>
    <pivotField showAll="0"/>
    <pivotField showAll="0"/>
    <pivotField showAll="0"/>
    <pivotField numFmtId="14" showAll="0"/>
    <pivotField numFmtId="164" showAll="0"/>
    <pivotField numFmtId="14" showAll="0"/>
    <pivotField numFmtId="164" showAll="0"/>
    <pivotField showAll="0"/>
    <pivotField showAll="0">
      <items count="8">
        <item x="6"/>
        <item x="0"/>
        <item x="2"/>
        <item x="1"/>
        <item x="5"/>
        <item x="4"/>
        <item x="3"/>
        <item t="default"/>
      </items>
    </pivotField>
    <pivotField showAll="0">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items count="3">
        <item x="1"/>
        <item x="0"/>
        <item t="default"/>
      </items>
    </pivotField>
    <pivotField showAll="0"/>
    <pivotField showAll="0">
      <items count="8">
        <item x="3"/>
        <item x="2"/>
        <item x="6"/>
        <item x="5"/>
        <item x="0"/>
        <item x="4"/>
        <item x="1"/>
        <item t="default"/>
      </items>
    </pivotField>
    <pivotField showAll="0"/>
    <pivotField showAll="0"/>
    <pivotField showAll="0"/>
    <pivotField showAll="0"/>
    <pivotField showAll="0"/>
    <pivotField showAll="0"/>
    <pivotField showAll="0"/>
    <pivotField showAll="0">
      <items count="13">
        <item x="8"/>
        <item x="0"/>
        <item x="5"/>
        <item x="9"/>
        <item x="4"/>
        <item x="11"/>
        <item x="2"/>
        <item x="3"/>
        <item x="7"/>
        <item x="10"/>
        <item x="1"/>
        <item x="6"/>
        <item t="default"/>
      </items>
    </pivotField>
    <pivotField showAll="0"/>
    <pivotField showAll="0"/>
    <pivotField showAll="0"/>
    <pivotField showAll="0"/>
    <pivotField axis="axisRow" showAll="0">
      <items count="4">
        <item x="0"/>
        <item x="2"/>
        <item x="1"/>
        <item t="default"/>
      </items>
    </pivotField>
  </pivotFields>
  <rowFields count="1">
    <field x="27"/>
  </rowFields>
  <rowItems count="4">
    <i>
      <x/>
    </i>
    <i>
      <x v="1"/>
    </i>
    <i>
      <x v="2"/>
    </i>
    <i t="grand">
      <x/>
    </i>
  </rowItems>
  <colItems count="1">
    <i/>
  </colItems>
  <dataFields count="1">
    <dataField name="Total Orders" fld="0" subtotal="count" baseField="2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D8A698-0154-432D-9227-FA047961A676}" name="Revenue by Ocassions"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Occasion">
  <location ref="A13:C21" firstHeaderRow="0" firstDataRow="1" firstDataCol="1"/>
  <pivotFields count="28">
    <pivotField showAll="0"/>
    <pivotField showAll="0"/>
    <pivotField showAll="0"/>
    <pivotField showAll="0"/>
    <pivotField numFmtId="14" showAll="0"/>
    <pivotField numFmtId="164" showAll="0"/>
    <pivotField numFmtId="14" showAll="0"/>
    <pivotField numFmtId="164" showAll="0"/>
    <pivotField showAll="0"/>
    <pivotField axis="axisRow" showAll="0" sortType="ascending">
      <items count="8">
        <item x="6"/>
        <item x="0"/>
        <item x="2"/>
        <item x="1"/>
        <item x="5"/>
        <item x="4"/>
        <item x="3"/>
        <item t="default"/>
      </items>
    </pivotField>
    <pivotField showAll="0">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items count="3">
        <item x="1"/>
        <item x="0"/>
        <item t="default"/>
      </items>
    </pivotField>
    <pivotField showAll="0"/>
    <pivotField showAll="0">
      <items count="8">
        <item x="3"/>
        <item x="2"/>
        <item x="6"/>
        <item x="5"/>
        <item x="0"/>
        <item x="4"/>
        <item x="1"/>
        <item t="default"/>
      </items>
    </pivotField>
    <pivotField showAll="0"/>
    <pivotField showAll="0"/>
    <pivotField dataField="1" showAll="0">
      <items count="326">
        <item x="48"/>
        <item x="17"/>
        <item x="81"/>
        <item x="42"/>
        <item x="60"/>
        <item x="289"/>
        <item x="86"/>
        <item x="299"/>
        <item x="214"/>
        <item x="235"/>
        <item x="133"/>
        <item x="303"/>
        <item x="55"/>
        <item x="224"/>
        <item x="98"/>
        <item x="69"/>
        <item x="232"/>
        <item x="122"/>
        <item x="29"/>
        <item x="249"/>
        <item x="181"/>
        <item x="257"/>
        <item x="135"/>
        <item x="265"/>
        <item x="19"/>
        <item x="45"/>
        <item x="27"/>
        <item x="223"/>
        <item x="199"/>
        <item x="83"/>
        <item x="136"/>
        <item x="304"/>
        <item x="95"/>
        <item x="260"/>
        <item x="315"/>
        <item x="151"/>
        <item x="12"/>
        <item x="298"/>
        <item x="59"/>
        <item x="240"/>
        <item x="234"/>
        <item x="96"/>
        <item x="264"/>
        <item x="261"/>
        <item x="113"/>
        <item x="147"/>
        <item x="132"/>
        <item x="143"/>
        <item x="207"/>
        <item x="242"/>
        <item x="153"/>
        <item x="274"/>
        <item x="203"/>
        <item x="88"/>
        <item x="282"/>
        <item x="112"/>
        <item x="177"/>
        <item x="63"/>
        <item x="53"/>
        <item x="110"/>
        <item x="239"/>
        <item x="192"/>
        <item x="183"/>
        <item x="254"/>
        <item x="195"/>
        <item x="173"/>
        <item x="106"/>
        <item x="25"/>
        <item x="134"/>
        <item x="305"/>
        <item x="159"/>
        <item x="250"/>
        <item x="313"/>
        <item x="94"/>
        <item x="270"/>
        <item x="169"/>
        <item x="225"/>
        <item x="5"/>
        <item x="194"/>
        <item x="205"/>
        <item x="180"/>
        <item x="32"/>
        <item x="105"/>
        <item x="253"/>
        <item x="171"/>
        <item x="65"/>
        <item x="170"/>
        <item x="278"/>
        <item x="247"/>
        <item x="92"/>
        <item x="51"/>
        <item x="43"/>
        <item x="119"/>
        <item x="209"/>
        <item x="175"/>
        <item x="68"/>
        <item x="196"/>
        <item x="167"/>
        <item x="14"/>
        <item x="211"/>
        <item x="10"/>
        <item x="226"/>
        <item x="248"/>
        <item x="33"/>
        <item x="164"/>
        <item x="317"/>
        <item x="217"/>
        <item x="148"/>
        <item x="18"/>
        <item x="129"/>
        <item x="158"/>
        <item x="212"/>
        <item x="35"/>
        <item x="202"/>
        <item x="323"/>
        <item x="58"/>
        <item x="166"/>
        <item x="37"/>
        <item x="273"/>
        <item x="216"/>
        <item x="80"/>
        <item x="176"/>
        <item x="20"/>
        <item x="26"/>
        <item x="11"/>
        <item x="89"/>
        <item x="76"/>
        <item x="241"/>
        <item x="233"/>
        <item x="116"/>
        <item x="7"/>
        <item x="109"/>
        <item x="70"/>
        <item x="74"/>
        <item x="237"/>
        <item x="6"/>
        <item x="22"/>
        <item x="306"/>
        <item x="84"/>
        <item x="294"/>
        <item x="321"/>
        <item x="229"/>
        <item x="268"/>
        <item x="310"/>
        <item x="93"/>
        <item x="297"/>
        <item x="319"/>
        <item x="54"/>
        <item x="245"/>
        <item x="228"/>
        <item x="165"/>
        <item x="67"/>
        <item x="189"/>
        <item x="97"/>
        <item x="57"/>
        <item x="302"/>
        <item x="36"/>
        <item x="322"/>
        <item x="115"/>
        <item x="102"/>
        <item x="276"/>
        <item x="231"/>
        <item x="286"/>
        <item x="50"/>
        <item x="184"/>
        <item x="3"/>
        <item x="295"/>
        <item x="191"/>
        <item x="200"/>
        <item x="190"/>
        <item x="296"/>
        <item x="126"/>
        <item x="291"/>
        <item x="277"/>
        <item x="324"/>
        <item x="215"/>
        <item x="24"/>
        <item x="307"/>
        <item x="85"/>
        <item x="107"/>
        <item x="263"/>
        <item x="118"/>
        <item x="101"/>
        <item x="23"/>
        <item x="238"/>
        <item x="204"/>
        <item x="152"/>
        <item x="266"/>
        <item x="78"/>
        <item x="210"/>
        <item x="316"/>
        <item x="283"/>
        <item x="127"/>
        <item x="87"/>
        <item x="79"/>
        <item x="100"/>
        <item x="117"/>
        <item x="103"/>
        <item x="187"/>
        <item x="128"/>
        <item x="121"/>
        <item x="104"/>
        <item x="246"/>
        <item x="201"/>
        <item x="62"/>
        <item x="28"/>
        <item x="131"/>
        <item x="8"/>
        <item x="160"/>
        <item x="64"/>
        <item x="186"/>
        <item x="75"/>
        <item x="1"/>
        <item x="284"/>
        <item x="206"/>
        <item x="222"/>
        <item x="38"/>
        <item x="111"/>
        <item x="300"/>
        <item x="198"/>
        <item x="139"/>
        <item x="31"/>
        <item x="144"/>
        <item x="114"/>
        <item x="243"/>
        <item x="258"/>
        <item x="15"/>
        <item x="52"/>
        <item x="188"/>
        <item x="123"/>
        <item x="137"/>
        <item x="244"/>
        <item x="220"/>
        <item x="179"/>
        <item x="288"/>
        <item x="285"/>
        <item x="197"/>
        <item x="130"/>
        <item x="252"/>
        <item x="259"/>
        <item x="34"/>
        <item x="77"/>
        <item x="271"/>
        <item x="308"/>
        <item x="272"/>
        <item x="320"/>
        <item x="21"/>
        <item x="162"/>
        <item x="56"/>
        <item x="290"/>
        <item x="61"/>
        <item x="49"/>
        <item x="16"/>
        <item x="255"/>
        <item x="145"/>
        <item x="99"/>
        <item x="157"/>
        <item x="120"/>
        <item x="161"/>
        <item x="172"/>
        <item x="208"/>
        <item x="218"/>
        <item x="124"/>
        <item x="267"/>
        <item x="281"/>
        <item x="227"/>
        <item x="90"/>
        <item x="73"/>
        <item x="71"/>
        <item x="142"/>
        <item x="178"/>
        <item x="275"/>
        <item x="279"/>
        <item x="30"/>
        <item x="262"/>
        <item x="256"/>
        <item x="269"/>
        <item x="108"/>
        <item x="311"/>
        <item x="318"/>
        <item x="219"/>
        <item x="39"/>
        <item x="185"/>
        <item x="154"/>
        <item x="280"/>
        <item x="293"/>
        <item x="0"/>
        <item x="9"/>
        <item x="141"/>
        <item x="4"/>
        <item x="174"/>
        <item x="149"/>
        <item x="155"/>
        <item x="168"/>
        <item x="314"/>
        <item x="46"/>
        <item x="163"/>
        <item x="40"/>
        <item x="292"/>
        <item x="146"/>
        <item x="236"/>
        <item x="72"/>
        <item x="91"/>
        <item x="193"/>
        <item x="13"/>
        <item x="41"/>
        <item x="312"/>
        <item x="44"/>
        <item x="221"/>
        <item x="138"/>
        <item x="287"/>
        <item x="156"/>
        <item x="82"/>
        <item x="213"/>
        <item x="309"/>
        <item x="150"/>
        <item x="47"/>
        <item x="140"/>
        <item x="301"/>
        <item x="230"/>
        <item x="251"/>
        <item x="2"/>
        <item x="125"/>
        <item x="66"/>
        <item x="182"/>
        <item t="default"/>
      </items>
    </pivotField>
    <pivotField showAll="0"/>
    <pivotField dataField="1" showAll="0"/>
    <pivotField showAll="0"/>
    <pivotField showAll="0"/>
    <pivotField showAll="0">
      <items count="13">
        <item x="8"/>
        <item x="0"/>
        <item x="5"/>
        <item x="9"/>
        <item x="4"/>
        <item x="11"/>
        <item x="2"/>
        <item x="3"/>
        <item x="7"/>
        <item x="10"/>
        <item x="1"/>
        <item x="6"/>
        <item t="default"/>
      </items>
    </pivotField>
    <pivotField showAll="0"/>
    <pivotField showAll="0"/>
    <pivotField showAll="0"/>
    <pivotField showAll="0"/>
    <pivotField showAll="0">
      <items count="4">
        <item x="0"/>
        <item x="2"/>
        <item x="1"/>
        <item t="default"/>
      </items>
    </pivotField>
  </pivotFields>
  <rowFields count="1">
    <field x="9"/>
  </rowFields>
  <rowItems count="8">
    <i>
      <x/>
    </i>
    <i>
      <x v="1"/>
    </i>
    <i>
      <x v="2"/>
    </i>
    <i>
      <x v="3"/>
    </i>
    <i>
      <x v="4"/>
    </i>
    <i>
      <x v="5"/>
    </i>
    <i>
      <x v="6"/>
    </i>
    <i t="grand">
      <x/>
    </i>
  </rowItems>
  <colFields count="1">
    <field x="-2"/>
  </colFields>
  <colItems count="2">
    <i>
      <x/>
    </i>
    <i i="1">
      <x v="1"/>
    </i>
  </colItems>
  <dataFields count="2">
    <dataField name="Total Revenue" fld="17" baseField="9" baseItem="0"/>
    <dataField name="Total Profit" fld="19" baseField="9" baseItem="1"/>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88A873-C917-49EA-8508-D50AF522D850}"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ity">
  <location ref="G128:H215" firstHeaderRow="1" firstDataRow="1" firstDataCol="1"/>
  <pivotFields count="28">
    <pivotField showAll="0"/>
    <pivotField showAll="0"/>
    <pivotField showAll="0"/>
    <pivotField showAll="0"/>
    <pivotField numFmtId="14" showAll="0"/>
    <pivotField numFmtId="164" showAll="0"/>
    <pivotField numFmtId="14" showAll="0"/>
    <pivotField numFmtId="164" showAll="0"/>
    <pivotField showAll="0"/>
    <pivotField showAll="0">
      <items count="8">
        <item x="6"/>
        <item x="0"/>
        <item x="2"/>
        <item x="1"/>
        <item x="5"/>
        <item x="4"/>
        <item x="3"/>
        <item t="default"/>
      </items>
    </pivotField>
    <pivotField axis="axisRow" showAll="0" sortType="descending">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items count="8">
        <item x="3"/>
        <item x="2"/>
        <item x="6"/>
        <item x="5"/>
        <item x="0"/>
        <item x="4"/>
        <item x="1"/>
        <item t="default"/>
      </items>
    </pivotField>
    <pivotField showAll="0"/>
    <pivotField showAll="0"/>
    <pivotField showAll="0"/>
    <pivotField showAll="0"/>
    <pivotField showAll="0"/>
    <pivotField showAll="0"/>
    <pivotField dataField="1" showAll="0"/>
    <pivotField showAll="0">
      <items count="13">
        <item x="8"/>
        <item x="0"/>
        <item x="5"/>
        <item x="9"/>
        <item x="4"/>
        <item x="11"/>
        <item x="2"/>
        <item x="3"/>
        <item x="7"/>
        <item x="10"/>
        <item x="1"/>
        <item x="6"/>
        <item t="default"/>
      </items>
    </pivotField>
    <pivotField showAll="0"/>
    <pivotField showAll="0"/>
    <pivotField showAll="0"/>
    <pivotField showAll="0"/>
    <pivotField showAll="0">
      <items count="4">
        <item x="0"/>
        <item x="2"/>
        <item x="1"/>
        <item t="default"/>
      </items>
    </pivotField>
  </pivotFields>
  <rowFields count="1">
    <field x="10"/>
  </rowFields>
  <rowItems count="87">
    <i>
      <x v="74"/>
    </i>
    <i>
      <x v="37"/>
    </i>
    <i>
      <x v="11"/>
    </i>
    <i>
      <x v="70"/>
    </i>
    <i>
      <x v="27"/>
    </i>
    <i>
      <x v="57"/>
    </i>
    <i>
      <x v="61"/>
    </i>
    <i>
      <x v="8"/>
    </i>
    <i>
      <x v="41"/>
    </i>
    <i>
      <x v="42"/>
    </i>
    <i>
      <x v="29"/>
    </i>
    <i>
      <x v="15"/>
    </i>
    <i>
      <x v="52"/>
    </i>
    <i>
      <x v="55"/>
    </i>
    <i>
      <x v="65"/>
    </i>
    <i>
      <x v="3"/>
    </i>
    <i>
      <x v="33"/>
    </i>
    <i>
      <x v="16"/>
    </i>
    <i>
      <x v="66"/>
    </i>
    <i>
      <x v="12"/>
    </i>
    <i>
      <x v="63"/>
    </i>
    <i>
      <x v="6"/>
    </i>
    <i>
      <x v="50"/>
    </i>
    <i>
      <x v="46"/>
    </i>
    <i>
      <x v="23"/>
    </i>
    <i>
      <x v="80"/>
    </i>
    <i>
      <x v="44"/>
    </i>
    <i>
      <x v="85"/>
    </i>
    <i>
      <x v="32"/>
    </i>
    <i>
      <x v="20"/>
    </i>
    <i>
      <x v="22"/>
    </i>
    <i>
      <x v="81"/>
    </i>
    <i>
      <x v="31"/>
    </i>
    <i>
      <x v="49"/>
    </i>
    <i>
      <x v="62"/>
    </i>
    <i>
      <x v="36"/>
    </i>
    <i>
      <x v="79"/>
    </i>
    <i>
      <x v="10"/>
    </i>
    <i>
      <x v="53"/>
    </i>
    <i>
      <x v="24"/>
    </i>
    <i>
      <x v="43"/>
    </i>
    <i>
      <x v="38"/>
    </i>
    <i>
      <x v="19"/>
    </i>
    <i>
      <x v="39"/>
    </i>
    <i>
      <x v="35"/>
    </i>
    <i>
      <x v="14"/>
    </i>
    <i>
      <x v="9"/>
    </i>
    <i>
      <x v="60"/>
    </i>
    <i>
      <x v="73"/>
    </i>
    <i>
      <x v="69"/>
    </i>
    <i>
      <x v="18"/>
    </i>
    <i>
      <x v="56"/>
    </i>
    <i>
      <x v="17"/>
    </i>
    <i>
      <x v="77"/>
    </i>
    <i>
      <x v="48"/>
    </i>
    <i>
      <x v="72"/>
    </i>
    <i>
      <x v="28"/>
    </i>
    <i>
      <x v="4"/>
    </i>
    <i>
      <x v="34"/>
    </i>
    <i>
      <x v="21"/>
    </i>
    <i>
      <x v="30"/>
    </i>
    <i>
      <x v="54"/>
    </i>
    <i>
      <x v="26"/>
    </i>
    <i>
      <x/>
    </i>
    <i>
      <x v="64"/>
    </i>
    <i>
      <x v="58"/>
    </i>
    <i>
      <x v="1"/>
    </i>
    <i>
      <x v="82"/>
    </i>
    <i>
      <x v="13"/>
    </i>
    <i>
      <x v="25"/>
    </i>
    <i>
      <x v="47"/>
    </i>
    <i>
      <x v="45"/>
    </i>
    <i>
      <x v="84"/>
    </i>
    <i>
      <x v="40"/>
    </i>
    <i>
      <x v="7"/>
    </i>
    <i>
      <x v="5"/>
    </i>
    <i>
      <x v="59"/>
    </i>
    <i>
      <x v="78"/>
    </i>
    <i>
      <x v="51"/>
    </i>
    <i>
      <x v="83"/>
    </i>
    <i>
      <x v="76"/>
    </i>
    <i>
      <x v="68"/>
    </i>
    <i>
      <x v="2"/>
    </i>
    <i>
      <x v="71"/>
    </i>
    <i>
      <x v="67"/>
    </i>
    <i>
      <x v="75"/>
    </i>
    <i t="grand">
      <x/>
    </i>
  </rowItems>
  <colItems count="1">
    <i/>
  </colItems>
  <dataFields count="1">
    <dataField name="Average Delivery Time" fld="21" subtotal="average" baseField="0" baseItem="9"/>
  </dataFields>
  <formats count="1">
    <format dxfId="532">
      <pivotArea collapsedLevelsAreSubtotals="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430776-CF95-4043-A399-13E4AA2BE8C6}" name="PivotTable2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Occasion">
  <location ref="G13:H21" firstHeaderRow="1" firstDataRow="1" firstDataCol="1"/>
  <pivotFields count="28">
    <pivotField showAll="0"/>
    <pivotField showAll="0"/>
    <pivotField showAll="0"/>
    <pivotField showAll="0"/>
    <pivotField numFmtId="14" showAll="0"/>
    <pivotField numFmtId="164" showAll="0"/>
    <pivotField numFmtId="14" showAll="0"/>
    <pivotField numFmtId="164" showAll="0"/>
    <pivotField showAll="0"/>
    <pivotField axis="axisRow" showAll="0" sortType="descending">
      <items count="8">
        <item x="6"/>
        <item x="0"/>
        <item x="2"/>
        <item x="1"/>
        <item x="5"/>
        <item x="4"/>
        <item x="3"/>
        <item t="default"/>
      </items>
      <autoSortScope>
        <pivotArea dataOnly="0" outline="0" fieldPosition="0">
          <references count="1">
            <reference field="4294967294" count="1" selected="0">
              <x v="0"/>
            </reference>
          </references>
        </pivotArea>
      </autoSortScope>
    </pivotField>
    <pivotField showAll="0">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items count="3">
        <item x="1"/>
        <item x="0"/>
        <item t="default"/>
      </items>
    </pivotField>
    <pivotField showAll="0"/>
    <pivotField showAll="0">
      <items count="8">
        <item x="3"/>
        <item x="2"/>
        <item x="6"/>
        <item x="5"/>
        <item x="0"/>
        <item x="4"/>
        <item x="1"/>
        <item t="default"/>
      </items>
    </pivotField>
    <pivotField showAll="0"/>
    <pivotField showAll="0"/>
    <pivotField showAll="0"/>
    <pivotField showAll="0"/>
    <pivotField showAll="0"/>
    <pivotField showAll="0"/>
    <pivotField dataField="1" showAll="0"/>
    <pivotField showAll="0">
      <items count="13">
        <item x="8"/>
        <item x="0"/>
        <item x="5"/>
        <item x="9"/>
        <item x="4"/>
        <item x="11"/>
        <item x="2"/>
        <item x="3"/>
        <item x="7"/>
        <item x="10"/>
        <item x="1"/>
        <item x="6"/>
        <item t="default"/>
      </items>
    </pivotField>
    <pivotField showAll="0"/>
    <pivotField showAll="0"/>
    <pivotField showAll="0"/>
    <pivotField showAll="0"/>
    <pivotField showAll="0">
      <items count="4">
        <item x="0"/>
        <item x="2"/>
        <item x="1"/>
        <item t="default"/>
      </items>
    </pivotField>
  </pivotFields>
  <rowFields count="1">
    <field x="9"/>
  </rowFields>
  <rowItems count="8">
    <i>
      <x v="4"/>
    </i>
    <i>
      <x/>
    </i>
    <i>
      <x v="5"/>
    </i>
    <i>
      <x v="1"/>
    </i>
    <i>
      <x v="2"/>
    </i>
    <i>
      <x v="6"/>
    </i>
    <i>
      <x v="3"/>
    </i>
    <i t="grand">
      <x/>
    </i>
  </rowItems>
  <colItems count="1">
    <i/>
  </colItems>
  <dataFields count="1">
    <dataField name="Average Delivery Time" fld="21" subtotal="average" baseField="9" baseItem="0"/>
  </dataFields>
  <formats count="1">
    <format dxfId="533">
      <pivotArea collapsedLevelsAreSubtotals="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35A937-5CC7-46C4-A979-000639FEB6A2}" name="PivotTable1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tegory">
  <location ref="G25:H33" firstHeaderRow="1" firstDataRow="1" firstDataCol="1"/>
  <pivotFields count="28">
    <pivotField showAll="0"/>
    <pivotField showAll="0"/>
    <pivotField showAll="0"/>
    <pivotField showAll="0"/>
    <pivotField numFmtId="14" showAll="0"/>
    <pivotField numFmtId="164" showAll="0"/>
    <pivotField numFmtId="14" showAll="0"/>
    <pivotField numFmtId="164" showAll="0"/>
    <pivotField showAll="0"/>
    <pivotField showAll="0">
      <items count="8">
        <item x="6"/>
        <item x="0"/>
        <item x="2"/>
        <item x="1"/>
        <item x="5"/>
        <item x="4"/>
        <item x="3"/>
        <item t="default"/>
      </items>
    </pivotField>
    <pivotField showAll="0">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items count="3">
        <item x="1"/>
        <item x="0"/>
        <item t="default"/>
      </items>
    </pivotField>
    <pivotField showAll="0"/>
    <pivotField axis="axisRow" showAll="0" sortType="descending">
      <items count="8">
        <item x="3"/>
        <item x="2"/>
        <item x="6"/>
        <item x="5"/>
        <item x="0"/>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items count="13">
        <item x="8"/>
        <item x="0"/>
        <item x="5"/>
        <item x="9"/>
        <item x="4"/>
        <item x="11"/>
        <item x="2"/>
        <item x="3"/>
        <item x="7"/>
        <item x="10"/>
        <item x="1"/>
        <item x="6"/>
        <item t="default"/>
      </items>
    </pivotField>
    <pivotField showAll="0"/>
    <pivotField showAll="0"/>
    <pivotField showAll="0"/>
    <pivotField showAll="0"/>
    <pivotField showAll="0">
      <items count="4">
        <item x="0"/>
        <item x="2"/>
        <item x="1"/>
        <item t="default"/>
      </items>
    </pivotField>
  </pivotFields>
  <rowFields count="1">
    <field x="14"/>
  </rowFields>
  <rowItems count="8">
    <i>
      <x/>
    </i>
    <i>
      <x v="6"/>
    </i>
    <i>
      <x v="1"/>
    </i>
    <i>
      <x v="4"/>
    </i>
    <i>
      <x v="2"/>
    </i>
    <i>
      <x v="5"/>
    </i>
    <i>
      <x v="3"/>
    </i>
    <i t="grand">
      <x/>
    </i>
  </rowItems>
  <colItems count="1">
    <i/>
  </colItems>
  <dataFields count="1">
    <dataField name="Average Delivery Time" fld="21" subtotal="average" baseField="14" baseItem="0"/>
  </dataFields>
  <formats count="1">
    <format dxfId="534">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79ACFD-51F3-48D3-9D15-393BDFA098AA}" name="KPI Summary" cacheId="1" dataOnRows="1" applyNumberFormats="0" applyBorderFormats="0" applyFontFormats="0" applyPatternFormats="0" applyAlignmentFormats="0" applyWidthHeightFormats="1" dataCaption="KPIs" updatedVersion="7" minRefreshableVersion="3" useAutoFormatting="1" itemPrintTitles="1" createdVersion="7" indent="0" outline="1" outlineData="1" multipleFieldFilters="0">
  <location ref="A3:B7" firstHeaderRow="1" firstDataRow="1" firstDataCol="1"/>
  <pivotFields count="28">
    <pivotField dataField="1" showAll="0"/>
    <pivotField showAll="0"/>
    <pivotField showAll="0"/>
    <pivotField showAll="0"/>
    <pivotField numFmtId="14" showAll="0"/>
    <pivotField numFmtId="164" showAll="0"/>
    <pivotField numFmtId="14" showAll="0"/>
    <pivotField numFmtId="164" showAll="0"/>
    <pivotField showAll="0"/>
    <pivotField showAll="0">
      <items count="8">
        <item x="6"/>
        <item x="0"/>
        <item x="2"/>
        <item x="1"/>
        <item x="5"/>
        <item x="4"/>
        <item x="3"/>
        <item t="default"/>
      </items>
    </pivotField>
    <pivotField showAll="0">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items count="3">
        <item x="1"/>
        <item x="0"/>
        <item t="default"/>
      </items>
    </pivotField>
    <pivotField showAll="0"/>
    <pivotField showAll="0">
      <items count="8">
        <item x="3"/>
        <item x="2"/>
        <item x="6"/>
        <item x="5"/>
        <item x="0"/>
        <item x="4"/>
        <item x="1"/>
        <item t="default"/>
      </items>
    </pivotField>
    <pivotField showAll="0"/>
    <pivotField showAll="0"/>
    <pivotField dataField="1" showAll="0"/>
    <pivotField showAll="0"/>
    <pivotField dataField="1" showAll="0"/>
    <pivotField showAll="0"/>
    <pivotField showAll="0"/>
    <pivotField showAll="0">
      <items count="13">
        <item x="8"/>
        <item x="0"/>
        <item x="5"/>
        <item x="9"/>
        <item x="4"/>
        <item x="11"/>
        <item x="2"/>
        <item x="3"/>
        <item x="7"/>
        <item x="10"/>
        <item x="1"/>
        <item x="6"/>
        <item t="default"/>
      </items>
    </pivotField>
    <pivotField showAll="0"/>
    <pivotField showAll="0"/>
    <pivotField showAll="0"/>
    <pivotField showAll="0"/>
    <pivotField showAll="0">
      <items count="4">
        <item x="0"/>
        <item x="2"/>
        <item x="1"/>
        <item t="default"/>
      </items>
    </pivotField>
  </pivotFields>
  <rowFields count="1">
    <field x="-2"/>
  </rowFields>
  <rowItems count="4">
    <i>
      <x/>
    </i>
    <i i="1">
      <x v="1"/>
    </i>
    <i i="2">
      <x v="2"/>
    </i>
    <i i="3">
      <x v="3"/>
    </i>
  </rowItems>
  <colItems count="1">
    <i/>
  </colItems>
  <dataFields count="4">
    <dataField name="Total Orders" fld="0" subtotal="count" baseField="0" baseItem="1"/>
    <dataField name="Total Revenue" fld="17" baseField="0" baseItem="1"/>
    <dataField name="Total Profit" fld="19" baseField="0" baseItem="2"/>
    <dataField name="Average Order Value" fld="17" subtotal="average" baseField="0" baseItem="3"/>
  </dataFields>
  <formats count="5">
    <format dxfId="57">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outline="0" fieldPosition="0">
        <references count="1">
          <reference field="4294967294" count="4">
            <x v="0"/>
            <x v="1"/>
            <x v="2"/>
            <x v="3"/>
          </reference>
        </references>
      </pivotArea>
    </format>
    <format dxfId="46">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CE1614-3205-4B43-A39F-A76A6842AD03}"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Month">
  <location ref="A37:C50" firstHeaderRow="0" firstDataRow="1" firstDataCol="1"/>
  <pivotFields count="28">
    <pivotField showAll="0"/>
    <pivotField showAll="0"/>
    <pivotField showAll="0"/>
    <pivotField showAll="0"/>
    <pivotField numFmtId="14" showAll="0"/>
    <pivotField numFmtId="164" showAll="0"/>
    <pivotField numFmtId="14" showAll="0"/>
    <pivotField numFmtId="164" showAll="0"/>
    <pivotField showAll="0"/>
    <pivotField showAll="0">
      <items count="8">
        <item x="6"/>
        <item x="0"/>
        <item x="2"/>
        <item x="1"/>
        <item x="5"/>
        <item x="4"/>
        <item x="3"/>
        <item t="default"/>
      </items>
    </pivotField>
    <pivotField showAll="0">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items count="3">
        <item x="1"/>
        <item x="0"/>
        <item t="default"/>
      </items>
    </pivotField>
    <pivotField showAll="0"/>
    <pivotField showAll="0">
      <items count="8">
        <item x="3"/>
        <item x="2"/>
        <item x="6"/>
        <item x="5"/>
        <item x="0"/>
        <item x="4"/>
        <item x="1"/>
        <item t="default"/>
      </items>
    </pivotField>
    <pivotField showAll="0"/>
    <pivotField showAll="0"/>
    <pivotField dataField="1" showAll="0"/>
    <pivotField showAll="0"/>
    <pivotField dataField="1" showAll="0"/>
    <pivotField showAll="0"/>
    <pivotField showAll="0"/>
    <pivotField axis="axisRow" showAll="0" sortType="descending">
      <items count="13">
        <item x="8"/>
        <item x="0"/>
        <item x="5"/>
        <item x="9"/>
        <item x="4"/>
        <item x="11"/>
        <item x="2"/>
        <item x="3"/>
        <item x="7"/>
        <item x="10"/>
        <item x="1"/>
        <item x="6"/>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items count="4">
        <item x="0"/>
        <item x="2"/>
        <item x="1"/>
        <item t="default"/>
      </items>
    </pivotField>
  </pivotFields>
  <rowFields count="1">
    <field x="22"/>
  </rowFields>
  <rowItems count="13">
    <i>
      <x v="7"/>
    </i>
    <i>
      <x v="1"/>
    </i>
    <i>
      <x v="2"/>
    </i>
    <i>
      <x v="10"/>
    </i>
    <i>
      <x v="5"/>
    </i>
    <i>
      <x v="9"/>
    </i>
    <i>
      <x v="4"/>
    </i>
    <i>
      <x v="11"/>
    </i>
    <i>
      <x v="3"/>
    </i>
    <i>
      <x v="8"/>
    </i>
    <i>
      <x v="6"/>
    </i>
    <i>
      <x/>
    </i>
    <i t="grand">
      <x/>
    </i>
  </rowItems>
  <colFields count="1">
    <field x="-2"/>
  </colFields>
  <colItems count="2">
    <i>
      <x/>
    </i>
    <i i="1">
      <x v="1"/>
    </i>
  </colItems>
  <dataFields count="2">
    <dataField name="Total Revenue" fld="17" baseField="22" baseItem="0"/>
    <dataField name="Total Profit" fld="19" baseField="2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AEC8AF-F77C-451A-BE3F-7B233F3E356B}" name="PivotTable1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location ref="G55:H124" firstHeaderRow="1" firstDataRow="1" firstDataCol="1"/>
  <pivotFields count="28">
    <pivotField showAll="0"/>
    <pivotField showAll="0"/>
    <pivotField showAll="0"/>
    <pivotField showAll="0"/>
    <pivotField numFmtId="14" showAll="0"/>
    <pivotField numFmtId="164" showAll="0"/>
    <pivotField numFmtId="14" showAll="0"/>
    <pivotField numFmtId="164" showAll="0"/>
    <pivotField showAll="0"/>
    <pivotField showAll="0">
      <items count="8">
        <item x="6"/>
        <item x="0"/>
        <item x="2"/>
        <item x="1"/>
        <item x="5"/>
        <item x="4"/>
        <item x="3"/>
        <item t="default"/>
      </items>
    </pivotField>
    <pivotField showAll="0">
      <items count="87">
        <item x="8"/>
        <item x="59"/>
        <item x="53"/>
        <item x="12"/>
        <item x="60"/>
        <item x="29"/>
        <item x="17"/>
        <item x="70"/>
        <item x="52"/>
        <item x="66"/>
        <item x="79"/>
        <item x="31"/>
        <item x="4"/>
        <item x="18"/>
        <item x="3"/>
        <item x="83"/>
        <item x="51"/>
        <item x="77"/>
        <item x="1"/>
        <item x="0"/>
        <item x="47"/>
        <item x="69"/>
        <item x="9"/>
        <item x="38"/>
        <item x="63"/>
        <item x="46"/>
        <item x="78"/>
        <item x="32"/>
        <item x="42"/>
        <item x="2"/>
        <item x="15"/>
        <item x="27"/>
        <item x="45"/>
        <item x="22"/>
        <item x="25"/>
        <item x="34"/>
        <item x="57"/>
        <item x="50"/>
        <item x="19"/>
        <item x="33"/>
        <item x="11"/>
        <item x="67"/>
        <item x="23"/>
        <item x="44"/>
        <item x="65"/>
        <item x="81"/>
        <item x="36"/>
        <item x="13"/>
        <item x="6"/>
        <item x="39"/>
        <item x="30"/>
        <item x="14"/>
        <item x="28"/>
        <item x="85"/>
        <item x="75"/>
        <item x="49"/>
        <item x="76"/>
        <item x="21"/>
        <item x="20"/>
        <item x="48"/>
        <item x="10"/>
        <item x="16"/>
        <item x="5"/>
        <item x="41"/>
        <item x="37"/>
        <item x="82"/>
        <item x="56"/>
        <item x="80"/>
        <item x="71"/>
        <item x="58"/>
        <item x="62"/>
        <item x="64"/>
        <item x="35"/>
        <item x="55"/>
        <item x="72"/>
        <item x="84"/>
        <item x="7"/>
        <item x="24"/>
        <item x="43"/>
        <item x="54"/>
        <item x="73"/>
        <item x="68"/>
        <item x="26"/>
        <item x="74"/>
        <item x="61"/>
        <item x="40"/>
        <item t="default"/>
      </items>
    </pivotField>
    <pivotField showAll="0"/>
    <pivotField showAll="0">
      <items count="3">
        <item x="1"/>
        <item x="0"/>
        <item t="default"/>
      </items>
    </pivotField>
    <pivotField axis="axisRow" showAll="0" sortType="ascending">
      <items count="69">
        <item x="22"/>
        <item x="44"/>
        <item x="54"/>
        <item x="67"/>
        <item x="42"/>
        <item x="21"/>
        <item x="7"/>
        <item x="1"/>
        <item x="37"/>
        <item x="25"/>
        <item x="2"/>
        <item x="13"/>
        <item x="60"/>
        <item x="15"/>
        <item x="39"/>
        <item x="12"/>
        <item x="59"/>
        <item x="52"/>
        <item x="56"/>
        <item x="35"/>
        <item x="64"/>
        <item x="34"/>
        <item x="18"/>
        <item x="16"/>
        <item x="38"/>
        <item x="49"/>
        <item x="55"/>
        <item x="66"/>
        <item x="65"/>
        <item x="27"/>
        <item x="33"/>
        <item x="5"/>
        <item x="48"/>
        <item x="0"/>
        <item x="29"/>
        <item x="45"/>
        <item x="10"/>
        <item x="31"/>
        <item x="36"/>
        <item x="53"/>
        <item x="43"/>
        <item x="17"/>
        <item x="61"/>
        <item x="30"/>
        <item x="28"/>
        <item x="58"/>
        <item x="62"/>
        <item x="41"/>
        <item x="46"/>
        <item x="26"/>
        <item x="63"/>
        <item x="24"/>
        <item x="40"/>
        <item x="8"/>
        <item x="6"/>
        <item x="20"/>
        <item x="23"/>
        <item x="19"/>
        <item x="11"/>
        <item x="51"/>
        <item x="3"/>
        <item x="14"/>
        <item x="9"/>
        <item x="4"/>
        <item x="50"/>
        <item x="32"/>
        <item x="47"/>
        <item x="57"/>
        <item t="default"/>
      </items>
    </pivotField>
    <pivotField showAll="0">
      <items count="8">
        <item x="3"/>
        <item x="2"/>
        <item x="6"/>
        <item x="5"/>
        <item x="0"/>
        <item x="4"/>
        <item x="1"/>
        <item t="default"/>
      </items>
    </pivotField>
    <pivotField showAll="0"/>
    <pivotField showAll="0"/>
    <pivotField showAll="0"/>
    <pivotField showAll="0"/>
    <pivotField showAll="0"/>
    <pivotField showAll="0"/>
    <pivotField dataField="1" showAll="0"/>
    <pivotField showAll="0">
      <items count="13">
        <item x="8"/>
        <item x="0"/>
        <item x="5"/>
        <item x="9"/>
        <item x="4"/>
        <item x="11"/>
        <item x="2"/>
        <item x="3"/>
        <item x="7"/>
        <item x="10"/>
        <item x="1"/>
        <item x="6"/>
        <item t="default"/>
      </items>
    </pivotField>
    <pivotField showAll="0"/>
    <pivotField showAll="0"/>
    <pivotField showAll="0"/>
    <pivotField showAll="0"/>
    <pivotField showAll="0">
      <items count="4">
        <item x="0"/>
        <item x="2"/>
        <item x="1"/>
        <item t="default"/>
      </items>
    </pivotField>
  </pivotFields>
  <rowFields count="1">
    <field x="13"/>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Average Delivery Time" fld="21" subtotal="average" baseField="13" baseItem="0" numFmtId="2"/>
  </dataFields>
  <formats count="1">
    <format dxfId="53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E3F67B0-1628-4C8D-8005-D9EEAFCFC945}" autoFormatId="16" applyNumberFormats="0" applyBorderFormats="0" applyFontFormats="0" applyPatternFormats="0" applyAlignmentFormats="0" applyWidthHeightFormats="0">
  <queryTableRefresh nextId="16" unboundColumnsRight="2">
    <queryTableFields count="13">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Number of days for delivery" tableColumnId="11"/>
      <queryTableField id="14" dataBound="0" tableColumnId="14"/>
      <queryTableField id="15" dataBound="0"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3CA3F70-1E8A-412A-8B3E-B4C450DC2FC1}" autoFormatId="16" applyNumberFormats="0" applyBorderFormats="0" applyFontFormats="0" applyPatternFormats="0" applyAlignmentFormats="0" applyWidthHeightFormats="0">
  <queryTableRefresh nextId="9">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19150EA6-8747-4C04-BE05-25E79CD562F1}" autoFormatId="16" applyNumberFormats="0" applyBorderFormats="0" applyFontFormats="0" applyPatternFormats="0" applyAlignmentFormats="0" applyWidthHeightFormats="0">
  <queryTableRefresh nextId="8" unboundColumnsRight="1">
    <queryTableFields count="7">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87C549B-9389-4413-A121-A26C750C54A6}" sourceName="Month">
  <pivotTables>
    <pivotTable tabId="6" name="Revenue by Ocassions"/>
    <pivotTable tabId="6" name="KPI Summary"/>
    <pivotTable tabId="6" name="PivotTable10"/>
    <pivotTable tabId="6" name="PivotTable12"/>
    <pivotTable tabId="6" name="PivotTable18"/>
    <pivotTable tabId="6" name="PivotTable19"/>
    <pivotTable tabId="6" name="PivotTable20"/>
    <pivotTable tabId="6" name="PivotTable6"/>
    <pivotTable tabId="6" name="PivotTable7"/>
    <pivotTable tabId="6" name="PivotTable9"/>
    <pivotTable tabId="6" name="Revenue by Category"/>
    <pivotTable tabId="6" name="Top Product"/>
  </pivotTables>
  <data>
    <tabular pivotCacheId="1939067745">
      <items count="12">
        <i x="8" s="1"/>
        <i x="0" s="1"/>
        <i x="5" s="1"/>
        <i x="9" s="1"/>
        <i x="4" s="1"/>
        <i x="11" s="1"/>
        <i x="2" s="1"/>
        <i x="3" s="1"/>
        <i x="7" s="1"/>
        <i x="10"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87735C-0425-47E8-808D-293796E483F5}" sourceName="Gender">
  <pivotTables>
    <pivotTable tabId="6" name="Revenue by Ocassions"/>
    <pivotTable tabId="6" name="KPI Summary"/>
    <pivotTable tabId="6" name="PivotTable10"/>
    <pivotTable tabId="6" name="PivotTable12"/>
    <pivotTable tabId="6" name="PivotTable18"/>
    <pivotTable tabId="6" name="PivotTable19"/>
    <pivotTable tabId="6" name="PivotTable20"/>
    <pivotTable tabId="6" name="PivotTable6"/>
    <pivotTable tabId="6" name="PivotTable7"/>
    <pivotTable tabId="6" name="PivotTable9"/>
    <pivotTable tabId="6" name="Revenue by Category"/>
    <pivotTable tabId="6" name="Top Product"/>
  </pivotTables>
  <data>
    <tabular pivotCacheId="193906774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0A1BDE-3212-4C4D-840A-BAAFF044658D}" sourceName="Category">
  <pivotTables>
    <pivotTable tabId="6" name="Revenue by Ocassions"/>
    <pivotTable tabId="6" name="KPI Summary"/>
    <pivotTable tabId="6" name="PivotTable10"/>
    <pivotTable tabId="6" name="PivotTable12"/>
    <pivotTable tabId="6" name="PivotTable18"/>
    <pivotTable tabId="6" name="PivotTable19"/>
    <pivotTable tabId="6" name="PivotTable20"/>
    <pivotTable tabId="6" name="PivotTable6"/>
    <pivotTable tabId="6" name="PivotTable7"/>
    <pivotTable tabId="6" name="PivotTable9"/>
    <pivotTable tabId="6" name="Revenue by Category"/>
    <pivotTable tabId="6" name="Top Product"/>
  </pivotTables>
  <data>
    <tabular pivotCacheId="1939067745">
      <items count="7">
        <i x="3" s="1"/>
        <i x="2" s="1"/>
        <i x="6" s="1"/>
        <i x="5" s="1"/>
        <i x="0"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6CDCB7E-F63B-453C-8B64-6F9B3D38DB4F}" sourceName="City">
  <pivotTables>
    <pivotTable tabId="6" name="Revenue by Ocassions"/>
    <pivotTable tabId="6" name="KPI Summary"/>
    <pivotTable tabId="6" name="PivotTable10"/>
    <pivotTable tabId="6" name="PivotTable12"/>
    <pivotTable tabId="6" name="PivotTable18"/>
    <pivotTable tabId="6" name="PivotTable19"/>
    <pivotTable tabId="6" name="PivotTable20"/>
    <pivotTable tabId="6" name="PivotTable6"/>
    <pivotTable tabId="6" name="PivotTable7"/>
    <pivotTable tabId="6" name="PivotTable9"/>
    <pivotTable tabId="6" name="Revenue by Category"/>
    <pivotTable tabId="6" name="Top Product"/>
  </pivotTables>
  <data>
    <tabular pivotCacheId="1939067745">
      <items count="86">
        <i x="8" s="1"/>
        <i x="59" s="1"/>
        <i x="53" s="1"/>
        <i x="12" s="1"/>
        <i x="60" s="1"/>
        <i x="29" s="1"/>
        <i x="17" s="1"/>
        <i x="70" s="1"/>
        <i x="52" s="1"/>
        <i x="66" s="1"/>
        <i x="79" s="1"/>
        <i x="31" s="1"/>
        <i x="4" s="1"/>
        <i x="18" s="1"/>
        <i x="3" s="1"/>
        <i x="83" s="1"/>
        <i x="51" s="1"/>
        <i x="77" s="1"/>
        <i x="1" s="1"/>
        <i x="0" s="1"/>
        <i x="47" s="1"/>
        <i x="69" s="1"/>
        <i x="9" s="1"/>
        <i x="38" s="1"/>
        <i x="63" s="1"/>
        <i x="46" s="1"/>
        <i x="78" s="1"/>
        <i x="32" s="1"/>
        <i x="42" s="1"/>
        <i x="2" s="1"/>
        <i x="15" s="1"/>
        <i x="27" s="1"/>
        <i x="45" s="1"/>
        <i x="22" s="1"/>
        <i x="25" s="1"/>
        <i x="34" s="1"/>
        <i x="57" s="1"/>
        <i x="50" s="1"/>
        <i x="19" s="1"/>
        <i x="33" s="1"/>
        <i x="11" s="1"/>
        <i x="67" s="1"/>
        <i x="23" s="1"/>
        <i x="44" s="1"/>
        <i x="65" s="1"/>
        <i x="81" s="1"/>
        <i x="36" s="1"/>
        <i x="13" s="1"/>
        <i x="6" s="1"/>
        <i x="39" s="1"/>
        <i x="30" s="1"/>
        <i x="14" s="1"/>
        <i x="28" s="1"/>
        <i x="85" s="1"/>
        <i x="75" s="1"/>
        <i x="49" s="1"/>
        <i x="76" s="1"/>
        <i x="21" s="1"/>
        <i x="20" s="1"/>
        <i x="48" s="1"/>
        <i x="10" s="1"/>
        <i x="16" s="1"/>
        <i x="5" s="1"/>
        <i x="41" s="1"/>
        <i x="37" s="1"/>
        <i x="82" s="1"/>
        <i x="56" s="1"/>
        <i x="80" s="1"/>
        <i x="71" s="1"/>
        <i x="58" s="1"/>
        <i x="62" s="1"/>
        <i x="64" s="1"/>
        <i x="35" s="1"/>
        <i x="55" s="1"/>
        <i x="72" s="1"/>
        <i x="84" s="1"/>
        <i x="7" s="1"/>
        <i x="24" s="1"/>
        <i x="43" s="1"/>
        <i x="54" s="1"/>
        <i x="73" s="1"/>
        <i x="68" s="1"/>
        <i x="26" s="1"/>
        <i x="74" s="1"/>
        <i x="61" s="1"/>
        <i x="4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Value_Category" xr10:uid="{3537657B-3F2C-42D0-B6B4-23B8A9BB84D0}" sourceName="Order Value Category">
  <pivotTables>
    <pivotTable tabId="6" name="Revenue by Ocassions"/>
    <pivotTable tabId="6" name="KPI Summary"/>
    <pivotTable tabId="6" name="PivotTable10"/>
    <pivotTable tabId="6" name="PivotTable12"/>
    <pivotTable tabId="6" name="PivotTable18"/>
    <pivotTable tabId="6" name="PivotTable19"/>
    <pivotTable tabId="6" name="PivotTable20"/>
    <pivotTable tabId="6" name="PivotTable6"/>
    <pivotTable tabId="6" name="PivotTable7"/>
    <pivotTable tabId="6" name="PivotTable9"/>
    <pivotTable tabId="6" name="Revenue by Category"/>
    <pivotTable tabId="6" name="Top Product"/>
  </pivotTables>
  <data>
    <tabular pivotCacheId="1939067745">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FE975E9-282E-4011-803A-72D624C60DC0}" sourceName="Occasion">
  <pivotTables>
    <pivotTable tabId="6" name="Revenue by Ocassions"/>
    <pivotTable tabId="6" name="KPI Summary"/>
    <pivotTable tabId="6" name="PivotTable10"/>
    <pivotTable tabId="6" name="PivotTable12"/>
    <pivotTable tabId="6" name="PivotTable18"/>
    <pivotTable tabId="6" name="PivotTable19"/>
    <pivotTable tabId="6" name="PivotTable20"/>
    <pivotTable tabId="6" name="PivotTable6"/>
    <pivotTable tabId="6" name="PivotTable7"/>
    <pivotTable tabId="6" name="PivotTable9"/>
    <pivotTable tabId="6" name="Revenue by Category"/>
    <pivotTable tabId="6" name="Top Product"/>
  </pivotTables>
  <data>
    <tabular pivotCacheId="1939067745">
      <items count="7">
        <i x="6" s="1"/>
        <i x="0" s="1"/>
        <i x="2" s="1"/>
        <i x="1" s="1"/>
        <i x="5"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E35518C-C67A-4A11-A744-CC1C9A3D8600}" cache="Slicer_Month" caption="Month" rowHeight="241300"/>
  <slicer name="Gender" xr10:uid="{1A5A65D7-B1DC-4543-B415-F904E88106CB}" cache="Slicer_Gender" caption="Gender" rowHeight="241300"/>
  <slicer name="Category" xr10:uid="{40295A80-23ED-43C2-B47B-68B89A9B8BC0}" cache="Slicer_Category" caption="Category" startItem="4" rowHeight="241300"/>
  <slicer name="City" xr10:uid="{BF6E31AD-D0CE-40E5-A827-604751127890}" cache="Slicer_City" caption="City" startItem="8" rowHeight="241300"/>
  <slicer name="Order Value Category" xr10:uid="{5976A20C-A5F7-42D5-AE15-7C538F7B49F6}" cache="Slicer_Order_Value_Category" caption="Order Value Category" rowHeight="241300"/>
  <slicer name="Occasion" xr10:uid="{AE0D79F2-545E-4A9F-A349-EDB137414B92}" cache="Slicer_Occasion" caption="Occas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AB4E5E-9106-4511-BF25-86F30A9E0183}" name="tblOrders" displayName="tblOrders" ref="A1:M1001" tableType="queryTable" totalsRowShown="0">
  <autoFilter ref="A1:M1001" xr:uid="{04AB4E5E-9106-4511-BF25-86F30A9E0183}"/>
  <tableColumns count="13">
    <tableColumn id="1" xr3:uid="{A3578C8A-DA21-45F8-B427-77C72FD6DC82}" uniqueName="1" name="Order_ID" queryTableFieldId="1" dataDxfId="590"/>
    <tableColumn id="2" xr3:uid="{4CE7412E-B477-48EB-ACC6-4ED0752F0F26}" uniqueName="2" name="Customer_ID" queryTableFieldId="2" dataDxfId="589"/>
    <tableColumn id="3" xr3:uid="{B904127D-3BE5-4E83-BB2B-2987DD3DC22B}" uniqueName="3" name="Product_ID" queryTableFieldId="3"/>
    <tableColumn id="4" xr3:uid="{62DD78CB-4EED-47AB-84DB-5B6A1565731A}" uniqueName="4" name="Quantity" queryTableFieldId="4"/>
    <tableColumn id="5" xr3:uid="{57C98DD4-C37F-47BF-9F7B-550987FC4624}" uniqueName="5" name="Order_Date" queryTableFieldId="5" dataDxfId="588"/>
    <tableColumn id="6" xr3:uid="{0A60ECC5-3900-4CCC-B76E-F9EE3C8560E3}" uniqueName="6" name="Order_Time" queryTableFieldId="6" dataDxfId="587"/>
    <tableColumn id="7" xr3:uid="{682FC0CD-5883-4016-9911-0299C6E69A63}" uniqueName="7" name="Delivery_Date" queryTableFieldId="7" dataDxfId="586"/>
    <tableColumn id="8" xr3:uid="{30BF53EE-835B-4C66-AD14-FA1D2C061FD0}" uniqueName="8" name="Delivery_Time" queryTableFieldId="8" dataDxfId="585"/>
    <tableColumn id="9" xr3:uid="{7280F701-F609-4963-9235-709E271F8048}" uniqueName="9" name="Location" queryTableFieldId="9" dataDxfId="584"/>
    <tableColumn id="10" xr3:uid="{2AFFFE9E-B02C-416A-8120-DE5719306717}" uniqueName="10" name="Occasion" queryTableFieldId="10" dataDxfId="583"/>
    <tableColumn id="11" xr3:uid="{1EBC8BF4-3032-4366-ADBC-1500EDE2077D}" uniqueName="11" name="Number of days for delivery" queryTableFieldId="11"/>
    <tableColumn id="14" xr3:uid="{DFBBAF4A-A106-4035-A6CF-A916415180CB}" uniqueName="14" name="Quantity_Check" queryTableFieldId="14" dataDxfId="582">
      <calculatedColumnFormula>IF(tblOrders[[#This Row],[Quantity]]&lt;=0,"Check","OK")</calculatedColumnFormula>
    </tableColumn>
    <tableColumn id="15" xr3:uid="{70D89271-A1AA-491B-833D-1BEE6BCBAB31}" uniqueName="15" name="Date_Check" queryTableFieldId="15" dataDxfId="581">
      <calculatedColumnFormula>IF(tblOrders[[#This Row],[Delivery_Date]]&lt;tblOrders[[#This Row],[Order_Date]],"Error","OK")</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BA1C2D-4315-48D4-9CAB-A306AEE14D46}" name="tblCustomers" displayName="tblCustomers" ref="A1:G101" tableType="queryTable" totalsRowShown="0">
  <autoFilter ref="A1:G101" xr:uid="{45BA1C2D-4315-48D4-9CAB-A306AEE14D46}"/>
  <tableColumns count="7">
    <tableColumn id="1" xr3:uid="{BD504CA9-CCBF-4BCC-9514-892274E52954}" uniqueName="1" name="Customer_ID" queryTableFieldId="1" dataDxfId="580"/>
    <tableColumn id="2" xr3:uid="{E9A187E0-59E5-4E4C-9149-3F557756F170}" uniqueName="2" name="Name" queryTableFieldId="2" dataDxfId="579"/>
    <tableColumn id="3" xr3:uid="{AA6066CB-E741-4F5A-811E-8DA5195C3E9D}" uniqueName="3" name="City" queryTableFieldId="3" dataDxfId="578"/>
    <tableColumn id="4" xr3:uid="{515D54EE-03BE-4DEF-8F59-4D63BA099ED4}" uniqueName="4" name="Contact_Number" queryTableFieldId="4" dataDxfId="577"/>
    <tableColumn id="5" xr3:uid="{2FC8CBBE-665B-4CBD-B134-1FDAECEAE0E7}" uniqueName="5" name="Email" queryTableFieldId="5" dataDxfId="576"/>
    <tableColumn id="6" xr3:uid="{67DF5899-ED8A-416F-9583-2CD984FEF143}" uniqueName="6" name="Gender" queryTableFieldId="6" dataDxfId="575"/>
    <tableColumn id="7" xr3:uid="{2B9AF2A1-115B-448B-991E-12052E243495}" uniqueName="7" name="Address" queryTableFieldId="7" dataDxfId="57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8842A7-DC90-4D30-ACCC-F775C53D632B}" name="tblProducts" displayName="tblProducts" ref="A1:G71" tableType="queryTable" totalsRowShown="0">
  <autoFilter ref="A1:G71" xr:uid="{3D8842A7-DC90-4D30-ACCC-F775C53D632B}"/>
  <tableColumns count="7">
    <tableColumn id="1" xr3:uid="{B028FEFA-D302-4306-80FB-740E6053CED0}" uniqueName="1" name="Product_ID" queryTableFieldId="1"/>
    <tableColumn id="2" xr3:uid="{B0588DE0-8EF4-4158-A843-F59E9DC0DF9F}" uniqueName="2" name="Product_Name" queryTableFieldId="2" dataDxfId="573"/>
    <tableColumn id="3" xr3:uid="{9428D918-D98A-4897-8015-973209BD9871}" uniqueName="3" name="Category" queryTableFieldId="3" dataDxfId="572"/>
    <tableColumn id="4" xr3:uid="{06DCF393-AF39-4557-8C80-BCB209EB4A39}" uniqueName="4" name="Price (INR)" queryTableFieldId="4"/>
    <tableColumn id="5" xr3:uid="{3894DF5F-E058-4E89-9A81-B06723992F28}" uniqueName="5" name="Occasion" queryTableFieldId="5" dataDxfId="571"/>
    <tableColumn id="6" xr3:uid="{D3BEE60C-701A-4504-83E5-977655CD59F6}" uniqueName="6" name="Description" queryTableFieldId="6" dataDxfId="570"/>
    <tableColumn id="7" xr3:uid="{3E347FF7-2B84-4821-978B-7B14DFAA34CF}" uniqueName="7" name="Price_Check" queryTableFieldId="7" dataDxfId="569">
      <calculatedColumnFormula>IF(tblProducts[[#This Row],[Price (INR)]]&lt;=0,"Check","OK")</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895563-D386-4494-9E36-CEBDD7B9FF67}" name="Table4" displayName="Table4" ref="A3:B10" totalsRowShown="0">
  <autoFilter ref="A3:B10" xr:uid="{A5895563-D386-4494-9E36-CEBDD7B9FF67}"/>
  <tableColumns count="2">
    <tableColumn id="1" xr3:uid="{D429D232-5E29-456A-8759-002739609645}" name="Metric"/>
    <tableColumn id="2" xr3:uid="{C7913B5E-7BED-483E-BE5A-36A8D4252DA0}" name="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175E9D1-E558-4EF8-8E35-574CE35AF308}" name="Table6" displayName="Table6" ref="A13:B25" totalsRowShown="0">
  <autoFilter ref="A13:B25" xr:uid="{E175E9D1-E558-4EF8-8E35-574CE35AF308}"/>
  <tableColumns count="2">
    <tableColumn id="1" xr3:uid="{C80DC794-67EF-435E-BC4A-5E8C28B3726B}" name="Column"/>
    <tableColumn id="2" xr3:uid="{AA2DC046-0123-4C6C-B727-D3DAFA9F0D65}" name=" Valu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33CA063-8B2D-4B25-8D67-48F5BED57102}" name="tblMaster" displayName="tblMaster" ref="A1:AB1001" totalsRowShown="0" headerRowDxfId="568" dataDxfId="566" headerRowBorderDxfId="567" tableBorderDxfId="565" totalsRowBorderDxfId="564">
  <autoFilter ref="A1:AB1001" xr:uid="{533CA063-8B2D-4B25-8D67-48F5BED57102}"/>
  <tableColumns count="28">
    <tableColumn id="1" xr3:uid="{B239FB92-F22D-4337-876E-2BC74F44DC53}" name="Order_ID" dataDxfId="563"/>
    <tableColumn id="2" xr3:uid="{0519E0FA-219A-4CC0-B18D-D3C89720154C}" name="Customer_ID" dataDxfId="562"/>
    <tableColumn id="3" xr3:uid="{419D0A94-828C-4B76-8FEA-F6C919DECF70}" name="Product_ID" dataDxfId="561"/>
    <tableColumn id="4" xr3:uid="{865F45C2-FD09-480B-8E18-B7BEB01007C5}" name="Quantity" dataDxfId="560"/>
    <tableColumn id="5" xr3:uid="{59127C4C-AB6E-4C74-A7C9-690EEE65D11B}" name="Order_Date" dataDxfId="559"/>
    <tableColumn id="6" xr3:uid="{E09EF9D2-C316-41BA-8C00-B88DF7EBD79C}" name="Order_Time" dataDxfId="558"/>
    <tableColumn id="7" xr3:uid="{43D31344-A57C-44DE-A409-5E47456207CF}" name="Delivery_Date" dataDxfId="557"/>
    <tableColumn id="8" xr3:uid="{CE7F48AA-F0B0-4DC3-9600-7B0BFB952D84}" name="Delivery_Time" dataDxfId="556"/>
    <tableColumn id="9" xr3:uid="{D8A6EFD6-96CA-49AE-960F-D6CF8D2F5D86}" name="Location" dataDxfId="555"/>
    <tableColumn id="10" xr3:uid="{E1EE52B8-627F-41FA-8D47-0A4EE5611F7F}" name="Occasion" dataDxfId="554"/>
    <tableColumn id="11" xr3:uid="{877AAFE4-7CA5-4854-8887-7E83DCF5BD67}" name="City" dataDxfId="553">
      <calculatedColumnFormula>_xlfn.XLOOKUP(tblMaster[[#This Row],[Customer_ID]],tblCustomers[Customer_ID],tblCustomers[City],"Not Found",0)</calculatedColumnFormula>
    </tableColumn>
    <tableColumn id="12" xr3:uid="{6DF0FF63-6A88-4EB4-A73F-582ECF02A026}" name="Customer Name" dataDxfId="552">
      <calculatedColumnFormula>_xlfn.XLOOKUP(tblMaster[[#This Row],[Customer_ID]],tblCustomers[Customer_ID],tblCustomers[Name],"Not Found",0)</calculatedColumnFormula>
    </tableColumn>
    <tableColumn id="13" xr3:uid="{1646D164-EA97-4DFD-91B2-E57FD98E5038}" name="Gender" dataDxfId="551">
      <calculatedColumnFormula>_xlfn.XLOOKUP(tblMaster[[#This Row],[Customer_ID]],tblCustomers[Customer_ID],tblCustomers[Gender],"Not Found",0)</calculatedColumnFormula>
    </tableColumn>
    <tableColumn id="14" xr3:uid="{5042A985-1276-4F8A-A8ED-8BAEAC46037D}" name="Product Name" dataDxfId="550">
      <calculatedColumnFormula>_xlfn.XLOOKUP(tblMaster[[#This Row],[Product_ID]],tblProducts[Product_ID],tblProducts[Product_Name],"Not Found",0)</calculatedColumnFormula>
    </tableColumn>
    <tableColumn id="15" xr3:uid="{CAF7BF46-26B1-48FE-A302-4CD5570ECD18}" name="Category" dataDxfId="549">
      <calculatedColumnFormula>_xlfn.XLOOKUP(tblMaster[[#This Row],[Product_ID]],tblProducts[Product_ID],tblProducts[Category],"Not Found",0)</calculatedColumnFormula>
    </tableColumn>
    <tableColumn id="16" xr3:uid="{3E20ADFB-F84F-40D4-B8BF-E77A66FF70B8}" name="Occasion2" dataDxfId="548">
      <calculatedColumnFormula>_xlfn.XLOOKUP(tblMaster[[#This Row],[Product_ID]],tblProducts[Product_ID],tblProducts[Occasion],"Not Found",0)</calculatedColumnFormula>
    </tableColumn>
    <tableColumn id="17" xr3:uid="{BFB5173E-96F2-4A25-B9B6-D9712E5B5BD2}" name="Price" dataDxfId="547">
      <calculatedColumnFormula>_xlfn.XLOOKUP(tblMaster[[#This Row],[Product_ID]],tblProducts[Product_ID],tblProducts[Price (INR)],"Not Found",0)</calculatedColumnFormula>
    </tableColumn>
    <tableColumn id="18" xr3:uid="{BBB7974C-729C-4EC4-84AF-DE37CA620313}" name="Revenue" dataDxfId="546">
      <calculatedColumnFormula>tblMaster[[#This Row],[Price]]*tblMaster[[#This Row],[Quantity]]</calculatedColumnFormula>
    </tableColumn>
    <tableColumn id="19" xr3:uid="{3FDD55FB-7FD8-4993-81BF-EEDE0EAA80CB}" name="Estimated Cost (at 70%) " dataDxfId="545">
      <calculatedColumnFormula>tblMaster[[#This Row],[Price]]*0.7*tblMaster[[#This Row],[Quantity]]</calculatedColumnFormula>
    </tableColumn>
    <tableColumn id="20" xr3:uid="{80A387F8-DC4F-4E97-98C5-CBB00039B42C}" name="Profit" dataDxfId="544">
      <calculatedColumnFormula>tblMaster[[#This Row],[Revenue]]-tblMaster[[#This Row],[Estimated Cost (at 70%) ]]</calculatedColumnFormula>
    </tableColumn>
    <tableColumn id="21" xr3:uid="{3D33CB7C-8BB0-4AC4-8BD2-F0C8657B3B28}" name="Profit Margin" dataDxfId="543">
      <calculatedColumnFormula>tblMaster[[#This Row],[Profit]]/tblMaster[[#This Row],[Revenue]]</calculatedColumnFormula>
    </tableColumn>
    <tableColumn id="22" xr3:uid="{12413CF8-334A-47F7-B62A-2372501B272D}" name="Delivery Time" dataDxfId="542">
      <calculatedColumnFormula>tblMaster[[#This Row],[Delivery_Date]]-tblMaster[[#This Row],[Order_Date]]</calculatedColumnFormula>
    </tableColumn>
    <tableColumn id="23" xr3:uid="{3ABA24AD-0E87-45BE-A2A8-62573E95A2A4}" name="Month" dataDxfId="541">
      <calculatedColumnFormula>TEXT(tblMaster[[#This Row],[Order_Date]],"mmmm")</calculatedColumnFormula>
    </tableColumn>
    <tableColumn id="24" xr3:uid="{0D6AB0BE-FCF3-4AC7-AE0B-9BB8D257E01E}" name="Month Number" dataDxfId="540">
      <calculatedColumnFormula>MONTH(tblMaster[[#This Row],[Order_Date]])</calculatedColumnFormula>
    </tableColumn>
    <tableColumn id="25" xr3:uid="{3A0A6582-EDA9-4227-BF8A-C06D7E9AEBCA}" name="Quarter" dataDxfId="539">
      <calculatedColumnFormula>"Q"&amp;ROUNDUP(tblMaster[[#This Row],[Month Number]]/3,0)</calculatedColumnFormula>
    </tableColumn>
    <tableColumn id="26" xr3:uid="{CFF8595E-DEF9-4E74-B6E1-937D1BF387A9}" name="Year" dataDxfId="538">
      <calculatedColumnFormula>YEAR(tblMaster[[#This Row],[Order_Date]])</calculatedColumnFormula>
    </tableColumn>
    <tableColumn id="27" xr3:uid="{1012E230-F0B6-4CB7-90C2-23448F0E3FCD}" name="Day of Week" dataDxfId="537">
      <calculatedColumnFormula>TEXT(DAY(tblMaster[[#This Row],[Order_Date]]),"dddd")</calculatedColumnFormula>
    </tableColumn>
    <tableColumn id="28" xr3:uid="{91633A3F-02F0-4CDD-8F7F-57BA88B791F7}" name="Order Value Category" dataDxfId="536">
      <calculatedColumnFormula>IF(tblMaster[[#This Row],[Revenue]]&gt;=5000,"High",IF(tblMaster[[#This Row],[Revenue]]&lt;2000,"Low","Medium"))</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3C2E-66C9-4FB9-A4A0-FC786C0368FD}">
  <dimension ref="A1:M1001"/>
  <sheetViews>
    <sheetView topLeftCell="A978" workbookViewId="0">
      <selection activeCell="E990" sqref="E990"/>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28.5703125" bestFit="1" customWidth="1"/>
    <col min="12" max="12" width="17.42578125" bestFit="1" customWidth="1"/>
    <col min="13" max="13" width="13.7109375" bestFit="1" customWidth="1"/>
  </cols>
  <sheetData>
    <row r="1" spans="1:13" x14ac:dyDescent="0.25">
      <c r="A1" t="s">
        <v>157</v>
      </c>
      <c r="B1" t="s">
        <v>158</v>
      </c>
      <c r="C1" t="s">
        <v>0</v>
      </c>
      <c r="D1" t="s">
        <v>159</v>
      </c>
      <c r="E1" t="s">
        <v>160</v>
      </c>
      <c r="F1" t="s">
        <v>161</v>
      </c>
      <c r="G1" t="s">
        <v>162</v>
      </c>
      <c r="H1" t="s">
        <v>163</v>
      </c>
      <c r="I1" t="s">
        <v>164</v>
      </c>
      <c r="J1" t="s">
        <v>4</v>
      </c>
      <c r="K1" t="s">
        <v>165</v>
      </c>
      <c r="L1" t="s">
        <v>1002</v>
      </c>
      <c r="M1" t="s">
        <v>1004</v>
      </c>
    </row>
    <row r="2" spans="1:13" x14ac:dyDescent="0.25">
      <c r="A2" s="1">
        <v>1</v>
      </c>
      <c r="B2" s="1" t="s">
        <v>166</v>
      </c>
      <c r="C2">
        <v>67</v>
      </c>
      <c r="D2">
        <v>5</v>
      </c>
      <c r="E2" s="2">
        <v>44981</v>
      </c>
      <c r="F2" s="3">
        <v>0.99181712962962965</v>
      </c>
      <c r="G2" s="2">
        <v>44990</v>
      </c>
      <c r="H2" s="3">
        <v>0.3105324074074074</v>
      </c>
      <c r="I2" s="1" t="s">
        <v>167</v>
      </c>
      <c r="J2" s="1" t="s">
        <v>30</v>
      </c>
      <c r="K2">
        <v>9</v>
      </c>
      <c r="L2" t="str">
        <f>IF(tblOrders[[#This Row],[Quantity]]&lt;=0,"Check","OK")</f>
        <v>OK</v>
      </c>
      <c r="M2" t="str">
        <f>IF(tblOrders[[#This Row],[Delivery_Date]]&lt;tblOrders[[#This Row],[Order_Date]],"Error","OK")</f>
        <v>OK</v>
      </c>
    </row>
    <row r="3" spans="1:13" x14ac:dyDescent="0.25">
      <c r="A3" s="1">
        <v>2</v>
      </c>
      <c r="B3" s="1" t="s">
        <v>168</v>
      </c>
      <c r="C3">
        <v>41</v>
      </c>
      <c r="D3">
        <v>2</v>
      </c>
      <c r="E3" s="2">
        <v>45237</v>
      </c>
      <c r="F3" s="3">
        <v>0.979375</v>
      </c>
      <c r="G3" s="2">
        <v>45243</v>
      </c>
      <c r="H3" s="3">
        <v>0.30297453703703703</v>
      </c>
      <c r="I3" s="1" t="s">
        <v>169</v>
      </c>
      <c r="J3" s="1" t="s">
        <v>19</v>
      </c>
      <c r="K3">
        <v>6</v>
      </c>
      <c r="L3" t="str">
        <f>IF(tblOrders[[#This Row],[Quantity]]&lt;=0,"Check","OK")</f>
        <v>OK</v>
      </c>
      <c r="M3" s="1" t="str">
        <f>IF(tblOrders[[#This Row],[Delivery_Date]]&lt;tblOrders[[#This Row],[Order_Date]],"Error","OK")</f>
        <v>OK</v>
      </c>
    </row>
    <row r="4" spans="1:13" x14ac:dyDescent="0.25">
      <c r="A4" s="1">
        <v>3</v>
      </c>
      <c r="B4" s="1" t="s">
        <v>170</v>
      </c>
      <c r="C4">
        <v>67</v>
      </c>
      <c r="D4">
        <v>5</v>
      </c>
      <c r="E4" s="2">
        <v>45121</v>
      </c>
      <c r="F4" s="3">
        <v>0.80003472222222227</v>
      </c>
      <c r="G4" s="2">
        <v>45126</v>
      </c>
      <c r="H4" s="3">
        <v>0.73541666666666672</v>
      </c>
      <c r="I4" s="1" t="s">
        <v>171</v>
      </c>
      <c r="J4" s="1" t="s">
        <v>30</v>
      </c>
      <c r="K4">
        <v>5</v>
      </c>
      <c r="L4" t="str">
        <f>IF(tblOrders[[#This Row],[Quantity]]&lt;=0,"Check","OK")</f>
        <v>OK</v>
      </c>
      <c r="M4" s="1" t="str">
        <f>IF(tblOrders[[#This Row],[Delivery_Date]]&lt;tblOrders[[#This Row],[Order_Date]],"Error","OK")</f>
        <v>OK</v>
      </c>
    </row>
    <row r="5" spans="1:13" x14ac:dyDescent="0.25">
      <c r="A5" s="1">
        <v>4</v>
      </c>
      <c r="B5" s="1" t="s">
        <v>172</v>
      </c>
      <c r="C5">
        <v>14</v>
      </c>
      <c r="D5">
        <v>5</v>
      </c>
      <c r="E5" s="2">
        <v>45117</v>
      </c>
      <c r="F5" s="3">
        <v>0.19755787037037037</v>
      </c>
      <c r="G5" s="2">
        <v>45126</v>
      </c>
      <c r="H5" s="3">
        <v>0.27318287037037037</v>
      </c>
      <c r="I5" s="1" t="s">
        <v>173</v>
      </c>
      <c r="J5" s="1" t="s">
        <v>36</v>
      </c>
      <c r="K5">
        <v>9</v>
      </c>
      <c r="L5" t="str">
        <f>IF(tblOrders[[#This Row],[Quantity]]&lt;=0,"Check","OK")</f>
        <v>OK</v>
      </c>
      <c r="M5" s="1" t="str">
        <f>IF(tblOrders[[#This Row],[Delivery_Date]]&lt;tblOrders[[#This Row],[Order_Date]],"Error","OK")</f>
        <v>OK</v>
      </c>
    </row>
    <row r="6" spans="1:13" x14ac:dyDescent="0.25">
      <c r="A6" s="1">
        <v>5</v>
      </c>
      <c r="B6" s="1" t="s">
        <v>174</v>
      </c>
      <c r="C6">
        <v>58</v>
      </c>
      <c r="D6">
        <v>2</v>
      </c>
      <c r="E6" s="2">
        <v>44968</v>
      </c>
      <c r="F6" s="3">
        <v>0.82277777777777783</v>
      </c>
      <c r="G6" s="2">
        <v>44975</v>
      </c>
      <c r="H6" s="3">
        <v>0.46449074074074076</v>
      </c>
      <c r="I6" s="1" t="s">
        <v>175</v>
      </c>
      <c r="J6" s="1" t="s">
        <v>12</v>
      </c>
      <c r="K6">
        <v>7</v>
      </c>
      <c r="L6" t="str">
        <f>IF(tblOrders[[#This Row],[Quantity]]&lt;=0,"Check","OK")</f>
        <v>OK</v>
      </c>
      <c r="M6" s="1" t="str">
        <f>IF(tblOrders[[#This Row],[Delivery_Date]]&lt;tblOrders[[#This Row],[Order_Date]],"Error","OK")</f>
        <v>OK</v>
      </c>
    </row>
    <row r="7" spans="1:13" x14ac:dyDescent="0.25">
      <c r="A7" s="1">
        <v>6</v>
      </c>
      <c r="B7" s="1" t="s">
        <v>176</v>
      </c>
      <c r="C7">
        <v>28</v>
      </c>
      <c r="D7">
        <v>4</v>
      </c>
      <c r="E7" s="2">
        <v>45158</v>
      </c>
      <c r="F7" s="3">
        <v>0.92471064814814818</v>
      </c>
      <c r="G7" s="2">
        <v>45164</v>
      </c>
      <c r="H7" s="3">
        <v>0.79636574074074074</v>
      </c>
      <c r="I7" s="1" t="s">
        <v>177</v>
      </c>
      <c r="J7" s="1" t="s">
        <v>33</v>
      </c>
      <c r="K7">
        <v>6</v>
      </c>
      <c r="L7" t="str">
        <f>IF(tblOrders[[#This Row],[Quantity]]&lt;=0,"Check","OK")</f>
        <v>OK</v>
      </c>
      <c r="M7" s="1" t="str">
        <f>IF(tblOrders[[#This Row],[Delivery_Date]]&lt;tblOrders[[#This Row],[Order_Date]],"Error","OK")</f>
        <v>OK</v>
      </c>
    </row>
    <row r="8" spans="1:13" x14ac:dyDescent="0.25">
      <c r="A8" s="1">
        <v>7</v>
      </c>
      <c r="B8" s="1" t="s">
        <v>178</v>
      </c>
      <c r="C8">
        <v>45</v>
      </c>
      <c r="D8">
        <v>2</v>
      </c>
      <c r="E8" s="2">
        <v>45054</v>
      </c>
      <c r="F8" s="3">
        <v>7.3067129629629635E-2</v>
      </c>
      <c r="G8" s="2">
        <v>45059</v>
      </c>
      <c r="H8" s="3">
        <v>0.42172453703703705</v>
      </c>
      <c r="I8" s="1" t="s">
        <v>179</v>
      </c>
      <c r="J8" s="1" t="s">
        <v>36</v>
      </c>
      <c r="K8">
        <v>5</v>
      </c>
      <c r="L8" t="str">
        <f>IF(tblOrders[[#This Row],[Quantity]]&lt;=0,"Check","OK")</f>
        <v>OK</v>
      </c>
      <c r="M8" s="1" t="str">
        <f>IF(tblOrders[[#This Row],[Delivery_Date]]&lt;tblOrders[[#This Row],[Order_Date]],"Error","OK")</f>
        <v>OK</v>
      </c>
    </row>
    <row r="9" spans="1:13" x14ac:dyDescent="0.25">
      <c r="A9" s="1">
        <v>8</v>
      </c>
      <c r="B9" s="1" t="s">
        <v>180</v>
      </c>
      <c r="C9">
        <v>43</v>
      </c>
      <c r="D9">
        <v>3</v>
      </c>
      <c r="E9" s="2">
        <v>45238</v>
      </c>
      <c r="F9" s="3">
        <v>0.80557870370370366</v>
      </c>
      <c r="G9" s="2">
        <v>45244</v>
      </c>
      <c r="H9" s="3">
        <v>0.36440972222222223</v>
      </c>
      <c r="I9" s="1" t="s">
        <v>181</v>
      </c>
      <c r="J9" s="1" t="s">
        <v>19</v>
      </c>
      <c r="K9">
        <v>6</v>
      </c>
      <c r="L9" t="str">
        <f>IF(tblOrders[[#This Row],[Quantity]]&lt;=0,"Check","OK")</f>
        <v>OK</v>
      </c>
      <c r="M9" s="1" t="str">
        <f>IF(tblOrders[[#This Row],[Delivery_Date]]&lt;tblOrders[[#This Row],[Order_Date]],"Error","OK")</f>
        <v>OK</v>
      </c>
    </row>
    <row r="10" spans="1:13" x14ac:dyDescent="0.25">
      <c r="A10" s="1">
        <v>9</v>
      </c>
      <c r="B10" s="1" t="s">
        <v>182</v>
      </c>
      <c r="C10">
        <v>27</v>
      </c>
      <c r="D10">
        <v>4</v>
      </c>
      <c r="E10" s="2">
        <v>45158</v>
      </c>
      <c r="F10" s="3">
        <v>0.98600694444444448</v>
      </c>
      <c r="G10" s="2">
        <v>45167</v>
      </c>
      <c r="H10" s="3">
        <v>0.99993055555555554</v>
      </c>
      <c r="I10" s="1" t="s">
        <v>175</v>
      </c>
      <c r="J10" s="1" t="s">
        <v>33</v>
      </c>
      <c r="K10">
        <v>9</v>
      </c>
      <c r="L10" t="str">
        <f>IF(tblOrders[[#This Row],[Quantity]]&lt;=0,"Check","OK")</f>
        <v>OK</v>
      </c>
      <c r="M10" s="1" t="str">
        <f>IF(tblOrders[[#This Row],[Delivery_Date]]&lt;tblOrders[[#This Row],[Order_Date]],"Error","OK")</f>
        <v>OK</v>
      </c>
    </row>
    <row r="11" spans="1:13" x14ac:dyDescent="0.25">
      <c r="A11" s="1">
        <v>10</v>
      </c>
      <c r="B11" s="1" t="s">
        <v>183</v>
      </c>
      <c r="C11">
        <v>56</v>
      </c>
      <c r="D11">
        <v>3</v>
      </c>
      <c r="E11" s="2">
        <v>44983</v>
      </c>
      <c r="F11" s="3">
        <v>1.2106481481481482E-2</v>
      </c>
      <c r="G11" s="2">
        <v>44993</v>
      </c>
      <c r="H11" s="3">
        <v>0.86646990740740737</v>
      </c>
      <c r="I11" s="1" t="s">
        <v>184</v>
      </c>
      <c r="J11" s="1" t="s">
        <v>30</v>
      </c>
      <c r="K11">
        <v>10</v>
      </c>
      <c r="L11" t="str">
        <f>IF(tblOrders[[#This Row],[Quantity]]&lt;=0,"Check","OK")</f>
        <v>OK</v>
      </c>
      <c r="M11" s="1" t="str">
        <f>IF(tblOrders[[#This Row],[Delivery_Date]]&lt;tblOrders[[#This Row],[Order_Date]],"Error","OK")</f>
        <v>OK</v>
      </c>
    </row>
    <row r="12" spans="1:13" x14ac:dyDescent="0.25">
      <c r="A12" s="1">
        <v>11</v>
      </c>
      <c r="B12" s="1" t="s">
        <v>185</v>
      </c>
      <c r="C12">
        <v>16</v>
      </c>
      <c r="D12">
        <v>4</v>
      </c>
      <c r="E12" s="2">
        <v>44987</v>
      </c>
      <c r="F12" s="3">
        <v>0.84369212962962958</v>
      </c>
      <c r="G12" s="2">
        <v>44988</v>
      </c>
      <c r="H12" s="3">
        <v>0.97207175925925926</v>
      </c>
      <c r="I12" s="1" t="s">
        <v>186</v>
      </c>
      <c r="J12" s="1" t="s">
        <v>25</v>
      </c>
      <c r="K12">
        <v>1</v>
      </c>
      <c r="L12" t="str">
        <f>IF(tblOrders[[#This Row],[Quantity]]&lt;=0,"Check","OK")</f>
        <v>OK</v>
      </c>
      <c r="M12" s="1" t="str">
        <f>IF(tblOrders[[#This Row],[Delivery_Date]]&lt;tblOrders[[#This Row],[Order_Date]],"Error","OK")</f>
        <v>OK</v>
      </c>
    </row>
    <row r="13" spans="1:13" x14ac:dyDescent="0.25">
      <c r="A13" s="1">
        <v>12</v>
      </c>
      <c r="B13" s="1" t="s">
        <v>180</v>
      </c>
      <c r="C13">
        <v>38</v>
      </c>
      <c r="D13">
        <v>3</v>
      </c>
      <c r="E13" s="2">
        <v>45119</v>
      </c>
      <c r="F13" s="3">
        <v>0.35342592592592592</v>
      </c>
      <c r="G13" s="2">
        <v>45127</v>
      </c>
      <c r="H13" s="3">
        <v>0.98260416666666661</v>
      </c>
      <c r="I13" s="1" t="s">
        <v>187</v>
      </c>
      <c r="J13" s="1" t="s">
        <v>36</v>
      </c>
      <c r="K13">
        <v>8</v>
      </c>
      <c r="L13" t="str">
        <f>IF(tblOrders[[#This Row],[Quantity]]&lt;=0,"Check","OK")</f>
        <v>OK</v>
      </c>
      <c r="M13" s="1" t="str">
        <f>IF(tblOrders[[#This Row],[Delivery_Date]]&lt;tblOrders[[#This Row],[Order_Date]],"Error","OK")</f>
        <v>OK</v>
      </c>
    </row>
    <row r="14" spans="1:13" x14ac:dyDescent="0.25">
      <c r="A14" s="1">
        <v>13</v>
      </c>
      <c r="B14" s="1" t="s">
        <v>188</v>
      </c>
      <c r="C14">
        <v>20</v>
      </c>
      <c r="D14">
        <v>3</v>
      </c>
      <c r="E14" s="2">
        <v>44981</v>
      </c>
      <c r="F14" s="3">
        <v>0.69949074074074069</v>
      </c>
      <c r="G14" s="2">
        <v>44989</v>
      </c>
      <c r="H14" s="3">
        <v>0.10251157407407407</v>
      </c>
      <c r="I14" s="1" t="s">
        <v>189</v>
      </c>
      <c r="J14" s="1" t="s">
        <v>30</v>
      </c>
      <c r="K14">
        <v>8</v>
      </c>
      <c r="L14" t="str">
        <f>IF(tblOrders[[#This Row],[Quantity]]&lt;=0,"Check","OK")</f>
        <v>OK</v>
      </c>
      <c r="M14" s="1" t="str">
        <f>IF(tblOrders[[#This Row],[Delivery_Date]]&lt;tblOrders[[#This Row],[Order_Date]],"Error","OK")</f>
        <v>OK</v>
      </c>
    </row>
    <row r="15" spans="1:13" x14ac:dyDescent="0.25">
      <c r="A15" s="1">
        <v>14</v>
      </c>
      <c r="B15" s="1" t="s">
        <v>190</v>
      </c>
      <c r="C15">
        <v>60</v>
      </c>
      <c r="D15">
        <v>1</v>
      </c>
      <c r="E15" s="2">
        <v>45238</v>
      </c>
      <c r="F15" s="3">
        <v>0.1570138888888889</v>
      </c>
      <c r="G15" s="2">
        <v>45245</v>
      </c>
      <c r="H15" s="3">
        <v>0.50557870370370372</v>
      </c>
      <c r="I15" s="1" t="s">
        <v>171</v>
      </c>
      <c r="J15" s="1" t="s">
        <v>19</v>
      </c>
      <c r="K15">
        <v>7</v>
      </c>
      <c r="L15" t="str">
        <f>IF(tblOrders[[#This Row],[Quantity]]&lt;=0,"Check","OK")</f>
        <v>OK</v>
      </c>
      <c r="M15" s="1" t="str">
        <f>IF(tblOrders[[#This Row],[Delivery_Date]]&lt;tblOrders[[#This Row],[Order_Date]],"Error","OK")</f>
        <v>OK</v>
      </c>
    </row>
    <row r="16" spans="1:13" x14ac:dyDescent="0.25">
      <c r="A16" s="1">
        <v>15</v>
      </c>
      <c r="B16" s="1" t="s">
        <v>191</v>
      </c>
      <c r="C16">
        <v>21</v>
      </c>
      <c r="D16">
        <v>5</v>
      </c>
      <c r="E16" s="2">
        <v>45164</v>
      </c>
      <c r="F16" s="3">
        <v>0.11989583333333333</v>
      </c>
      <c r="G16" s="2">
        <v>45168</v>
      </c>
      <c r="H16" s="3">
        <v>0.56024305555555554</v>
      </c>
      <c r="I16" s="1" t="s">
        <v>192</v>
      </c>
      <c r="J16" s="1" t="s">
        <v>33</v>
      </c>
      <c r="K16">
        <v>4</v>
      </c>
      <c r="L16" t="str">
        <f>IF(tblOrders[[#This Row],[Quantity]]&lt;=0,"Check","OK")</f>
        <v>OK</v>
      </c>
      <c r="M16" s="1" t="str">
        <f>IF(tblOrders[[#This Row],[Delivery_Date]]&lt;tblOrders[[#This Row],[Order_Date]],"Error","OK")</f>
        <v>OK</v>
      </c>
    </row>
    <row r="17" spans="1:13" x14ac:dyDescent="0.25">
      <c r="A17" s="1">
        <v>16</v>
      </c>
      <c r="B17" s="1" t="s">
        <v>193</v>
      </c>
      <c r="C17">
        <v>20</v>
      </c>
      <c r="D17">
        <v>3</v>
      </c>
      <c r="E17" s="2">
        <v>44973</v>
      </c>
      <c r="F17" s="3">
        <v>0.62929398148148152</v>
      </c>
      <c r="G17" s="2">
        <v>44977</v>
      </c>
      <c r="H17" s="3">
        <v>0.92663194444444441</v>
      </c>
      <c r="I17" s="1" t="s">
        <v>194</v>
      </c>
      <c r="J17" s="1" t="s">
        <v>30</v>
      </c>
      <c r="K17">
        <v>4</v>
      </c>
      <c r="L17" t="str">
        <f>IF(tblOrders[[#This Row],[Quantity]]&lt;=0,"Check","OK")</f>
        <v>OK</v>
      </c>
      <c r="M17" s="1" t="str">
        <f>IF(tblOrders[[#This Row],[Delivery_Date]]&lt;tblOrders[[#This Row],[Order_Date]],"Error","OK")</f>
        <v>OK</v>
      </c>
    </row>
    <row r="18" spans="1:13" x14ac:dyDescent="0.25">
      <c r="A18" s="1">
        <v>17</v>
      </c>
      <c r="B18" s="1" t="s">
        <v>195</v>
      </c>
      <c r="C18">
        <v>60</v>
      </c>
      <c r="D18">
        <v>2</v>
      </c>
      <c r="E18" s="2">
        <v>45234</v>
      </c>
      <c r="F18" s="3">
        <v>0.48024305555555558</v>
      </c>
      <c r="G18" s="2">
        <v>45243</v>
      </c>
      <c r="H18" s="3">
        <v>0.77792824074074074</v>
      </c>
      <c r="I18" s="1" t="s">
        <v>196</v>
      </c>
      <c r="J18" s="1" t="s">
        <v>19</v>
      </c>
      <c r="K18">
        <v>9</v>
      </c>
      <c r="L18" t="str">
        <f>IF(tblOrders[[#This Row],[Quantity]]&lt;=0,"Check","OK")</f>
        <v>OK</v>
      </c>
      <c r="M18" s="1" t="str">
        <f>IF(tblOrders[[#This Row],[Delivery_Date]]&lt;tblOrders[[#This Row],[Order_Date]],"Error","OK")</f>
        <v>OK</v>
      </c>
    </row>
    <row r="19" spans="1:13" x14ac:dyDescent="0.25">
      <c r="A19" s="1">
        <v>18</v>
      </c>
      <c r="B19" s="1" t="s">
        <v>197</v>
      </c>
      <c r="C19">
        <v>23</v>
      </c>
      <c r="D19">
        <v>4</v>
      </c>
      <c r="E19" s="2">
        <v>45270</v>
      </c>
      <c r="F19" s="3">
        <v>0.44878472222222221</v>
      </c>
      <c r="G19" s="2">
        <v>45271</v>
      </c>
      <c r="H19" s="3">
        <v>1.4224537037037037E-2</v>
      </c>
      <c r="I19" s="1" t="s">
        <v>198</v>
      </c>
      <c r="J19" s="1" t="s">
        <v>30</v>
      </c>
      <c r="K19">
        <v>1</v>
      </c>
      <c r="L19" t="str">
        <f>IF(tblOrders[[#This Row],[Quantity]]&lt;=0,"Check","OK")</f>
        <v>OK</v>
      </c>
      <c r="M19" s="1" t="str">
        <f>IF(tblOrders[[#This Row],[Delivery_Date]]&lt;tblOrders[[#This Row],[Order_Date]],"Error","OK")</f>
        <v>OK</v>
      </c>
    </row>
    <row r="20" spans="1:13" x14ac:dyDescent="0.25">
      <c r="A20" s="1">
        <v>19</v>
      </c>
      <c r="B20" s="1" t="s">
        <v>197</v>
      </c>
      <c r="C20">
        <v>62</v>
      </c>
      <c r="D20">
        <v>4</v>
      </c>
      <c r="E20" s="2">
        <v>44992</v>
      </c>
      <c r="F20" s="3">
        <v>0.33319444444444446</v>
      </c>
      <c r="G20" s="2">
        <v>44993</v>
      </c>
      <c r="H20" s="3">
        <v>0.12817129629629628</v>
      </c>
      <c r="I20" s="1" t="s">
        <v>199</v>
      </c>
      <c r="J20" s="1" t="s">
        <v>25</v>
      </c>
      <c r="K20">
        <v>1</v>
      </c>
      <c r="L20" t="str">
        <f>IF(tblOrders[[#This Row],[Quantity]]&lt;=0,"Check","OK")</f>
        <v>OK</v>
      </c>
      <c r="M20" s="1" t="str">
        <f>IF(tblOrders[[#This Row],[Delivery_Date]]&lt;tblOrders[[#This Row],[Order_Date]],"Error","OK")</f>
        <v>OK</v>
      </c>
    </row>
    <row r="21" spans="1:13" x14ac:dyDescent="0.25">
      <c r="A21" s="1">
        <v>20</v>
      </c>
      <c r="B21" s="1" t="s">
        <v>200</v>
      </c>
      <c r="C21">
        <v>52</v>
      </c>
      <c r="D21">
        <v>1</v>
      </c>
      <c r="E21" s="2">
        <v>44968</v>
      </c>
      <c r="F21" s="3">
        <v>0.60899305555555561</v>
      </c>
      <c r="G21" s="2">
        <v>44971</v>
      </c>
      <c r="H21" s="3">
        <v>6.5462962962962959E-2</v>
      </c>
      <c r="I21" s="1" t="s">
        <v>201</v>
      </c>
      <c r="J21" s="1" t="s">
        <v>12</v>
      </c>
      <c r="K21">
        <v>3</v>
      </c>
      <c r="L21" t="str">
        <f>IF(tblOrders[[#This Row],[Quantity]]&lt;=0,"Check","OK")</f>
        <v>OK</v>
      </c>
      <c r="M21" s="1" t="str">
        <f>IF(tblOrders[[#This Row],[Delivery_Date]]&lt;tblOrders[[#This Row],[Order_Date]],"Error","OK")</f>
        <v>OK</v>
      </c>
    </row>
    <row r="22" spans="1:13" x14ac:dyDescent="0.25">
      <c r="A22" s="1">
        <v>21</v>
      </c>
      <c r="B22" s="1" t="s">
        <v>202</v>
      </c>
      <c r="C22">
        <v>32</v>
      </c>
      <c r="D22">
        <v>1</v>
      </c>
      <c r="E22" s="2">
        <v>44966</v>
      </c>
      <c r="F22" s="3">
        <v>0.47282407407407406</v>
      </c>
      <c r="G22" s="2">
        <v>44969</v>
      </c>
      <c r="H22" s="3">
        <v>0.48363425925925924</v>
      </c>
      <c r="I22" s="1" t="s">
        <v>203</v>
      </c>
      <c r="J22" s="1" t="s">
        <v>36</v>
      </c>
      <c r="K22">
        <v>3</v>
      </c>
      <c r="L22" t="str">
        <f>IF(tblOrders[[#This Row],[Quantity]]&lt;=0,"Check","OK")</f>
        <v>OK</v>
      </c>
      <c r="M22" s="1" t="str">
        <f>IF(tblOrders[[#This Row],[Delivery_Date]]&lt;tblOrders[[#This Row],[Order_Date]],"Error","OK")</f>
        <v>OK</v>
      </c>
    </row>
    <row r="23" spans="1:13" x14ac:dyDescent="0.25">
      <c r="A23" s="1">
        <v>22</v>
      </c>
      <c r="B23" s="1" t="s">
        <v>204</v>
      </c>
      <c r="C23">
        <v>43</v>
      </c>
      <c r="D23">
        <v>1</v>
      </c>
      <c r="E23" s="2">
        <v>45239</v>
      </c>
      <c r="F23" s="3">
        <v>4.5462962962962962E-2</v>
      </c>
      <c r="G23" s="2">
        <v>45244</v>
      </c>
      <c r="H23" s="3">
        <v>0.40957175925925926</v>
      </c>
      <c r="I23" s="1" t="s">
        <v>205</v>
      </c>
      <c r="J23" s="1" t="s">
        <v>19</v>
      </c>
      <c r="K23">
        <v>5</v>
      </c>
      <c r="L23" t="str">
        <f>IF(tblOrders[[#This Row],[Quantity]]&lt;=0,"Check","OK")</f>
        <v>OK</v>
      </c>
      <c r="M23" s="1" t="str">
        <f>IF(tblOrders[[#This Row],[Delivery_Date]]&lt;tblOrders[[#This Row],[Order_Date]],"Error","OK")</f>
        <v>OK</v>
      </c>
    </row>
    <row r="24" spans="1:13" x14ac:dyDescent="0.25">
      <c r="A24" s="1">
        <v>23</v>
      </c>
      <c r="B24" s="1" t="s">
        <v>206</v>
      </c>
      <c r="C24">
        <v>12</v>
      </c>
      <c r="D24">
        <v>3</v>
      </c>
      <c r="E24" s="2">
        <v>45051</v>
      </c>
      <c r="F24" s="3">
        <v>0.22815972222222222</v>
      </c>
      <c r="G24" s="2">
        <v>45052</v>
      </c>
      <c r="H24" s="3">
        <v>0.50861111111111112</v>
      </c>
      <c r="I24" s="1" t="s">
        <v>207</v>
      </c>
      <c r="J24" s="1" t="s">
        <v>30</v>
      </c>
      <c r="K24">
        <v>1</v>
      </c>
      <c r="L24" t="str">
        <f>IF(tblOrders[[#This Row],[Quantity]]&lt;=0,"Check","OK")</f>
        <v>OK</v>
      </c>
      <c r="M24" s="1" t="str">
        <f>IF(tblOrders[[#This Row],[Delivery_Date]]&lt;tblOrders[[#This Row],[Order_Date]],"Error","OK")</f>
        <v>OK</v>
      </c>
    </row>
    <row r="25" spans="1:13" x14ac:dyDescent="0.25">
      <c r="A25" s="1">
        <v>24</v>
      </c>
      <c r="B25" s="1" t="s">
        <v>208</v>
      </c>
      <c r="C25">
        <v>42</v>
      </c>
      <c r="D25">
        <v>3</v>
      </c>
      <c r="E25" s="2">
        <v>45132</v>
      </c>
      <c r="F25" s="3">
        <v>0.21576388888888889</v>
      </c>
      <c r="G25" s="2">
        <v>45141</v>
      </c>
      <c r="H25" s="3">
        <v>0.33165509259259257</v>
      </c>
      <c r="I25" s="1" t="s">
        <v>209</v>
      </c>
      <c r="J25" s="1" t="s">
        <v>8</v>
      </c>
      <c r="K25">
        <v>9</v>
      </c>
      <c r="L25" t="str">
        <f>IF(tblOrders[[#This Row],[Quantity]]&lt;=0,"Check","OK")</f>
        <v>OK</v>
      </c>
      <c r="M25" s="1" t="str">
        <f>IF(tblOrders[[#This Row],[Delivery_Date]]&lt;tblOrders[[#This Row],[Order_Date]],"Error","OK")</f>
        <v>OK</v>
      </c>
    </row>
    <row r="26" spans="1:13" x14ac:dyDescent="0.25">
      <c r="A26" s="1">
        <v>25</v>
      </c>
      <c r="B26" s="1" t="s">
        <v>210</v>
      </c>
      <c r="C26">
        <v>30</v>
      </c>
      <c r="D26">
        <v>3</v>
      </c>
      <c r="E26" s="2">
        <v>45128</v>
      </c>
      <c r="F26" s="3">
        <v>0.44927083333333334</v>
      </c>
      <c r="G26" s="2">
        <v>45131</v>
      </c>
      <c r="H26" s="3">
        <v>0.60326388888888893</v>
      </c>
      <c r="I26" s="1" t="s">
        <v>211</v>
      </c>
      <c r="J26" s="1" t="s">
        <v>30</v>
      </c>
      <c r="K26">
        <v>3</v>
      </c>
      <c r="L26" t="str">
        <f>IF(tblOrders[[#This Row],[Quantity]]&lt;=0,"Check","OK")</f>
        <v>OK</v>
      </c>
      <c r="M26" s="1" t="str">
        <f>IF(tblOrders[[#This Row],[Delivery_Date]]&lt;tblOrders[[#This Row],[Order_Date]],"Error","OK")</f>
        <v>OK</v>
      </c>
    </row>
    <row r="27" spans="1:13" x14ac:dyDescent="0.25">
      <c r="A27" s="1">
        <v>26</v>
      </c>
      <c r="B27" s="1" t="s">
        <v>176</v>
      </c>
      <c r="C27">
        <v>6</v>
      </c>
      <c r="D27">
        <v>3</v>
      </c>
      <c r="E27" s="2">
        <v>44991</v>
      </c>
      <c r="F27" s="3">
        <v>0.21048611111111112</v>
      </c>
      <c r="G27" s="2">
        <v>44997</v>
      </c>
      <c r="H27" s="3">
        <v>0.25429398148148147</v>
      </c>
      <c r="I27" s="1" t="s">
        <v>212</v>
      </c>
      <c r="J27" s="1" t="s">
        <v>25</v>
      </c>
      <c r="K27">
        <v>6</v>
      </c>
      <c r="L27" t="str">
        <f>IF(tblOrders[[#This Row],[Quantity]]&lt;=0,"Check","OK")</f>
        <v>OK</v>
      </c>
      <c r="M27" s="1" t="str">
        <f>IF(tblOrders[[#This Row],[Delivery_Date]]&lt;tblOrders[[#This Row],[Order_Date]],"Error","OK")</f>
        <v>OK</v>
      </c>
    </row>
    <row r="28" spans="1:13" x14ac:dyDescent="0.25">
      <c r="A28" s="1">
        <v>27</v>
      </c>
      <c r="B28" s="1" t="s">
        <v>213</v>
      </c>
      <c r="C28">
        <v>9</v>
      </c>
      <c r="D28">
        <v>2</v>
      </c>
      <c r="E28" s="2">
        <v>45160</v>
      </c>
      <c r="F28" s="3">
        <v>0.46976851851851853</v>
      </c>
      <c r="G28" s="2">
        <v>45168</v>
      </c>
      <c r="H28" s="3">
        <v>0.33277777777777778</v>
      </c>
      <c r="I28" s="1" t="s">
        <v>214</v>
      </c>
      <c r="J28" s="1" t="s">
        <v>33</v>
      </c>
      <c r="K28">
        <v>8</v>
      </c>
      <c r="L28" t="str">
        <f>IF(tblOrders[[#This Row],[Quantity]]&lt;=0,"Check","OK")</f>
        <v>OK</v>
      </c>
      <c r="M28" s="1" t="str">
        <f>IF(tblOrders[[#This Row],[Delivery_Date]]&lt;tblOrders[[#This Row],[Order_Date]],"Error","OK")</f>
        <v>OK</v>
      </c>
    </row>
    <row r="29" spans="1:13" x14ac:dyDescent="0.25">
      <c r="A29" s="1">
        <v>28</v>
      </c>
      <c r="B29" s="1" t="s">
        <v>215</v>
      </c>
      <c r="C29">
        <v>42</v>
      </c>
      <c r="D29">
        <v>3</v>
      </c>
      <c r="E29" s="2">
        <v>45051</v>
      </c>
      <c r="F29" s="3">
        <v>0.14265046296296297</v>
      </c>
      <c r="G29" s="2">
        <v>45056</v>
      </c>
      <c r="H29" s="3">
        <v>0.32990740740740743</v>
      </c>
      <c r="I29" s="1" t="s">
        <v>173</v>
      </c>
      <c r="J29" s="1" t="s">
        <v>8</v>
      </c>
      <c r="K29">
        <v>5</v>
      </c>
      <c r="L29" t="str">
        <f>IF(tblOrders[[#This Row],[Quantity]]&lt;=0,"Check","OK")</f>
        <v>OK</v>
      </c>
      <c r="M29" s="1" t="str">
        <f>IF(tblOrders[[#This Row],[Delivery_Date]]&lt;tblOrders[[#This Row],[Order_Date]],"Error","OK")</f>
        <v>OK</v>
      </c>
    </row>
    <row r="30" spans="1:13" x14ac:dyDescent="0.25">
      <c r="A30" s="1">
        <v>29</v>
      </c>
      <c r="B30" s="1" t="s">
        <v>216</v>
      </c>
      <c r="C30">
        <v>10</v>
      </c>
      <c r="D30">
        <v>5</v>
      </c>
      <c r="E30" s="2">
        <v>45191</v>
      </c>
      <c r="F30" s="3">
        <v>4.6087962962962963E-2</v>
      </c>
      <c r="G30" s="2">
        <v>45200</v>
      </c>
      <c r="H30" s="3">
        <v>0.60365740740740736</v>
      </c>
      <c r="I30" s="1" t="s">
        <v>217</v>
      </c>
      <c r="J30" s="1" t="s">
        <v>36</v>
      </c>
      <c r="K30">
        <v>9</v>
      </c>
      <c r="L30" t="str">
        <f>IF(tblOrders[[#This Row],[Quantity]]&lt;=0,"Check","OK")</f>
        <v>OK</v>
      </c>
      <c r="M30" s="1" t="str">
        <f>IF(tblOrders[[#This Row],[Delivery_Date]]&lt;tblOrders[[#This Row],[Order_Date]],"Error","OK")</f>
        <v>OK</v>
      </c>
    </row>
    <row r="31" spans="1:13" x14ac:dyDescent="0.25">
      <c r="A31" s="1">
        <v>30</v>
      </c>
      <c r="B31" s="1" t="s">
        <v>182</v>
      </c>
      <c r="C31">
        <v>23</v>
      </c>
      <c r="D31">
        <v>4</v>
      </c>
      <c r="E31" s="2">
        <v>44939</v>
      </c>
      <c r="F31" s="3">
        <v>0.39135416666666667</v>
      </c>
      <c r="G31" s="2">
        <v>44941</v>
      </c>
      <c r="H31" s="3">
        <v>0.56733796296296302</v>
      </c>
      <c r="I31" s="1" t="s">
        <v>218</v>
      </c>
      <c r="J31" s="1" t="s">
        <v>30</v>
      </c>
      <c r="K31">
        <v>2</v>
      </c>
      <c r="L31" t="str">
        <f>IF(tblOrders[[#This Row],[Quantity]]&lt;=0,"Check","OK")</f>
        <v>OK</v>
      </c>
      <c r="M31" s="1" t="str">
        <f>IF(tblOrders[[#This Row],[Delivery_Date]]&lt;tblOrders[[#This Row],[Order_Date]],"Error","OK")</f>
        <v>OK</v>
      </c>
    </row>
    <row r="32" spans="1:13" x14ac:dyDescent="0.25">
      <c r="A32" s="1">
        <v>31</v>
      </c>
      <c r="B32" s="1" t="s">
        <v>170</v>
      </c>
      <c r="C32">
        <v>7</v>
      </c>
      <c r="D32">
        <v>5</v>
      </c>
      <c r="E32" s="2">
        <v>44985</v>
      </c>
      <c r="F32" s="3">
        <v>0.55094907407407412</v>
      </c>
      <c r="G32" s="2">
        <v>44988</v>
      </c>
      <c r="H32" s="3">
        <v>0.98320601851851852</v>
      </c>
      <c r="I32" s="1" t="s">
        <v>219</v>
      </c>
      <c r="J32" s="1" t="s">
        <v>25</v>
      </c>
      <c r="K32">
        <v>3</v>
      </c>
      <c r="L32" t="str">
        <f>IF(tblOrders[[#This Row],[Quantity]]&lt;=0,"Check","OK")</f>
        <v>OK</v>
      </c>
      <c r="M32" s="1" t="str">
        <f>IF(tblOrders[[#This Row],[Delivery_Date]]&lt;tblOrders[[#This Row],[Order_Date]],"Error","OK")</f>
        <v>OK</v>
      </c>
    </row>
    <row r="33" spans="1:13" x14ac:dyDescent="0.25">
      <c r="A33" s="1">
        <v>32</v>
      </c>
      <c r="B33" s="1" t="s">
        <v>185</v>
      </c>
      <c r="C33">
        <v>7</v>
      </c>
      <c r="D33">
        <v>5</v>
      </c>
      <c r="E33" s="2">
        <v>44989</v>
      </c>
      <c r="F33" s="3">
        <v>0.65047453703703706</v>
      </c>
      <c r="G33" s="2">
        <v>44990</v>
      </c>
      <c r="H33" s="3">
        <v>0.6626157407407407</v>
      </c>
      <c r="I33" s="1" t="s">
        <v>220</v>
      </c>
      <c r="J33" s="1" t="s">
        <v>25</v>
      </c>
      <c r="K33">
        <v>1</v>
      </c>
      <c r="L33" t="str">
        <f>IF(tblOrders[[#This Row],[Quantity]]&lt;=0,"Check","OK")</f>
        <v>OK</v>
      </c>
      <c r="M33" s="1" t="str">
        <f>IF(tblOrders[[#This Row],[Delivery_Date]]&lt;tblOrders[[#This Row],[Order_Date]],"Error","OK")</f>
        <v>OK</v>
      </c>
    </row>
    <row r="34" spans="1:13" x14ac:dyDescent="0.25">
      <c r="A34" s="1">
        <v>33</v>
      </c>
      <c r="B34" s="1" t="s">
        <v>221</v>
      </c>
      <c r="C34">
        <v>8</v>
      </c>
      <c r="D34">
        <v>3</v>
      </c>
      <c r="E34" s="2">
        <v>45031</v>
      </c>
      <c r="F34" s="3">
        <v>6.7673611111111115E-2</v>
      </c>
      <c r="G34" s="2">
        <v>45041</v>
      </c>
      <c r="H34" s="3">
        <v>9.2673611111111109E-2</v>
      </c>
      <c r="I34" s="1" t="s">
        <v>212</v>
      </c>
      <c r="J34" s="1" t="s">
        <v>30</v>
      </c>
      <c r="K34">
        <v>10</v>
      </c>
      <c r="L34" t="str">
        <f>IF(tblOrders[[#This Row],[Quantity]]&lt;=0,"Check","OK")</f>
        <v>OK</v>
      </c>
      <c r="M34" s="1" t="str">
        <f>IF(tblOrders[[#This Row],[Delivery_Date]]&lt;tblOrders[[#This Row],[Order_Date]],"Error","OK")</f>
        <v>OK</v>
      </c>
    </row>
    <row r="35" spans="1:13" x14ac:dyDescent="0.25">
      <c r="A35" s="1">
        <v>34</v>
      </c>
      <c r="B35" s="1" t="s">
        <v>222</v>
      </c>
      <c r="C35">
        <v>17</v>
      </c>
      <c r="D35">
        <v>2</v>
      </c>
      <c r="E35" s="2">
        <v>45200</v>
      </c>
      <c r="F35" s="3">
        <v>0.95711805555555551</v>
      </c>
      <c r="G35" s="2">
        <v>45204</v>
      </c>
      <c r="H35" s="3">
        <v>0.23386574074074074</v>
      </c>
      <c r="I35" s="1" t="s">
        <v>223</v>
      </c>
      <c r="J35" s="1" t="s">
        <v>30</v>
      </c>
      <c r="K35">
        <v>4</v>
      </c>
      <c r="L35" t="str">
        <f>IF(tblOrders[[#This Row],[Quantity]]&lt;=0,"Check","OK")</f>
        <v>OK</v>
      </c>
      <c r="M35" s="1" t="str">
        <f>IF(tblOrders[[#This Row],[Delivery_Date]]&lt;tblOrders[[#This Row],[Order_Date]],"Error","OK")</f>
        <v>OK</v>
      </c>
    </row>
    <row r="36" spans="1:13" x14ac:dyDescent="0.25">
      <c r="A36" s="1">
        <v>35</v>
      </c>
      <c r="B36" s="1" t="s">
        <v>224</v>
      </c>
      <c r="C36">
        <v>7</v>
      </c>
      <c r="D36">
        <v>5</v>
      </c>
      <c r="E36" s="2">
        <v>44987</v>
      </c>
      <c r="F36" s="3">
        <v>0.67391203703703706</v>
      </c>
      <c r="G36" s="2">
        <v>44990</v>
      </c>
      <c r="H36" s="3">
        <v>0.625462962962963</v>
      </c>
      <c r="I36" s="1" t="s">
        <v>225</v>
      </c>
      <c r="J36" s="1" t="s">
        <v>25</v>
      </c>
      <c r="K36">
        <v>3</v>
      </c>
      <c r="L36" t="str">
        <f>IF(tblOrders[[#This Row],[Quantity]]&lt;=0,"Check","OK")</f>
        <v>OK</v>
      </c>
      <c r="M36" s="1" t="str">
        <f>IF(tblOrders[[#This Row],[Delivery_Date]]&lt;tblOrders[[#This Row],[Order_Date]],"Error","OK")</f>
        <v>OK</v>
      </c>
    </row>
    <row r="37" spans="1:13" x14ac:dyDescent="0.25">
      <c r="A37" s="1">
        <v>36</v>
      </c>
      <c r="B37" s="1" t="s">
        <v>170</v>
      </c>
      <c r="C37">
        <v>66</v>
      </c>
      <c r="D37">
        <v>1</v>
      </c>
      <c r="E37" s="2">
        <v>44989</v>
      </c>
      <c r="F37" s="3">
        <v>0.43672453703703706</v>
      </c>
      <c r="G37" s="2">
        <v>44999</v>
      </c>
      <c r="H37" s="3">
        <v>0.34362268518518518</v>
      </c>
      <c r="I37" s="1" t="s">
        <v>226</v>
      </c>
      <c r="J37" s="1" t="s">
        <v>25</v>
      </c>
      <c r="K37">
        <v>10</v>
      </c>
      <c r="L37" t="str">
        <f>IF(tblOrders[[#This Row],[Quantity]]&lt;=0,"Check","OK")</f>
        <v>OK</v>
      </c>
      <c r="M37" s="1" t="str">
        <f>IF(tblOrders[[#This Row],[Delivery_Date]]&lt;tblOrders[[#This Row],[Order_Date]],"Error","OK")</f>
        <v>OK</v>
      </c>
    </row>
    <row r="38" spans="1:13" x14ac:dyDescent="0.25">
      <c r="A38" s="1">
        <v>37</v>
      </c>
      <c r="B38" s="1" t="s">
        <v>227</v>
      </c>
      <c r="C38">
        <v>19</v>
      </c>
      <c r="D38">
        <v>5</v>
      </c>
      <c r="E38" s="2">
        <v>44967</v>
      </c>
      <c r="F38" s="3">
        <v>0.45907407407407408</v>
      </c>
      <c r="G38" s="2">
        <v>44972</v>
      </c>
      <c r="H38" s="3">
        <v>0.88861111111111113</v>
      </c>
      <c r="I38" s="1" t="s">
        <v>228</v>
      </c>
      <c r="J38" s="1" t="s">
        <v>12</v>
      </c>
      <c r="K38">
        <v>5</v>
      </c>
      <c r="L38" t="str">
        <f>IF(tblOrders[[#This Row],[Quantity]]&lt;=0,"Check","OK")</f>
        <v>OK</v>
      </c>
      <c r="M38" s="1" t="str">
        <f>IF(tblOrders[[#This Row],[Delivery_Date]]&lt;tblOrders[[#This Row],[Order_Date]],"Error","OK")</f>
        <v>OK</v>
      </c>
    </row>
    <row r="39" spans="1:13" x14ac:dyDescent="0.25">
      <c r="A39" s="1">
        <v>38</v>
      </c>
      <c r="B39" s="1" t="s">
        <v>229</v>
      </c>
      <c r="C39">
        <v>37</v>
      </c>
      <c r="D39">
        <v>3</v>
      </c>
      <c r="E39" s="2">
        <v>45241</v>
      </c>
      <c r="F39" s="3">
        <v>0.52115740740740746</v>
      </c>
      <c r="G39" s="2">
        <v>45244</v>
      </c>
      <c r="H39" s="3">
        <v>0.51725694444444448</v>
      </c>
      <c r="I39" s="1" t="s">
        <v>230</v>
      </c>
      <c r="J39" s="1" t="s">
        <v>19</v>
      </c>
      <c r="K39">
        <v>3</v>
      </c>
      <c r="L39" t="str">
        <f>IF(tblOrders[[#This Row],[Quantity]]&lt;=0,"Check","OK")</f>
        <v>OK</v>
      </c>
      <c r="M39" s="1" t="str">
        <f>IF(tblOrders[[#This Row],[Delivery_Date]]&lt;tblOrders[[#This Row],[Order_Date]],"Error","OK")</f>
        <v>OK</v>
      </c>
    </row>
    <row r="40" spans="1:13" x14ac:dyDescent="0.25">
      <c r="A40" s="1">
        <v>39</v>
      </c>
      <c r="B40" s="1" t="s">
        <v>204</v>
      </c>
      <c r="C40">
        <v>43</v>
      </c>
      <c r="D40">
        <v>2</v>
      </c>
      <c r="E40" s="2">
        <v>45232</v>
      </c>
      <c r="F40" s="3">
        <v>0.80969907407407404</v>
      </c>
      <c r="G40" s="2">
        <v>45234</v>
      </c>
      <c r="H40" s="3">
        <v>0.56159722222222219</v>
      </c>
      <c r="I40" s="1" t="s">
        <v>231</v>
      </c>
      <c r="J40" s="1" t="s">
        <v>19</v>
      </c>
      <c r="K40">
        <v>2</v>
      </c>
      <c r="L40" t="str">
        <f>IF(tblOrders[[#This Row],[Quantity]]&lt;=0,"Check","OK")</f>
        <v>OK</v>
      </c>
      <c r="M40" s="1" t="str">
        <f>IF(tblOrders[[#This Row],[Delivery_Date]]&lt;tblOrders[[#This Row],[Order_Date]],"Error","OK")</f>
        <v>OK</v>
      </c>
    </row>
    <row r="41" spans="1:13" x14ac:dyDescent="0.25">
      <c r="A41" s="1">
        <v>40</v>
      </c>
      <c r="B41" s="1" t="s">
        <v>232</v>
      </c>
      <c r="C41">
        <v>48</v>
      </c>
      <c r="D41">
        <v>4</v>
      </c>
      <c r="E41" s="2">
        <v>45232</v>
      </c>
      <c r="F41" s="3">
        <v>0.59386574074074072</v>
      </c>
      <c r="G41" s="2">
        <v>45235</v>
      </c>
      <c r="H41" s="3">
        <v>0.18743055555555554</v>
      </c>
      <c r="I41" s="1" t="s">
        <v>233</v>
      </c>
      <c r="J41" s="1" t="s">
        <v>19</v>
      </c>
      <c r="K41">
        <v>3</v>
      </c>
      <c r="L41" t="str">
        <f>IF(tblOrders[[#This Row],[Quantity]]&lt;=0,"Check","OK")</f>
        <v>OK</v>
      </c>
      <c r="M41" s="1" t="str">
        <f>IF(tblOrders[[#This Row],[Delivery_Date]]&lt;tblOrders[[#This Row],[Order_Date]],"Error","OK")</f>
        <v>OK</v>
      </c>
    </row>
    <row r="42" spans="1:13" x14ac:dyDescent="0.25">
      <c r="A42" s="1">
        <v>41</v>
      </c>
      <c r="B42" s="1" t="s">
        <v>221</v>
      </c>
      <c r="C42">
        <v>54</v>
      </c>
      <c r="D42">
        <v>4</v>
      </c>
      <c r="E42" s="2">
        <v>45085</v>
      </c>
      <c r="F42" s="3">
        <v>0.80543981481481486</v>
      </c>
      <c r="G42" s="2">
        <v>45087</v>
      </c>
      <c r="H42" s="3">
        <v>0.60395833333333337</v>
      </c>
      <c r="I42" s="1" t="s">
        <v>234</v>
      </c>
      <c r="J42" s="1" t="s">
        <v>30</v>
      </c>
      <c r="K42">
        <v>2</v>
      </c>
      <c r="L42" t="str">
        <f>IF(tblOrders[[#This Row],[Quantity]]&lt;=0,"Check","OK")</f>
        <v>OK</v>
      </c>
      <c r="M42" s="1" t="str">
        <f>IF(tblOrders[[#This Row],[Delivery_Date]]&lt;tblOrders[[#This Row],[Order_Date]],"Error","OK")</f>
        <v>OK</v>
      </c>
    </row>
    <row r="43" spans="1:13" x14ac:dyDescent="0.25">
      <c r="A43" s="1">
        <v>42</v>
      </c>
      <c r="B43" s="1" t="s">
        <v>235</v>
      </c>
      <c r="C43">
        <v>35</v>
      </c>
      <c r="D43">
        <v>1</v>
      </c>
      <c r="E43" s="2">
        <v>44983</v>
      </c>
      <c r="F43" s="3">
        <v>5.9953703703703705E-3</v>
      </c>
      <c r="G43" s="2">
        <v>44992</v>
      </c>
      <c r="H43" s="3">
        <v>0.72115740740740741</v>
      </c>
      <c r="I43" s="1" t="s">
        <v>236</v>
      </c>
      <c r="J43" s="1" t="s">
        <v>25</v>
      </c>
      <c r="K43">
        <v>9</v>
      </c>
      <c r="L43" t="str">
        <f>IF(tblOrders[[#This Row],[Quantity]]&lt;=0,"Check","OK")</f>
        <v>OK</v>
      </c>
      <c r="M43" s="1" t="str">
        <f>IF(tblOrders[[#This Row],[Delivery_Date]]&lt;tblOrders[[#This Row],[Order_Date]],"Error","OK")</f>
        <v>OK</v>
      </c>
    </row>
    <row r="44" spans="1:13" x14ac:dyDescent="0.25">
      <c r="A44" s="1">
        <v>43</v>
      </c>
      <c r="B44" s="1" t="s">
        <v>237</v>
      </c>
      <c r="C44">
        <v>49</v>
      </c>
      <c r="D44">
        <v>3</v>
      </c>
      <c r="E44" s="2">
        <v>44969</v>
      </c>
      <c r="F44" s="3">
        <v>0.93837962962962962</v>
      </c>
      <c r="G44" s="2">
        <v>44973</v>
      </c>
      <c r="H44" s="3">
        <v>0.11651620370370371</v>
      </c>
      <c r="I44" s="1" t="s">
        <v>238</v>
      </c>
      <c r="J44" s="1" t="s">
        <v>12</v>
      </c>
      <c r="K44">
        <v>4</v>
      </c>
      <c r="L44" t="str">
        <f>IF(tblOrders[[#This Row],[Quantity]]&lt;=0,"Check","OK")</f>
        <v>OK</v>
      </c>
      <c r="M44" s="1" t="str">
        <f>IF(tblOrders[[#This Row],[Delivery_Date]]&lt;tblOrders[[#This Row],[Order_Date]],"Error","OK")</f>
        <v>OK</v>
      </c>
    </row>
    <row r="45" spans="1:13" x14ac:dyDescent="0.25">
      <c r="A45" s="1">
        <v>44</v>
      </c>
      <c r="B45" s="1" t="s">
        <v>239</v>
      </c>
      <c r="C45">
        <v>14</v>
      </c>
      <c r="D45">
        <v>1</v>
      </c>
      <c r="E45" s="2">
        <v>45124</v>
      </c>
      <c r="F45" s="3">
        <v>0.91523148148148148</v>
      </c>
      <c r="G45" s="2">
        <v>45134</v>
      </c>
      <c r="H45" s="3">
        <v>0.45010416666666669</v>
      </c>
      <c r="I45" s="1" t="s">
        <v>240</v>
      </c>
      <c r="J45" s="1" t="s">
        <v>36</v>
      </c>
      <c r="K45">
        <v>10</v>
      </c>
      <c r="L45" t="str">
        <f>IF(tblOrders[[#This Row],[Quantity]]&lt;=0,"Check","OK")</f>
        <v>OK</v>
      </c>
      <c r="M45" s="1" t="str">
        <f>IF(tblOrders[[#This Row],[Delivery_Date]]&lt;tblOrders[[#This Row],[Order_Date]],"Error","OK")</f>
        <v>OK</v>
      </c>
    </row>
    <row r="46" spans="1:13" x14ac:dyDescent="0.25">
      <c r="A46" s="1">
        <v>45</v>
      </c>
      <c r="B46" s="1" t="s">
        <v>180</v>
      </c>
      <c r="C46">
        <v>61</v>
      </c>
      <c r="D46">
        <v>5</v>
      </c>
      <c r="E46" s="2">
        <v>45044</v>
      </c>
      <c r="F46" s="3">
        <v>0.60168981481481476</v>
      </c>
      <c r="G46" s="2">
        <v>45045</v>
      </c>
      <c r="H46" s="3">
        <v>0.2615277777777778</v>
      </c>
      <c r="I46" s="1" t="s">
        <v>241</v>
      </c>
      <c r="J46" s="1" t="s">
        <v>30</v>
      </c>
      <c r="K46">
        <v>1</v>
      </c>
      <c r="L46" t="str">
        <f>IF(tblOrders[[#This Row],[Quantity]]&lt;=0,"Check","OK")</f>
        <v>OK</v>
      </c>
      <c r="M46" s="1" t="str">
        <f>IF(tblOrders[[#This Row],[Delivery_Date]]&lt;tblOrders[[#This Row],[Order_Date]],"Error","OK")</f>
        <v>OK</v>
      </c>
    </row>
    <row r="47" spans="1:13" x14ac:dyDescent="0.25">
      <c r="A47" s="1">
        <v>46</v>
      </c>
      <c r="B47" s="1" t="s">
        <v>242</v>
      </c>
      <c r="C47">
        <v>22</v>
      </c>
      <c r="D47">
        <v>4</v>
      </c>
      <c r="E47" s="2">
        <v>45034</v>
      </c>
      <c r="F47" s="3">
        <v>0.13971064814814815</v>
      </c>
      <c r="G47" s="2">
        <v>45039</v>
      </c>
      <c r="H47" s="3">
        <v>0.33524305555555556</v>
      </c>
      <c r="I47" s="1" t="s">
        <v>243</v>
      </c>
      <c r="J47" s="1" t="s">
        <v>8</v>
      </c>
      <c r="K47">
        <v>5</v>
      </c>
      <c r="L47" t="str">
        <f>IF(tblOrders[[#This Row],[Quantity]]&lt;=0,"Check","OK")</f>
        <v>OK</v>
      </c>
      <c r="M47" s="1" t="str">
        <f>IF(tblOrders[[#This Row],[Delivery_Date]]&lt;tblOrders[[#This Row],[Order_Date]],"Error","OK")</f>
        <v>OK</v>
      </c>
    </row>
    <row r="48" spans="1:13" x14ac:dyDescent="0.25">
      <c r="A48" s="1">
        <v>47</v>
      </c>
      <c r="B48" s="1" t="s">
        <v>193</v>
      </c>
      <c r="C48">
        <v>7</v>
      </c>
      <c r="D48">
        <v>5</v>
      </c>
      <c r="E48" s="2">
        <v>44983</v>
      </c>
      <c r="F48" s="3">
        <v>0.54476851851851849</v>
      </c>
      <c r="G48" s="2">
        <v>44985</v>
      </c>
      <c r="H48" s="3">
        <v>0.2502314814814815</v>
      </c>
      <c r="I48" s="1" t="s">
        <v>169</v>
      </c>
      <c r="J48" s="1" t="s">
        <v>25</v>
      </c>
      <c r="K48">
        <v>2</v>
      </c>
      <c r="L48" t="str">
        <f>IF(tblOrders[[#This Row],[Quantity]]&lt;=0,"Check","OK")</f>
        <v>OK</v>
      </c>
      <c r="M48" s="1" t="str">
        <f>IF(tblOrders[[#This Row],[Delivery_Date]]&lt;tblOrders[[#This Row],[Order_Date]],"Error","OK")</f>
        <v>OK</v>
      </c>
    </row>
    <row r="49" spans="1:13" x14ac:dyDescent="0.25">
      <c r="A49" s="1">
        <v>48</v>
      </c>
      <c r="B49" s="1" t="s">
        <v>244</v>
      </c>
      <c r="C49">
        <v>65</v>
      </c>
      <c r="D49">
        <v>4</v>
      </c>
      <c r="E49" s="2">
        <v>45242</v>
      </c>
      <c r="F49" s="3">
        <v>0.83368055555555554</v>
      </c>
      <c r="G49" s="2">
        <v>45246</v>
      </c>
      <c r="H49" s="3">
        <v>0.23034722222222223</v>
      </c>
      <c r="I49" s="1" t="s">
        <v>245</v>
      </c>
      <c r="J49" s="1" t="s">
        <v>8</v>
      </c>
      <c r="K49">
        <v>4</v>
      </c>
      <c r="L49" t="str">
        <f>IF(tblOrders[[#This Row],[Quantity]]&lt;=0,"Check","OK")</f>
        <v>OK</v>
      </c>
      <c r="M49" s="1" t="str">
        <f>IF(tblOrders[[#This Row],[Delivery_Date]]&lt;tblOrders[[#This Row],[Order_Date]],"Error","OK")</f>
        <v>OK</v>
      </c>
    </row>
    <row r="50" spans="1:13" x14ac:dyDescent="0.25">
      <c r="A50" s="1">
        <v>49</v>
      </c>
      <c r="B50" s="1" t="s">
        <v>246</v>
      </c>
      <c r="C50">
        <v>43</v>
      </c>
      <c r="D50">
        <v>1</v>
      </c>
      <c r="E50" s="2">
        <v>45241</v>
      </c>
      <c r="F50" s="3">
        <v>0.73923611111111109</v>
      </c>
      <c r="G50" s="2">
        <v>45248</v>
      </c>
      <c r="H50" s="3">
        <v>0.57629629629629631</v>
      </c>
      <c r="I50" s="1" t="s">
        <v>247</v>
      </c>
      <c r="J50" s="1" t="s">
        <v>19</v>
      </c>
      <c r="K50">
        <v>7</v>
      </c>
      <c r="L50" t="str">
        <f>IF(tblOrders[[#This Row],[Quantity]]&lt;=0,"Check","OK")</f>
        <v>OK</v>
      </c>
      <c r="M50" s="1" t="str">
        <f>IF(tblOrders[[#This Row],[Delivery_Date]]&lt;tblOrders[[#This Row],[Order_Date]],"Error","OK")</f>
        <v>OK</v>
      </c>
    </row>
    <row r="51" spans="1:13" x14ac:dyDescent="0.25">
      <c r="A51" s="1">
        <v>50</v>
      </c>
      <c r="B51" s="1" t="s">
        <v>248</v>
      </c>
      <c r="C51">
        <v>41</v>
      </c>
      <c r="D51">
        <v>4</v>
      </c>
      <c r="E51" s="2">
        <v>45239</v>
      </c>
      <c r="F51" s="3">
        <v>0.28927083333333331</v>
      </c>
      <c r="G51" s="2">
        <v>45246</v>
      </c>
      <c r="H51" s="3">
        <v>0.43011574074074072</v>
      </c>
      <c r="I51" s="1" t="s">
        <v>249</v>
      </c>
      <c r="J51" s="1" t="s">
        <v>19</v>
      </c>
      <c r="K51">
        <v>7</v>
      </c>
      <c r="L51" t="str">
        <f>IF(tblOrders[[#This Row],[Quantity]]&lt;=0,"Check","OK")</f>
        <v>OK</v>
      </c>
      <c r="M51" s="1" t="str">
        <f>IF(tblOrders[[#This Row],[Delivery_Date]]&lt;tblOrders[[#This Row],[Order_Date]],"Error","OK")</f>
        <v>OK</v>
      </c>
    </row>
    <row r="52" spans="1:13" x14ac:dyDescent="0.25">
      <c r="A52" s="1">
        <v>51</v>
      </c>
      <c r="B52" s="1" t="s">
        <v>250</v>
      </c>
      <c r="C52">
        <v>10</v>
      </c>
      <c r="D52">
        <v>1</v>
      </c>
      <c r="E52" s="2">
        <v>45000</v>
      </c>
      <c r="F52" s="3">
        <v>0.39153935185185185</v>
      </c>
      <c r="G52" s="2">
        <v>45004</v>
      </c>
      <c r="H52" s="3">
        <v>0.69907407407407407</v>
      </c>
      <c r="I52" s="1" t="s">
        <v>251</v>
      </c>
      <c r="J52" s="1" t="s">
        <v>36</v>
      </c>
      <c r="K52">
        <v>4</v>
      </c>
      <c r="L52" t="str">
        <f>IF(tblOrders[[#This Row],[Quantity]]&lt;=0,"Check","OK")</f>
        <v>OK</v>
      </c>
      <c r="M52" s="1" t="str">
        <f>IF(tblOrders[[#This Row],[Delivery_Date]]&lt;tblOrders[[#This Row],[Order_Date]],"Error","OK")</f>
        <v>OK</v>
      </c>
    </row>
    <row r="53" spans="1:13" x14ac:dyDescent="0.25">
      <c r="A53" s="1">
        <v>52</v>
      </c>
      <c r="B53" s="1" t="s">
        <v>252</v>
      </c>
      <c r="C53">
        <v>9</v>
      </c>
      <c r="D53">
        <v>1</v>
      </c>
      <c r="E53" s="2">
        <v>45167</v>
      </c>
      <c r="F53" s="3">
        <v>0.83011574074074079</v>
      </c>
      <c r="G53" s="2">
        <v>45176</v>
      </c>
      <c r="H53" s="3">
        <v>0.1819675925925926</v>
      </c>
      <c r="I53" s="1" t="s">
        <v>253</v>
      </c>
      <c r="J53" s="1" t="s">
        <v>33</v>
      </c>
      <c r="K53">
        <v>9</v>
      </c>
      <c r="L53" t="str">
        <f>IF(tblOrders[[#This Row],[Quantity]]&lt;=0,"Check","OK")</f>
        <v>OK</v>
      </c>
      <c r="M53" s="1" t="str">
        <f>IF(tblOrders[[#This Row],[Delivery_Date]]&lt;tblOrders[[#This Row],[Order_Date]],"Error","OK")</f>
        <v>OK</v>
      </c>
    </row>
    <row r="54" spans="1:13" x14ac:dyDescent="0.25">
      <c r="A54" s="1">
        <v>53</v>
      </c>
      <c r="B54" s="1" t="s">
        <v>254</v>
      </c>
      <c r="C54">
        <v>9</v>
      </c>
      <c r="D54">
        <v>5</v>
      </c>
      <c r="E54" s="2">
        <v>45158</v>
      </c>
      <c r="F54" s="3">
        <v>0.35121527777777778</v>
      </c>
      <c r="G54" s="2">
        <v>45165</v>
      </c>
      <c r="H54" s="3">
        <v>0.24966435185185185</v>
      </c>
      <c r="I54" s="1" t="s">
        <v>255</v>
      </c>
      <c r="J54" s="1" t="s">
        <v>33</v>
      </c>
      <c r="K54">
        <v>7</v>
      </c>
      <c r="L54" t="str">
        <f>IF(tblOrders[[#This Row],[Quantity]]&lt;=0,"Check","OK")</f>
        <v>OK</v>
      </c>
      <c r="M54" s="1" t="str">
        <f>IF(tblOrders[[#This Row],[Delivery_Date]]&lt;tblOrders[[#This Row],[Order_Date]],"Error","OK")</f>
        <v>OK</v>
      </c>
    </row>
    <row r="55" spans="1:13" x14ac:dyDescent="0.25">
      <c r="A55" s="1">
        <v>54</v>
      </c>
      <c r="B55" s="1" t="s">
        <v>242</v>
      </c>
      <c r="C55">
        <v>30</v>
      </c>
      <c r="D55">
        <v>1</v>
      </c>
      <c r="E55" s="2">
        <v>45029</v>
      </c>
      <c r="F55" s="3">
        <v>0.41320601851851851</v>
      </c>
      <c r="G55" s="2">
        <v>45039</v>
      </c>
      <c r="H55" s="3">
        <v>0.60484953703703703</v>
      </c>
      <c r="I55" s="1" t="s">
        <v>256</v>
      </c>
      <c r="J55" s="1" t="s">
        <v>30</v>
      </c>
      <c r="K55">
        <v>10</v>
      </c>
      <c r="L55" t="str">
        <f>IF(tblOrders[[#This Row],[Quantity]]&lt;=0,"Check","OK")</f>
        <v>OK</v>
      </c>
      <c r="M55" s="1" t="str">
        <f>IF(tblOrders[[#This Row],[Delivery_Date]]&lt;tblOrders[[#This Row],[Order_Date]],"Error","OK")</f>
        <v>OK</v>
      </c>
    </row>
    <row r="56" spans="1:13" x14ac:dyDescent="0.25">
      <c r="A56" s="1">
        <v>55</v>
      </c>
      <c r="B56" s="1" t="s">
        <v>176</v>
      </c>
      <c r="C56">
        <v>5</v>
      </c>
      <c r="D56">
        <v>1</v>
      </c>
      <c r="E56" s="2">
        <v>44965</v>
      </c>
      <c r="F56" s="3">
        <v>0.33410879629629631</v>
      </c>
      <c r="G56" s="2">
        <v>44970</v>
      </c>
      <c r="H56" s="3">
        <v>0.32150462962962961</v>
      </c>
      <c r="I56" s="1" t="s">
        <v>257</v>
      </c>
      <c r="J56" s="1" t="s">
        <v>8</v>
      </c>
      <c r="K56">
        <v>5</v>
      </c>
      <c r="L56" t="str">
        <f>IF(tblOrders[[#This Row],[Quantity]]&lt;=0,"Check","OK")</f>
        <v>OK</v>
      </c>
      <c r="M56" s="1" t="str">
        <f>IF(tblOrders[[#This Row],[Delivery_Date]]&lt;tblOrders[[#This Row],[Order_Date]],"Error","OK")</f>
        <v>OK</v>
      </c>
    </row>
    <row r="57" spans="1:13" x14ac:dyDescent="0.25">
      <c r="A57" s="1">
        <v>56</v>
      </c>
      <c r="B57" s="1" t="s">
        <v>258</v>
      </c>
      <c r="C57">
        <v>58</v>
      </c>
      <c r="D57">
        <v>5</v>
      </c>
      <c r="E57" s="2">
        <v>44965</v>
      </c>
      <c r="F57" s="3">
        <v>0.50819444444444439</v>
      </c>
      <c r="G57" s="2">
        <v>44970</v>
      </c>
      <c r="H57" s="3">
        <v>0.78609953703703705</v>
      </c>
      <c r="I57" s="1" t="s">
        <v>259</v>
      </c>
      <c r="J57" s="1" t="s">
        <v>12</v>
      </c>
      <c r="K57">
        <v>5</v>
      </c>
      <c r="L57" t="str">
        <f>IF(tblOrders[[#This Row],[Quantity]]&lt;=0,"Check","OK")</f>
        <v>OK</v>
      </c>
      <c r="M57" s="1" t="str">
        <f>IF(tblOrders[[#This Row],[Delivery_Date]]&lt;tblOrders[[#This Row],[Order_Date]],"Error","OK")</f>
        <v>OK</v>
      </c>
    </row>
    <row r="58" spans="1:13" x14ac:dyDescent="0.25">
      <c r="A58" s="1">
        <v>57</v>
      </c>
      <c r="B58" s="1" t="s">
        <v>202</v>
      </c>
      <c r="C58">
        <v>35</v>
      </c>
      <c r="D58">
        <v>5</v>
      </c>
      <c r="E58" s="2">
        <v>44983</v>
      </c>
      <c r="F58" s="3">
        <v>0.33350694444444445</v>
      </c>
      <c r="G58" s="2">
        <v>44991</v>
      </c>
      <c r="H58" s="3">
        <v>0.5191203703703704</v>
      </c>
      <c r="I58" s="1" t="s">
        <v>260</v>
      </c>
      <c r="J58" s="1" t="s">
        <v>25</v>
      </c>
      <c r="K58">
        <v>8</v>
      </c>
      <c r="L58" t="str">
        <f>IF(tblOrders[[#This Row],[Quantity]]&lt;=0,"Check","OK")</f>
        <v>OK</v>
      </c>
      <c r="M58" s="1" t="str">
        <f>IF(tblOrders[[#This Row],[Delivery_Date]]&lt;tblOrders[[#This Row],[Order_Date]],"Error","OK")</f>
        <v>OK</v>
      </c>
    </row>
    <row r="59" spans="1:13" x14ac:dyDescent="0.25">
      <c r="A59" s="1">
        <v>58</v>
      </c>
      <c r="B59" s="1" t="s">
        <v>261</v>
      </c>
      <c r="C59">
        <v>36</v>
      </c>
      <c r="D59">
        <v>1</v>
      </c>
      <c r="E59" s="2">
        <v>44932</v>
      </c>
      <c r="F59" s="3">
        <v>0.11909722222222222</v>
      </c>
      <c r="G59" s="2">
        <v>44941</v>
      </c>
      <c r="H59" s="3">
        <v>0.35159722222222223</v>
      </c>
      <c r="I59" s="1" t="s">
        <v>262</v>
      </c>
      <c r="J59" s="1" t="s">
        <v>36</v>
      </c>
      <c r="K59">
        <v>9</v>
      </c>
      <c r="L59" t="str">
        <f>IF(tblOrders[[#This Row],[Quantity]]&lt;=0,"Check","OK")</f>
        <v>OK</v>
      </c>
      <c r="M59" s="1" t="str">
        <f>IF(tblOrders[[#This Row],[Delivery_Date]]&lt;tblOrders[[#This Row],[Order_Date]],"Error","OK")</f>
        <v>OK</v>
      </c>
    </row>
    <row r="60" spans="1:13" x14ac:dyDescent="0.25">
      <c r="A60" s="1">
        <v>59</v>
      </c>
      <c r="B60" s="1" t="s">
        <v>206</v>
      </c>
      <c r="C60">
        <v>51</v>
      </c>
      <c r="D60">
        <v>5</v>
      </c>
      <c r="E60" s="2">
        <v>45103</v>
      </c>
      <c r="F60" s="3">
        <v>0.1640625</v>
      </c>
      <c r="G60" s="2">
        <v>45105</v>
      </c>
      <c r="H60" s="3">
        <v>0.84032407407407406</v>
      </c>
      <c r="I60" s="1" t="s">
        <v>263</v>
      </c>
      <c r="J60" s="1" t="s">
        <v>8</v>
      </c>
      <c r="K60">
        <v>2</v>
      </c>
      <c r="L60" t="str">
        <f>IF(tblOrders[[#This Row],[Quantity]]&lt;=0,"Check","OK")</f>
        <v>OK</v>
      </c>
      <c r="M60" s="1" t="str">
        <f>IF(tblOrders[[#This Row],[Delivery_Date]]&lt;tblOrders[[#This Row],[Order_Date]],"Error","OK")</f>
        <v>OK</v>
      </c>
    </row>
    <row r="61" spans="1:13" x14ac:dyDescent="0.25">
      <c r="A61" s="1">
        <v>60</v>
      </c>
      <c r="B61" s="1" t="s">
        <v>252</v>
      </c>
      <c r="C61">
        <v>5</v>
      </c>
      <c r="D61">
        <v>2</v>
      </c>
      <c r="E61" s="2">
        <v>45273</v>
      </c>
      <c r="F61" s="3">
        <v>0.2824652777777778</v>
      </c>
      <c r="G61" s="2">
        <v>45275</v>
      </c>
      <c r="H61" s="3">
        <v>0.54439814814814813</v>
      </c>
      <c r="I61" s="1" t="s">
        <v>264</v>
      </c>
      <c r="J61" s="1" t="s">
        <v>8</v>
      </c>
      <c r="K61">
        <v>2</v>
      </c>
      <c r="L61" t="str">
        <f>IF(tblOrders[[#This Row],[Quantity]]&lt;=0,"Check","OK")</f>
        <v>OK</v>
      </c>
      <c r="M61" s="1" t="str">
        <f>IF(tblOrders[[#This Row],[Delivery_Date]]&lt;tblOrders[[#This Row],[Order_Date]],"Error","OK")</f>
        <v>OK</v>
      </c>
    </row>
    <row r="62" spans="1:13" x14ac:dyDescent="0.25">
      <c r="A62" s="1">
        <v>61</v>
      </c>
      <c r="B62" s="1" t="s">
        <v>265</v>
      </c>
      <c r="C62">
        <v>44</v>
      </c>
      <c r="D62">
        <v>2</v>
      </c>
      <c r="E62" s="2">
        <v>45238</v>
      </c>
      <c r="F62" s="3">
        <v>0.93501157407407409</v>
      </c>
      <c r="G62" s="2">
        <v>45240</v>
      </c>
      <c r="H62" s="3">
        <v>0.33924768518518517</v>
      </c>
      <c r="I62" s="1" t="s">
        <v>266</v>
      </c>
      <c r="J62" s="1" t="s">
        <v>19</v>
      </c>
      <c r="K62">
        <v>2</v>
      </c>
      <c r="L62" t="str">
        <f>IF(tblOrders[[#This Row],[Quantity]]&lt;=0,"Check","OK")</f>
        <v>OK</v>
      </c>
      <c r="M62" s="1" t="str">
        <f>IF(tblOrders[[#This Row],[Delivery_Date]]&lt;tblOrders[[#This Row],[Order_Date]],"Error","OK")</f>
        <v>OK</v>
      </c>
    </row>
    <row r="63" spans="1:13" x14ac:dyDescent="0.25">
      <c r="A63" s="1">
        <v>62</v>
      </c>
      <c r="B63" s="1" t="s">
        <v>267</v>
      </c>
      <c r="C63">
        <v>6</v>
      </c>
      <c r="D63">
        <v>4</v>
      </c>
      <c r="E63" s="2">
        <v>44987</v>
      </c>
      <c r="F63" s="3">
        <v>0.64642361111111113</v>
      </c>
      <c r="G63" s="2">
        <v>44991</v>
      </c>
      <c r="H63" s="3">
        <v>0.99421296296296291</v>
      </c>
      <c r="I63" s="1" t="s">
        <v>268</v>
      </c>
      <c r="J63" s="1" t="s">
        <v>25</v>
      </c>
      <c r="K63">
        <v>4</v>
      </c>
      <c r="L63" t="str">
        <f>IF(tblOrders[[#This Row],[Quantity]]&lt;=0,"Check","OK")</f>
        <v>OK</v>
      </c>
      <c r="M63" s="1" t="str">
        <f>IF(tblOrders[[#This Row],[Delivery_Date]]&lt;tblOrders[[#This Row],[Order_Date]],"Error","OK")</f>
        <v>OK</v>
      </c>
    </row>
    <row r="64" spans="1:13" x14ac:dyDescent="0.25">
      <c r="A64" s="1">
        <v>63</v>
      </c>
      <c r="B64" s="1" t="s">
        <v>195</v>
      </c>
      <c r="C64">
        <v>42</v>
      </c>
      <c r="D64">
        <v>3</v>
      </c>
      <c r="E64" s="2">
        <v>45102</v>
      </c>
      <c r="F64" s="3">
        <v>0.26571759259259259</v>
      </c>
      <c r="G64" s="2">
        <v>45103</v>
      </c>
      <c r="H64" s="3">
        <v>0.65282407407407406</v>
      </c>
      <c r="I64" s="1" t="s">
        <v>269</v>
      </c>
      <c r="J64" s="1" t="s">
        <v>8</v>
      </c>
      <c r="K64">
        <v>1</v>
      </c>
      <c r="L64" t="str">
        <f>IF(tblOrders[[#This Row],[Quantity]]&lt;=0,"Check","OK")</f>
        <v>OK</v>
      </c>
      <c r="M64" s="1" t="str">
        <f>IF(tblOrders[[#This Row],[Delivery_Date]]&lt;tblOrders[[#This Row],[Order_Date]],"Error","OK")</f>
        <v>OK</v>
      </c>
    </row>
    <row r="65" spans="1:13" x14ac:dyDescent="0.25">
      <c r="A65" s="1">
        <v>64</v>
      </c>
      <c r="B65" s="1" t="s">
        <v>270</v>
      </c>
      <c r="C65">
        <v>25</v>
      </c>
      <c r="D65">
        <v>1</v>
      </c>
      <c r="E65" s="2">
        <v>45089</v>
      </c>
      <c r="F65" s="3">
        <v>0.11711805555555556</v>
      </c>
      <c r="G65" s="2">
        <v>45092</v>
      </c>
      <c r="H65" s="3">
        <v>0.92061342592592588</v>
      </c>
      <c r="I65" s="1" t="s">
        <v>271</v>
      </c>
      <c r="J65" s="1" t="s">
        <v>30</v>
      </c>
      <c r="K65">
        <v>3</v>
      </c>
      <c r="L65" t="str">
        <f>IF(tblOrders[[#This Row],[Quantity]]&lt;=0,"Check","OK")</f>
        <v>OK</v>
      </c>
      <c r="M65" s="1" t="str">
        <f>IF(tblOrders[[#This Row],[Delivery_Date]]&lt;tblOrders[[#This Row],[Order_Date]],"Error","OK")</f>
        <v>OK</v>
      </c>
    </row>
    <row r="66" spans="1:13" x14ac:dyDescent="0.25">
      <c r="A66" s="1">
        <v>65</v>
      </c>
      <c r="B66" s="1" t="s">
        <v>272</v>
      </c>
      <c r="C66">
        <v>54</v>
      </c>
      <c r="D66">
        <v>2</v>
      </c>
      <c r="E66" s="2">
        <v>45170</v>
      </c>
      <c r="F66" s="3">
        <v>0.5433796296296296</v>
      </c>
      <c r="G66" s="2">
        <v>45180</v>
      </c>
      <c r="H66" s="3">
        <v>0.27351851851851849</v>
      </c>
      <c r="I66" s="1" t="s">
        <v>273</v>
      </c>
      <c r="J66" s="1" t="s">
        <v>30</v>
      </c>
      <c r="K66">
        <v>10</v>
      </c>
      <c r="L66" t="str">
        <f>IF(tblOrders[[#This Row],[Quantity]]&lt;=0,"Check","OK")</f>
        <v>OK</v>
      </c>
      <c r="M66" s="1" t="str">
        <f>IF(tblOrders[[#This Row],[Delivery_Date]]&lt;tblOrders[[#This Row],[Order_Date]],"Error","OK")</f>
        <v>OK</v>
      </c>
    </row>
    <row r="67" spans="1:13" x14ac:dyDescent="0.25">
      <c r="A67" s="1">
        <v>66</v>
      </c>
      <c r="B67" s="1" t="s">
        <v>274</v>
      </c>
      <c r="C67">
        <v>35</v>
      </c>
      <c r="D67">
        <v>5</v>
      </c>
      <c r="E67" s="2">
        <v>44983</v>
      </c>
      <c r="F67" s="3">
        <v>0.87550925925925926</v>
      </c>
      <c r="G67" s="2">
        <v>44984</v>
      </c>
      <c r="H67" s="3">
        <v>0.26803240740740741</v>
      </c>
      <c r="I67" s="1" t="s">
        <v>269</v>
      </c>
      <c r="J67" s="1" t="s">
        <v>25</v>
      </c>
      <c r="K67">
        <v>1</v>
      </c>
      <c r="L67" t="str">
        <f>IF(tblOrders[[#This Row],[Quantity]]&lt;=0,"Check","OK")</f>
        <v>OK</v>
      </c>
      <c r="M67" s="1" t="str">
        <f>IF(tblOrders[[#This Row],[Delivery_Date]]&lt;tblOrders[[#This Row],[Order_Date]],"Error","OK")</f>
        <v>OK</v>
      </c>
    </row>
    <row r="68" spans="1:13" x14ac:dyDescent="0.25">
      <c r="A68" s="1">
        <v>67</v>
      </c>
      <c r="B68" s="1" t="s">
        <v>221</v>
      </c>
      <c r="C68">
        <v>10</v>
      </c>
      <c r="D68">
        <v>2</v>
      </c>
      <c r="E68" s="2">
        <v>45113</v>
      </c>
      <c r="F68" s="3">
        <v>0.72802083333333334</v>
      </c>
      <c r="G68" s="2">
        <v>45121</v>
      </c>
      <c r="H68" s="3">
        <v>0.88265046296296301</v>
      </c>
      <c r="I68" s="1" t="s">
        <v>275</v>
      </c>
      <c r="J68" s="1" t="s">
        <v>36</v>
      </c>
      <c r="K68">
        <v>8</v>
      </c>
      <c r="L68" t="str">
        <f>IF(tblOrders[[#This Row],[Quantity]]&lt;=0,"Check","OK")</f>
        <v>OK</v>
      </c>
      <c r="M68" s="1" t="str">
        <f>IF(tblOrders[[#This Row],[Delivery_Date]]&lt;tblOrders[[#This Row],[Order_Date]],"Error","OK")</f>
        <v>OK</v>
      </c>
    </row>
    <row r="69" spans="1:13" x14ac:dyDescent="0.25">
      <c r="A69" s="1">
        <v>68</v>
      </c>
      <c r="B69" s="1" t="s">
        <v>276</v>
      </c>
      <c r="C69">
        <v>34</v>
      </c>
      <c r="D69">
        <v>4</v>
      </c>
      <c r="E69" s="2">
        <v>45163</v>
      </c>
      <c r="F69" s="3">
        <v>0.94719907407407411</v>
      </c>
      <c r="G69" s="2">
        <v>45169</v>
      </c>
      <c r="H69" s="3">
        <v>0.8966898148148148</v>
      </c>
      <c r="I69" s="1" t="s">
        <v>260</v>
      </c>
      <c r="J69" s="1" t="s">
        <v>33</v>
      </c>
      <c r="K69">
        <v>6</v>
      </c>
      <c r="L69" t="str">
        <f>IF(tblOrders[[#This Row],[Quantity]]&lt;=0,"Check","OK")</f>
        <v>OK</v>
      </c>
      <c r="M69" s="1" t="str">
        <f>IF(tblOrders[[#This Row],[Delivery_Date]]&lt;tblOrders[[#This Row],[Order_Date]],"Error","OK")</f>
        <v>OK</v>
      </c>
    </row>
    <row r="70" spans="1:13" x14ac:dyDescent="0.25">
      <c r="A70" s="1">
        <v>69</v>
      </c>
      <c r="B70" s="1" t="s">
        <v>210</v>
      </c>
      <c r="C70">
        <v>12</v>
      </c>
      <c r="D70">
        <v>4</v>
      </c>
      <c r="E70" s="2">
        <v>45171</v>
      </c>
      <c r="F70" s="3">
        <v>0.80672453703703706</v>
      </c>
      <c r="G70" s="2">
        <v>45177</v>
      </c>
      <c r="H70" s="3">
        <v>0.3958564814814815</v>
      </c>
      <c r="I70" s="1" t="s">
        <v>277</v>
      </c>
      <c r="J70" s="1" t="s">
        <v>30</v>
      </c>
      <c r="K70">
        <v>6</v>
      </c>
      <c r="L70" t="str">
        <f>IF(tblOrders[[#This Row],[Quantity]]&lt;=0,"Check","OK")</f>
        <v>OK</v>
      </c>
      <c r="M70" s="1" t="str">
        <f>IF(tblOrders[[#This Row],[Delivery_Date]]&lt;tblOrders[[#This Row],[Order_Date]],"Error","OK")</f>
        <v>OK</v>
      </c>
    </row>
    <row r="71" spans="1:13" x14ac:dyDescent="0.25">
      <c r="A71" s="1">
        <v>70</v>
      </c>
      <c r="B71" s="1" t="s">
        <v>166</v>
      </c>
      <c r="C71">
        <v>17</v>
      </c>
      <c r="D71">
        <v>1</v>
      </c>
      <c r="E71" s="2">
        <v>45197</v>
      </c>
      <c r="F71" s="3">
        <v>0.18135416666666668</v>
      </c>
      <c r="G71" s="2">
        <v>45202</v>
      </c>
      <c r="H71" s="3">
        <v>0.48927083333333332</v>
      </c>
      <c r="I71" s="1" t="s">
        <v>199</v>
      </c>
      <c r="J71" s="1" t="s">
        <v>30</v>
      </c>
      <c r="K71">
        <v>5</v>
      </c>
      <c r="L71" t="str">
        <f>IF(tblOrders[[#This Row],[Quantity]]&lt;=0,"Check","OK")</f>
        <v>OK</v>
      </c>
      <c r="M71" s="1" t="str">
        <f>IF(tblOrders[[#This Row],[Delivery_Date]]&lt;tblOrders[[#This Row],[Order_Date]],"Error","OK")</f>
        <v>OK</v>
      </c>
    </row>
    <row r="72" spans="1:13" x14ac:dyDescent="0.25">
      <c r="A72" s="1">
        <v>71</v>
      </c>
      <c r="B72" s="1" t="s">
        <v>193</v>
      </c>
      <c r="C72">
        <v>9</v>
      </c>
      <c r="D72">
        <v>5</v>
      </c>
      <c r="E72" s="2">
        <v>45158</v>
      </c>
      <c r="F72" s="3">
        <v>0.68895833333333334</v>
      </c>
      <c r="G72" s="2">
        <v>45166</v>
      </c>
      <c r="H72" s="3">
        <v>0.5635648148148148</v>
      </c>
      <c r="I72" s="1" t="s">
        <v>187</v>
      </c>
      <c r="J72" s="1" t="s">
        <v>33</v>
      </c>
      <c r="K72">
        <v>8</v>
      </c>
      <c r="L72" t="str">
        <f>IF(tblOrders[[#This Row],[Quantity]]&lt;=0,"Check","OK")</f>
        <v>OK</v>
      </c>
      <c r="M72" s="1" t="str">
        <f>IF(tblOrders[[#This Row],[Delivery_Date]]&lt;tblOrders[[#This Row],[Order_Date]],"Error","OK")</f>
        <v>OK</v>
      </c>
    </row>
    <row r="73" spans="1:13" x14ac:dyDescent="0.25">
      <c r="A73" s="1">
        <v>72</v>
      </c>
      <c r="B73" s="1" t="s">
        <v>265</v>
      </c>
      <c r="C73">
        <v>26</v>
      </c>
      <c r="D73">
        <v>3</v>
      </c>
      <c r="E73" s="2">
        <v>44988</v>
      </c>
      <c r="F73" s="3">
        <v>0.65932870370370367</v>
      </c>
      <c r="G73" s="2">
        <v>44997</v>
      </c>
      <c r="H73" s="3">
        <v>0.73206018518518523</v>
      </c>
      <c r="I73" s="1" t="s">
        <v>278</v>
      </c>
      <c r="J73" s="1" t="s">
        <v>25</v>
      </c>
      <c r="K73">
        <v>9</v>
      </c>
      <c r="L73" t="str">
        <f>IF(tblOrders[[#This Row],[Quantity]]&lt;=0,"Check","OK")</f>
        <v>OK</v>
      </c>
      <c r="M73" s="1" t="str">
        <f>IF(tblOrders[[#This Row],[Delivery_Date]]&lt;tblOrders[[#This Row],[Order_Date]],"Error","OK")</f>
        <v>OK</v>
      </c>
    </row>
    <row r="74" spans="1:13" x14ac:dyDescent="0.25">
      <c r="A74" s="1">
        <v>73</v>
      </c>
      <c r="B74" s="1" t="s">
        <v>279</v>
      </c>
      <c r="C74">
        <v>26</v>
      </c>
      <c r="D74">
        <v>1</v>
      </c>
      <c r="E74" s="2">
        <v>44988</v>
      </c>
      <c r="F74" s="3">
        <v>0.53652777777777783</v>
      </c>
      <c r="G74" s="2">
        <v>44996</v>
      </c>
      <c r="H74" s="3">
        <v>6.1527777777777778E-2</v>
      </c>
      <c r="I74" s="1" t="s">
        <v>280</v>
      </c>
      <c r="J74" s="1" t="s">
        <v>25</v>
      </c>
      <c r="K74">
        <v>8</v>
      </c>
      <c r="L74" t="str">
        <f>IF(tblOrders[[#This Row],[Quantity]]&lt;=0,"Check","OK")</f>
        <v>OK</v>
      </c>
      <c r="M74" s="1" t="str">
        <f>IF(tblOrders[[#This Row],[Delivery_Date]]&lt;tblOrders[[#This Row],[Order_Date]],"Error","OK")</f>
        <v>OK</v>
      </c>
    </row>
    <row r="75" spans="1:13" x14ac:dyDescent="0.25">
      <c r="A75" s="1">
        <v>74</v>
      </c>
      <c r="B75" s="1" t="s">
        <v>188</v>
      </c>
      <c r="C75">
        <v>31</v>
      </c>
      <c r="D75">
        <v>3</v>
      </c>
      <c r="E75" s="2">
        <v>44927</v>
      </c>
      <c r="F75" s="3">
        <v>0.87178240740740742</v>
      </c>
      <c r="G75" s="2">
        <v>44933</v>
      </c>
      <c r="H75" s="3">
        <v>0.37642361111111111</v>
      </c>
      <c r="I75" s="1" t="s">
        <v>281</v>
      </c>
      <c r="J75" s="1" t="s">
        <v>8</v>
      </c>
      <c r="K75">
        <v>6</v>
      </c>
      <c r="L75" t="str">
        <f>IF(tblOrders[[#This Row],[Quantity]]&lt;=0,"Check","OK")</f>
        <v>OK</v>
      </c>
      <c r="M75" s="1" t="str">
        <f>IF(tblOrders[[#This Row],[Delivery_Date]]&lt;tblOrders[[#This Row],[Order_Date]],"Error","OK")</f>
        <v>OK</v>
      </c>
    </row>
    <row r="76" spans="1:13" x14ac:dyDescent="0.25">
      <c r="A76" s="1">
        <v>75</v>
      </c>
      <c r="B76" s="1" t="s">
        <v>178</v>
      </c>
      <c r="C76">
        <v>65</v>
      </c>
      <c r="D76">
        <v>2</v>
      </c>
      <c r="E76" s="2">
        <v>45022</v>
      </c>
      <c r="F76" s="3">
        <v>0.46555555555555556</v>
      </c>
      <c r="G76" s="2">
        <v>45025</v>
      </c>
      <c r="H76" s="3">
        <v>0.9587268518518518</v>
      </c>
      <c r="I76" s="1" t="s">
        <v>278</v>
      </c>
      <c r="J76" s="1" t="s">
        <v>8</v>
      </c>
      <c r="K76">
        <v>3</v>
      </c>
      <c r="L76" t="str">
        <f>IF(tblOrders[[#This Row],[Quantity]]&lt;=0,"Check","OK")</f>
        <v>OK</v>
      </c>
      <c r="M76" s="1" t="str">
        <f>IF(tblOrders[[#This Row],[Delivery_Date]]&lt;tblOrders[[#This Row],[Order_Date]],"Error","OK")</f>
        <v>OK</v>
      </c>
    </row>
    <row r="77" spans="1:13" x14ac:dyDescent="0.25">
      <c r="A77" s="1">
        <v>76</v>
      </c>
      <c r="B77" s="1" t="s">
        <v>204</v>
      </c>
      <c r="C77">
        <v>4</v>
      </c>
      <c r="D77">
        <v>1</v>
      </c>
      <c r="E77" s="2">
        <v>45239</v>
      </c>
      <c r="F77" s="3">
        <v>0.21748842592592593</v>
      </c>
      <c r="G77" s="2">
        <v>45242</v>
      </c>
      <c r="H77" s="3">
        <v>2.4189814814814813E-2</v>
      </c>
      <c r="I77" s="1" t="s">
        <v>282</v>
      </c>
      <c r="J77" s="1" t="s">
        <v>19</v>
      </c>
      <c r="K77">
        <v>3</v>
      </c>
      <c r="L77" t="str">
        <f>IF(tblOrders[[#This Row],[Quantity]]&lt;=0,"Check","OK")</f>
        <v>OK</v>
      </c>
      <c r="M77" s="1" t="str">
        <f>IF(tblOrders[[#This Row],[Delivery_Date]]&lt;tblOrders[[#This Row],[Order_Date]],"Error","OK")</f>
        <v>OK</v>
      </c>
    </row>
    <row r="78" spans="1:13" x14ac:dyDescent="0.25">
      <c r="A78" s="1">
        <v>77</v>
      </c>
      <c r="B78" s="1" t="s">
        <v>283</v>
      </c>
      <c r="C78">
        <v>42</v>
      </c>
      <c r="D78">
        <v>3</v>
      </c>
      <c r="E78" s="2">
        <v>45143</v>
      </c>
      <c r="F78" s="3">
        <v>4.6655092592592595E-2</v>
      </c>
      <c r="G78" s="2">
        <v>45151</v>
      </c>
      <c r="H78" s="3">
        <v>0.68115740740740738</v>
      </c>
      <c r="I78" s="1" t="s">
        <v>284</v>
      </c>
      <c r="J78" s="1" t="s">
        <v>8</v>
      </c>
      <c r="K78">
        <v>8</v>
      </c>
      <c r="L78" t="str">
        <f>IF(tblOrders[[#This Row],[Quantity]]&lt;=0,"Check","OK")</f>
        <v>OK</v>
      </c>
      <c r="M78" s="1" t="str">
        <f>IF(tblOrders[[#This Row],[Delivery_Date]]&lt;tblOrders[[#This Row],[Order_Date]],"Error","OK")</f>
        <v>OK</v>
      </c>
    </row>
    <row r="79" spans="1:13" x14ac:dyDescent="0.25">
      <c r="A79" s="1">
        <v>78</v>
      </c>
      <c r="B79" s="1" t="s">
        <v>285</v>
      </c>
      <c r="C79">
        <v>11</v>
      </c>
      <c r="D79">
        <v>2</v>
      </c>
      <c r="E79" s="2">
        <v>44961</v>
      </c>
      <c r="F79" s="3">
        <v>0.54177083333333331</v>
      </c>
      <c r="G79" s="2">
        <v>44965</v>
      </c>
      <c r="H79" s="3">
        <v>0.85503472222222221</v>
      </c>
      <c r="I79" s="1" t="s">
        <v>286</v>
      </c>
      <c r="J79" s="1" t="s">
        <v>12</v>
      </c>
      <c r="K79">
        <v>4</v>
      </c>
      <c r="L79" t="str">
        <f>IF(tblOrders[[#This Row],[Quantity]]&lt;=0,"Check","OK")</f>
        <v>OK</v>
      </c>
      <c r="M79" s="1" t="str">
        <f>IF(tblOrders[[#This Row],[Delivery_Date]]&lt;tblOrders[[#This Row],[Order_Date]],"Error","OK")</f>
        <v>OK</v>
      </c>
    </row>
    <row r="80" spans="1:13" x14ac:dyDescent="0.25">
      <c r="A80" s="1">
        <v>79</v>
      </c>
      <c r="B80" s="1" t="s">
        <v>287</v>
      </c>
      <c r="C80">
        <v>40</v>
      </c>
      <c r="D80">
        <v>2</v>
      </c>
      <c r="E80" s="2">
        <v>45078</v>
      </c>
      <c r="F80" s="3">
        <v>0.72881944444444446</v>
      </c>
      <c r="G80" s="2">
        <v>45088</v>
      </c>
      <c r="H80" s="3">
        <v>0.31589120370370372</v>
      </c>
      <c r="I80" s="1" t="s">
        <v>288</v>
      </c>
      <c r="J80" s="1" t="s">
        <v>30</v>
      </c>
      <c r="K80">
        <v>10</v>
      </c>
      <c r="L80" t="str">
        <f>IF(tblOrders[[#This Row],[Quantity]]&lt;=0,"Check","OK")</f>
        <v>OK</v>
      </c>
      <c r="M80" s="1" t="str">
        <f>IF(tblOrders[[#This Row],[Delivery_Date]]&lt;tblOrders[[#This Row],[Order_Date]],"Error","OK")</f>
        <v>OK</v>
      </c>
    </row>
    <row r="81" spans="1:13" x14ac:dyDescent="0.25">
      <c r="A81" s="1">
        <v>80</v>
      </c>
      <c r="B81" s="1" t="s">
        <v>289</v>
      </c>
      <c r="C81">
        <v>39</v>
      </c>
      <c r="D81">
        <v>4</v>
      </c>
      <c r="E81" s="2">
        <v>44928</v>
      </c>
      <c r="F81" s="3">
        <v>0.4632175925925926</v>
      </c>
      <c r="G81" s="2">
        <v>44937</v>
      </c>
      <c r="H81" s="3">
        <v>8.7384259259259259E-2</v>
      </c>
      <c r="I81" s="1" t="s">
        <v>290</v>
      </c>
      <c r="J81" s="1" t="s">
        <v>8</v>
      </c>
      <c r="K81">
        <v>9</v>
      </c>
      <c r="L81" t="str">
        <f>IF(tblOrders[[#This Row],[Quantity]]&lt;=0,"Check","OK")</f>
        <v>OK</v>
      </c>
      <c r="M81" s="1" t="str">
        <f>IF(tblOrders[[#This Row],[Delivery_Date]]&lt;tblOrders[[#This Row],[Order_Date]],"Error","OK")</f>
        <v>OK</v>
      </c>
    </row>
    <row r="82" spans="1:13" x14ac:dyDescent="0.25">
      <c r="A82" s="1">
        <v>81</v>
      </c>
      <c r="B82" s="1" t="s">
        <v>291</v>
      </c>
      <c r="C82">
        <v>1</v>
      </c>
      <c r="D82">
        <v>5</v>
      </c>
      <c r="E82" s="2">
        <v>44979</v>
      </c>
      <c r="F82" s="3">
        <v>0.77038194444444441</v>
      </c>
      <c r="G82" s="2">
        <v>44988</v>
      </c>
      <c r="H82" s="3">
        <v>0.29828703703703702</v>
      </c>
      <c r="I82" s="1" t="s">
        <v>292</v>
      </c>
      <c r="J82" s="1" t="s">
        <v>8</v>
      </c>
      <c r="K82">
        <v>9</v>
      </c>
      <c r="L82" t="str">
        <f>IF(tblOrders[[#This Row],[Quantity]]&lt;=0,"Check","OK")</f>
        <v>OK</v>
      </c>
      <c r="M82" s="1" t="str">
        <f>IF(tblOrders[[#This Row],[Delivery_Date]]&lt;tblOrders[[#This Row],[Order_Date]],"Error","OK")</f>
        <v>OK</v>
      </c>
    </row>
    <row r="83" spans="1:13" x14ac:dyDescent="0.25">
      <c r="A83" s="1">
        <v>82</v>
      </c>
      <c r="B83" s="1" t="s">
        <v>293</v>
      </c>
      <c r="C83">
        <v>70</v>
      </c>
      <c r="D83">
        <v>3</v>
      </c>
      <c r="E83" s="2">
        <v>45142</v>
      </c>
      <c r="F83" s="3">
        <v>0.91811342592592593</v>
      </c>
      <c r="G83" s="2">
        <v>45143</v>
      </c>
      <c r="H83" s="3">
        <v>0.58903935185185186</v>
      </c>
      <c r="I83" s="1" t="s">
        <v>294</v>
      </c>
      <c r="J83" s="1" t="s">
        <v>36</v>
      </c>
      <c r="K83">
        <v>1</v>
      </c>
      <c r="L83" t="str">
        <f>IF(tblOrders[[#This Row],[Quantity]]&lt;=0,"Check","OK")</f>
        <v>OK</v>
      </c>
      <c r="M83" s="1" t="str">
        <f>IF(tblOrders[[#This Row],[Delivery_Date]]&lt;tblOrders[[#This Row],[Order_Date]],"Error","OK")</f>
        <v>OK</v>
      </c>
    </row>
    <row r="84" spans="1:13" x14ac:dyDescent="0.25">
      <c r="A84" s="1">
        <v>83</v>
      </c>
      <c r="B84" s="1" t="s">
        <v>250</v>
      </c>
      <c r="C84">
        <v>27</v>
      </c>
      <c r="D84">
        <v>4</v>
      </c>
      <c r="E84" s="2">
        <v>45161</v>
      </c>
      <c r="F84" s="3">
        <v>0.80001157407407408</v>
      </c>
      <c r="G84" s="2">
        <v>45171</v>
      </c>
      <c r="H84" s="3">
        <v>0.61388888888888893</v>
      </c>
      <c r="I84" s="1" t="s">
        <v>225</v>
      </c>
      <c r="J84" s="1" t="s">
        <v>33</v>
      </c>
      <c r="K84">
        <v>10</v>
      </c>
      <c r="L84" t="str">
        <f>IF(tblOrders[[#This Row],[Quantity]]&lt;=0,"Check","OK")</f>
        <v>OK</v>
      </c>
      <c r="M84" s="1" t="str">
        <f>IF(tblOrders[[#This Row],[Delivery_Date]]&lt;tblOrders[[#This Row],[Order_Date]],"Error","OK")</f>
        <v>OK</v>
      </c>
    </row>
    <row r="85" spans="1:13" x14ac:dyDescent="0.25">
      <c r="A85" s="1">
        <v>84</v>
      </c>
      <c r="B85" s="1" t="s">
        <v>295</v>
      </c>
      <c r="C85">
        <v>47</v>
      </c>
      <c r="D85">
        <v>1</v>
      </c>
      <c r="E85" s="2">
        <v>44989</v>
      </c>
      <c r="F85" s="3">
        <v>0.14710648148148148</v>
      </c>
      <c r="G85" s="2">
        <v>44991</v>
      </c>
      <c r="H85" s="3">
        <v>0.29328703703703701</v>
      </c>
      <c r="I85" s="1" t="s">
        <v>223</v>
      </c>
      <c r="J85" s="1" t="s">
        <v>25</v>
      </c>
      <c r="K85">
        <v>2</v>
      </c>
      <c r="L85" t="str">
        <f>IF(tblOrders[[#This Row],[Quantity]]&lt;=0,"Check","OK")</f>
        <v>OK</v>
      </c>
      <c r="M85" s="1" t="str">
        <f>IF(tblOrders[[#This Row],[Delivery_Date]]&lt;tblOrders[[#This Row],[Order_Date]],"Error","OK")</f>
        <v>OK</v>
      </c>
    </row>
    <row r="86" spans="1:13" x14ac:dyDescent="0.25">
      <c r="A86" s="1">
        <v>85</v>
      </c>
      <c r="B86" s="1" t="s">
        <v>206</v>
      </c>
      <c r="C86">
        <v>26</v>
      </c>
      <c r="D86">
        <v>2</v>
      </c>
      <c r="E86" s="2">
        <v>44989</v>
      </c>
      <c r="F86" s="3">
        <v>0.89953703703703702</v>
      </c>
      <c r="G86" s="2">
        <v>44999</v>
      </c>
      <c r="H86" s="3">
        <v>0.61692129629629633</v>
      </c>
      <c r="I86" s="1" t="s">
        <v>296</v>
      </c>
      <c r="J86" s="1" t="s">
        <v>25</v>
      </c>
      <c r="K86">
        <v>10</v>
      </c>
      <c r="L86" t="str">
        <f>IF(tblOrders[[#This Row],[Quantity]]&lt;=0,"Check","OK")</f>
        <v>OK</v>
      </c>
      <c r="M86" s="1" t="str">
        <f>IF(tblOrders[[#This Row],[Delivery_Date]]&lt;tblOrders[[#This Row],[Order_Date]],"Error","OK")</f>
        <v>OK</v>
      </c>
    </row>
    <row r="87" spans="1:13" x14ac:dyDescent="0.25">
      <c r="A87" s="1">
        <v>86</v>
      </c>
      <c r="B87" s="1" t="s">
        <v>237</v>
      </c>
      <c r="C87">
        <v>39</v>
      </c>
      <c r="D87">
        <v>4</v>
      </c>
      <c r="E87" s="2">
        <v>45182</v>
      </c>
      <c r="F87" s="3">
        <v>0.47765046296296299</v>
      </c>
      <c r="G87" s="2">
        <v>45191</v>
      </c>
      <c r="H87" s="3">
        <v>0.58993055555555551</v>
      </c>
      <c r="I87" s="1" t="s">
        <v>177</v>
      </c>
      <c r="J87" s="1" t="s">
        <v>8</v>
      </c>
      <c r="K87">
        <v>9</v>
      </c>
      <c r="L87" t="str">
        <f>IF(tblOrders[[#This Row],[Quantity]]&lt;=0,"Check","OK")</f>
        <v>OK</v>
      </c>
      <c r="M87" s="1" t="str">
        <f>IF(tblOrders[[#This Row],[Delivery_Date]]&lt;tblOrders[[#This Row],[Order_Date]],"Error","OK")</f>
        <v>OK</v>
      </c>
    </row>
    <row r="88" spans="1:13" x14ac:dyDescent="0.25">
      <c r="A88" s="1">
        <v>87</v>
      </c>
      <c r="B88" s="1" t="s">
        <v>224</v>
      </c>
      <c r="C88">
        <v>2</v>
      </c>
      <c r="D88">
        <v>5</v>
      </c>
      <c r="E88" s="2">
        <v>44961</v>
      </c>
      <c r="F88" s="3">
        <v>0.55371527777777774</v>
      </c>
      <c r="G88" s="2">
        <v>44968</v>
      </c>
      <c r="H88" s="3">
        <v>0.96291666666666664</v>
      </c>
      <c r="I88" s="1" t="s">
        <v>297</v>
      </c>
      <c r="J88" s="1" t="s">
        <v>12</v>
      </c>
      <c r="K88">
        <v>7</v>
      </c>
      <c r="L88" t="str">
        <f>IF(tblOrders[[#This Row],[Quantity]]&lt;=0,"Check","OK")</f>
        <v>OK</v>
      </c>
      <c r="M88" s="1" t="str">
        <f>IF(tblOrders[[#This Row],[Delivery_Date]]&lt;tblOrders[[#This Row],[Order_Date]],"Error","OK")</f>
        <v>OK</v>
      </c>
    </row>
    <row r="89" spans="1:13" x14ac:dyDescent="0.25">
      <c r="A89" s="1">
        <v>88</v>
      </c>
      <c r="B89" s="1" t="s">
        <v>289</v>
      </c>
      <c r="C89">
        <v>15</v>
      </c>
      <c r="D89">
        <v>4</v>
      </c>
      <c r="E89" s="2">
        <v>45282</v>
      </c>
      <c r="F89" s="3">
        <v>0.41841435185185183</v>
      </c>
      <c r="G89" s="2">
        <v>45292</v>
      </c>
      <c r="H89" s="3">
        <v>0.51244212962962965</v>
      </c>
      <c r="I89" s="1" t="s">
        <v>298</v>
      </c>
      <c r="J89" s="1" t="s">
        <v>30</v>
      </c>
      <c r="K89">
        <v>10</v>
      </c>
      <c r="L89" t="str">
        <f>IF(tblOrders[[#This Row],[Quantity]]&lt;=0,"Check","OK")</f>
        <v>OK</v>
      </c>
      <c r="M89" s="1" t="str">
        <f>IF(tblOrders[[#This Row],[Delivery_Date]]&lt;tblOrders[[#This Row],[Order_Date]],"Error","OK")</f>
        <v>OK</v>
      </c>
    </row>
    <row r="90" spans="1:13" x14ac:dyDescent="0.25">
      <c r="A90" s="1">
        <v>89</v>
      </c>
      <c r="B90" s="1" t="s">
        <v>299</v>
      </c>
      <c r="C90">
        <v>3</v>
      </c>
      <c r="D90">
        <v>5</v>
      </c>
      <c r="E90" s="2">
        <v>44969</v>
      </c>
      <c r="F90" s="3">
        <v>0.9561574074074074</v>
      </c>
      <c r="G90" s="2">
        <v>44970</v>
      </c>
      <c r="H90" s="3">
        <v>0.61228009259259264</v>
      </c>
      <c r="I90" s="1" t="s">
        <v>300</v>
      </c>
      <c r="J90" s="1" t="s">
        <v>12</v>
      </c>
      <c r="K90">
        <v>1</v>
      </c>
      <c r="L90" t="str">
        <f>IF(tblOrders[[#This Row],[Quantity]]&lt;=0,"Check","OK")</f>
        <v>OK</v>
      </c>
      <c r="M90" s="1" t="str">
        <f>IF(tblOrders[[#This Row],[Delivery_Date]]&lt;tblOrders[[#This Row],[Order_Date]],"Error","OK")</f>
        <v>OK</v>
      </c>
    </row>
    <row r="91" spans="1:13" x14ac:dyDescent="0.25">
      <c r="A91" s="1">
        <v>90</v>
      </c>
      <c r="B91" s="1" t="s">
        <v>215</v>
      </c>
      <c r="C91">
        <v>41</v>
      </c>
      <c r="D91">
        <v>3</v>
      </c>
      <c r="E91" s="2">
        <v>45239</v>
      </c>
      <c r="F91" s="3">
        <v>0.87101851851851853</v>
      </c>
      <c r="G91" s="2">
        <v>45248</v>
      </c>
      <c r="H91" s="3">
        <v>0.74207175925925928</v>
      </c>
      <c r="I91" s="1" t="s">
        <v>301</v>
      </c>
      <c r="J91" s="1" t="s">
        <v>19</v>
      </c>
      <c r="K91">
        <v>9</v>
      </c>
      <c r="L91" t="str">
        <f>IF(tblOrders[[#This Row],[Quantity]]&lt;=0,"Check","OK")</f>
        <v>OK</v>
      </c>
      <c r="M91" s="1" t="str">
        <f>IF(tblOrders[[#This Row],[Delivery_Date]]&lt;tblOrders[[#This Row],[Order_Date]],"Error","OK")</f>
        <v>OK</v>
      </c>
    </row>
    <row r="92" spans="1:13" x14ac:dyDescent="0.25">
      <c r="A92" s="1">
        <v>91</v>
      </c>
      <c r="B92" s="1" t="s">
        <v>302</v>
      </c>
      <c r="C92">
        <v>6</v>
      </c>
      <c r="D92">
        <v>2</v>
      </c>
      <c r="E92" s="2">
        <v>44984</v>
      </c>
      <c r="F92" s="3">
        <v>0.5784259259259259</v>
      </c>
      <c r="G92" s="2">
        <v>44990</v>
      </c>
      <c r="H92" s="3">
        <v>0.55792824074074077</v>
      </c>
      <c r="I92" s="1" t="s">
        <v>303</v>
      </c>
      <c r="J92" s="1" t="s">
        <v>25</v>
      </c>
      <c r="K92">
        <v>6</v>
      </c>
      <c r="L92" t="str">
        <f>IF(tblOrders[[#This Row],[Quantity]]&lt;=0,"Check","OK")</f>
        <v>OK</v>
      </c>
      <c r="M92" s="1" t="str">
        <f>IF(tblOrders[[#This Row],[Delivery_Date]]&lt;tblOrders[[#This Row],[Order_Date]],"Error","OK")</f>
        <v>OK</v>
      </c>
    </row>
    <row r="93" spans="1:13" x14ac:dyDescent="0.25">
      <c r="A93" s="1">
        <v>92</v>
      </c>
      <c r="B93" s="1" t="s">
        <v>304</v>
      </c>
      <c r="C93">
        <v>18</v>
      </c>
      <c r="D93">
        <v>5</v>
      </c>
      <c r="E93" s="2">
        <v>45061</v>
      </c>
      <c r="F93" s="3">
        <v>7.8472222222222224E-3</v>
      </c>
      <c r="G93" s="2">
        <v>45071</v>
      </c>
      <c r="H93" s="3">
        <v>0.47077546296296297</v>
      </c>
      <c r="I93" s="1" t="s">
        <v>305</v>
      </c>
      <c r="J93" s="1" t="s">
        <v>36</v>
      </c>
      <c r="K93">
        <v>10</v>
      </c>
      <c r="L93" t="str">
        <f>IF(tblOrders[[#This Row],[Quantity]]&lt;=0,"Check","OK")</f>
        <v>OK</v>
      </c>
      <c r="M93" s="1" t="str">
        <f>IF(tblOrders[[#This Row],[Delivery_Date]]&lt;tblOrders[[#This Row],[Order_Date]],"Error","OK")</f>
        <v>OK</v>
      </c>
    </row>
    <row r="94" spans="1:13" x14ac:dyDescent="0.25">
      <c r="A94" s="1">
        <v>93</v>
      </c>
      <c r="B94" s="1" t="s">
        <v>221</v>
      </c>
      <c r="C94">
        <v>24</v>
      </c>
      <c r="D94">
        <v>4</v>
      </c>
      <c r="E94" s="2">
        <v>45047</v>
      </c>
      <c r="F94" s="3">
        <v>0.74373842592592587</v>
      </c>
      <c r="G94" s="2">
        <v>45049</v>
      </c>
      <c r="H94" s="3">
        <v>0.77495370370370376</v>
      </c>
      <c r="I94" s="1" t="s">
        <v>306</v>
      </c>
      <c r="J94" s="1" t="s">
        <v>36</v>
      </c>
      <c r="K94">
        <v>2</v>
      </c>
      <c r="L94" t="str">
        <f>IF(tblOrders[[#This Row],[Quantity]]&lt;=0,"Check","OK")</f>
        <v>OK</v>
      </c>
      <c r="M94" s="1" t="str">
        <f>IF(tblOrders[[#This Row],[Delivery_Date]]&lt;tblOrders[[#This Row],[Order_Date]],"Error","OK")</f>
        <v>OK</v>
      </c>
    </row>
    <row r="95" spans="1:13" x14ac:dyDescent="0.25">
      <c r="A95" s="1">
        <v>94</v>
      </c>
      <c r="B95" s="1" t="s">
        <v>183</v>
      </c>
      <c r="C95">
        <v>69</v>
      </c>
      <c r="D95">
        <v>5</v>
      </c>
      <c r="E95" s="2">
        <v>44987</v>
      </c>
      <c r="F95" s="3">
        <v>0.61884259259259256</v>
      </c>
      <c r="G95" s="2">
        <v>44996</v>
      </c>
      <c r="H95" s="3">
        <v>0.34362268518518518</v>
      </c>
      <c r="I95" s="1" t="s">
        <v>307</v>
      </c>
      <c r="J95" s="1" t="s">
        <v>25</v>
      </c>
      <c r="K95">
        <v>9</v>
      </c>
      <c r="L95" t="str">
        <f>IF(tblOrders[[#This Row],[Quantity]]&lt;=0,"Check","OK")</f>
        <v>OK</v>
      </c>
      <c r="M95" s="1" t="str">
        <f>IF(tblOrders[[#This Row],[Delivery_Date]]&lt;tblOrders[[#This Row],[Order_Date]],"Error","OK")</f>
        <v>OK</v>
      </c>
    </row>
    <row r="96" spans="1:13" x14ac:dyDescent="0.25">
      <c r="A96" s="1">
        <v>95</v>
      </c>
      <c r="B96" s="1" t="s">
        <v>308</v>
      </c>
      <c r="C96">
        <v>70</v>
      </c>
      <c r="D96">
        <v>4</v>
      </c>
      <c r="E96" s="2">
        <v>45075</v>
      </c>
      <c r="F96" s="3">
        <v>0.3296412037037037</v>
      </c>
      <c r="G96" s="2">
        <v>45080</v>
      </c>
      <c r="H96" s="3">
        <v>0.30315972222222221</v>
      </c>
      <c r="I96" s="1" t="s">
        <v>309</v>
      </c>
      <c r="J96" s="1" t="s">
        <v>36</v>
      </c>
      <c r="K96">
        <v>5</v>
      </c>
      <c r="L96" t="str">
        <f>IF(tblOrders[[#This Row],[Quantity]]&lt;=0,"Check","OK")</f>
        <v>OK</v>
      </c>
      <c r="M96" s="1" t="str">
        <f>IF(tblOrders[[#This Row],[Delivery_Date]]&lt;tblOrders[[#This Row],[Order_Date]],"Error","OK")</f>
        <v>OK</v>
      </c>
    </row>
    <row r="97" spans="1:13" x14ac:dyDescent="0.25">
      <c r="A97" s="1">
        <v>96</v>
      </c>
      <c r="B97" s="1" t="s">
        <v>183</v>
      </c>
      <c r="C97">
        <v>25</v>
      </c>
      <c r="D97">
        <v>3</v>
      </c>
      <c r="E97" s="2">
        <v>44999</v>
      </c>
      <c r="F97" s="3">
        <v>0.62524305555555559</v>
      </c>
      <c r="G97" s="2">
        <v>45008</v>
      </c>
      <c r="H97" s="3">
        <v>0.37229166666666669</v>
      </c>
      <c r="I97" s="1" t="s">
        <v>310</v>
      </c>
      <c r="J97" s="1" t="s">
        <v>30</v>
      </c>
      <c r="K97">
        <v>9</v>
      </c>
      <c r="L97" t="str">
        <f>IF(tblOrders[[#This Row],[Quantity]]&lt;=0,"Check","OK")</f>
        <v>OK</v>
      </c>
      <c r="M97" s="1" t="str">
        <f>IF(tblOrders[[#This Row],[Delivery_Date]]&lt;tblOrders[[#This Row],[Order_Date]],"Error","OK")</f>
        <v>OK</v>
      </c>
    </row>
    <row r="98" spans="1:13" x14ac:dyDescent="0.25">
      <c r="A98" s="1">
        <v>97</v>
      </c>
      <c r="B98" s="1" t="s">
        <v>206</v>
      </c>
      <c r="C98">
        <v>41</v>
      </c>
      <c r="D98">
        <v>1</v>
      </c>
      <c r="E98" s="2">
        <v>45233</v>
      </c>
      <c r="F98" s="3">
        <v>0.84134259259259259</v>
      </c>
      <c r="G98" s="2">
        <v>45238</v>
      </c>
      <c r="H98" s="3">
        <v>6.626157407407407E-2</v>
      </c>
      <c r="I98" s="1" t="s">
        <v>240</v>
      </c>
      <c r="J98" s="1" t="s">
        <v>19</v>
      </c>
      <c r="K98">
        <v>5</v>
      </c>
      <c r="L98" t="str">
        <f>IF(tblOrders[[#This Row],[Quantity]]&lt;=0,"Check","OK")</f>
        <v>OK</v>
      </c>
      <c r="M98" s="1" t="str">
        <f>IF(tblOrders[[#This Row],[Delivery_Date]]&lt;tblOrders[[#This Row],[Order_Date]],"Error","OK")</f>
        <v>OK</v>
      </c>
    </row>
    <row r="99" spans="1:13" x14ac:dyDescent="0.25">
      <c r="A99" s="1">
        <v>98</v>
      </c>
      <c r="B99" s="1" t="s">
        <v>244</v>
      </c>
      <c r="C99">
        <v>8</v>
      </c>
      <c r="D99">
        <v>1</v>
      </c>
      <c r="E99" s="2">
        <v>45229</v>
      </c>
      <c r="F99" s="3">
        <v>0.6430555555555556</v>
      </c>
      <c r="G99" s="2">
        <v>45231</v>
      </c>
      <c r="H99" s="3">
        <v>0.69060185185185186</v>
      </c>
      <c r="I99" s="1" t="s">
        <v>218</v>
      </c>
      <c r="J99" s="1" t="s">
        <v>30</v>
      </c>
      <c r="K99">
        <v>2</v>
      </c>
      <c r="L99" t="str">
        <f>IF(tblOrders[[#This Row],[Quantity]]&lt;=0,"Check","OK")</f>
        <v>OK</v>
      </c>
      <c r="M99" s="1" t="str">
        <f>IF(tblOrders[[#This Row],[Delivery_Date]]&lt;tblOrders[[#This Row],[Order_Date]],"Error","OK")</f>
        <v>OK</v>
      </c>
    </row>
    <row r="100" spans="1:13" x14ac:dyDescent="0.25">
      <c r="A100" s="1">
        <v>99</v>
      </c>
      <c r="B100" s="1" t="s">
        <v>276</v>
      </c>
      <c r="C100">
        <v>38</v>
      </c>
      <c r="D100">
        <v>3</v>
      </c>
      <c r="E100" s="2">
        <v>45234</v>
      </c>
      <c r="F100" s="3">
        <v>0.58386574074074071</v>
      </c>
      <c r="G100" s="2">
        <v>45235</v>
      </c>
      <c r="H100" s="3">
        <v>0.65599537037037037</v>
      </c>
      <c r="I100" s="1" t="s">
        <v>311</v>
      </c>
      <c r="J100" s="1" t="s">
        <v>36</v>
      </c>
      <c r="K100">
        <v>1</v>
      </c>
      <c r="L100" t="str">
        <f>IF(tblOrders[[#This Row],[Quantity]]&lt;=0,"Check","OK")</f>
        <v>OK</v>
      </c>
      <c r="M100" s="1" t="str">
        <f>IF(tblOrders[[#This Row],[Delivery_Date]]&lt;tblOrders[[#This Row],[Order_Date]],"Error","OK")</f>
        <v>OK</v>
      </c>
    </row>
    <row r="101" spans="1:13" x14ac:dyDescent="0.25">
      <c r="A101" s="1">
        <v>100</v>
      </c>
      <c r="B101" s="1" t="s">
        <v>224</v>
      </c>
      <c r="C101">
        <v>42</v>
      </c>
      <c r="D101">
        <v>5</v>
      </c>
      <c r="E101" s="2">
        <v>45055</v>
      </c>
      <c r="F101" s="3">
        <v>0.24313657407407407</v>
      </c>
      <c r="G101" s="2">
        <v>45063</v>
      </c>
      <c r="H101" s="3">
        <v>0.22946759259259258</v>
      </c>
      <c r="I101" s="1" t="s">
        <v>312</v>
      </c>
      <c r="J101" s="1" t="s">
        <v>8</v>
      </c>
      <c r="K101">
        <v>8</v>
      </c>
      <c r="L101" t="str">
        <f>IF(tblOrders[[#This Row],[Quantity]]&lt;=0,"Check","OK")</f>
        <v>OK</v>
      </c>
      <c r="M101" s="1" t="str">
        <f>IF(tblOrders[[#This Row],[Delivery_Date]]&lt;tblOrders[[#This Row],[Order_Date]],"Error","OK")</f>
        <v>OK</v>
      </c>
    </row>
    <row r="102" spans="1:13" x14ac:dyDescent="0.25">
      <c r="A102" s="1">
        <v>101</v>
      </c>
      <c r="B102" s="1" t="s">
        <v>216</v>
      </c>
      <c r="C102">
        <v>70</v>
      </c>
      <c r="D102">
        <v>4</v>
      </c>
      <c r="E102" s="2">
        <v>45096</v>
      </c>
      <c r="F102" s="3">
        <v>0.16449074074074074</v>
      </c>
      <c r="G102" s="2">
        <v>45098</v>
      </c>
      <c r="H102" s="3">
        <v>0.26292824074074073</v>
      </c>
      <c r="I102" s="1" t="s">
        <v>186</v>
      </c>
      <c r="J102" s="1" t="s">
        <v>36</v>
      </c>
      <c r="K102">
        <v>2</v>
      </c>
      <c r="L102" t="str">
        <f>IF(tblOrders[[#This Row],[Quantity]]&lt;=0,"Check","OK")</f>
        <v>OK</v>
      </c>
      <c r="M102" s="1" t="str">
        <f>IF(tblOrders[[#This Row],[Delivery_Date]]&lt;tblOrders[[#This Row],[Order_Date]],"Error","OK")</f>
        <v>OK</v>
      </c>
    </row>
    <row r="103" spans="1:13" x14ac:dyDescent="0.25">
      <c r="A103" s="1">
        <v>102</v>
      </c>
      <c r="B103" s="1" t="s">
        <v>313</v>
      </c>
      <c r="C103">
        <v>10</v>
      </c>
      <c r="D103">
        <v>3</v>
      </c>
      <c r="E103" s="2">
        <v>45227</v>
      </c>
      <c r="F103" s="3">
        <v>0.81543981481481487</v>
      </c>
      <c r="G103" s="2">
        <v>45236</v>
      </c>
      <c r="H103" s="3">
        <v>0.29623842592592592</v>
      </c>
      <c r="I103" s="1" t="s">
        <v>314</v>
      </c>
      <c r="J103" s="1" t="s">
        <v>36</v>
      </c>
      <c r="K103">
        <v>9</v>
      </c>
      <c r="L103" t="str">
        <f>IF(tblOrders[[#This Row],[Quantity]]&lt;=0,"Check","OK")</f>
        <v>OK</v>
      </c>
      <c r="M103" s="1" t="str">
        <f>IF(tblOrders[[#This Row],[Delivery_Date]]&lt;tblOrders[[#This Row],[Order_Date]],"Error","OK")</f>
        <v>OK</v>
      </c>
    </row>
    <row r="104" spans="1:13" x14ac:dyDescent="0.25">
      <c r="A104" s="1">
        <v>103</v>
      </c>
      <c r="B104" s="1" t="s">
        <v>180</v>
      </c>
      <c r="C104">
        <v>18</v>
      </c>
      <c r="D104">
        <v>3</v>
      </c>
      <c r="E104" s="2">
        <v>44958</v>
      </c>
      <c r="F104" s="3">
        <v>0.51734953703703701</v>
      </c>
      <c r="G104" s="2">
        <v>44965</v>
      </c>
      <c r="H104" s="3">
        <v>0.95253472222222224</v>
      </c>
      <c r="I104" s="1" t="s">
        <v>315</v>
      </c>
      <c r="J104" s="1" t="s">
        <v>36</v>
      </c>
      <c r="K104">
        <v>7</v>
      </c>
      <c r="L104" t="str">
        <f>IF(tblOrders[[#This Row],[Quantity]]&lt;=0,"Check","OK")</f>
        <v>OK</v>
      </c>
      <c r="M104" s="1" t="str">
        <f>IF(tblOrders[[#This Row],[Delivery_Date]]&lt;tblOrders[[#This Row],[Order_Date]],"Error","OK")</f>
        <v>OK</v>
      </c>
    </row>
    <row r="105" spans="1:13" x14ac:dyDescent="0.25">
      <c r="A105" s="1">
        <v>104</v>
      </c>
      <c r="B105" s="1" t="s">
        <v>316</v>
      </c>
      <c r="C105">
        <v>51</v>
      </c>
      <c r="D105">
        <v>3</v>
      </c>
      <c r="E105" s="2">
        <v>45289</v>
      </c>
      <c r="F105" s="3">
        <v>7.3252314814814812E-2</v>
      </c>
      <c r="G105" s="2">
        <v>45296</v>
      </c>
      <c r="H105" s="3">
        <v>1.074074074074074E-2</v>
      </c>
      <c r="I105" s="1" t="s">
        <v>317</v>
      </c>
      <c r="J105" s="1" t="s">
        <v>8</v>
      </c>
      <c r="K105">
        <v>7</v>
      </c>
      <c r="L105" t="str">
        <f>IF(tblOrders[[#This Row],[Quantity]]&lt;=0,"Check","OK")</f>
        <v>OK</v>
      </c>
      <c r="M105" s="1" t="str">
        <f>IF(tblOrders[[#This Row],[Delivery_Date]]&lt;tblOrders[[#This Row],[Order_Date]],"Error","OK")</f>
        <v>OK</v>
      </c>
    </row>
    <row r="106" spans="1:13" x14ac:dyDescent="0.25">
      <c r="A106" s="1">
        <v>105</v>
      </c>
      <c r="B106" s="1" t="s">
        <v>213</v>
      </c>
      <c r="C106">
        <v>36</v>
      </c>
      <c r="D106">
        <v>2</v>
      </c>
      <c r="E106" s="2">
        <v>44968</v>
      </c>
      <c r="F106" s="3">
        <v>0.12333333333333334</v>
      </c>
      <c r="G106" s="2">
        <v>44978</v>
      </c>
      <c r="H106" s="3">
        <v>6.5393518518518517E-2</v>
      </c>
      <c r="I106" s="1" t="s">
        <v>243</v>
      </c>
      <c r="J106" s="1" t="s">
        <v>36</v>
      </c>
      <c r="K106">
        <v>10</v>
      </c>
      <c r="L106" t="str">
        <f>IF(tblOrders[[#This Row],[Quantity]]&lt;=0,"Check","OK")</f>
        <v>OK</v>
      </c>
      <c r="M106" s="1" t="str">
        <f>IF(tblOrders[[#This Row],[Delivery_Date]]&lt;tblOrders[[#This Row],[Order_Date]],"Error","OK")</f>
        <v>OK</v>
      </c>
    </row>
    <row r="107" spans="1:13" x14ac:dyDescent="0.25">
      <c r="A107" s="1">
        <v>106</v>
      </c>
      <c r="B107" s="1" t="s">
        <v>258</v>
      </c>
      <c r="C107">
        <v>41</v>
      </c>
      <c r="D107">
        <v>2</v>
      </c>
      <c r="E107" s="2">
        <v>45236</v>
      </c>
      <c r="F107" s="3">
        <v>0.74706018518518513</v>
      </c>
      <c r="G107" s="2">
        <v>45238</v>
      </c>
      <c r="H107" s="3">
        <v>0.95865740740740746</v>
      </c>
      <c r="I107" s="1" t="s">
        <v>318</v>
      </c>
      <c r="J107" s="1" t="s">
        <v>19</v>
      </c>
      <c r="K107">
        <v>2</v>
      </c>
      <c r="L107" t="str">
        <f>IF(tblOrders[[#This Row],[Quantity]]&lt;=0,"Check","OK")</f>
        <v>OK</v>
      </c>
      <c r="M107" s="1" t="str">
        <f>IF(tblOrders[[#This Row],[Delivery_Date]]&lt;tblOrders[[#This Row],[Order_Date]],"Error","OK")</f>
        <v>OK</v>
      </c>
    </row>
    <row r="108" spans="1:13" x14ac:dyDescent="0.25">
      <c r="A108" s="1">
        <v>107</v>
      </c>
      <c r="B108" s="1" t="s">
        <v>206</v>
      </c>
      <c r="C108">
        <v>4</v>
      </c>
      <c r="D108">
        <v>3</v>
      </c>
      <c r="E108" s="2">
        <v>45236</v>
      </c>
      <c r="F108" s="3">
        <v>0.42924768518518519</v>
      </c>
      <c r="G108" s="2">
        <v>45242</v>
      </c>
      <c r="H108" s="3">
        <v>0.5974652777777778</v>
      </c>
      <c r="I108" s="1" t="s">
        <v>319</v>
      </c>
      <c r="J108" s="1" t="s">
        <v>19</v>
      </c>
      <c r="K108">
        <v>6</v>
      </c>
      <c r="L108" t="str">
        <f>IF(tblOrders[[#This Row],[Quantity]]&lt;=0,"Check","OK")</f>
        <v>OK</v>
      </c>
      <c r="M108" s="1" t="str">
        <f>IF(tblOrders[[#This Row],[Delivery_Date]]&lt;tblOrders[[#This Row],[Order_Date]],"Error","OK")</f>
        <v>OK</v>
      </c>
    </row>
    <row r="109" spans="1:13" x14ac:dyDescent="0.25">
      <c r="A109" s="1">
        <v>108</v>
      </c>
      <c r="B109" s="1" t="s">
        <v>172</v>
      </c>
      <c r="C109">
        <v>26</v>
      </c>
      <c r="D109">
        <v>4</v>
      </c>
      <c r="E109" s="2">
        <v>44984</v>
      </c>
      <c r="F109" s="3">
        <v>0.37738425925925928</v>
      </c>
      <c r="G109" s="2">
        <v>44990</v>
      </c>
      <c r="H109" s="3">
        <v>0.33547453703703706</v>
      </c>
      <c r="I109" s="1" t="s">
        <v>320</v>
      </c>
      <c r="J109" s="1" t="s">
        <v>25</v>
      </c>
      <c r="K109">
        <v>6</v>
      </c>
      <c r="L109" t="str">
        <f>IF(tblOrders[[#This Row],[Quantity]]&lt;=0,"Check","OK")</f>
        <v>OK</v>
      </c>
      <c r="M109" s="1" t="str">
        <f>IF(tblOrders[[#This Row],[Delivery_Date]]&lt;tblOrders[[#This Row],[Order_Date]],"Error","OK")</f>
        <v>OK</v>
      </c>
    </row>
    <row r="110" spans="1:13" x14ac:dyDescent="0.25">
      <c r="A110" s="1">
        <v>109</v>
      </c>
      <c r="B110" s="1" t="s">
        <v>267</v>
      </c>
      <c r="C110">
        <v>50</v>
      </c>
      <c r="D110">
        <v>5</v>
      </c>
      <c r="E110" s="2">
        <v>44984</v>
      </c>
      <c r="F110" s="3">
        <v>0.64986111111111111</v>
      </c>
      <c r="G110" s="2">
        <v>44986</v>
      </c>
      <c r="H110" s="3">
        <v>0.3603703703703704</v>
      </c>
      <c r="I110" s="1" t="s">
        <v>189</v>
      </c>
      <c r="J110" s="1" t="s">
        <v>25</v>
      </c>
      <c r="K110">
        <v>2</v>
      </c>
      <c r="L110" t="str">
        <f>IF(tblOrders[[#This Row],[Quantity]]&lt;=0,"Check","OK")</f>
        <v>OK</v>
      </c>
      <c r="M110" s="1" t="str">
        <f>IF(tblOrders[[#This Row],[Delivery_Date]]&lt;tblOrders[[#This Row],[Order_Date]],"Error","OK")</f>
        <v>OK</v>
      </c>
    </row>
    <row r="111" spans="1:13" x14ac:dyDescent="0.25">
      <c r="A111" s="1">
        <v>110</v>
      </c>
      <c r="B111" s="1" t="s">
        <v>321</v>
      </c>
      <c r="C111">
        <v>26</v>
      </c>
      <c r="D111">
        <v>2</v>
      </c>
      <c r="E111" s="2">
        <v>44989</v>
      </c>
      <c r="F111" s="3">
        <v>0.4748148148148148</v>
      </c>
      <c r="G111" s="2">
        <v>44998</v>
      </c>
      <c r="H111" s="3">
        <v>0.35244212962962962</v>
      </c>
      <c r="I111" s="1" t="s">
        <v>322</v>
      </c>
      <c r="J111" s="1" t="s">
        <v>25</v>
      </c>
      <c r="K111">
        <v>9</v>
      </c>
      <c r="L111" t="str">
        <f>IF(tblOrders[[#This Row],[Quantity]]&lt;=0,"Check","OK")</f>
        <v>OK</v>
      </c>
      <c r="M111" s="1" t="str">
        <f>IF(tblOrders[[#This Row],[Delivery_Date]]&lt;tblOrders[[#This Row],[Order_Date]],"Error","OK")</f>
        <v>OK</v>
      </c>
    </row>
    <row r="112" spans="1:13" x14ac:dyDescent="0.25">
      <c r="A112" s="1">
        <v>111</v>
      </c>
      <c r="B112" s="1" t="s">
        <v>178</v>
      </c>
      <c r="C112">
        <v>8</v>
      </c>
      <c r="D112">
        <v>3</v>
      </c>
      <c r="E112" s="2">
        <v>45098</v>
      </c>
      <c r="F112" s="3">
        <v>0.59649305555555554</v>
      </c>
      <c r="G112" s="2">
        <v>45102</v>
      </c>
      <c r="H112" s="3">
        <v>0.87774305555555554</v>
      </c>
      <c r="I112" s="1" t="s">
        <v>323</v>
      </c>
      <c r="J112" s="1" t="s">
        <v>30</v>
      </c>
      <c r="K112">
        <v>4</v>
      </c>
      <c r="L112" t="str">
        <f>IF(tblOrders[[#This Row],[Quantity]]&lt;=0,"Check","OK")</f>
        <v>OK</v>
      </c>
      <c r="M112" s="1" t="str">
        <f>IF(tblOrders[[#This Row],[Delivery_Date]]&lt;tblOrders[[#This Row],[Order_Date]],"Error","OK")</f>
        <v>OK</v>
      </c>
    </row>
    <row r="113" spans="1:13" x14ac:dyDescent="0.25">
      <c r="A113" s="1">
        <v>112</v>
      </c>
      <c r="B113" s="1" t="s">
        <v>252</v>
      </c>
      <c r="C113">
        <v>37</v>
      </c>
      <c r="D113">
        <v>3</v>
      </c>
      <c r="E113" s="2">
        <v>45241</v>
      </c>
      <c r="F113" s="3">
        <v>0.27504629629629629</v>
      </c>
      <c r="G113" s="2">
        <v>45244</v>
      </c>
      <c r="H113" s="3">
        <v>0.66040509259259261</v>
      </c>
      <c r="I113" s="1" t="s">
        <v>324</v>
      </c>
      <c r="J113" s="1" t="s">
        <v>19</v>
      </c>
      <c r="K113">
        <v>3</v>
      </c>
      <c r="L113" t="str">
        <f>IF(tblOrders[[#This Row],[Quantity]]&lt;=0,"Check","OK")</f>
        <v>OK</v>
      </c>
      <c r="M113" s="1" t="str">
        <f>IF(tblOrders[[#This Row],[Delivery_Date]]&lt;tblOrders[[#This Row],[Order_Date]],"Error","OK")</f>
        <v>OK</v>
      </c>
    </row>
    <row r="114" spans="1:13" x14ac:dyDescent="0.25">
      <c r="A114" s="1">
        <v>113</v>
      </c>
      <c r="B114" s="1" t="s">
        <v>295</v>
      </c>
      <c r="C114">
        <v>1</v>
      </c>
      <c r="D114">
        <v>3</v>
      </c>
      <c r="E114" s="2">
        <v>45244</v>
      </c>
      <c r="F114" s="3">
        <v>0.64618055555555554</v>
      </c>
      <c r="G114" s="2">
        <v>45253</v>
      </c>
      <c r="H114" s="3">
        <v>0.1852662037037037</v>
      </c>
      <c r="I114" s="1" t="s">
        <v>218</v>
      </c>
      <c r="J114" s="1" t="s">
        <v>8</v>
      </c>
      <c r="K114">
        <v>9</v>
      </c>
      <c r="L114" t="str">
        <f>IF(tblOrders[[#This Row],[Quantity]]&lt;=0,"Check","OK")</f>
        <v>OK</v>
      </c>
      <c r="M114" s="1" t="str">
        <f>IF(tblOrders[[#This Row],[Delivery_Date]]&lt;tblOrders[[#This Row],[Order_Date]],"Error","OK")</f>
        <v>OK</v>
      </c>
    </row>
    <row r="115" spans="1:13" x14ac:dyDescent="0.25">
      <c r="A115" s="1">
        <v>114</v>
      </c>
      <c r="B115" s="1" t="s">
        <v>178</v>
      </c>
      <c r="C115">
        <v>40</v>
      </c>
      <c r="D115">
        <v>4</v>
      </c>
      <c r="E115" s="2">
        <v>44960</v>
      </c>
      <c r="F115" s="3">
        <v>0.66892361111111109</v>
      </c>
      <c r="G115" s="2">
        <v>44964</v>
      </c>
      <c r="H115" s="3">
        <v>9.9166666666666667E-2</v>
      </c>
      <c r="I115" s="1" t="s">
        <v>325</v>
      </c>
      <c r="J115" s="1" t="s">
        <v>30</v>
      </c>
      <c r="K115">
        <v>4</v>
      </c>
      <c r="L115" t="str">
        <f>IF(tblOrders[[#This Row],[Quantity]]&lt;=0,"Check","OK")</f>
        <v>OK</v>
      </c>
      <c r="M115" s="1" t="str">
        <f>IF(tblOrders[[#This Row],[Delivery_Date]]&lt;tblOrders[[#This Row],[Order_Date]],"Error","OK")</f>
        <v>OK</v>
      </c>
    </row>
    <row r="116" spans="1:13" x14ac:dyDescent="0.25">
      <c r="A116" s="1">
        <v>115</v>
      </c>
      <c r="B116" s="1" t="s">
        <v>258</v>
      </c>
      <c r="C116">
        <v>57</v>
      </c>
      <c r="D116">
        <v>1</v>
      </c>
      <c r="E116" s="2">
        <v>45044</v>
      </c>
      <c r="F116" s="3">
        <v>0.75789351851851849</v>
      </c>
      <c r="G116" s="2">
        <v>45051</v>
      </c>
      <c r="H116" s="3">
        <v>0.48369212962962965</v>
      </c>
      <c r="I116" s="1" t="s">
        <v>326</v>
      </c>
      <c r="J116" s="1" t="s">
        <v>36</v>
      </c>
      <c r="K116">
        <v>7</v>
      </c>
      <c r="L116" t="str">
        <f>IF(tblOrders[[#This Row],[Quantity]]&lt;=0,"Check","OK")</f>
        <v>OK</v>
      </c>
      <c r="M116" s="1" t="str">
        <f>IF(tblOrders[[#This Row],[Delivery_Date]]&lt;tblOrders[[#This Row],[Order_Date]],"Error","OK")</f>
        <v>OK</v>
      </c>
    </row>
    <row r="117" spans="1:13" x14ac:dyDescent="0.25">
      <c r="A117" s="1">
        <v>116</v>
      </c>
      <c r="B117" s="1" t="s">
        <v>178</v>
      </c>
      <c r="C117">
        <v>4</v>
      </c>
      <c r="D117">
        <v>3</v>
      </c>
      <c r="E117" s="2">
        <v>45241</v>
      </c>
      <c r="F117" s="3">
        <v>0.60283564814814816</v>
      </c>
      <c r="G117" s="2">
        <v>45250</v>
      </c>
      <c r="H117" s="3">
        <v>0.22599537037037037</v>
      </c>
      <c r="I117" s="1" t="s">
        <v>327</v>
      </c>
      <c r="J117" s="1" t="s">
        <v>19</v>
      </c>
      <c r="K117">
        <v>9</v>
      </c>
      <c r="L117" t="str">
        <f>IF(tblOrders[[#This Row],[Quantity]]&lt;=0,"Check","OK")</f>
        <v>OK</v>
      </c>
      <c r="M117" s="1" t="str">
        <f>IF(tblOrders[[#This Row],[Delivery_Date]]&lt;tblOrders[[#This Row],[Order_Date]],"Error","OK")</f>
        <v>OK</v>
      </c>
    </row>
    <row r="118" spans="1:13" x14ac:dyDescent="0.25">
      <c r="A118" s="1">
        <v>117</v>
      </c>
      <c r="B118" s="1" t="s">
        <v>272</v>
      </c>
      <c r="C118">
        <v>59</v>
      </c>
      <c r="D118">
        <v>3</v>
      </c>
      <c r="E118" s="2">
        <v>45158</v>
      </c>
      <c r="F118" s="3">
        <v>0.78478009259259263</v>
      </c>
      <c r="G118" s="2">
        <v>45160</v>
      </c>
      <c r="H118" s="3">
        <v>0.15487268518518518</v>
      </c>
      <c r="I118" s="1" t="s">
        <v>328</v>
      </c>
      <c r="J118" s="1" t="s">
        <v>33</v>
      </c>
      <c r="K118">
        <v>2</v>
      </c>
      <c r="L118" t="str">
        <f>IF(tblOrders[[#This Row],[Quantity]]&lt;=0,"Check","OK")</f>
        <v>OK</v>
      </c>
      <c r="M118" s="1" t="str">
        <f>IF(tblOrders[[#This Row],[Delivery_Date]]&lt;tblOrders[[#This Row],[Order_Date]],"Error","OK")</f>
        <v>OK</v>
      </c>
    </row>
    <row r="119" spans="1:13" x14ac:dyDescent="0.25">
      <c r="A119" s="1">
        <v>118</v>
      </c>
      <c r="B119" s="1" t="s">
        <v>329</v>
      </c>
      <c r="C119">
        <v>62</v>
      </c>
      <c r="D119">
        <v>1</v>
      </c>
      <c r="E119" s="2">
        <v>44984</v>
      </c>
      <c r="F119" s="3">
        <v>0.60484953703703703</v>
      </c>
      <c r="G119" s="2">
        <v>44990</v>
      </c>
      <c r="H119" s="3">
        <v>0.43949074074074074</v>
      </c>
      <c r="I119" s="1" t="s">
        <v>240</v>
      </c>
      <c r="J119" s="1" t="s">
        <v>25</v>
      </c>
      <c r="K119">
        <v>6</v>
      </c>
      <c r="L119" t="str">
        <f>IF(tblOrders[[#This Row],[Quantity]]&lt;=0,"Check","OK")</f>
        <v>OK</v>
      </c>
      <c r="M119" s="1" t="str">
        <f>IF(tblOrders[[#This Row],[Delivery_Date]]&lt;tblOrders[[#This Row],[Order_Date]],"Error","OK")</f>
        <v>OK</v>
      </c>
    </row>
    <row r="120" spans="1:13" x14ac:dyDescent="0.25">
      <c r="A120" s="1">
        <v>119</v>
      </c>
      <c r="B120" s="1" t="s">
        <v>287</v>
      </c>
      <c r="C120">
        <v>6</v>
      </c>
      <c r="D120">
        <v>4</v>
      </c>
      <c r="E120" s="2">
        <v>44989</v>
      </c>
      <c r="F120" s="3">
        <v>0.45983796296296298</v>
      </c>
      <c r="G120" s="2">
        <v>44997</v>
      </c>
      <c r="H120" s="3">
        <v>0.51548611111111109</v>
      </c>
      <c r="I120" s="1" t="s">
        <v>330</v>
      </c>
      <c r="J120" s="1" t="s">
        <v>25</v>
      </c>
      <c r="K120">
        <v>8</v>
      </c>
      <c r="L120" t="str">
        <f>IF(tblOrders[[#This Row],[Quantity]]&lt;=0,"Check","OK")</f>
        <v>OK</v>
      </c>
      <c r="M120" s="1" t="str">
        <f>IF(tblOrders[[#This Row],[Delivery_Date]]&lt;tblOrders[[#This Row],[Order_Date]],"Error","OK")</f>
        <v>OK</v>
      </c>
    </row>
    <row r="121" spans="1:13" x14ac:dyDescent="0.25">
      <c r="A121" s="1">
        <v>120</v>
      </c>
      <c r="B121" s="1" t="s">
        <v>276</v>
      </c>
      <c r="C121">
        <v>61</v>
      </c>
      <c r="D121">
        <v>1</v>
      </c>
      <c r="E121" s="2">
        <v>45285</v>
      </c>
      <c r="F121" s="3">
        <v>0.935150462962963</v>
      </c>
      <c r="G121" s="2">
        <v>45291</v>
      </c>
      <c r="H121" s="3">
        <v>0.41486111111111112</v>
      </c>
      <c r="I121" s="1" t="s">
        <v>292</v>
      </c>
      <c r="J121" s="1" t="s">
        <v>30</v>
      </c>
      <c r="K121">
        <v>6</v>
      </c>
      <c r="L121" t="str">
        <f>IF(tblOrders[[#This Row],[Quantity]]&lt;=0,"Check","OK")</f>
        <v>OK</v>
      </c>
      <c r="M121" s="1" t="str">
        <f>IF(tblOrders[[#This Row],[Delivery_Date]]&lt;tblOrders[[#This Row],[Order_Date]],"Error","OK")</f>
        <v>OK</v>
      </c>
    </row>
    <row r="122" spans="1:13" x14ac:dyDescent="0.25">
      <c r="A122" s="1">
        <v>121</v>
      </c>
      <c r="B122" s="1" t="s">
        <v>331</v>
      </c>
      <c r="C122">
        <v>33</v>
      </c>
      <c r="D122">
        <v>3</v>
      </c>
      <c r="E122" s="2">
        <v>44962</v>
      </c>
      <c r="F122" s="3">
        <v>9.6469907407407407E-2</v>
      </c>
      <c r="G122" s="2">
        <v>44966</v>
      </c>
      <c r="H122" s="3">
        <v>0.31216435185185187</v>
      </c>
      <c r="I122" s="1" t="s">
        <v>332</v>
      </c>
      <c r="J122" s="1" t="s">
        <v>12</v>
      </c>
      <c r="K122">
        <v>4</v>
      </c>
      <c r="L122" t="str">
        <f>IF(tblOrders[[#This Row],[Quantity]]&lt;=0,"Check","OK")</f>
        <v>OK</v>
      </c>
      <c r="M122" s="1" t="str">
        <f>IF(tblOrders[[#This Row],[Delivery_Date]]&lt;tblOrders[[#This Row],[Order_Date]],"Error","OK")</f>
        <v>OK</v>
      </c>
    </row>
    <row r="123" spans="1:13" x14ac:dyDescent="0.25">
      <c r="A123" s="1">
        <v>122</v>
      </c>
      <c r="B123" s="1" t="s">
        <v>333</v>
      </c>
      <c r="C123">
        <v>24</v>
      </c>
      <c r="D123">
        <v>5</v>
      </c>
      <c r="E123" s="2">
        <v>45202</v>
      </c>
      <c r="F123" s="3">
        <v>0.37804398148148149</v>
      </c>
      <c r="G123" s="2">
        <v>45212</v>
      </c>
      <c r="H123" s="3">
        <v>0.1355787037037037</v>
      </c>
      <c r="I123" s="1" t="s">
        <v>334</v>
      </c>
      <c r="J123" s="1" t="s">
        <v>36</v>
      </c>
      <c r="K123">
        <v>10</v>
      </c>
      <c r="L123" t="str">
        <f>IF(tblOrders[[#This Row],[Quantity]]&lt;=0,"Check","OK")</f>
        <v>OK</v>
      </c>
      <c r="M123" s="1" t="str">
        <f>IF(tblOrders[[#This Row],[Delivery_Date]]&lt;tblOrders[[#This Row],[Order_Date]],"Error","OK")</f>
        <v>OK</v>
      </c>
    </row>
    <row r="124" spans="1:13" x14ac:dyDescent="0.25">
      <c r="A124" s="1">
        <v>123</v>
      </c>
      <c r="B124" s="1" t="s">
        <v>335</v>
      </c>
      <c r="C124">
        <v>38</v>
      </c>
      <c r="D124">
        <v>1</v>
      </c>
      <c r="E124" s="2">
        <v>44941</v>
      </c>
      <c r="F124" s="3">
        <v>2.1631944444444443E-2</v>
      </c>
      <c r="G124" s="2">
        <v>44951</v>
      </c>
      <c r="H124" s="3">
        <v>0.20744212962962963</v>
      </c>
      <c r="I124" s="1" t="s">
        <v>336</v>
      </c>
      <c r="J124" s="1" t="s">
        <v>36</v>
      </c>
      <c r="K124">
        <v>10</v>
      </c>
      <c r="L124" t="str">
        <f>IF(tblOrders[[#This Row],[Quantity]]&lt;=0,"Check","OK")</f>
        <v>OK</v>
      </c>
      <c r="M124" s="1" t="str">
        <f>IF(tblOrders[[#This Row],[Delivery_Date]]&lt;tblOrders[[#This Row],[Order_Date]],"Error","OK")</f>
        <v>OK</v>
      </c>
    </row>
    <row r="125" spans="1:13" x14ac:dyDescent="0.25">
      <c r="A125" s="1">
        <v>124</v>
      </c>
      <c r="B125" s="1" t="s">
        <v>337</v>
      </c>
      <c r="C125">
        <v>67</v>
      </c>
      <c r="D125">
        <v>4</v>
      </c>
      <c r="E125" s="2">
        <v>45128</v>
      </c>
      <c r="F125" s="3">
        <v>0.36452546296296295</v>
      </c>
      <c r="G125" s="2">
        <v>45130</v>
      </c>
      <c r="H125" s="3">
        <v>0.22481481481481483</v>
      </c>
      <c r="I125" s="1" t="s">
        <v>338</v>
      </c>
      <c r="J125" s="1" t="s">
        <v>30</v>
      </c>
      <c r="K125">
        <v>2</v>
      </c>
      <c r="L125" t="str">
        <f>IF(tblOrders[[#This Row],[Quantity]]&lt;=0,"Check","OK")</f>
        <v>OK</v>
      </c>
      <c r="M125" s="1" t="str">
        <f>IF(tblOrders[[#This Row],[Delivery_Date]]&lt;tblOrders[[#This Row],[Order_Date]],"Error","OK")</f>
        <v>OK</v>
      </c>
    </row>
    <row r="126" spans="1:13" x14ac:dyDescent="0.25">
      <c r="A126" s="1">
        <v>125</v>
      </c>
      <c r="B126" s="1" t="s">
        <v>246</v>
      </c>
      <c r="C126">
        <v>31</v>
      </c>
      <c r="D126">
        <v>2</v>
      </c>
      <c r="E126" s="2">
        <v>45004</v>
      </c>
      <c r="F126" s="3">
        <v>0.38346064814814818</v>
      </c>
      <c r="G126" s="2">
        <v>45010</v>
      </c>
      <c r="H126" s="3">
        <v>0.60846064814814815</v>
      </c>
      <c r="I126" s="1" t="s">
        <v>339</v>
      </c>
      <c r="J126" s="1" t="s">
        <v>8</v>
      </c>
      <c r="K126">
        <v>6</v>
      </c>
      <c r="L126" t="str">
        <f>IF(tblOrders[[#This Row],[Quantity]]&lt;=0,"Check","OK")</f>
        <v>OK</v>
      </c>
      <c r="M126" s="1" t="str">
        <f>IF(tblOrders[[#This Row],[Delivery_Date]]&lt;tblOrders[[#This Row],[Order_Date]],"Error","OK")</f>
        <v>OK</v>
      </c>
    </row>
    <row r="127" spans="1:13" x14ac:dyDescent="0.25">
      <c r="A127" s="1">
        <v>126</v>
      </c>
      <c r="B127" s="1" t="s">
        <v>176</v>
      </c>
      <c r="C127">
        <v>19</v>
      </c>
      <c r="D127">
        <v>5</v>
      </c>
      <c r="E127" s="2">
        <v>44961</v>
      </c>
      <c r="F127" s="3">
        <v>0.10305555555555555</v>
      </c>
      <c r="G127" s="2">
        <v>44970</v>
      </c>
      <c r="H127" s="3">
        <v>0.55321759259259262</v>
      </c>
      <c r="I127" s="1" t="s">
        <v>340</v>
      </c>
      <c r="J127" s="1" t="s">
        <v>12</v>
      </c>
      <c r="K127">
        <v>9</v>
      </c>
      <c r="L127" t="str">
        <f>IF(tblOrders[[#This Row],[Quantity]]&lt;=0,"Check","OK")</f>
        <v>OK</v>
      </c>
      <c r="M127" s="1" t="str">
        <f>IF(tblOrders[[#This Row],[Delivery_Date]]&lt;tblOrders[[#This Row],[Order_Date]],"Error","OK")</f>
        <v>OK</v>
      </c>
    </row>
    <row r="128" spans="1:13" x14ac:dyDescent="0.25">
      <c r="A128" s="1">
        <v>127</v>
      </c>
      <c r="B128" s="1" t="s">
        <v>341</v>
      </c>
      <c r="C128">
        <v>60</v>
      </c>
      <c r="D128">
        <v>4</v>
      </c>
      <c r="E128" s="2">
        <v>45232</v>
      </c>
      <c r="F128" s="3">
        <v>0.58655092592592595</v>
      </c>
      <c r="G128" s="2">
        <v>45233</v>
      </c>
      <c r="H128" s="3">
        <v>0.80903935185185183</v>
      </c>
      <c r="I128" s="1" t="s">
        <v>342</v>
      </c>
      <c r="J128" s="1" t="s">
        <v>19</v>
      </c>
      <c r="K128">
        <v>1</v>
      </c>
      <c r="L128" t="str">
        <f>IF(tblOrders[[#This Row],[Quantity]]&lt;=0,"Check","OK")</f>
        <v>OK</v>
      </c>
      <c r="M128" s="1" t="str">
        <f>IF(tblOrders[[#This Row],[Delivery_Date]]&lt;tblOrders[[#This Row],[Order_Date]],"Error","OK")</f>
        <v>OK</v>
      </c>
    </row>
    <row r="129" spans="1:13" x14ac:dyDescent="0.25">
      <c r="A129" s="1">
        <v>128</v>
      </c>
      <c r="B129" s="1" t="s">
        <v>185</v>
      </c>
      <c r="C129">
        <v>12</v>
      </c>
      <c r="D129">
        <v>3</v>
      </c>
      <c r="E129" s="2">
        <v>44991</v>
      </c>
      <c r="F129" s="3">
        <v>0.70171296296296293</v>
      </c>
      <c r="G129" s="2">
        <v>44998</v>
      </c>
      <c r="H129" s="3">
        <v>0.63285879629629627</v>
      </c>
      <c r="I129" s="1" t="s">
        <v>324</v>
      </c>
      <c r="J129" s="1" t="s">
        <v>30</v>
      </c>
      <c r="K129">
        <v>7</v>
      </c>
      <c r="L129" t="str">
        <f>IF(tblOrders[[#This Row],[Quantity]]&lt;=0,"Check","OK")</f>
        <v>OK</v>
      </c>
      <c r="M129" s="1" t="str">
        <f>IF(tblOrders[[#This Row],[Delivery_Date]]&lt;tblOrders[[#This Row],[Order_Date]],"Error","OK")</f>
        <v>OK</v>
      </c>
    </row>
    <row r="130" spans="1:13" x14ac:dyDescent="0.25">
      <c r="A130" s="1">
        <v>129</v>
      </c>
      <c r="B130" s="1" t="s">
        <v>341</v>
      </c>
      <c r="C130">
        <v>67</v>
      </c>
      <c r="D130">
        <v>2</v>
      </c>
      <c r="E130" s="2">
        <v>44974</v>
      </c>
      <c r="F130" s="3">
        <v>0.2232638888888889</v>
      </c>
      <c r="G130" s="2">
        <v>44977</v>
      </c>
      <c r="H130" s="3">
        <v>0.34550925925925924</v>
      </c>
      <c r="I130" s="1" t="s">
        <v>323</v>
      </c>
      <c r="J130" s="1" t="s">
        <v>30</v>
      </c>
      <c r="K130">
        <v>3</v>
      </c>
      <c r="L130" t="str">
        <f>IF(tblOrders[[#This Row],[Quantity]]&lt;=0,"Check","OK")</f>
        <v>OK</v>
      </c>
      <c r="M130" s="1" t="str">
        <f>IF(tblOrders[[#This Row],[Delivery_Date]]&lt;tblOrders[[#This Row],[Order_Date]],"Error","OK")</f>
        <v>OK</v>
      </c>
    </row>
    <row r="131" spans="1:13" x14ac:dyDescent="0.25">
      <c r="A131" s="1">
        <v>130</v>
      </c>
      <c r="B131" s="1" t="s">
        <v>343</v>
      </c>
      <c r="C131">
        <v>10</v>
      </c>
      <c r="D131">
        <v>5</v>
      </c>
      <c r="E131" s="2">
        <v>45038</v>
      </c>
      <c r="F131" s="3">
        <v>0.56436342592592592</v>
      </c>
      <c r="G131" s="2">
        <v>45043</v>
      </c>
      <c r="H131" s="3">
        <v>0.91798611111111106</v>
      </c>
      <c r="I131" s="1" t="s">
        <v>264</v>
      </c>
      <c r="J131" s="1" t="s">
        <v>36</v>
      </c>
      <c r="K131">
        <v>5</v>
      </c>
      <c r="L131" t="str">
        <f>IF(tblOrders[[#This Row],[Quantity]]&lt;=0,"Check","OK")</f>
        <v>OK</v>
      </c>
      <c r="M131" s="1" t="str">
        <f>IF(tblOrders[[#This Row],[Delivery_Date]]&lt;tblOrders[[#This Row],[Order_Date]],"Error","OK")</f>
        <v>OK</v>
      </c>
    </row>
    <row r="132" spans="1:13" x14ac:dyDescent="0.25">
      <c r="A132" s="1">
        <v>131</v>
      </c>
      <c r="B132" s="1" t="s">
        <v>174</v>
      </c>
      <c r="C132">
        <v>3</v>
      </c>
      <c r="D132">
        <v>5</v>
      </c>
      <c r="E132" s="2">
        <v>44961</v>
      </c>
      <c r="F132" s="3">
        <v>0.85474537037037035</v>
      </c>
      <c r="G132" s="2">
        <v>44968</v>
      </c>
      <c r="H132" s="3">
        <v>0.35350694444444447</v>
      </c>
      <c r="I132" s="1" t="s">
        <v>344</v>
      </c>
      <c r="J132" s="1" t="s">
        <v>12</v>
      </c>
      <c r="K132">
        <v>7</v>
      </c>
      <c r="L132" t="str">
        <f>IF(tblOrders[[#This Row],[Quantity]]&lt;=0,"Check","OK")</f>
        <v>OK</v>
      </c>
      <c r="M132" s="1" t="str">
        <f>IF(tblOrders[[#This Row],[Delivery_Date]]&lt;tblOrders[[#This Row],[Order_Date]],"Error","OK")</f>
        <v>OK</v>
      </c>
    </row>
    <row r="133" spans="1:13" x14ac:dyDescent="0.25">
      <c r="A133" s="1">
        <v>132</v>
      </c>
      <c r="B133" s="1" t="s">
        <v>254</v>
      </c>
      <c r="C133">
        <v>49</v>
      </c>
      <c r="D133">
        <v>4</v>
      </c>
      <c r="E133" s="2">
        <v>44961</v>
      </c>
      <c r="F133" s="3">
        <v>0.97478009259259257</v>
      </c>
      <c r="G133" s="2">
        <v>44970</v>
      </c>
      <c r="H133" s="3">
        <v>0.83041666666666669</v>
      </c>
      <c r="I133" s="1" t="s">
        <v>345</v>
      </c>
      <c r="J133" s="1" t="s">
        <v>12</v>
      </c>
      <c r="K133">
        <v>9</v>
      </c>
      <c r="L133" t="str">
        <f>IF(tblOrders[[#This Row],[Quantity]]&lt;=0,"Check","OK")</f>
        <v>OK</v>
      </c>
      <c r="M133" s="1" t="str">
        <f>IF(tblOrders[[#This Row],[Delivery_Date]]&lt;tblOrders[[#This Row],[Order_Date]],"Error","OK")</f>
        <v>OK</v>
      </c>
    </row>
    <row r="134" spans="1:13" x14ac:dyDescent="0.25">
      <c r="A134" s="1">
        <v>133</v>
      </c>
      <c r="B134" s="1" t="s">
        <v>208</v>
      </c>
      <c r="C134">
        <v>43</v>
      </c>
      <c r="D134">
        <v>5</v>
      </c>
      <c r="E134" s="2">
        <v>45240</v>
      </c>
      <c r="F134" s="3">
        <v>0.66104166666666664</v>
      </c>
      <c r="G134" s="2">
        <v>45246</v>
      </c>
      <c r="H134" s="3">
        <v>0.47420138888888891</v>
      </c>
      <c r="I134" s="1" t="s">
        <v>346</v>
      </c>
      <c r="J134" s="1" t="s">
        <v>19</v>
      </c>
      <c r="K134">
        <v>6</v>
      </c>
      <c r="L134" t="str">
        <f>IF(tblOrders[[#This Row],[Quantity]]&lt;=0,"Check","OK")</f>
        <v>OK</v>
      </c>
      <c r="M134" s="1" t="str">
        <f>IF(tblOrders[[#This Row],[Delivery_Date]]&lt;tblOrders[[#This Row],[Order_Date]],"Error","OK")</f>
        <v>OK</v>
      </c>
    </row>
    <row r="135" spans="1:13" x14ac:dyDescent="0.25">
      <c r="A135" s="1">
        <v>134</v>
      </c>
      <c r="B135" s="1" t="s">
        <v>250</v>
      </c>
      <c r="C135">
        <v>69</v>
      </c>
      <c r="D135">
        <v>5</v>
      </c>
      <c r="E135" s="2">
        <v>44990</v>
      </c>
      <c r="F135" s="3">
        <v>0.80053240740740739</v>
      </c>
      <c r="G135" s="2">
        <v>44999</v>
      </c>
      <c r="H135" s="3">
        <v>0.20728009259259259</v>
      </c>
      <c r="I135" s="1" t="s">
        <v>297</v>
      </c>
      <c r="J135" s="1" t="s">
        <v>25</v>
      </c>
      <c r="K135">
        <v>9</v>
      </c>
      <c r="L135" t="str">
        <f>IF(tblOrders[[#This Row],[Quantity]]&lt;=0,"Check","OK")</f>
        <v>OK</v>
      </c>
      <c r="M135" s="1" t="str">
        <f>IF(tblOrders[[#This Row],[Delivery_Date]]&lt;tblOrders[[#This Row],[Order_Date]],"Error","OK")</f>
        <v>OK</v>
      </c>
    </row>
    <row r="136" spans="1:13" x14ac:dyDescent="0.25">
      <c r="A136" s="1">
        <v>135</v>
      </c>
      <c r="B136" s="1" t="s">
        <v>347</v>
      </c>
      <c r="C136">
        <v>30</v>
      </c>
      <c r="D136">
        <v>2</v>
      </c>
      <c r="E136" s="2">
        <v>45273</v>
      </c>
      <c r="F136" s="3">
        <v>0.43065972222222221</v>
      </c>
      <c r="G136" s="2">
        <v>45274</v>
      </c>
      <c r="H136" s="3">
        <v>0.65509259259259256</v>
      </c>
      <c r="I136" s="1" t="s">
        <v>348</v>
      </c>
      <c r="J136" s="1" t="s">
        <v>30</v>
      </c>
      <c r="K136">
        <v>1</v>
      </c>
      <c r="L136" t="str">
        <f>IF(tblOrders[[#This Row],[Quantity]]&lt;=0,"Check","OK")</f>
        <v>OK</v>
      </c>
      <c r="M136" s="1" t="str">
        <f>IF(tblOrders[[#This Row],[Delivery_Date]]&lt;tblOrders[[#This Row],[Order_Date]],"Error","OK")</f>
        <v>OK</v>
      </c>
    </row>
    <row r="137" spans="1:13" x14ac:dyDescent="0.25">
      <c r="A137" s="1">
        <v>136</v>
      </c>
      <c r="B137" s="1" t="s">
        <v>250</v>
      </c>
      <c r="C137">
        <v>56</v>
      </c>
      <c r="D137">
        <v>1</v>
      </c>
      <c r="E137" s="2">
        <v>45174</v>
      </c>
      <c r="F137" s="3">
        <v>0.67290509259259257</v>
      </c>
      <c r="G137" s="2">
        <v>45178</v>
      </c>
      <c r="H137" s="3">
        <v>0.9252083333333333</v>
      </c>
      <c r="I137" s="1" t="s">
        <v>243</v>
      </c>
      <c r="J137" s="1" t="s">
        <v>30</v>
      </c>
      <c r="K137">
        <v>4</v>
      </c>
      <c r="L137" t="str">
        <f>IF(tblOrders[[#This Row],[Quantity]]&lt;=0,"Check","OK")</f>
        <v>OK</v>
      </c>
      <c r="M137" s="1" t="str">
        <f>IF(tblOrders[[#This Row],[Delivery_Date]]&lt;tblOrders[[#This Row],[Order_Date]],"Error","OK")</f>
        <v>OK</v>
      </c>
    </row>
    <row r="138" spans="1:13" x14ac:dyDescent="0.25">
      <c r="A138" s="1">
        <v>137</v>
      </c>
      <c r="B138" s="1" t="s">
        <v>343</v>
      </c>
      <c r="C138">
        <v>47</v>
      </c>
      <c r="D138">
        <v>2</v>
      </c>
      <c r="E138" s="2">
        <v>44990</v>
      </c>
      <c r="F138" s="3">
        <v>0.6711111111111111</v>
      </c>
      <c r="G138" s="2">
        <v>44996</v>
      </c>
      <c r="H138" s="3">
        <v>0.3120486111111111</v>
      </c>
      <c r="I138" s="1" t="s">
        <v>306</v>
      </c>
      <c r="J138" s="1" t="s">
        <v>25</v>
      </c>
      <c r="K138">
        <v>6</v>
      </c>
      <c r="L138" t="str">
        <f>IF(tblOrders[[#This Row],[Quantity]]&lt;=0,"Check","OK")</f>
        <v>OK</v>
      </c>
      <c r="M138" s="1" t="str">
        <f>IF(tblOrders[[#This Row],[Delivery_Date]]&lt;tblOrders[[#This Row],[Order_Date]],"Error","OK")</f>
        <v>OK</v>
      </c>
    </row>
    <row r="139" spans="1:13" x14ac:dyDescent="0.25">
      <c r="A139" s="1">
        <v>138</v>
      </c>
      <c r="B139" s="1" t="s">
        <v>349</v>
      </c>
      <c r="C139">
        <v>57</v>
      </c>
      <c r="D139">
        <v>4</v>
      </c>
      <c r="E139" s="2">
        <v>44996</v>
      </c>
      <c r="F139" s="3">
        <v>0.39856481481481482</v>
      </c>
      <c r="G139" s="2">
        <v>45003</v>
      </c>
      <c r="H139" s="3">
        <v>0.25185185185185183</v>
      </c>
      <c r="I139" s="1" t="s">
        <v>350</v>
      </c>
      <c r="J139" s="1" t="s">
        <v>36</v>
      </c>
      <c r="K139">
        <v>7</v>
      </c>
      <c r="L139" t="str">
        <f>IF(tblOrders[[#This Row],[Quantity]]&lt;=0,"Check","OK")</f>
        <v>OK</v>
      </c>
      <c r="M139" s="1" t="str">
        <f>IF(tblOrders[[#This Row],[Delivery_Date]]&lt;tblOrders[[#This Row],[Order_Date]],"Error","OK")</f>
        <v>OK</v>
      </c>
    </row>
    <row r="140" spans="1:13" x14ac:dyDescent="0.25">
      <c r="A140" s="1">
        <v>139</v>
      </c>
      <c r="B140" s="1" t="s">
        <v>224</v>
      </c>
      <c r="C140">
        <v>54</v>
      </c>
      <c r="D140">
        <v>4</v>
      </c>
      <c r="E140" s="2">
        <v>45057</v>
      </c>
      <c r="F140" s="3">
        <v>0.17690972222222223</v>
      </c>
      <c r="G140" s="2">
        <v>45062</v>
      </c>
      <c r="H140" s="3">
        <v>0.75884259259259257</v>
      </c>
      <c r="I140" s="1" t="s">
        <v>351</v>
      </c>
      <c r="J140" s="1" t="s">
        <v>30</v>
      </c>
      <c r="K140">
        <v>5</v>
      </c>
      <c r="L140" t="str">
        <f>IF(tblOrders[[#This Row],[Quantity]]&lt;=0,"Check","OK")</f>
        <v>OK</v>
      </c>
      <c r="M140" s="1" t="str">
        <f>IF(tblOrders[[#This Row],[Delivery_Date]]&lt;tblOrders[[#This Row],[Order_Date]],"Error","OK")</f>
        <v>OK</v>
      </c>
    </row>
    <row r="141" spans="1:13" x14ac:dyDescent="0.25">
      <c r="A141" s="1">
        <v>140</v>
      </c>
      <c r="B141" s="1" t="s">
        <v>270</v>
      </c>
      <c r="C141">
        <v>47</v>
      </c>
      <c r="D141">
        <v>1</v>
      </c>
      <c r="E141" s="2">
        <v>44989</v>
      </c>
      <c r="F141" s="3">
        <v>0.26359953703703703</v>
      </c>
      <c r="G141" s="2">
        <v>44998</v>
      </c>
      <c r="H141" s="3">
        <v>0.89554398148148151</v>
      </c>
      <c r="I141" s="1" t="s">
        <v>352</v>
      </c>
      <c r="J141" s="1" t="s">
        <v>25</v>
      </c>
      <c r="K141">
        <v>9</v>
      </c>
      <c r="L141" t="str">
        <f>IF(tblOrders[[#This Row],[Quantity]]&lt;=0,"Check","OK")</f>
        <v>OK</v>
      </c>
      <c r="M141" s="1" t="str">
        <f>IF(tblOrders[[#This Row],[Delivery_Date]]&lt;tblOrders[[#This Row],[Order_Date]],"Error","OK")</f>
        <v>OK</v>
      </c>
    </row>
    <row r="142" spans="1:13" x14ac:dyDescent="0.25">
      <c r="A142" s="1">
        <v>141</v>
      </c>
      <c r="B142" s="1" t="s">
        <v>285</v>
      </c>
      <c r="C142">
        <v>35</v>
      </c>
      <c r="D142">
        <v>4</v>
      </c>
      <c r="E142" s="2">
        <v>44985</v>
      </c>
      <c r="F142" s="3">
        <v>0.16326388888888888</v>
      </c>
      <c r="G142" s="2">
        <v>44995</v>
      </c>
      <c r="H142" s="3">
        <v>0.10550925925925926</v>
      </c>
      <c r="I142" s="1" t="s">
        <v>353</v>
      </c>
      <c r="J142" s="1" t="s">
        <v>25</v>
      </c>
      <c r="K142">
        <v>10</v>
      </c>
      <c r="L142" t="str">
        <f>IF(tblOrders[[#This Row],[Quantity]]&lt;=0,"Check","OK")</f>
        <v>OK</v>
      </c>
      <c r="M142" s="1" t="str">
        <f>IF(tblOrders[[#This Row],[Delivery_Date]]&lt;tblOrders[[#This Row],[Order_Date]],"Error","OK")</f>
        <v>OK</v>
      </c>
    </row>
    <row r="143" spans="1:13" x14ac:dyDescent="0.25">
      <c r="A143" s="1">
        <v>142</v>
      </c>
      <c r="B143" s="1" t="s">
        <v>170</v>
      </c>
      <c r="C143">
        <v>23</v>
      </c>
      <c r="D143">
        <v>2</v>
      </c>
      <c r="E143" s="2">
        <v>45222</v>
      </c>
      <c r="F143" s="3">
        <v>0.10501157407407408</v>
      </c>
      <c r="G143" s="2">
        <v>45226</v>
      </c>
      <c r="H143" s="3">
        <v>0.18351851851851853</v>
      </c>
      <c r="I143" s="1" t="s">
        <v>352</v>
      </c>
      <c r="J143" s="1" t="s">
        <v>30</v>
      </c>
      <c r="K143">
        <v>4</v>
      </c>
      <c r="L143" t="str">
        <f>IF(tblOrders[[#This Row],[Quantity]]&lt;=0,"Check","OK")</f>
        <v>OK</v>
      </c>
      <c r="M143" s="1" t="str">
        <f>IF(tblOrders[[#This Row],[Delivery_Date]]&lt;tblOrders[[#This Row],[Order_Date]],"Error","OK")</f>
        <v>OK</v>
      </c>
    </row>
    <row r="144" spans="1:13" x14ac:dyDescent="0.25">
      <c r="A144" s="1">
        <v>143</v>
      </c>
      <c r="B144" s="1" t="s">
        <v>347</v>
      </c>
      <c r="C144">
        <v>66</v>
      </c>
      <c r="D144">
        <v>2</v>
      </c>
      <c r="E144" s="2">
        <v>44985</v>
      </c>
      <c r="F144" s="3">
        <v>0.31756944444444446</v>
      </c>
      <c r="G144" s="2">
        <v>44995</v>
      </c>
      <c r="H144" s="3">
        <v>0.61798611111111112</v>
      </c>
      <c r="I144" s="1" t="s">
        <v>354</v>
      </c>
      <c r="J144" s="1" t="s">
        <v>25</v>
      </c>
      <c r="K144">
        <v>10</v>
      </c>
      <c r="L144" t="str">
        <f>IF(tblOrders[[#This Row],[Quantity]]&lt;=0,"Check","OK")</f>
        <v>OK</v>
      </c>
      <c r="M144" s="1" t="str">
        <f>IF(tblOrders[[#This Row],[Delivery_Date]]&lt;tblOrders[[#This Row],[Order_Date]],"Error","OK")</f>
        <v>OK</v>
      </c>
    </row>
    <row r="145" spans="1:13" x14ac:dyDescent="0.25">
      <c r="A145" s="1">
        <v>144</v>
      </c>
      <c r="B145" s="1" t="s">
        <v>202</v>
      </c>
      <c r="C145">
        <v>51</v>
      </c>
      <c r="D145">
        <v>5</v>
      </c>
      <c r="E145" s="2">
        <v>44944</v>
      </c>
      <c r="F145" s="3">
        <v>0.37572916666666667</v>
      </c>
      <c r="G145" s="2">
        <v>44949</v>
      </c>
      <c r="H145" s="3">
        <v>0.14114583333333333</v>
      </c>
      <c r="I145" s="1" t="s">
        <v>355</v>
      </c>
      <c r="J145" s="1" t="s">
        <v>8</v>
      </c>
      <c r="K145">
        <v>5</v>
      </c>
      <c r="L145" t="str">
        <f>IF(tblOrders[[#This Row],[Quantity]]&lt;=0,"Check","OK")</f>
        <v>OK</v>
      </c>
      <c r="M145" s="1" t="str">
        <f>IF(tblOrders[[#This Row],[Delivery_Date]]&lt;tblOrders[[#This Row],[Order_Date]],"Error","OK")</f>
        <v>OK</v>
      </c>
    </row>
    <row r="146" spans="1:13" x14ac:dyDescent="0.25">
      <c r="A146" s="1">
        <v>145</v>
      </c>
      <c r="B146" s="1" t="s">
        <v>224</v>
      </c>
      <c r="C146">
        <v>59</v>
      </c>
      <c r="D146">
        <v>5</v>
      </c>
      <c r="E146" s="2">
        <v>45167</v>
      </c>
      <c r="F146" s="3">
        <v>0.7034259259259259</v>
      </c>
      <c r="G146" s="2">
        <v>45172</v>
      </c>
      <c r="H146" s="3">
        <v>0.54473379629629626</v>
      </c>
      <c r="I146" s="1" t="s">
        <v>356</v>
      </c>
      <c r="J146" s="1" t="s">
        <v>33</v>
      </c>
      <c r="K146">
        <v>5</v>
      </c>
      <c r="L146" t="str">
        <f>IF(tblOrders[[#This Row],[Quantity]]&lt;=0,"Check","OK")</f>
        <v>OK</v>
      </c>
      <c r="M146" s="1" t="str">
        <f>IF(tblOrders[[#This Row],[Delivery_Date]]&lt;tblOrders[[#This Row],[Order_Date]],"Error","OK")</f>
        <v>OK</v>
      </c>
    </row>
    <row r="147" spans="1:13" x14ac:dyDescent="0.25">
      <c r="A147" s="1">
        <v>146</v>
      </c>
      <c r="B147" s="1" t="s">
        <v>337</v>
      </c>
      <c r="C147">
        <v>52</v>
      </c>
      <c r="D147">
        <v>5</v>
      </c>
      <c r="E147" s="2">
        <v>44970</v>
      </c>
      <c r="F147" s="3">
        <v>0.7666087962962963</v>
      </c>
      <c r="G147" s="2">
        <v>44973</v>
      </c>
      <c r="H147" s="3">
        <v>0.17195601851851852</v>
      </c>
      <c r="I147" s="1" t="s">
        <v>357</v>
      </c>
      <c r="J147" s="1" t="s">
        <v>12</v>
      </c>
      <c r="K147">
        <v>3</v>
      </c>
      <c r="L147" t="str">
        <f>IF(tblOrders[[#This Row],[Quantity]]&lt;=0,"Check","OK")</f>
        <v>OK</v>
      </c>
      <c r="M147" s="1" t="str">
        <f>IF(tblOrders[[#This Row],[Delivery_Date]]&lt;tblOrders[[#This Row],[Order_Date]],"Error","OK")</f>
        <v>OK</v>
      </c>
    </row>
    <row r="148" spans="1:13" x14ac:dyDescent="0.25">
      <c r="A148" s="1">
        <v>147</v>
      </c>
      <c r="B148" s="1" t="s">
        <v>235</v>
      </c>
      <c r="C148">
        <v>8</v>
      </c>
      <c r="D148">
        <v>4</v>
      </c>
      <c r="E148" s="2">
        <v>45002</v>
      </c>
      <c r="F148" s="3">
        <v>0.81128472222222225</v>
      </c>
      <c r="G148" s="2">
        <v>45008</v>
      </c>
      <c r="H148" s="3">
        <v>0.57721064814814815</v>
      </c>
      <c r="I148" s="1" t="s">
        <v>358</v>
      </c>
      <c r="J148" s="1" t="s">
        <v>30</v>
      </c>
      <c r="K148">
        <v>6</v>
      </c>
      <c r="L148" t="str">
        <f>IF(tblOrders[[#This Row],[Quantity]]&lt;=0,"Check","OK")</f>
        <v>OK</v>
      </c>
      <c r="M148" s="1" t="str">
        <f>IF(tblOrders[[#This Row],[Delivery_Date]]&lt;tblOrders[[#This Row],[Order_Date]],"Error","OK")</f>
        <v>OK</v>
      </c>
    </row>
    <row r="149" spans="1:13" x14ac:dyDescent="0.25">
      <c r="A149" s="1">
        <v>148</v>
      </c>
      <c r="B149" s="1" t="s">
        <v>237</v>
      </c>
      <c r="C149">
        <v>24</v>
      </c>
      <c r="D149">
        <v>3</v>
      </c>
      <c r="E149" s="2">
        <v>45265</v>
      </c>
      <c r="F149" s="3">
        <v>8.9675925925925923E-2</v>
      </c>
      <c r="G149" s="2">
        <v>45267</v>
      </c>
      <c r="H149" s="3">
        <v>0.37335648148148148</v>
      </c>
      <c r="I149" s="1" t="s">
        <v>359</v>
      </c>
      <c r="J149" s="1" t="s">
        <v>36</v>
      </c>
      <c r="K149">
        <v>2</v>
      </c>
      <c r="L149" t="str">
        <f>IF(tblOrders[[#This Row],[Quantity]]&lt;=0,"Check","OK")</f>
        <v>OK</v>
      </c>
      <c r="M149" s="1" t="str">
        <f>IF(tblOrders[[#This Row],[Delivery_Date]]&lt;tblOrders[[#This Row],[Order_Date]],"Error","OK")</f>
        <v>OK</v>
      </c>
    </row>
    <row r="150" spans="1:13" x14ac:dyDescent="0.25">
      <c r="A150" s="1">
        <v>149</v>
      </c>
      <c r="B150" s="1" t="s">
        <v>289</v>
      </c>
      <c r="C150">
        <v>5</v>
      </c>
      <c r="D150">
        <v>3</v>
      </c>
      <c r="E150" s="2">
        <v>45205</v>
      </c>
      <c r="F150" s="3">
        <v>0.97440972222222222</v>
      </c>
      <c r="G150" s="2">
        <v>45208</v>
      </c>
      <c r="H150" s="3">
        <v>0.83972222222222226</v>
      </c>
      <c r="I150" s="1" t="s">
        <v>360</v>
      </c>
      <c r="J150" s="1" t="s">
        <v>8</v>
      </c>
      <c r="K150">
        <v>3</v>
      </c>
      <c r="L150" t="str">
        <f>IF(tblOrders[[#This Row],[Quantity]]&lt;=0,"Check","OK")</f>
        <v>OK</v>
      </c>
      <c r="M150" s="1" t="str">
        <f>IF(tblOrders[[#This Row],[Delivery_Date]]&lt;tblOrders[[#This Row],[Order_Date]],"Error","OK")</f>
        <v>OK</v>
      </c>
    </row>
    <row r="151" spans="1:13" x14ac:dyDescent="0.25">
      <c r="A151" s="1">
        <v>150</v>
      </c>
      <c r="B151" s="1" t="s">
        <v>361</v>
      </c>
      <c r="C151">
        <v>27</v>
      </c>
      <c r="D151">
        <v>5</v>
      </c>
      <c r="E151" s="2">
        <v>45164</v>
      </c>
      <c r="F151" s="3">
        <v>0.30436342592592591</v>
      </c>
      <c r="G151" s="2">
        <v>45167</v>
      </c>
      <c r="H151" s="3">
        <v>0.70570601851851855</v>
      </c>
      <c r="I151" s="1" t="s">
        <v>362</v>
      </c>
      <c r="J151" s="1" t="s">
        <v>33</v>
      </c>
      <c r="K151">
        <v>3</v>
      </c>
      <c r="L151" t="str">
        <f>IF(tblOrders[[#This Row],[Quantity]]&lt;=0,"Check","OK")</f>
        <v>OK</v>
      </c>
      <c r="M151" s="1" t="str">
        <f>IF(tblOrders[[#This Row],[Delivery_Date]]&lt;tblOrders[[#This Row],[Order_Date]],"Error","OK")</f>
        <v>OK</v>
      </c>
    </row>
    <row r="152" spans="1:13" x14ac:dyDescent="0.25">
      <c r="A152" s="1">
        <v>151</v>
      </c>
      <c r="B152" s="1" t="s">
        <v>341</v>
      </c>
      <c r="C152">
        <v>43</v>
      </c>
      <c r="D152">
        <v>1</v>
      </c>
      <c r="E152" s="2">
        <v>45233</v>
      </c>
      <c r="F152" s="3">
        <v>0.90446759259259257</v>
      </c>
      <c r="G152" s="2">
        <v>45240</v>
      </c>
      <c r="H152" s="3">
        <v>0.16391203703703705</v>
      </c>
      <c r="I152" s="1" t="s">
        <v>363</v>
      </c>
      <c r="J152" s="1" t="s">
        <v>19</v>
      </c>
      <c r="K152">
        <v>7</v>
      </c>
      <c r="L152" t="str">
        <f>IF(tblOrders[[#This Row],[Quantity]]&lt;=0,"Check","OK")</f>
        <v>OK</v>
      </c>
      <c r="M152" s="1" t="str">
        <f>IF(tblOrders[[#This Row],[Delivery_Date]]&lt;tblOrders[[#This Row],[Order_Date]],"Error","OK")</f>
        <v>OK</v>
      </c>
    </row>
    <row r="153" spans="1:13" x14ac:dyDescent="0.25">
      <c r="A153" s="1">
        <v>152</v>
      </c>
      <c r="B153" s="1" t="s">
        <v>364</v>
      </c>
      <c r="C153">
        <v>51</v>
      </c>
      <c r="D153">
        <v>2</v>
      </c>
      <c r="E153" s="2">
        <v>44984</v>
      </c>
      <c r="F153" s="3">
        <v>0.45059027777777777</v>
      </c>
      <c r="G153" s="2">
        <v>44990</v>
      </c>
      <c r="H153" s="3">
        <v>0.69400462962962961</v>
      </c>
      <c r="I153" s="1" t="s">
        <v>346</v>
      </c>
      <c r="J153" s="1" t="s">
        <v>8</v>
      </c>
      <c r="K153">
        <v>6</v>
      </c>
      <c r="L153" t="str">
        <f>IF(tblOrders[[#This Row],[Quantity]]&lt;=0,"Check","OK")</f>
        <v>OK</v>
      </c>
      <c r="M153" s="1" t="str">
        <f>IF(tblOrders[[#This Row],[Delivery_Date]]&lt;tblOrders[[#This Row],[Order_Date]],"Error","OK")</f>
        <v>OK</v>
      </c>
    </row>
    <row r="154" spans="1:13" x14ac:dyDescent="0.25">
      <c r="A154" s="1">
        <v>153</v>
      </c>
      <c r="B154" s="1" t="s">
        <v>365</v>
      </c>
      <c r="C154">
        <v>16</v>
      </c>
      <c r="D154">
        <v>4</v>
      </c>
      <c r="E154" s="2">
        <v>44989</v>
      </c>
      <c r="F154" s="3">
        <v>0.51041666666666663</v>
      </c>
      <c r="G154" s="2">
        <v>44995</v>
      </c>
      <c r="H154" s="3">
        <v>0.25327546296296294</v>
      </c>
      <c r="I154" s="1" t="s">
        <v>366</v>
      </c>
      <c r="J154" s="1" t="s">
        <v>25</v>
      </c>
      <c r="K154">
        <v>6</v>
      </c>
      <c r="L154" t="str">
        <f>IF(tblOrders[[#This Row],[Quantity]]&lt;=0,"Check","OK")</f>
        <v>OK</v>
      </c>
      <c r="M154" s="1" t="str">
        <f>IF(tblOrders[[#This Row],[Delivery_Date]]&lt;tblOrders[[#This Row],[Order_Date]],"Error","OK")</f>
        <v>OK</v>
      </c>
    </row>
    <row r="155" spans="1:13" x14ac:dyDescent="0.25">
      <c r="A155" s="1">
        <v>154</v>
      </c>
      <c r="B155" s="1" t="s">
        <v>367</v>
      </c>
      <c r="C155">
        <v>45</v>
      </c>
      <c r="D155">
        <v>5</v>
      </c>
      <c r="E155" s="2">
        <v>45251</v>
      </c>
      <c r="F155" s="3">
        <v>0.96826388888888892</v>
      </c>
      <c r="G155" s="2">
        <v>45255</v>
      </c>
      <c r="H155" s="3">
        <v>8.6793981481481486E-2</v>
      </c>
      <c r="I155" s="1" t="s">
        <v>230</v>
      </c>
      <c r="J155" s="1" t="s">
        <v>36</v>
      </c>
      <c r="K155">
        <v>4</v>
      </c>
      <c r="L155" t="str">
        <f>IF(tblOrders[[#This Row],[Quantity]]&lt;=0,"Check","OK")</f>
        <v>OK</v>
      </c>
      <c r="M155" s="1" t="str">
        <f>IF(tblOrders[[#This Row],[Delivery_Date]]&lt;tblOrders[[#This Row],[Order_Date]],"Error","OK")</f>
        <v>OK</v>
      </c>
    </row>
    <row r="156" spans="1:13" x14ac:dyDescent="0.25">
      <c r="A156" s="1">
        <v>155</v>
      </c>
      <c r="B156" s="1" t="s">
        <v>252</v>
      </c>
      <c r="C156">
        <v>23</v>
      </c>
      <c r="D156">
        <v>3</v>
      </c>
      <c r="E156" s="2">
        <v>45047</v>
      </c>
      <c r="F156" s="3">
        <v>0.61594907407407407</v>
      </c>
      <c r="G156" s="2">
        <v>45052</v>
      </c>
      <c r="H156" s="3">
        <v>3.4722222222222224E-4</v>
      </c>
      <c r="I156" s="1" t="s">
        <v>368</v>
      </c>
      <c r="J156" s="1" t="s">
        <v>30</v>
      </c>
      <c r="K156">
        <v>5</v>
      </c>
      <c r="L156" t="str">
        <f>IF(tblOrders[[#This Row],[Quantity]]&lt;=0,"Check","OK")</f>
        <v>OK</v>
      </c>
      <c r="M156" s="1" t="str">
        <f>IF(tblOrders[[#This Row],[Delivery_Date]]&lt;tblOrders[[#This Row],[Order_Date]],"Error","OK")</f>
        <v>OK</v>
      </c>
    </row>
    <row r="157" spans="1:13" x14ac:dyDescent="0.25">
      <c r="A157" s="1">
        <v>156</v>
      </c>
      <c r="B157" s="1" t="s">
        <v>337</v>
      </c>
      <c r="C157">
        <v>61</v>
      </c>
      <c r="D157">
        <v>2</v>
      </c>
      <c r="E157" s="2">
        <v>44966</v>
      </c>
      <c r="F157" s="3">
        <v>0.34780092592592593</v>
      </c>
      <c r="G157" s="2">
        <v>44969</v>
      </c>
      <c r="H157" s="3">
        <v>0.4508564814814815</v>
      </c>
      <c r="I157" s="1" t="s">
        <v>314</v>
      </c>
      <c r="J157" s="1" t="s">
        <v>30</v>
      </c>
      <c r="K157">
        <v>3</v>
      </c>
      <c r="L157" t="str">
        <f>IF(tblOrders[[#This Row],[Quantity]]&lt;=0,"Check","OK")</f>
        <v>OK</v>
      </c>
      <c r="M157" s="1" t="str">
        <f>IF(tblOrders[[#This Row],[Delivery_Date]]&lt;tblOrders[[#This Row],[Order_Date]],"Error","OK")</f>
        <v>OK</v>
      </c>
    </row>
    <row r="158" spans="1:13" x14ac:dyDescent="0.25">
      <c r="A158" s="1">
        <v>157</v>
      </c>
      <c r="B158" s="1" t="s">
        <v>168</v>
      </c>
      <c r="C158">
        <v>35</v>
      </c>
      <c r="D158">
        <v>3</v>
      </c>
      <c r="E158" s="2">
        <v>44983</v>
      </c>
      <c r="F158" s="3">
        <v>0.53075231481481477</v>
      </c>
      <c r="G158" s="2">
        <v>44991</v>
      </c>
      <c r="H158" s="3">
        <v>0.48314814814814816</v>
      </c>
      <c r="I158" s="1" t="s">
        <v>263</v>
      </c>
      <c r="J158" s="1" t="s">
        <v>25</v>
      </c>
      <c r="K158">
        <v>8</v>
      </c>
      <c r="L158" t="str">
        <f>IF(tblOrders[[#This Row],[Quantity]]&lt;=0,"Check","OK")</f>
        <v>OK</v>
      </c>
      <c r="M158" s="1" t="str">
        <f>IF(tblOrders[[#This Row],[Delivery_Date]]&lt;tblOrders[[#This Row],[Order_Date]],"Error","OK")</f>
        <v>OK</v>
      </c>
    </row>
    <row r="159" spans="1:13" x14ac:dyDescent="0.25">
      <c r="A159" s="1">
        <v>158</v>
      </c>
      <c r="B159" s="1" t="s">
        <v>369</v>
      </c>
      <c r="C159">
        <v>35</v>
      </c>
      <c r="D159">
        <v>2</v>
      </c>
      <c r="E159" s="2">
        <v>44988</v>
      </c>
      <c r="F159" s="3">
        <v>0.65297453703703701</v>
      </c>
      <c r="G159" s="2">
        <v>44993</v>
      </c>
      <c r="H159" s="3">
        <v>0.12015046296296296</v>
      </c>
      <c r="I159" s="1" t="s">
        <v>370</v>
      </c>
      <c r="J159" s="1" t="s">
        <v>25</v>
      </c>
      <c r="K159">
        <v>5</v>
      </c>
      <c r="L159" t="str">
        <f>IF(tblOrders[[#This Row],[Quantity]]&lt;=0,"Check","OK")</f>
        <v>OK</v>
      </c>
      <c r="M159" s="1" t="str">
        <f>IF(tblOrders[[#This Row],[Delivery_Date]]&lt;tblOrders[[#This Row],[Order_Date]],"Error","OK")</f>
        <v>OK</v>
      </c>
    </row>
    <row r="160" spans="1:13" x14ac:dyDescent="0.25">
      <c r="A160" s="1">
        <v>159</v>
      </c>
      <c r="B160" s="1" t="s">
        <v>258</v>
      </c>
      <c r="C160">
        <v>43</v>
      </c>
      <c r="D160">
        <v>3</v>
      </c>
      <c r="E160" s="2">
        <v>45239</v>
      </c>
      <c r="F160" s="3">
        <v>0.89697916666666666</v>
      </c>
      <c r="G160" s="2">
        <v>45241</v>
      </c>
      <c r="H160" s="3">
        <v>0.20550925925925925</v>
      </c>
      <c r="I160" s="1" t="s">
        <v>371</v>
      </c>
      <c r="J160" s="1" t="s">
        <v>19</v>
      </c>
      <c r="K160">
        <v>2</v>
      </c>
      <c r="L160" t="str">
        <f>IF(tblOrders[[#This Row],[Quantity]]&lt;=0,"Check","OK")</f>
        <v>OK</v>
      </c>
      <c r="M160" s="1" t="str">
        <f>IF(tblOrders[[#This Row],[Delivery_Date]]&lt;tblOrders[[#This Row],[Order_Date]],"Error","OK")</f>
        <v>OK</v>
      </c>
    </row>
    <row r="161" spans="1:13" x14ac:dyDescent="0.25">
      <c r="A161" s="1">
        <v>160</v>
      </c>
      <c r="B161" s="1" t="s">
        <v>166</v>
      </c>
      <c r="C161">
        <v>36</v>
      </c>
      <c r="D161">
        <v>3</v>
      </c>
      <c r="E161" s="2">
        <v>45079</v>
      </c>
      <c r="F161" s="3">
        <v>2.0104166666666666E-2</v>
      </c>
      <c r="G161" s="2">
        <v>45087</v>
      </c>
      <c r="H161" s="3">
        <v>0.32846064814814813</v>
      </c>
      <c r="I161" s="1" t="s">
        <v>198</v>
      </c>
      <c r="J161" s="1" t="s">
        <v>36</v>
      </c>
      <c r="K161">
        <v>8</v>
      </c>
      <c r="L161" t="str">
        <f>IF(tblOrders[[#This Row],[Quantity]]&lt;=0,"Check","OK")</f>
        <v>OK</v>
      </c>
      <c r="M161" s="1" t="str">
        <f>IF(tblOrders[[#This Row],[Delivery_Date]]&lt;tblOrders[[#This Row],[Order_Date]],"Error","OK")</f>
        <v>OK</v>
      </c>
    </row>
    <row r="162" spans="1:13" x14ac:dyDescent="0.25">
      <c r="A162" s="1">
        <v>161</v>
      </c>
      <c r="B162" s="1" t="s">
        <v>204</v>
      </c>
      <c r="C162">
        <v>58</v>
      </c>
      <c r="D162">
        <v>3</v>
      </c>
      <c r="E162" s="2">
        <v>44970</v>
      </c>
      <c r="F162" s="3">
        <v>0.13062499999999999</v>
      </c>
      <c r="G162" s="2">
        <v>44971</v>
      </c>
      <c r="H162" s="3">
        <v>0.96667824074074071</v>
      </c>
      <c r="I162" s="1" t="s">
        <v>372</v>
      </c>
      <c r="J162" s="1" t="s">
        <v>12</v>
      </c>
      <c r="K162">
        <v>1</v>
      </c>
      <c r="L162" t="str">
        <f>IF(tblOrders[[#This Row],[Quantity]]&lt;=0,"Check","OK")</f>
        <v>OK</v>
      </c>
      <c r="M162" s="1" t="str">
        <f>IF(tblOrders[[#This Row],[Delivery_Date]]&lt;tblOrders[[#This Row],[Order_Date]],"Error","OK")</f>
        <v>OK</v>
      </c>
    </row>
    <row r="163" spans="1:13" x14ac:dyDescent="0.25">
      <c r="A163" s="1">
        <v>162</v>
      </c>
      <c r="B163" s="1" t="s">
        <v>276</v>
      </c>
      <c r="C163">
        <v>55</v>
      </c>
      <c r="D163">
        <v>3</v>
      </c>
      <c r="E163" s="2">
        <v>45165</v>
      </c>
      <c r="F163" s="3">
        <v>0.2600810185185185</v>
      </c>
      <c r="G163" s="2">
        <v>45174</v>
      </c>
      <c r="H163" s="3">
        <v>0.66232638888888884</v>
      </c>
      <c r="I163" s="1" t="s">
        <v>373</v>
      </c>
      <c r="J163" s="1" t="s">
        <v>33</v>
      </c>
      <c r="K163">
        <v>9</v>
      </c>
      <c r="L163" t="str">
        <f>IF(tblOrders[[#This Row],[Quantity]]&lt;=0,"Check","OK")</f>
        <v>OK</v>
      </c>
      <c r="M163" s="1" t="str">
        <f>IF(tblOrders[[#This Row],[Delivery_Date]]&lt;tblOrders[[#This Row],[Order_Date]],"Error","OK")</f>
        <v>OK</v>
      </c>
    </row>
    <row r="164" spans="1:13" x14ac:dyDescent="0.25">
      <c r="A164" s="1">
        <v>163</v>
      </c>
      <c r="B164" s="1" t="s">
        <v>333</v>
      </c>
      <c r="C164">
        <v>54</v>
      </c>
      <c r="D164">
        <v>4</v>
      </c>
      <c r="E164" s="2">
        <v>44974</v>
      </c>
      <c r="F164" s="3">
        <v>0.82650462962962967</v>
      </c>
      <c r="G164" s="2">
        <v>44982</v>
      </c>
      <c r="H164" s="3">
        <v>0.43074074074074076</v>
      </c>
      <c r="I164" s="1" t="s">
        <v>374</v>
      </c>
      <c r="J164" s="1" t="s">
        <v>30</v>
      </c>
      <c r="K164">
        <v>8</v>
      </c>
      <c r="L164" t="str">
        <f>IF(tblOrders[[#This Row],[Quantity]]&lt;=0,"Check","OK")</f>
        <v>OK</v>
      </c>
      <c r="M164" s="1" t="str">
        <f>IF(tblOrders[[#This Row],[Delivery_Date]]&lt;tblOrders[[#This Row],[Order_Date]],"Error","OK")</f>
        <v>OK</v>
      </c>
    </row>
    <row r="165" spans="1:13" x14ac:dyDescent="0.25">
      <c r="A165" s="1">
        <v>164</v>
      </c>
      <c r="B165" s="1" t="s">
        <v>213</v>
      </c>
      <c r="C165">
        <v>14</v>
      </c>
      <c r="D165">
        <v>5</v>
      </c>
      <c r="E165" s="2">
        <v>45041</v>
      </c>
      <c r="F165" s="3">
        <v>8.6134259259259258E-2</v>
      </c>
      <c r="G165" s="2">
        <v>45043</v>
      </c>
      <c r="H165" s="3">
        <v>0.49274305555555553</v>
      </c>
      <c r="I165" s="1" t="s">
        <v>320</v>
      </c>
      <c r="J165" s="1" t="s">
        <v>36</v>
      </c>
      <c r="K165">
        <v>2</v>
      </c>
      <c r="L165" t="str">
        <f>IF(tblOrders[[#This Row],[Quantity]]&lt;=0,"Check","OK")</f>
        <v>OK</v>
      </c>
      <c r="M165" s="1" t="str">
        <f>IF(tblOrders[[#This Row],[Delivery_Date]]&lt;tblOrders[[#This Row],[Order_Date]],"Error","OK")</f>
        <v>OK</v>
      </c>
    </row>
    <row r="166" spans="1:13" x14ac:dyDescent="0.25">
      <c r="A166" s="1">
        <v>165</v>
      </c>
      <c r="B166" s="1" t="s">
        <v>265</v>
      </c>
      <c r="C166">
        <v>40</v>
      </c>
      <c r="D166">
        <v>5</v>
      </c>
      <c r="E166" s="2">
        <v>45144</v>
      </c>
      <c r="F166" s="3">
        <v>0.54949074074074078</v>
      </c>
      <c r="G166" s="2">
        <v>45148</v>
      </c>
      <c r="H166" s="3">
        <v>0.35918981481481482</v>
      </c>
      <c r="I166" s="1" t="s">
        <v>375</v>
      </c>
      <c r="J166" s="1" t="s">
        <v>30</v>
      </c>
      <c r="K166">
        <v>4</v>
      </c>
      <c r="L166" t="str">
        <f>IF(tblOrders[[#This Row],[Quantity]]&lt;=0,"Check","OK")</f>
        <v>OK</v>
      </c>
      <c r="M166" s="1" t="str">
        <f>IF(tblOrders[[#This Row],[Delivery_Date]]&lt;tblOrders[[#This Row],[Order_Date]],"Error","OK")</f>
        <v>OK</v>
      </c>
    </row>
    <row r="167" spans="1:13" x14ac:dyDescent="0.25">
      <c r="A167" s="1">
        <v>166</v>
      </c>
      <c r="B167" s="1" t="s">
        <v>329</v>
      </c>
      <c r="C167">
        <v>4</v>
      </c>
      <c r="D167">
        <v>3</v>
      </c>
      <c r="E167" s="2">
        <v>45237</v>
      </c>
      <c r="F167" s="3">
        <v>0.96212962962962967</v>
      </c>
      <c r="G167" s="2">
        <v>45240</v>
      </c>
      <c r="H167" s="3">
        <v>0.25886574074074076</v>
      </c>
      <c r="I167" s="1" t="s">
        <v>376</v>
      </c>
      <c r="J167" s="1" t="s">
        <v>19</v>
      </c>
      <c r="K167">
        <v>3</v>
      </c>
      <c r="L167" t="str">
        <f>IF(tblOrders[[#This Row],[Quantity]]&lt;=0,"Check","OK")</f>
        <v>OK</v>
      </c>
      <c r="M167" s="1" t="str">
        <f>IF(tblOrders[[#This Row],[Delivery_Date]]&lt;tblOrders[[#This Row],[Order_Date]],"Error","OK")</f>
        <v>OK</v>
      </c>
    </row>
    <row r="168" spans="1:13" x14ac:dyDescent="0.25">
      <c r="A168" s="1">
        <v>167</v>
      </c>
      <c r="B168" s="1" t="s">
        <v>168</v>
      </c>
      <c r="C168">
        <v>37</v>
      </c>
      <c r="D168">
        <v>4</v>
      </c>
      <c r="E168" s="2">
        <v>45234</v>
      </c>
      <c r="F168" s="3">
        <v>6.0312499999999998E-2</v>
      </c>
      <c r="G168" s="2">
        <v>45237</v>
      </c>
      <c r="H168" s="3">
        <v>0.63642361111111112</v>
      </c>
      <c r="I168" s="1" t="s">
        <v>247</v>
      </c>
      <c r="J168" s="1" t="s">
        <v>19</v>
      </c>
      <c r="K168">
        <v>3</v>
      </c>
      <c r="L168" t="str">
        <f>IF(tblOrders[[#This Row],[Quantity]]&lt;=0,"Check","OK")</f>
        <v>OK</v>
      </c>
      <c r="M168" s="1" t="str">
        <f>IF(tblOrders[[#This Row],[Delivery_Date]]&lt;tblOrders[[#This Row],[Order_Date]],"Error","OK")</f>
        <v>OK</v>
      </c>
    </row>
    <row r="169" spans="1:13" x14ac:dyDescent="0.25">
      <c r="A169" s="1">
        <v>168</v>
      </c>
      <c r="B169" s="1" t="s">
        <v>361</v>
      </c>
      <c r="C169">
        <v>35</v>
      </c>
      <c r="D169">
        <v>2</v>
      </c>
      <c r="E169" s="2">
        <v>44989</v>
      </c>
      <c r="F169" s="3">
        <v>0.65003472222222225</v>
      </c>
      <c r="G169" s="2">
        <v>44992</v>
      </c>
      <c r="H169" s="3">
        <v>0.46020833333333333</v>
      </c>
      <c r="I169" s="1" t="s">
        <v>362</v>
      </c>
      <c r="J169" s="1" t="s">
        <v>25</v>
      </c>
      <c r="K169">
        <v>3</v>
      </c>
      <c r="L169" t="str">
        <f>IF(tblOrders[[#This Row],[Quantity]]&lt;=0,"Check","OK")</f>
        <v>OK</v>
      </c>
      <c r="M169" s="1" t="str">
        <f>IF(tblOrders[[#This Row],[Delivery_Date]]&lt;tblOrders[[#This Row],[Order_Date]],"Error","OK")</f>
        <v>OK</v>
      </c>
    </row>
    <row r="170" spans="1:13" x14ac:dyDescent="0.25">
      <c r="A170" s="1">
        <v>169</v>
      </c>
      <c r="B170" s="1" t="s">
        <v>341</v>
      </c>
      <c r="C170">
        <v>3</v>
      </c>
      <c r="D170">
        <v>2</v>
      </c>
      <c r="E170" s="2">
        <v>44963</v>
      </c>
      <c r="F170" s="3">
        <v>0.43677083333333333</v>
      </c>
      <c r="G170" s="2">
        <v>44973</v>
      </c>
      <c r="H170" s="3">
        <v>5.994212962962963E-2</v>
      </c>
      <c r="I170" s="1" t="s">
        <v>281</v>
      </c>
      <c r="J170" s="1" t="s">
        <v>12</v>
      </c>
      <c r="K170">
        <v>10</v>
      </c>
      <c r="L170" t="str">
        <f>IF(tblOrders[[#This Row],[Quantity]]&lt;=0,"Check","OK")</f>
        <v>OK</v>
      </c>
      <c r="M170" s="1" t="str">
        <f>IF(tblOrders[[#This Row],[Delivery_Date]]&lt;tblOrders[[#This Row],[Order_Date]],"Error","OK")</f>
        <v>OK</v>
      </c>
    </row>
    <row r="171" spans="1:13" x14ac:dyDescent="0.25">
      <c r="A171" s="1">
        <v>170</v>
      </c>
      <c r="B171" s="1" t="s">
        <v>176</v>
      </c>
      <c r="C171">
        <v>32</v>
      </c>
      <c r="D171">
        <v>2</v>
      </c>
      <c r="E171" s="2">
        <v>45006</v>
      </c>
      <c r="F171" s="3">
        <v>0.49876157407407407</v>
      </c>
      <c r="G171" s="2">
        <v>45012</v>
      </c>
      <c r="H171" s="3">
        <v>0.21813657407407408</v>
      </c>
      <c r="I171" s="1" t="s">
        <v>377</v>
      </c>
      <c r="J171" s="1" t="s">
        <v>36</v>
      </c>
      <c r="K171">
        <v>6</v>
      </c>
      <c r="L171" t="str">
        <f>IF(tblOrders[[#This Row],[Quantity]]&lt;=0,"Check","OK")</f>
        <v>OK</v>
      </c>
      <c r="M171" s="1" t="str">
        <f>IF(tblOrders[[#This Row],[Delivery_Date]]&lt;tblOrders[[#This Row],[Order_Date]],"Error","OK")</f>
        <v>OK</v>
      </c>
    </row>
    <row r="172" spans="1:13" x14ac:dyDescent="0.25">
      <c r="A172" s="1">
        <v>171</v>
      </c>
      <c r="B172" s="1" t="s">
        <v>222</v>
      </c>
      <c r="C172">
        <v>54</v>
      </c>
      <c r="D172">
        <v>3</v>
      </c>
      <c r="E172" s="2">
        <v>45107</v>
      </c>
      <c r="F172" s="3">
        <v>0.49153935185185182</v>
      </c>
      <c r="G172" s="2">
        <v>45115</v>
      </c>
      <c r="H172" s="3">
        <v>0.5188194444444445</v>
      </c>
      <c r="I172" s="1" t="s">
        <v>378</v>
      </c>
      <c r="J172" s="1" t="s">
        <v>30</v>
      </c>
      <c r="K172">
        <v>8</v>
      </c>
      <c r="L172" t="str">
        <f>IF(tblOrders[[#This Row],[Quantity]]&lt;=0,"Check","OK")</f>
        <v>OK</v>
      </c>
      <c r="M172" s="1" t="str">
        <f>IF(tblOrders[[#This Row],[Delivery_Date]]&lt;tblOrders[[#This Row],[Order_Date]],"Error","OK")</f>
        <v>OK</v>
      </c>
    </row>
    <row r="173" spans="1:13" x14ac:dyDescent="0.25">
      <c r="A173" s="1">
        <v>172</v>
      </c>
      <c r="B173" s="1" t="s">
        <v>343</v>
      </c>
      <c r="C173">
        <v>62</v>
      </c>
      <c r="D173">
        <v>4</v>
      </c>
      <c r="E173" s="2">
        <v>44988</v>
      </c>
      <c r="F173" s="3">
        <v>0.19449074074074074</v>
      </c>
      <c r="G173" s="2">
        <v>44993</v>
      </c>
      <c r="H173" s="3">
        <v>0.21721064814814814</v>
      </c>
      <c r="I173" s="1" t="s">
        <v>379</v>
      </c>
      <c r="J173" s="1" t="s">
        <v>25</v>
      </c>
      <c r="K173">
        <v>5</v>
      </c>
      <c r="L173" t="str">
        <f>IF(tblOrders[[#This Row],[Quantity]]&lt;=0,"Check","OK")</f>
        <v>OK</v>
      </c>
      <c r="M173" s="1" t="str">
        <f>IF(tblOrders[[#This Row],[Delivery_Date]]&lt;tblOrders[[#This Row],[Order_Date]],"Error","OK")</f>
        <v>OK</v>
      </c>
    </row>
    <row r="174" spans="1:13" x14ac:dyDescent="0.25">
      <c r="A174" s="1">
        <v>173</v>
      </c>
      <c r="B174" s="1" t="s">
        <v>197</v>
      </c>
      <c r="C174">
        <v>58</v>
      </c>
      <c r="D174">
        <v>2</v>
      </c>
      <c r="E174" s="2">
        <v>44964</v>
      </c>
      <c r="F174" s="3">
        <v>0.96917824074074077</v>
      </c>
      <c r="G174" s="2">
        <v>44970</v>
      </c>
      <c r="H174" s="3">
        <v>7.7696759259259257E-2</v>
      </c>
      <c r="I174" s="1" t="s">
        <v>380</v>
      </c>
      <c r="J174" s="1" t="s">
        <v>12</v>
      </c>
      <c r="K174">
        <v>6</v>
      </c>
      <c r="L174" t="str">
        <f>IF(tblOrders[[#This Row],[Quantity]]&lt;=0,"Check","OK")</f>
        <v>OK</v>
      </c>
      <c r="M174" s="1" t="str">
        <f>IF(tblOrders[[#This Row],[Delivery_Date]]&lt;tblOrders[[#This Row],[Order_Date]],"Error","OK")</f>
        <v>OK</v>
      </c>
    </row>
    <row r="175" spans="1:13" x14ac:dyDescent="0.25">
      <c r="A175" s="1">
        <v>174</v>
      </c>
      <c r="B175" s="1" t="s">
        <v>331</v>
      </c>
      <c r="C175">
        <v>4</v>
      </c>
      <c r="D175">
        <v>3</v>
      </c>
      <c r="E175" s="2">
        <v>45233</v>
      </c>
      <c r="F175" s="3">
        <v>0.65231481481481479</v>
      </c>
      <c r="G175" s="2">
        <v>45243</v>
      </c>
      <c r="H175" s="3">
        <v>0.75469907407407411</v>
      </c>
      <c r="I175" s="1" t="s">
        <v>297</v>
      </c>
      <c r="J175" s="1" t="s">
        <v>19</v>
      </c>
      <c r="K175">
        <v>10</v>
      </c>
      <c r="L175" t="str">
        <f>IF(tblOrders[[#This Row],[Quantity]]&lt;=0,"Check","OK")</f>
        <v>OK</v>
      </c>
      <c r="M175" s="1" t="str">
        <f>IF(tblOrders[[#This Row],[Delivery_Date]]&lt;tblOrders[[#This Row],[Order_Date]],"Error","OK")</f>
        <v>OK</v>
      </c>
    </row>
    <row r="176" spans="1:13" x14ac:dyDescent="0.25">
      <c r="A176" s="1">
        <v>175</v>
      </c>
      <c r="B176" s="1" t="s">
        <v>190</v>
      </c>
      <c r="C176">
        <v>31</v>
      </c>
      <c r="D176">
        <v>1</v>
      </c>
      <c r="E176" s="2">
        <v>45212</v>
      </c>
      <c r="F176" s="3">
        <v>5.4016203703703705E-2</v>
      </c>
      <c r="G176" s="2">
        <v>45219</v>
      </c>
      <c r="H176" s="3">
        <v>0.30754629629629632</v>
      </c>
      <c r="I176" s="1" t="s">
        <v>381</v>
      </c>
      <c r="J176" s="1" t="s">
        <v>8</v>
      </c>
      <c r="K176">
        <v>7</v>
      </c>
      <c r="L176" t="str">
        <f>IF(tblOrders[[#This Row],[Quantity]]&lt;=0,"Check","OK")</f>
        <v>OK</v>
      </c>
      <c r="M176" s="1" t="str">
        <f>IF(tblOrders[[#This Row],[Delivery_Date]]&lt;tblOrders[[#This Row],[Order_Date]],"Error","OK")</f>
        <v>OK</v>
      </c>
    </row>
    <row r="177" spans="1:13" x14ac:dyDescent="0.25">
      <c r="A177" s="1">
        <v>176</v>
      </c>
      <c r="B177" s="1" t="s">
        <v>308</v>
      </c>
      <c r="C177">
        <v>17</v>
      </c>
      <c r="D177">
        <v>2</v>
      </c>
      <c r="E177" s="2">
        <v>44995</v>
      </c>
      <c r="F177" s="3">
        <v>0.14914351851851851</v>
      </c>
      <c r="G177" s="2">
        <v>45001</v>
      </c>
      <c r="H177" s="3">
        <v>0.72559027777777774</v>
      </c>
      <c r="I177" s="1" t="s">
        <v>198</v>
      </c>
      <c r="J177" s="1" t="s">
        <v>30</v>
      </c>
      <c r="K177">
        <v>6</v>
      </c>
      <c r="L177" t="str">
        <f>IF(tblOrders[[#This Row],[Quantity]]&lt;=0,"Check","OK")</f>
        <v>OK</v>
      </c>
      <c r="M177" s="1" t="str">
        <f>IF(tblOrders[[#This Row],[Delivery_Date]]&lt;tblOrders[[#This Row],[Order_Date]],"Error","OK")</f>
        <v>OK</v>
      </c>
    </row>
    <row r="178" spans="1:13" x14ac:dyDescent="0.25">
      <c r="A178" s="1">
        <v>177</v>
      </c>
      <c r="B178" s="1" t="s">
        <v>382</v>
      </c>
      <c r="C178">
        <v>62</v>
      </c>
      <c r="D178">
        <v>4</v>
      </c>
      <c r="E178" s="2">
        <v>44990</v>
      </c>
      <c r="F178" s="3">
        <v>7.5833333333333336E-2</v>
      </c>
      <c r="G178" s="2">
        <v>44992</v>
      </c>
      <c r="H178" s="3">
        <v>0.61854166666666666</v>
      </c>
      <c r="I178" s="1" t="s">
        <v>344</v>
      </c>
      <c r="J178" s="1" t="s">
        <v>25</v>
      </c>
      <c r="K178">
        <v>2</v>
      </c>
      <c r="L178" t="str">
        <f>IF(tblOrders[[#This Row],[Quantity]]&lt;=0,"Check","OK")</f>
        <v>OK</v>
      </c>
      <c r="M178" s="1" t="str">
        <f>IF(tblOrders[[#This Row],[Delivery_Date]]&lt;tblOrders[[#This Row],[Order_Date]],"Error","OK")</f>
        <v>OK</v>
      </c>
    </row>
    <row r="179" spans="1:13" x14ac:dyDescent="0.25">
      <c r="A179" s="1">
        <v>178</v>
      </c>
      <c r="B179" s="1" t="s">
        <v>180</v>
      </c>
      <c r="C179">
        <v>61</v>
      </c>
      <c r="D179">
        <v>1</v>
      </c>
      <c r="E179" s="2">
        <v>45244</v>
      </c>
      <c r="F179" s="3">
        <v>0.96146990740740745</v>
      </c>
      <c r="G179" s="2">
        <v>45246</v>
      </c>
      <c r="H179" s="3">
        <v>9.3321759259259257E-2</v>
      </c>
      <c r="I179" s="1" t="s">
        <v>383</v>
      </c>
      <c r="J179" s="1" t="s">
        <v>30</v>
      </c>
      <c r="K179">
        <v>2</v>
      </c>
      <c r="L179" t="str">
        <f>IF(tblOrders[[#This Row],[Quantity]]&lt;=0,"Check","OK")</f>
        <v>OK</v>
      </c>
      <c r="M179" s="1" t="str">
        <f>IF(tblOrders[[#This Row],[Delivery_Date]]&lt;tblOrders[[#This Row],[Order_Date]],"Error","OK")</f>
        <v>OK</v>
      </c>
    </row>
    <row r="180" spans="1:13" x14ac:dyDescent="0.25">
      <c r="A180" s="1">
        <v>179</v>
      </c>
      <c r="B180" s="1" t="s">
        <v>174</v>
      </c>
      <c r="C180">
        <v>47</v>
      </c>
      <c r="D180">
        <v>3</v>
      </c>
      <c r="E180" s="2">
        <v>44985</v>
      </c>
      <c r="F180" s="3">
        <v>0.63613425925925926</v>
      </c>
      <c r="G180" s="2">
        <v>44995</v>
      </c>
      <c r="H180" s="3">
        <v>0.60494212962962968</v>
      </c>
      <c r="I180" s="1" t="s">
        <v>199</v>
      </c>
      <c r="J180" s="1" t="s">
        <v>25</v>
      </c>
      <c r="K180">
        <v>10</v>
      </c>
      <c r="L180" t="str">
        <f>IF(tblOrders[[#This Row],[Quantity]]&lt;=0,"Check","OK")</f>
        <v>OK</v>
      </c>
      <c r="M180" s="1" t="str">
        <f>IF(tblOrders[[#This Row],[Delivery_Date]]&lt;tblOrders[[#This Row],[Order_Date]],"Error","OK")</f>
        <v>OK</v>
      </c>
    </row>
    <row r="181" spans="1:13" x14ac:dyDescent="0.25">
      <c r="A181" s="1">
        <v>180</v>
      </c>
      <c r="B181" s="1" t="s">
        <v>265</v>
      </c>
      <c r="C181">
        <v>55</v>
      </c>
      <c r="D181">
        <v>2</v>
      </c>
      <c r="E181" s="2">
        <v>45162</v>
      </c>
      <c r="F181" s="3">
        <v>0.69482638888888892</v>
      </c>
      <c r="G181" s="2">
        <v>45165</v>
      </c>
      <c r="H181" s="3">
        <v>0.36474537037037036</v>
      </c>
      <c r="I181" s="1" t="s">
        <v>384</v>
      </c>
      <c r="J181" s="1" t="s">
        <v>33</v>
      </c>
      <c r="K181">
        <v>3</v>
      </c>
      <c r="L181" t="str">
        <f>IF(tblOrders[[#This Row],[Quantity]]&lt;=0,"Check","OK")</f>
        <v>OK</v>
      </c>
      <c r="M181" s="1" t="str">
        <f>IF(tblOrders[[#This Row],[Delivery_Date]]&lt;tblOrders[[#This Row],[Order_Date]],"Error","OK")</f>
        <v>OK</v>
      </c>
    </row>
    <row r="182" spans="1:13" x14ac:dyDescent="0.25">
      <c r="A182" s="1">
        <v>181</v>
      </c>
      <c r="B182" s="1" t="s">
        <v>216</v>
      </c>
      <c r="C182">
        <v>10</v>
      </c>
      <c r="D182">
        <v>4</v>
      </c>
      <c r="E182" s="2">
        <v>45166</v>
      </c>
      <c r="F182" s="3">
        <v>0.24678240740740739</v>
      </c>
      <c r="G182" s="2">
        <v>45175</v>
      </c>
      <c r="H182" s="3">
        <v>0.20379629629629631</v>
      </c>
      <c r="I182" s="1" t="s">
        <v>327</v>
      </c>
      <c r="J182" s="1" t="s">
        <v>36</v>
      </c>
      <c r="K182">
        <v>9</v>
      </c>
      <c r="L182" t="str">
        <f>IF(tblOrders[[#This Row],[Quantity]]&lt;=0,"Check","OK")</f>
        <v>OK</v>
      </c>
      <c r="M182" s="1" t="str">
        <f>IF(tblOrders[[#This Row],[Delivery_Date]]&lt;tblOrders[[#This Row],[Order_Date]],"Error","OK")</f>
        <v>OK</v>
      </c>
    </row>
    <row r="183" spans="1:13" x14ac:dyDescent="0.25">
      <c r="A183" s="1">
        <v>182</v>
      </c>
      <c r="B183" s="1" t="s">
        <v>343</v>
      </c>
      <c r="C183">
        <v>2</v>
      </c>
      <c r="D183">
        <v>1</v>
      </c>
      <c r="E183" s="2">
        <v>44965</v>
      </c>
      <c r="F183" s="3">
        <v>0.97326388888888893</v>
      </c>
      <c r="G183" s="2">
        <v>44972</v>
      </c>
      <c r="H183" s="3">
        <v>0.25524305555555554</v>
      </c>
      <c r="I183" s="1" t="s">
        <v>385</v>
      </c>
      <c r="J183" s="1" t="s">
        <v>12</v>
      </c>
      <c r="K183">
        <v>7</v>
      </c>
      <c r="L183" t="str">
        <f>IF(tblOrders[[#This Row],[Quantity]]&lt;=0,"Check","OK")</f>
        <v>OK</v>
      </c>
      <c r="M183" s="1" t="str">
        <f>IF(tblOrders[[#This Row],[Delivery_Date]]&lt;tblOrders[[#This Row],[Order_Date]],"Error","OK")</f>
        <v>OK</v>
      </c>
    </row>
    <row r="184" spans="1:13" x14ac:dyDescent="0.25">
      <c r="A184" s="1">
        <v>183</v>
      </c>
      <c r="B184" s="1" t="s">
        <v>316</v>
      </c>
      <c r="C184">
        <v>48</v>
      </c>
      <c r="D184">
        <v>3</v>
      </c>
      <c r="E184" s="2">
        <v>45239</v>
      </c>
      <c r="F184" s="3">
        <v>0.7581134259259259</v>
      </c>
      <c r="G184" s="2">
        <v>45241</v>
      </c>
      <c r="H184" s="3">
        <v>0.64543981481481483</v>
      </c>
      <c r="I184" s="1" t="s">
        <v>386</v>
      </c>
      <c r="J184" s="1" t="s">
        <v>19</v>
      </c>
      <c r="K184">
        <v>2</v>
      </c>
      <c r="L184" t="str">
        <f>IF(tblOrders[[#This Row],[Quantity]]&lt;=0,"Check","OK")</f>
        <v>OK</v>
      </c>
      <c r="M184" s="1" t="str">
        <f>IF(tblOrders[[#This Row],[Delivery_Date]]&lt;tblOrders[[#This Row],[Order_Date]],"Error","OK")</f>
        <v>OK</v>
      </c>
    </row>
    <row r="185" spans="1:13" x14ac:dyDescent="0.25">
      <c r="A185" s="1">
        <v>184</v>
      </c>
      <c r="B185" s="1" t="s">
        <v>387</v>
      </c>
      <c r="C185">
        <v>52</v>
      </c>
      <c r="D185">
        <v>3</v>
      </c>
      <c r="E185" s="2">
        <v>44968</v>
      </c>
      <c r="F185" s="3">
        <v>0.89922453703703709</v>
      </c>
      <c r="G185" s="2">
        <v>44977</v>
      </c>
      <c r="H185" s="3">
        <v>0.20866898148148147</v>
      </c>
      <c r="I185" s="1" t="s">
        <v>340</v>
      </c>
      <c r="J185" s="1" t="s">
        <v>12</v>
      </c>
      <c r="K185">
        <v>9</v>
      </c>
      <c r="L185" t="str">
        <f>IF(tblOrders[[#This Row],[Quantity]]&lt;=0,"Check","OK")</f>
        <v>OK</v>
      </c>
      <c r="M185" s="1" t="str">
        <f>IF(tblOrders[[#This Row],[Delivery_Date]]&lt;tblOrders[[#This Row],[Order_Date]],"Error","OK")</f>
        <v>OK</v>
      </c>
    </row>
    <row r="186" spans="1:13" x14ac:dyDescent="0.25">
      <c r="A186" s="1">
        <v>185</v>
      </c>
      <c r="B186" s="1" t="s">
        <v>388</v>
      </c>
      <c r="C186">
        <v>18</v>
      </c>
      <c r="D186">
        <v>1</v>
      </c>
      <c r="E186" s="2">
        <v>45053</v>
      </c>
      <c r="F186" s="3">
        <v>0.29913194444444446</v>
      </c>
      <c r="G186" s="2">
        <v>45063</v>
      </c>
      <c r="H186" s="3">
        <v>0.83383101851851849</v>
      </c>
      <c r="I186" s="1" t="s">
        <v>389</v>
      </c>
      <c r="J186" s="1" t="s">
        <v>36</v>
      </c>
      <c r="K186">
        <v>10</v>
      </c>
      <c r="L186" t="str">
        <f>IF(tblOrders[[#This Row],[Quantity]]&lt;=0,"Check","OK")</f>
        <v>OK</v>
      </c>
      <c r="M186" s="1" t="str">
        <f>IF(tblOrders[[#This Row],[Delivery_Date]]&lt;tblOrders[[#This Row],[Order_Date]],"Error","OK")</f>
        <v>OK</v>
      </c>
    </row>
    <row r="187" spans="1:13" x14ac:dyDescent="0.25">
      <c r="A187" s="1">
        <v>186</v>
      </c>
      <c r="B187" s="1" t="s">
        <v>331</v>
      </c>
      <c r="C187">
        <v>61</v>
      </c>
      <c r="D187">
        <v>1</v>
      </c>
      <c r="E187" s="2">
        <v>45055</v>
      </c>
      <c r="F187" s="3">
        <v>0.38175925925925924</v>
      </c>
      <c r="G187" s="2">
        <v>45057</v>
      </c>
      <c r="H187" s="3">
        <v>1.1377314814814814E-2</v>
      </c>
      <c r="I187" s="1" t="s">
        <v>217</v>
      </c>
      <c r="J187" s="1" t="s">
        <v>30</v>
      </c>
      <c r="K187">
        <v>2</v>
      </c>
      <c r="L187" t="str">
        <f>IF(tblOrders[[#This Row],[Quantity]]&lt;=0,"Check","OK")</f>
        <v>OK</v>
      </c>
      <c r="M187" s="1" t="str">
        <f>IF(tblOrders[[#This Row],[Delivery_Date]]&lt;tblOrders[[#This Row],[Order_Date]],"Error","OK")</f>
        <v>OK</v>
      </c>
    </row>
    <row r="188" spans="1:13" x14ac:dyDescent="0.25">
      <c r="A188" s="1">
        <v>187</v>
      </c>
      <c r="B188" s="1" t="s">
        <v>289</v>
      </c>
      <c r="C188">
        <v>49</v>
      </c>
      <c r="D188">
        <v>5</v>
      </c>
      <c r="E188" s="2">
        <v>44968</v>
      </c>
      <c r="F188" s="3">
        <v>0.88241898148148146</v>
      </c>
      <c r="G188" s="2">
        <v>44973</v>
      </c>
      <c r="H188" s="3">
        <v>0.39871527777777777</v>
      </c>
      <c r="I188" s="1" t="s">
        <v>390</v>
      </c>
      <c r="J188" s="1" t="s">
        <v>12</v>
      </c>
      <c r="K188">
        <v>5</v>
      </c>
      <c r="L188" t="str">
        <f>IF(tblOrders[[#This Row],[Quantity]]&lt;=0,"Check","OK")</f>
        <v>OK</v>
      </c>
      <c r="M188" s="1" t="str">
        <f>IF(tblOrders[[#This Row],[Delivery_Date]]&lt;tblOrders[[#This Row],[Order_Date]],"Error","OK")</f>
        <v>OK</v>
      </c>
    </row>
    <row r="189" spans="1:13" x14ac:dyDescent="0.25">
      <c r="A189" s="1">
        <v>188</v>
      </c>
      <c r="B189" s="1" t="s">
        <v>229</v>
      </c>
      <c r="C189">
        <v>22</v>
      </c>
      <c r="D189">
        <v>5</v>
      </c>
      <c r="E189" s="2">
        <v>45187</v>
      </c>
      <c r="F189" s="3">
        <v>6.8437499999999998E-2</v>
      </c>
      <c r="G189" s="2">
        <v>45194</v>
      </c>
      <c r="H189" s="3">
        <v>0.58486111111111116</v>
      </c>
      <c r="I189" s="1" t="s">
        <v>391</v>
      </c>
      <c r="J189" s="1" t="s">
        <v>8</v>
      </c>
      <c r="K189">
        <v>7</v>
      </c>
      <c r="L189" t="str">
        <f>IF(tblOrders[[#This Row],[Quantity]]&lt;=0,"Check","OK")</f>
        <v>OK</v>
      </c>
      <c r="M189" s="1" t="str">
        <f>IF(tblOrders[[#This Row],[Delivery_Date]]&lt;tblOrders[[#This Row],[Order_Date]],"Error","OK")</f>
        <v>OK</v>
      </c>
    </row>
    <row r="190" spans="1:13" x14ac:dyDescent="0.25">
      <c r="A190" s="1">
        <v>189</v>
      </c>
      <c r="B190" s="1" t="s">
        <v>392</v>
      </c>
      <c r="C190">
        <v>57</v>
      </c>
      <c r="D190">
        <v>1</v>
      </c>
      <c r="E190" s="2">
        <v>45249</v>
      </c>
      <c r="F190" s="3">
        <v>0.7238310185185185</v>
      </c>
      <c r="G190" s="2">
        <v>45252</v>
      </c>
      <c r="H190" s="3">
        <v>0.55687500000000001</v>
      </c>
      <c r="I190" s="1" t="s">
        <v>393</v>
      </c>
      <c r="J190" s="1" t="s">
        <v>36</v>
      </c>
      <c r="K190">
        <v>3</v>
      </c>
      <c r="L190" t="str">
        <f>IF(tblOrders[[#This Row],[Quantity]]&lt;=0,"Check","OK")</f>
        <v>OK</v>
      </c>
      <c r="M190" s="1" t="str">
        <f>IF(tblOrders[[#This Row],[Delivery_Date]]&lt;tblOrders[[#This Row],[Order_Date]],"Error","OK")</f>
        <v>OK</v>
      </c>
    </row>
    <row r="191" spans="1:13" x14ac:dyDescent="0.25">
      <c r="A191" s="1">
        <v>190</v>
      </c>
      <c r="B191" s="1" t="s">
        <v>227</v>
      </c>
      <c r="C191">
        <v>60</v>
      </c>
      <c r="D191">
        <v>5</v>
      </c>
      <c r="E191" s="2">
        <v>45239</v>
      </c>
      <c r="F191" s="3">
        <v>0.52348379629629627</v>
      </c>
      <c r="G191" s="2">
        <v>45243</v>
      </c>
      <c r="H191" s="3">
        <v>0.57041666666666668</v>
      </c>
      <c r="I191" s="1" t="s">
        <v>264</v>
      </c>
      <c r="J191" s="1" t="s">
        <v>19</v>
      </c>
      <c r="K191">
        <v>4</v>
      </c>
      <c r="L191" t="str">
        <f>IF(tblOrders[[#This Row],[Quantity]]&lt;=0,"Check","OK")</f>
        <v>OK</v>
      </c>
      <c r="M191" s="1" t="str">
        <f>IF(tblOrders[[#This Row],[Delivery_Date]]&lt;tblOrders[[#This Row],[Order_Date]],"Error","OK")</f>
        <v>OK</v>
      </c>
    </row>
    <row r="192" spans="1:13" x14ac:dyDescent="0.25">
      <c r="A192" s="1">
        <v>191</v>
      </c>
      <c r="B192" s="1" t="s">
        <v>172</v>
      </c>
      <c r="C192">
        <v>24</v>
      </c>
      <c r="D192">
        <v>3</v>
      </c>
      <c r="E192" s="2">
        <v>45211</v>
      </c>
      <c r="F192" s="3">
        <v>0.7590972222222222</v>
      </c>
      <c r="G192" s="2">
        <v>45216</v>
      </c>
      <c r="H192" s="3">
        <v>0.36807870370370371</v>
      </c>
      <c r="I192" s="1" t="s">
        <v>394</v>
      </c>
      <c r="J192" s="1" t="s">
        <v>36</v>
      </c>
      <c r="K192">
        <v>5</v>
      </c>
      <c r="L192" t="str">
        <f>IF(tblOrders[[#This Row],[Quantity]]&lt;=0,"Check","OK")</f>
        <v>OK</v>
      </c>
      <c r="M192" s="1" t="str">
        <f>IF(tblOrders[[#This Row],[Delivery_Date]]&lt;tblOrders[[#This Row],[Order_Date]],"Error","OK")</f>
        <v>OK</v>
      </c>
    </row>
    <row r="193" spans="1:13" x14ac:dyDescent="0.25">
      <c r="A193" s="1">
        <v>192</v>
      </c>
      <c r="B193" s="1" t="s">
        <v>299</v>
      </c>
      <c r="C193">
        <v>64</v>
      </c>
      <c r="D193">
        <v>5</v>
      </c>
      <c r="E193" s="2">
        <v>45158</v>
      </c>
      <c r="F193" s="3">
        <v>0.51981481481481484</v>
      </c>
      <c r="G193" s="2">
        <v>45159</v>
      </c>
      <c r="H193" s="3">
        <v>9.1180555555555556E-2</v>
      </c>
      <c r="I193" s="1" t="s">
        <v>199</v>
      </c>
      <c r="J193" s="1" t="s">
        <v>33</v>
      </c>
      <c r="K193">
        <v>1</v>
      </c>
      <c r="L193" t="str">
        <f>IF(tblOrders[[#This Row],[Quantity]]&lt;=0,"Check","OK")</f>
        <v>OK</v>
      </c>
      <c r="M193" s="1" t="str">
        <f>IF(tblOrders[[#This Row],[Delivery_Date]]&lt;tblOrders[[#This Row],[Order_Date]],"Error","OK")</f>
        <v>OK</v>
      </c>
    </row>
    <row r="194" spans="1:13" x14ac:dyDescent="0.25">
      <c r="A194" s="1">
        <v>193</v>
      </c>
      <c r="B194" s="1" t="s">
        <v>293</v>
      </c>
      <c r="C194">
        <v>42</v>
      </c>
      <c r="D194">
        <v>4</v>
      </c>
      <c r="E194" s="2">
        <v>45154</v>
      </c>
      <c r="F194" s="3">
        <v>0.98922453703703705</v>
      </c>
      <c r="G194" s="2">
        <v>45157</v>
      </c>
      <c r="H194" s="3">
        <v>0.10696759259259259</v>
      </c>
      <c r="I194" s="1" t="s">
        <v>179</v>
      </c>
      <c r="J194" s="1" t="s">
        <v>8</v>
      </c>
      <c r="K194">
        <v>3</v>
      </c>
      <c r="L194" t="str">
        <f>IF(tblOrders[[#This Row],[Quantity]]&lt;=0,"Check","OK")</f>
        <v>OK</v>
      </c>
      <c r="M194" s="1" t="str">
        <f>IF(tblOrders[[#This Row],[Delivery_Date]]&lt;tblOrders[[#This Row],[Order_Date]],"Error","OK")</f>
        <v>OK</v>
      </c>
    </row>
    <row r="195" spans="1:13" x14ac:dyDescent="0.25">
      <c r="A195" s="1">
        <v>194</v>
      </c>
      <c r="B195" s="1" t="s">
        <v>337</v>
      </c>
      <c r="C195">
        <v>58</v>
      </c>
      <c r="D195">
        <v>4</v>
      </c>
      <c r="E195" s="2">
        <v>44965</v>
      </c>
      <c r="F195" s="3">
        <v>0.48714120370370373</v>
      </c>
      <c r="G195" s="2">
        <v>44966</v>
      </c>
      <c r="H195" s="3">
        <v>0.20451388888888888</v>
      </c>
      <c r="I195" s="1" t="s">
        <v>395</v>
      </c>
      <c r="J195" s="1" t="s">
        <v>12</v>
      </c>
      <c r="K195">
        <v>1</v>
      </c>
      <c r="L195" t="str">
        <f>IF(tblOrders[[#This Row],[Quantity]]&lt;=0,"Check","OK")</f>
        <v>OK</v>
      </c>
      <c r="M195" s="1" t="str">
        <f>IF(tblOrders[[#This Row],[Delivery_Date]]&lt;tblOrders[[#This Row],[Order_Date]],"Error","OK")</f>
        <v>OK</v>
      </c>
    </row>
    <row r="196" spans="1:13" x14ac:dyDescent="0.25">
      <c r="A196" s="1">
        <v>195</v>
      </c>
      <c r="B196" s="1" t="s">
        <v>166</v>
      </c>
      <c r="C196">
        <v>67</v>
      </c>
      <c r="D196">
        <v>5</v>
      </c>
      <c r="E196" s="2">
        <v>45026</v>
      </c>
      <c r="F196" s="3">
        <v>0.23186342592592593</v>
      </c>
      <c r="G196" s="2">
        <v>45033</v>
      </c>
      <c r="H196" s="3">
        <v>0.32754629629629628</v>
      </c>
      <c r="I196" s="1" t="s">
        <v>249</v>
      </c>
      <c r="J196" s="1" t="s">
        <v>30</v>
      </c>
      <c r="K196">
        <v>7</v>
      </c>
      <c r="L196" t="str">
        <f>IF(tblOrders[[#This Row],[Quantity]]&lt;=0,"Check","OK")</f>
        <v>OK</v>
      </c>
      <c r="M196" s="1" t="str">
        <f>IF(tblOrders[[#This Row],[Delivery_Date]]&lt;tblOrders[[#This Row],[Order_Date]],"Error","OK")</f>
        <v>OK</v>
      </c>
    </row>
    <row r="197" spans="1:13" x14ac:dyDescent="0.25">
      <c r="A197" s="1">
        <v>196</v>
      </c>
      <c r="B197" s="1" t="s">
        <v>213</v>
      </c>
      <c r="C197">
        <v>30</v>
      </c>
      <c r="D197">
        <v>2</v>
      </c>
      <c r="E197" s="2">
        <v>45143</v>
      </c>
      <c r="F197" s="3">
        <v>0.40127314814814813</v>
      </c>
      <c r="G197" s="2">
        <v>45151</v>
      </c>
      <c r="H197" s="3">
        <v>0.37368055555555557</v>
      </c>
      <c r="I197" s="1" t="s">
        <v>396</v>
      </c>
      <c r="J197" s="1" t="s">
        <v>30</v>
      </c>
      <c r="K197">
        <v>8</v>
      </c>
      <c r="L197" t="str">
        <f>IF(tblOrders[[#This Row],[Quantity]]&lt;=0,"Check","OK")</f>
        <v>OK</v>
      </c>
      <c r="M197" s="1" t="str">
        <f>IF(tblOrders[[#This Row],[Delivery_Date]]&lt;tblOrders[[#This Row],[Order_Date]],"Error","OK")</f>
        <v>OK</v>
      </c>
    </row>
    <row r="198" spans="1:13" x14ac:dyDescent="0.25">
      <c r="A198" s="1">
        <v>197</v>
      </c>
      <c r="B198" s="1" t="s">
        <v>258</v>
      </c>
      <c r="C198">
        <v>45</v>
      </c>
      <c r="D198">
        <v>2</v>
      </c>
      <c r="E198" s="2">
        <v>45007</v>
      </c>
      <c r="F198" s="3">
        <v>0.77687499999999998</v>
      </c>
      <c r="G198" s="2">
        <v>45011</v>
      </c>
      <c r="H198" s="3">
        <v>0.14590277777777777</v>
      </c>
      <c r="I198" s="1" t="s">
        <v>394</v>
      </c>
      <c r="J198" s="1" t="s">
        <v>36</v>
      </c>
      <c r="K198">
        <v>4</v>
      </c>
      <c r="L198" t="str">
        <f>IF(tblOrders[[#This Row],[Quantity]]&lt;=0,"Check","OK")</f>
        <v>OK</v>
      </c>
      <c r="M198" s="1" t="str">
        <f>IF(tblOrders[[#This Row],[Delivery_Date]]&lt;tblOrders[[#This Row],[Order_Date]],"Error","OK")</f>
        <v>OK</v>
      </c>
    </row>
    <row r="199" spans="1:13" x14ac:dyDescent="0.25">
      <c r="A199" s="1">
        <v>198</v>
      </c>
      <c r="B199" s="1" t="s">
        <v>202</v>
      </c>
      <c r="C199">
        <v>24</v>
      </c>
      <c r="D199">
        <v>2</v>
      </c>
      <c r="E199" s="2">
        <v>45165</v>
      </c>
      <c r="F199" s="3">
        <v>0.9400115740740741</v>
      </c>
      <c r="G199" s="2">
        <v>45173</v>
      </c>
      <c r="H199" s="3">
        <v>4.8495370370370369E-2</v>
      </c>
      <c r="I199" s="1" t="s">
        <v>397</v>
      </c>
      <c r="J199" s="1" t="s">
        <v>36</v>
      </c>
      <c r="K199">
        <v>8</v>
      </c>
      <c r="L199" t="str">
        <f>IF(tblOrders[[#This Row],[Quantity]]&lt;=0,"Check","OK")</f>
        <v>OK</v>
      </c>
      <c r="M199" s="1" t="str">
        <f>IF(tblOrders[[#This Row],[Delivery_Date]]&lt;tblOrders[[#This Row],[Order_Date]],"Error","OK")</f>
        <v>OK</v>
      </c>
    </row>
    <row r="200" spans="1:13" x14ac:dyDescent="0.25">
      <c r="A200" s="1">
        <v>199</v>
      </c>
      <c r="B200" s="1" t="s">
        <v>398</v>
      </c>
      <c r="C200">
        <v>70</v>
      </c>
      <c r="D200">
        <v>5</v>
      </c>
      <c r="E200" s="2">
        <v>45154</v>
      </c>
      <c r="F200" s="3">
        <v>7.9513888888888884E-2</v>
      </c>
      <c r="G200" s="2">
        <v>45157</v>
      </c>
      <c r="H200" s="3">
        <v>0.68401620370370375</v>
      </c>
      <c r="I200" s="1" t="s">
        <v>399</v>
      </c>
      <c r="J200" s="1" t="s">
        <v>36</v>
      </c>
      <c r="K200">
        <v>3</v>
      </c>
      <c r="L200" t="str">
        <f>IF(tblOrders[[#This Row],[Quantity]]&lt;=0,"Check","OK")</f>
        <v>OK</v>
      </c>
      <c r="M200" s="1" t="str">
        <f>IF(tblOrders[[#This Row],[Delivery_Date]]&lt;tblOrders[[#This Row],[Order_Date]],"Error","OK")</f>
        <v>OK</v>
      </c>
    </row>
    <row r="201" spans="1:13" x14ac:dyDescent="0.25">
      <c r="A201" s="1">
        <v>200</v>
      </c>
      <c r="B201" s="1" t="s">
        <v>229</v>
      </c>
      <c r="C201">
        <v>23</v>
      </c>
      <c r="D201">
        <v>5</v>
      </c>
      <c r="E201" s="2">
        <v>44929</v>
      </c>
      <c r="F201" s="3">
        <v>0.83629629629629632</v>
      </c>
      <c r="G201" s="2">
        <v>44934</v>
      </c>
      <c r="H201" s="3">
        <v>0.97143518518518523</v>
      </c>
      <c r="I201" s="1" t="s">
        <v>251</v>
      </c>
      <c r="J201" s="1" t="s">
        <v>30</v>
      </c>
      <c r="K201">
        <v>5</v>
      </c>
      <c r="L201" t="str">
        <f>IF(tblOrders[[#This Row],[Quantity]]&lt;=0,"Check","OK")</f>
        <v>OK</v>
      </c>
      <c r="M201" s="1" t="str">
        <f>IF(tblOrders[[#This Row],[Delivery_Date]]&lt;tblOrders[[#This Row],[Order_Date]],"Error","OK")</f>
        <v>OK</v>
      </c>
    </row>
    <row r="202" spans="1:13" x14ac:dyDescent="0.25">
      <c r="A202" s="1">
        <v>201</v>
      </c>
      <c r="B202" s="1" t="s">
        <v>400</v>
      </c>
      <c r="C202">
        <v>55</v>
      </c>
      <c r="D202">
        <v>4</v>
      </c>
      <c r="E202" s="2">
        <v>45162</v>
      </c>
      <c r="F202" s="3">
        <v>0.19460648148148149</v>
      </c>
      <c r="G202" s="2">
        <v>45168</v>
      </c>
      <c r="H202" s="3">
        <v>0.16143518518518518</v>
      </c>
      <c r="I202" s="1" t="s">
        <v>401</v>
      </c>
      <c r="J202" s="1" t="s">
        <v>33</v>
      </c>
      <c r="K202">
        <v>6</v>
      </c>
      <c r="L202" t="str">
        <f>IF(tblOrders[[#This Row],[Quantity]]&lt;=0,"Check","OK")</f>
        <v>OK</v>
      </c>
      <c r="M202" s="1" t="str">
        <f>IF(tblOrders[[#This Row],[Delivery_Date]]&lt;tblOrders[[#This Row],[Order_Date]],"Error","OK")</f>
        <v>OK</v>
      </c>
    </row>
    <row r="203" spans="1:13" x14ac:dyDescent="0.25">
      <c r="A203" s="1">
        <v>202</v>
      </c>
      <c r="B203" s="1" t="s">
        <v>402</v>
      </c>
      <c r="C203">
        <v>36</v>
      </c>
      <c r="D203">
        <v>5</v>
      </c>
      <c r="E203" s="2">
        <v>45134</v>
      </c>
      <c r="F203" s="3">
        <v>0.34291666666666665</v>
      </c>
      <c r="G203" s="2">
        <v>45139</v>
      </c>
      <c r="H203" s="3">
        <v>0.12640046296296295</v>
      </c>
      <c r="I203" s="1" t="s">
        <v>403</v>
      </c>
      <c r="J203" s="1" t="s">
        <v>36</v>
      </c>
      <c r="K203">
        <v>5</v>
      </c>
      <c r="L203" t="str">
        <f>IF(tblOrders[[#This Row],[Quantity]]&lt;=0,"Check","OK")</f>
        <v>OK</v>
      </c>
      <c r="M203" s="1" t="str">
        <f>IF(tblOrders[[#This Row],[Delivery_Date]]&lt;tblOrders[[#This Row],[Order_Date]],"Error","OK")</f>
        <v>OK</v>
      </c>
    </row>
    <row r="204" spans="1:13" x14ac:dyDescent="0.25">
      <c r="A204" s="1">
        <v>203</v>
      </c>
      <c r="B204" s="1" t="s">
        <v>308</v>
      </c>
      <c r="C204">
        <v>9</v>
      </c>
      <c r="D204">
        <v>5</v>
      </c>
      <c r="E204" s="2">
        <v>45167</v>
      </c>
      <c r="F204" s="3">
        <v>0.23541666666666666</v>
      </c>
      <c r="G204" s="2">
        <v>45177</v>
      </c>
      <c r="H204" s="3">
        <v>0.94460648148148152</v>
      </c>
      <c r="I204" s="1" t="s">
        <v>199</v>
      </c>
      <c r="J204" s="1" t="s">
        <v>33</v>
      </c>
      <c r="K204">
        <v>10</v>
      </c>
      <c r="L204" t="str">
        <f>IF(tblOrders[[#This Row],[Quantity]]&lt;=0,"Check","OK")</f>
        <v>OK</v>
      </c>
      <c r="M204" s="1" t="str">
        <f>IF(tblOrders[[#This Row],[Delivery_Date]]&lt;tblOrders[[#This Row],[Order_Date]],"Error","OK")</f>
        <v>OK</v>
      </c>
    </row>
    <row r="205" spans="1:13" x14ac:dyDescent="0.25">
      <c r="A205" s="1">
        <v>204</v>
      </c>
      <c r="B205" s="1" t="s">
        <v>285</v>
      </c>
      <c r="C205">
        <v>10</v>
      </c>
      <c r="D205">
        <v>4</v>
      </c>
      <c r="E205" s="2">
        <v>45110</v>
      </c>
      <c r="F205" s="3">
        <v>0.4491087962962963</v>
      </c>
      <c r="G205" s="2">
        <v>45116</v>
      </c>
      <c r="H205" s="3">
        <v>0.2701736111111111</v>
      </c>
      <c r="I205" s="1" t="s">
        <v>169</v>
      </c>
      <c r="J205" s="1" t="s">
        <v>36</v>
      </c>
      <c r="K205">
        <v>6</v>
      </c>
      <c r="L205" t="str">
        <f>IF(tblOrders[[#This Row],[Quantity]]&lt;=0,"Check","OK")</f>
        <v>OK</v>
      </c>
      <c r="M205" s="1" t="str">
        <f>IF(tblOrders[[#This Row],[Delivery_Date]]&lt;tblOrders[[#This Row],[Order_Date]],"Error","OK")</f>
        <v>OK</v>
      </c>
    </row>
    <row r="206" spans="1:13" x14ac:dyDescent="0.25">
      <c r="A206" s="1">
        <v>205</v>
      </c>
      <c r="B206" s="1" t="s">
        <v>349</v>
      </c>
      <c r="C206">
        <v>46</v>
      </c>
      <c r="D206">
        <v>5</v>
      </c>
      <c r="E206" s="2">
        <v>45113</v>
      </c>
      <c r="F206" s="3">
        <v>0.22038194444444445</v>
      </c>
      <c r="G206" s="2">
        <v>45116</v>
      </c>
      <c r="H206" s="3">
        <v>0.49111111111111111</v>
      </c>
      <c r="I206" s="1" t="s">
        <v>371</v>
      </c>
      <c r="J206" s="1" t="s">
        <v>30</v>
      </c>
      <c r="K206">
        <v>3</v>
      </c>
      <c r="L206" t="str">
        <f>IF(tblOrders[[#This Row],[Quantity]]&lt;=0,"Check","OK")</f>
        <v>OK</v>
      </c>
      <c r="M206" s="1" t="str">
        <f>IF(tblOrders[[#This Row],[Delivery_Date]]&lt;tblOrders[[#This Row],[Order_Date]],"Error","OK")</f>
        <v>OK</v>
      </c>
    </row>
    <row r="207" spans="1:13" x14ac:dyDescent="0.25">
      <c r="A207" s="1">
        <v>206</v>
      </c>
      <c r="B207" s="1" t="s">
        <v>183</v>
      </c>
      <c r="C207">
        <v>68</v>
      </c>
      <c r="D207">
        <v>3</v>
      </c>
      <c r="E207" s="2">
        <v>44968</v>
      </c>
      <c r="F207" s="3">
        <v>0.92518518518518522</v>
      </c>
      <c r="G207" s="2">
        <v>44970</v>
      </c>
      <c r="H207" s="3">
        <v>0.52917824074074071</v>
      </c>
      <c r="I207" s="1" t="s">
        <v>404</v>
      </c>
      <c r="J207" s="1" t="s">
        <v>12</v>
      </c>
      <c r="K207">
        <v>2</v>
      </c>
      <c r="L207" t="str">
        <f>IF(tblOrders[[#This Row],[Quantity]]&lt;=0,"Check","OK")</f>
        <v>OK</v>
      </c>
      <c r="M207" s="1" t="str">
        <f>IF(tblOrders[[#This Row],[Delivery_Date]]&lt;tblOrders[[#This Row],[Order_Date]],"Error","OK")</f>
        <v>OK</v>
      </c>
    </row>
    <row r="208" spans="1:13" x14ac:dyDescent="0.25">
      <c r="A208" s="1">
        <v>207</v>
      </c>
      <c r="B208" s="1" t="s">
        <v>174</v>
      </c>
      <c r="C208">
        <v>6</v>
      </c>
      <c r="D208">
        <v>2</v>
      </c>
      <c r="E208" s="2">
        <v>44990</v>
      </c>
      <c r="F208" s="3">
        <v>5.0879629629629629E-2</v>
      </c>
      <c r="G208" s="2">
        <v>44992</v>
      </c>
      <c r="H208" s="3">
        <v>0.51106481481481481</v>
      </c>
      <c r="I208" s="1" t="s">
        <v>262</v>
      </c>
      <c r="J208" s="1" t="s">
        <v>25</v>
      </c>
      <c r="K208">
        <v>2</v>
      </c>
      <c r="L208" t="str">
        <f>IF(tblOrders[[#This Row],[Quantity]]&lt;=0,"Check","OK")</f>
        <v>OK</v>
      </c>
      <c r="M208" s="1" t="str">
        <f>IF(tblOrders[[#This Row],[Delivery_Date]]&lt;tblOrders[[#This Row],[Order_Date]],"Error","OK")</f>
        <v>OK</v>
      </c>
    </row>
    <row r="209" spans="1:13" x14ac:dyDescent="0.25">
      <c r="A209" s="1">
        <v>208</v>
      </c>
      <c r="B209" s="1" t="s">
        <v>405</v>
      </c>
      <c r="C209">
        <v>18</v>
      </c>
      <c r="D209">
        <v>5</v>
      </c>
      <c r="E209" s="2">
        <v>45018</v>
      </c>
      <c r="F209" s="3">
        <v>0.18804398148148149</v>
      </c>
      <c r="G209" s="2">
        <v>45028</v>
      </c>
      <c r="H209" s="3">
        <v>0.29625000000000001</v>
      </c>
      <c r="I209" s="1" t="s">
        <v>406</v>
      </c>
      <c r="J209" s="1" t="s">
        <v>36</v>
      </c>
      <c r="K209">
        <v>10</v>
      </c>
      <c r="L209" t="str">
        <f>IF(tblOrders[[#This Row],[Quantity]]&lt;=0,"Check","OK")</f>
        <v>OK</v>
      </c>
      <c r="M209" s="1" t="str">
        <f>IF(tblOrders[[#This Row],[Delivery_Date]]&lt;tblOrders[[#This Row],[Order_Date]],"Error","OK")</f>
        <v>OK</v>
      </c>
    </row>
    <row r="210" spans="1:13" x14ac:dyDescent="0.25">
      <c r="A210" s="1">
        <v>209</v>
      </c>
      <c r="B210" s="1" t="s">
        <v>222</v>
      </c>
      <c r="C210">
        <v>70</v>
      </c>
      <c r="D210">
        <v>2</v>
      </c>
      <c r="E210" s="2">
        <v>45099</v>
      </c>
      <c r="F210" s="3">
        <v>3.0925925925925926E-2</v>
      </c>
      <c r="G210" s="2">
        <v>45100</v>
      </c>
      <c r="H210" s="3">
        <v>0.90592592592592591</v>
      </c>
      <c r="I210" s="1" t="s">
        <v>407</v>
      </c>
      <c r="J210" s="1" t="s">
        <v>36</v>
      </c>
      <c r="K210">
        <v>1</v>
      </c>
      <c r="L210" t="str">
        <f>IF(tblOrders[[#This Row],[Quantity]]&lt;=0,"Check","OK")</f>
        <v>OK</v>
      </c>
      <c r="M210" s="1" t="str">
        <f>IF(tblOrders[[#This Row],[Delivery_Date]]&lt;tblOrders[[#This Row],[Order_Date]],"Error","OK")</f>
        <v>OK</v>
      </c>
    </row>
    <row r="211" spans="1:13" x14ac:dyDescent="0.25">
      <c r="A211" s="1">
        <v>210</v>
      </c>
      <c r="B211" s="1" t="s">
        <v>258</v>
      </c>
      <c r="C211">
        <v>32</v>
      </c>
      <c r="D211">
        <v>4</v>
      </c>
      <c r="E211" s="2">
        <v>45270</v>
      </c>
      <c r="F211" s="3">
        <v>3.2314814814814817E-2</v>
      </c>
      <c r="G211" s="2">
        <v>45275</v>
      </c>
      <c r="H211" s="3">
        <v>0.33512731481481484</v>
      </c>
      <c r="I211" s="1" t="s">
        <v>408</v>
      </c>
      <c r="J211" s="1" t="s">
        <v>36</v>
      </c>
      <c r="K211">
        <v>5</v>
      </c>
      <c r="L211" t="str">
        <f>IF(tblOrders[[#This Row],[Quantity]]&lt;=0,"Check","OK")</f>
        <v>OK</v>
      </c>
      <c r="M211" s="1" t="str">
        <f>IF(tblOrders[[#This Row],[Delivery_Date]]&lt;tblOrders[[#This Row],[Order_Date]],"Error","OK")</f>
        <v>OK</v>
      </c>
    </row>
    <row r="212" spans="1:13" x14ac:dyDescent="0.25">
      <c r="A212" s="1">
        <v>211</v>
      </c>
      <c r="B212" s="1" t="s">
        <v>409</v>
      </c>
      <c r="C212">
        <v>31</v>
      </c>
      <c r="D212">
        <v>5</v>
      </c>
      <c r="E212" s="2">
        <v>45221</v>
      </c>
      <c r="F212" s="3">
        <v>0.76040509259259259</v>
      </c>
      <c r="G212" s="2">
        <v>45228</v>
      </c>
      <c r="H212" s="3">
        <v>0.73614583333333339</v>
      </c>
      <c r="I212" s="1" t="s">
        <v>410</v>
      </c>
      <c r="J212" s="1" t="s">
        <v>8</v>
      </c>
      <c r="K212">
        <v>7</v>
      </c>
      <c r="L212" t="str">
        <f>IF(tblOrders[[#This Row],[Quantity]]&lt;=0,"Check","OK")</f>
        <v>OK</v>
      </c>
      <c r="M212" s="1" t="str">
        <f>IF(tblOrders[[#This Row],[Delivery_Date]]&lt;tblOrders[[#This Row],[Order_Date]],"Error","OK")</f>
        <v>OK</v>
      </c>
    </row>
    <row r="213" spans="1:13" x14ac:dyDescent="0.25">
      <c r="A213" s="1">
        <v>212</v>
      </c>
      <c r="B213" s="1" t="s">
        <v>398</v>
      </c>
      <c r="C213">
        <v>7</v>
      </c>
      <c r="D213">
        <v>2</v>
      </c>
      <c r="E213" s="2">
        <v>44985</v>
      </c>
      <c r="F213" s="3">
        <v>0.30185185185185187</v>
      </c>
      <c r="G213" s="2">
        <v>44990</v>
      </c>
      <c r="H213" s="3">
        <v>0.83454861111111112</v>
      </c>
      <c r="I213" s="1" t="s">
        <v>314</v>
      </c>
      <c r="J213" s="1" t="s">
        <v>25</v>
      </c>
      <c r="K213">
        <v>5</v>
      </c>
      <c r="L213" t="str">
        <f>IF(tblOrders[[#This Row],[Quantity]]&lt;=0,"Check","OK")</f>
        <v>OK</v>
      </c>
      <c r="M213" s="1" t="str">
        <f>IF(tblOrders[[#This Row],[Delivery_Date]]&lt;tblOrders[[#This Row],[Order_Date]],"Error","OK")</f>
        <v>OK</v>
      </c>
    </row>
    <row r="214" spans="1:13" x14ac:dyDescent="0.25">
      <c r="A214" s="1">
        <v>213</v>
      </c>
      <c r="B214" s="1" t="s">
        <v>349</v>
      </c>
      <c r="C214">
        <v>42</v>
      </c>
      <c r="D214">
        <v>5</v>
      </c>
      <c r="E214" s="2">
        <v>44971</v>
      </c>
      <c r="F214" s="3">
        <v>0.35159722222222223</v>
      </c>
      <c r="G214" s="2">
        <v>44981</v>
      </c>
      <c r="H214" s="3">
        <v>0.37373842592592593</v>
      </c>
      <c r="I214" s="1" t="s">
        <v>411</v>
      </c>
      <c r="J214" s="1" t="s">
        <v>8</v>
      </c>
      <c r="K214">
        <v>10</v>
      </c>
      <c r="L214" t="str">
        <f>IF(tblOrders[[#This Row],[Quantity]]&lt;=0,"Check","OK")</f>
        <v>OK</v>
      </c>
      <c r="M214" s="1" t="str">
        <f>IF(tblOrders[[#This Row],[Delivery_Date]]&lt;tblOrders[[#This Row],[Order_Date]],"Error","OK")</f>
        <v>OK</v>
      </c>
    </row>
    <row r="215" spans="1:13" x14ac:dyDescent="0.25">
      <c r="A215" s="1">
        <v>214</v>
      </c>
      <c r="B215" s="1" t="s">
        <v>183</v>
      </c>
      <c r="C215">
        <v>13</v>
      </c>
      <c r="D215">
        <v>3</v>
      </c>
      <c r="E215" s="2">
        <v>44986</v>
      </c>
      <c r="F215" s="3">
        <v>0.32633101851851853</v>
      </c>
      <c r="G215" s="2">
        <v>44992</v>
      </c>
      <c r="H215" s="3">
        <v>0.35237268518518516</v>
      </c>
      <c r="I215" s="1" t="s">
        <v>412</v>
      </c>
      <c r="J215" s="1" t="s">
        <v>25</v>
      </c>
      <c r="K215">
        <v>6</v>
      </c>
      <c r="L215" t="str">
        <f>IF(tblOrders[[#This Row],[Quantity]]&lt;=0,"Check","OK")</f>
        <v>OK</v>
      </c>
      <c r="M215" s="1" t="str">
        <f>IF(tblOrders[[#This Row],[Delivery_Date]]&lt;tblOrders[[#This Row],[Order_Date]],"Error","OK")</f>
        <v>OK</v>
      </c>
    </row>
    <row r="216" spans="1:13" x14ac:dyDescent="0.25">
      <c r="A216" s="1">
        <v>215</v>
      </c>
      <c r="B216" s="1" t="s">
        <v>413</v>
      </c>
      <c r="C216">
        <v>17</v>
      </c>
      <c r="D216">
        <v>1</v>
      </c>
      <c r="E216" s="2">
        <v>45067</v>
      </c>
      <c r="F216" s="3">
        <v>0.16280092592592593</v>
      </c>
      <c r="G216" s="2">
        <v>45070</v>
      </c>
      <c r="H216" s="3">
        <v>0.52608796296296301</v>
      </c>
      <c r="I216" s="1" t="s">
        <v>228</v>
      </c>
      <c r="J216" s="1" t="s">
        <v>30</v>
      </c>
      <c r="K216">
        <v>3</v>
      </c>
      <c r="L216" t="str">
        <f>IF(tblOrders[[#This Row],[Quantity]]&lt;=0,"Check","OK")</f>
        <v>OK</v>
      </c>
      <c r="M216" s="1" t="str">
        <f>IF(tblOrders[[#This Row],[Delivery_Date]]&lt;tblOrders[[#This Row],[Order_Date]],"Error","OK")</f>
        <v>OK</v>
      </c>
    </row>
    <row r="217" spans="1:13" x14ac:dyDescent="0.25">
      <c r="A217" s="1">
        <v>216</v>
      </c>
      <c r="B217" s="1" t="s">
        <v>400</v>
      </c>
      <c r="C217">
        <v>23</v>
      </c>
      <c r="D217">
        <v>1</v>
      </c>
      <c r="E217" s="2">
        <v>45202</v>
      </c>
      <c r="F217" s="3">
        <v>0.65734953703703702</v>
      </c>
      <c r="G217" s="2">
        <v>45207</v>
      </c>
      <c r="H217" s="3">
        <v>0.8656018518518519</v>
      </c>
      <c r="I217" s="1" t="s">
        <v>414</v>
      </c>
      <c r="J217" s="1" t="s">
        <v>30</v>
      </c>
      <c r="K217">
        <v>5</v>
      </c>
      <c r="L217" t="str">
        <f>IF(tblOrders[[#This Row],[Quantity]]&lt;=0,"Check","OK")</f>
        <v>OK</v>
      </c>
      <c r="M217" s="1" t="str">
        <f>IF(tblOrders[[#This Row],[Delivery_Date]]&lt;tblOrders[[#This Row],[Order_Date]],"Error","OK")</f>
        <v>OK</v>
      </c>
    </row>
    <row r="218" spans="1:13" x14ac:dyDescent="0.25">
      <c r="A218" s="1">
        <v>217</v>
      </c>
      <c r="B218" s="1" t="s">
        <v>190</v>
      </c>
      <c r="C218">
        <v>53</v>
      </c>
      <c r="D218">
        <v>4</v>
      </c>
      <c r="E218" s="2">
        <v>45165</v>
      </c>
      <c r="F218" s="3">
        <v>0.12817129629629628</v>
      </c>
      <c r="G218" s="2">
        <v>45168</v>
      </c>
      <c r="H218" s="3">
        <v>0.69605324074074071</v>
      </c>
      <c r="I218" s="1" t="s">
        <v>175</v>
      </c>
      <c r="J218" s="1" t="s">
        <v>33</v>
      </c>
      <c r="K218">
        <v>3</v>
      </c>
      <c r="L218" t="str">
        <f>IF(tblOrders[[#This Row],[Quantity]]&lt;=0,"Check","OK")</f>
        <v>OK</v>
      </c>
      <c r="M218" s="1" t="str">
        <f>IF(tblOrders[[#This Row],[Delivery_Date]]&lt;tblOrders[[#This Row],[Order_Date]],"Error","OK")</f>
        <v>OK</v>
      </c>
    </row>
    <row r="219" spans="1:13" x14ac:dyDescent="0.25">
      <c r="A219" s="1">
        <v>218</v>
      </c>
      <c r="B219" s="1" t="s">
        <v>302</v>
      </c>
      <c r="C219">
        <v>31</v>
      </c>
      <c r="D219">
        <v>4</v>
      </c>
      <c r="E219" s="2">
        <v>45090</v>
      </c>
      <c r="F219" s="3">
        <v>0.95498842592592592</v>
      </c>
      <c r="G219" s="2">
        <v>45093</v>
      </c>
      <c r="H219" s="3">
        <v>0.12917824074074075</v>
      </c>
      <c r="I219" s="1" t="s">
        <v>415</v>
      </c>
      <c r="J219" s="1" t="s">
        <v>8</v>
      </c>
      <c r="K219">
        <v>3</v>
      </c>
      <c r="L219" t="str">
        <f>IF(tblOrders[[#This Row],[Quantity]]&lt;=0,"Check","OK")</f>
        <v>OK</v>
      </c>
      <c r="M219" s="1" t="str">
        <f>IF(tblOrders[[#This Row],[Delivery_Date]]&lt;tblOrders[[#This Row],[Order_Date]],"Error","OK")</f>
        <v>OK</v>
      </c>
    </row>
    <row r="220" spans="1:13" x14ac:dyDescent="0.25">
      <c r="A220" s="1">
        <v>219</v>
      </c>
      <c r="B220" s="1" t="s">
        <v>387</v>
      </c>
      <c r="C220">
        <v>16</v>
      </c>
      <c r="D220">
        <v>5</v>
      </c>
      <c r="E220" s="2">
        <v>44990</v>
      </c>
      <c r="F220" s="3">
        <v>2.508101851851852E-2</v>
      </c>
      <c r="G220" s="2">
        <v>44996</v>
      </c>
      <c r="H220" s="3">
        <v>0.44172453703703701</v>
      </c>
      <c r="I220" s="1" t="s">
        <v>403</v>
      </c>
      <c r="J220" s="1" t="s">
        <v>25</v>
      </c>
      <c r="K220">
        <v>6</v>
      </c>
      <c r="L220" t="str">
        <f>IF(tblOrders[[#This Row],[Quantity]]&lt;=0,"Check","OK")</f>
        <v>OK</v>
      </c>
      <c r="M220" s="1" t="str">
        <f>IF(tblOrders[[#This Row],[Delivery_Date]]&lt;tblOrders[[#This Row],[Order_Date]],"Error","OK")</f>
        <v>OK</v>
      </c>
    </row>
    <row r="221" spans="1:13" x14ac:dyDescent="0.25">
      <c r="A221" s="1">
        <v>220</v>
      </c>
      <c r="B221" s="1" t="s">
        <v>405</v>
      </c>
      <c r="C221">
        <v>26</v>
      </c>
      <c r="D221">
        <v>3</v>
      </c>
      <c r="E221" s="2">
        <v>44991</v>
      </c>
      <c r="F221" s="3">
        <v>0.51868055555555559</v>
      </c>
      <c r="G221" s="2">
        <v>45000</v>
      </c>
      <c r="H221" s="3">
        <v>0.6124074074074074</v>
      </c>
      <c r="I221" s="1" t="s">
        <v>416</v>
      </c>
      <c r="J221" s="1" t="s">
        <v>25</v>
      </c>
      <c r="K221">
        <v>9</v>
      </c>
      <c r="L221" t="str">
        <f>IF(tblOrders[[#This Row],[Quantity]]&lt;=0,"Check","OK")</f>
        <v>OK</v>
      </c>
      <c r="M221" s="1" t="str">
        <f>IF(tblOrders[[#This Row],[Delivery_Date]]&lt;tblOrders[[#This Row],[Order_Date]],"Error","OK")</f>
        <v>OK</v>
      </c>
    </row>
    <row r="222" spans="1:13" x14ac:dyDescent="0.25">
      <c r="A222" s="1">
        <v>221</v>
      </c>
      <c r="B222" s="1" t="s">
        <v>417</v>
      </c>
      <c r="C222">
        <v>28</v>
      </c>
      <c r="D222">
        <v>4</v>
      </c>
      <c r="E222" s="2">
        <v>45159</v>
      </c>
      <c r="F222" s="3">
        <v>9.1018518518518512E-2</v>
      </c>
      <c r="G222" s="2">
        <v>45168</v>
      </c>
      <c r="H222" s="3">
        <v>0.58373842592592595</v>
      </c>
      <c r="I222" s="1" t="s">
        <v>418</v>
      </c>
      <c r="J222" s="1" t="s">
        <v>33</v>
      </c>
      <c r="K222">
        <v>9</v>
      </c>
      <c r="L222" t="str">
        <f>IF(tblOrders[[#This Row],[Quantity]]&lt;=0,"Check","OK")</f>
        <v>OK</v>
      </c>
      <c r="M222" s="1" t="str">
        <f>IF(tblOrders[[#This Row],[Delivery_Date]]&lt;tblOrders[[#This Row],[Order_Date]],"Error","OK")</f>
        <v>OK</v>
      </c>
    </row>
    <row r="223" spans="1:13" x14ac:dyDescent="0.25">
      <c r="A223" s="1">
        <v>222</v>
      </c>
      <c r="B223" s="1" t="s">
        <v>183</v>
      </c>
      <c r="C223">
        <v>6</v>
      </c>
      <c r="D223">
        <v>5</v>
      </c>
      <c r="E223" s="2">
        <v>44983</v>
      </c>
      <c r="F223" s="3">
        <v>0.24820601851851851</v>
      </c>
      <c r="G223" s="2">
        <v>44992</v>
      </c>
      <c r="H223" s="3">
        <v>0.76446759259259256</v>
      </c>
      <c r="I223" s="1" t="s">
        <v>332</v>
      </c>
      <c r="J223" s="1" t="s">
        <v>25</v>
      </c>
      <c r="K223">
        <v>9</v>
      </c>
      <c r="L223" t="str">
        <f>IF(tblOrders[[#This Row],[Quantity]]&lt;=0,"Check","OK")</f>
        <v>OK</v>
      </c>
      <c r="M223" s="1" t="str">
        <f>IF(tblOrders[[#This Row],[Delivery_Date]]&lt;tblOrders[[#This Row],[Order_Date]],"Error","OK")</f>
        <v>OK</v>
      </c>
    </row>
    <row r="224" spans="1:13" x14ac:dyDescent="0.25">
      <c r="A224" s="1">
        <v>223</v>
      </c>
      <c r="B224" s="1" t="s">
        <v>341</v>
      </c>
      <c r="C224">
        <v>49</v>
      </c>
      <c r="D224">
        <v>2</v>
      </c>
      <c r="E224" s="2">
        <v>44962</v>
      </c>
      <c r="F224" s="3">
        <v>0.36417824074074073</v>
      </c>
      <c r="G224" s="2">
        <v>44970</v>
      </c>
      <c r="H224" s="3">
        <v>0.4291550925925926</v>
      </c>
      <c r="I224" s="1" t="s">
        <v>419</v>
      </c>
      <c r="J224" s="1" t="s">
        <v>12</v>
      </c>
      <c r="K224">
        <v>8</v>
      </c>
      <c r="L224" t="str">
        <f>IF(tblOrders[[#This Row],[Quantity]]&lt;=0,"Check","OK")</f>
        <v>OK</v>
      </c>
      <c r="M224" s="1" t="str">
        <f>IF(tblOrders[[#This Row],[Delivery_Date]]&lt;tblOrders[[#This Row],[Order_Date]],"Error","OK")</f>
        <v>OK</v>
      </c>
    </row>
    <row r="225" spans="1:13" x14ac:dyDescent="0.25">
      <c r="A225" s="1">
        <v>224</v>
      </c>
      <c r="B225" s="1" t="s">
        <v>283</v>
      </c>
      <c r="C225">
        <v>34</v>
      </c>
      <c r="D225">
        <v>1</v>
      </c>
      <c r="E225" s="2">
        <v>45162</v>
      </c>
      <c r="F225" s="3">
        <v>0.8763657407407407</v>
      </c>
      <c r="G225" s="2">
        <v>45167</v>
      </c>
      <c r="H225" s="3">
        <v>8.7962962962962965E-2</v>
      </c>
      <c r="I225" s="1" t="s">
        <v>420</v>
      </c>
      <c r="J225" s="1" t="s">
        <v>33</v>
      </c>
      <c r="K225">
        <v>5</v>
      </c>
      <c r="L225" t="str">
        <f>IF(tblOrders[[#This Row],[Quantity]]&lt;=0,"Check","OK")</f>
        <v>OK</v>
      </c>
      <c r="M225" s="1" t="str">
        <f>IF(tblOrders[[#This Row],[Delivery_Date]]&lt;tblOrders[[#This Row],[Order_Date]],"Error","OK")</f>
        <v>OK</v>
      </c>
    </row>
    <row r="226" spans="1:13" x14ac:dyDescent="0.25">
      <c r="A226" s="1">
        <v>225</v>
      </c>
      <c r="B226" s="1" t="s">
        <v>398</v>
      </c>
      <c r="C226">
        <v>52</v>
      </c>
      <c r="D226">
        <v>5</v>
      </c>
      <c r="E226" s="2">
        <v>44962</v>
      </c>
      <c r="F226" s="3">
        <v>0.50863425925925931</v>
      </c>
      <c r="G226" s="2">
        <v>44963</v>
      </c>
      <c r="H226" s="3">
        <v>0.7507638888888889</v>
      </c>
      <c r="I226" s="1" t="s">
        <v>421</v>
      </c>
      <c r="J226" s="1" t="s">
        <v>12</v>
      </c>
      <c r="K226">
        <v>1</v>
      </c>
      <c r="L226" t="str">
        <f>IF(tblOrders[[#This Row],[Quantity]]&lt;=0,"Check","OK")</f>
        <v>OK</v>
      </c>
      <c r="M226" s="1" t="str">
        <f>IF(tblOrders[[#This Row],[Delivery_Date]]&lt;tblOrders[[#This Row],[Order_Date]],"Error","OK")</f>
        <v>OK</v>
      </c>
    </row>
    <row r="227" spans="1:13" x14ac:dyDescent="0.25">
      <c r="A227" s="1">
        <v>226</v>
      </c>
      <c r="B227" s="1" t="s">
        <v>216</v>
      </c>
      <c r="C227">
        <v>14</v>
      </c>
      <c r="D227">
        <v>2</v>
      </c>
      <c r="E227" s="2">
        <v>45177</v>
      </c>
      <c r="F227" s="3">
        <v>0.36724537037037036</v>
      </c>
      <c r="G227" s="2">
        <v>45181</v>
      </c>
      <c r="H227" s="3">
        <v>0.47263888888888889</v>
      </c>
      <c r="I227" s="1" t="s">
        <v>253</v>
      </c>
      <c r="J227" s="1" t="s">
        <v>36</v>
      </c>
      <c r="K227">
        <v>4</v>
      </c>
      <c r="L227" t="str">
        <f>IF(tblOrders[[#This Row],[Quantity]]&lt;=0,"Check","OK")</f>
        <v>OK</v>
      </c>
      <c r="M227" s="1" t="str">
        <f>IF(tblOrders[[#This Row],[Delivery_Date]]&lt;tblOrders[[#This Row],[Order_Date]],"Error","OK")</f>
        <v>OK</v>
      </c>
    </row>
    <row r="228" spans="1:13" x14ac:dyDescent="0.25">
      <c r="A228" s="1">
        <v>227</v>
      </c>
      <c r="B228" s="1" t="s">
        <v>400</v>
      </c>
      <c r="C228">
        <v>24</v>
      </c>
      <c r="D228">
        <v>4</v>
      </c>
      <c r="E228" s="2">
        <v>45285</v>
      </c>
      <c r="F228" s="3">
        <v>0.78520833333333329</v>
      </c>
      <c r="G228" s="2">
        <v>45286</v>
      </c>
      <c r="H228" s="3">
        <v>0.59009259259259261</v>
      </c>
      <c r="I228" s="1" t="s">
        <v>422</v>
      </c>
      <c r="J228" s="1" t="s">
        <v>36</v>
      </c>
      <c r="K228">
        <v>1</v>
      </c>
      <c r="L228" t="str">
        <f>IF(tblOrders[[#This Row],[Quantity]]&lt;=0,"Check","OK")</f>
        <v>OK</v>
      </c>
      <c r="M228" s="1" t="str">
        <f>IF(tblOrders[[#This Row],[Delivery_Date]]&lt;tblOrders[[#This Row],[Order_Date]],"Error","OK")</f>
        <v>OK</v>
      </c>
    </row>
    <row r="229" spans="1:13" x14ac:dyDescent="0.25">
      <c r="A229" s="1">
        <v>228</v>
      </c>
      <c r="B229" s="1" t="s">
        <v>329</v>
      </c>
      <c r="C229">
        <v>36</v>
      </c>
      <c r="D229">
        <v>1</v>
      </c>
      <c r="E229" s="2">
        <v>44995</v>
      </c>
      <c r="F229" s="3">
        <v>0.77837962962962959</v>
      </c>
      <c r="G229" s="2">
        <v>44996</v>
      </c>
      <c r="H229" s="3">
        <v>0.4375</v>
      </c>
      <c r="I229" s="1" t="s">
        <v>423</v>
      </c>
      <c r="J229" s="1" t="s">
        <v>36</v>
      </c>
      <c r="K229">
        <v>1</v>
      </c>
      <c r="L229" t="str">
        <f>IF(tblOrders[[#This Row],[Quantity]]&lt;=0,"Check","OK")</f>
        <v>OK</v>
      </c>
      <c r="M229" s="1" t="str">
        <f>IF(tblOrders[[#This Row],[Delivery_Date]]&lt;tblOrders[[#This Row],[Order_Date]],"Error","OK")</f>
        <v>OK</v>
      </c>
    </row>
    <row r="230" spans="1:13" x14ac:dyDescent="0.25">
      <c r="A230" s="1">
        <v>229</v>
      </c>
      <c r="B230" s="1" t="s">
        <v>424</v>
      </c>
      <c r="C230">
        <v>49</v>
      </c>
      <c r="D230">
        <v>3</v>
      </c>
      <c r="E230" s="2">
        <v>44968</v>
      </c>
      <c r="F230" s="3">
        <v>0.8719675925925926</v>
      </c>
      <c r="G230" s="2">
        <v>44977</v>
      </c>
      <c r="H230" s="3">
        <v>0.39780092592592592</v>
      </c>
      <c r="I230" s="1" t="s">
        <v>425</v>
      </c>
      <c r="J230" s="1" t="s">
        <v>12</v>
      </c>
      <c r="K230">
        <v>9</v>
      </c>
      <c r="L230" t="str">
        <f>IF(tblOrders[[#This Row],[Quantity]]&lt;=0,"Check","OK")</f>
        <v>OK</v>
      </c>
      <c r="M230" s="1" t="str">
        <f>IF(tblOrders[[#This Row],[Delivery_Date]]&lt;tblOrders[[#This Row],[Order_Date]],"Error","OK")</f>
        <v>OK</v>
      </c>
    </row>
    <row r="231" spans="1:13" x14ac:dyDescent="0.25">
      <c r="A231" s="1">
        <v>230</v>
      </c>
      <c r="B231" s="1" t="s">
        <v>291</v>
      </c>
      <c r="C231">
        <v>64</v>
      </c>
      <c r="D231">
        <v>3</v>
      </c>
      <c r="E231" s="2">
        <v>45165</v>
      </c>
      <c r="F231" s="3">
        <v>0.35266203703703702</v>
      </c>
      <c r="G231" s="2">
        <v>45170</v>
      </c>
      <c r="H231" s="3">
        <v>6.653935185185185E-2</v>
      </c>
      <c r="I231" s="1" t="s">
        <v>426</v>
      </c>
      <c r="J231" s="1" t="s">
        <v>33</v>
      </c>
      <c r="K231">
        <v>5</v>
      </c>
      <c r="L231" t="str">
        <f>IF(tblOrders[[#This Row],[Quantity]]&lt;=0,"Check","OK")</f>
        <v>OK</v>
      </c>
      <c r="M231" s="1" t="str">
        <f>IF(tblOrders[[#This Row],[Delivery_Date]]&lt;tblOrders[[#This Row],[Order_Date]],"Error","OK")</f>
        <v>OK</v>
      </c>
    </row>
    <row r="232" spans="1:13" x14ac:dyDescent="0.25">
      <c r="A232" s="1">
        <v>231</v>
      </c>
      <c r="B232" s="1" t="s">
        <v>398</v>
      </c>
      <c r="C232">
        <v>64</v>
      </c>
      <c r="D232">
        <v>3</v>
      </c>
      <c r="E232" s="2">
        <v>45162</v>
      </c>
      <c r="F232" s="3">
        <v>0.385625</v>
      </c>
      <c r="G232" s="2">
        <v>45166</v>
      </c>
      <c r="H232" s="3">
        <v>0.8840393518518519</v>
      </c>
      <c r="I232" s="1" t="s">
        <v>427</v>
      </c>
      <c r="J232" s="1" t="s">
        <v>33</v>
      </c>
      <c r="K232">
        <v>4</v>
      </c>
      <c r="L232" t="str">
        <f>IF(tblOrders[[#This Row],[Quantity]]&lt;=0,"Check","OK")</f>
        <v>OK</v>
      </c>
      <c r="M232" s="1" t="str">
        <f>IF(tblOrders[[#This Row],[Delivery_Date]]&lt;tblOrders[[#This Row],[Order_Date]],"Error","OK")</f>
        <v>OK</v>
      </c>
    </row>
    <row r="233" spans="1:13" x14ac:dyDescent="0.25">
      <c r="A233" s="1">
        <v>232</v>
      </c>
      <c r="B233" s="1" t="s">
        <v>182</v>
      </c>
      <c r="C233">
        <v>28</v>
      </c>
      <c r="D233">
        <v>3</v>
      </c>
      <c r="E233" s="2">
        <v>45160</v>
      </c>
      <c r="F233" s="3">
        <v>0.50427083333333333</v>
      </c>
      <c r="G233" s="2">
        <v>45161</v>
      </c>
      <c r="H233" s="3">
        <v>0.37502314814814813</v>
      </c>
      <c r="I233" s="1" t="s">
        <v>428</v>
      </c>
      <c r="J233" s="1" t="s">
        <v>33</v>
      </c>
      <c r="K233">
        <v>1</v>
      </c>
      <c r="L233" t="str">
        <f>IF(tblOrders[[#This Row],[Quantity]]&lt;=0,"Check","OK")</f>
        <v>OK</v>
      </c>
      <c r="M233" s="1" t="str">
        <f>IF(tblOrders[[#This Row],[Delivery_Date]]&lt;tblOrders[[#This Row],[Order_Date]],"Error","OK")</f>
        <v>OK</v>
      </c>
    </row>
    <row r="234" spans="1:13" x14ac:dyDescent="0.25">
      <c r="A234" s="1">
        <v>233</v>
      </c>
      <c r="B234" s="1" t="s">
        <v>413</v>
      </c>
      <c r="C234">
        <v>64</v>
      </c>
      <c r="D234">
        <v>4</v>
      </c>
      <c r="E234" s="2">
        <v>45164</v>
      </c>
      <c r="F234" s="3">
        <v>0.92730324074074078</v>
      </c>
      <c r="G234" s="2">
        <v>45168</v>
      </c>
      <c r="H234" s="3">
        <v>0.17197916666666666</v>
      </c>
      <c r="I234" s="1" t="s">
        <v>429</v>
      </c>
      <c r="J234" s="1" t="s">
        <v>33</v>
      </c>
      <c r="K234">
        <v>4</v>
      </c>
      <c r="L234" t="str">
        <f>IF(tblOrders[[#This Row],[Quantity]]&lt;=0,"Check","OK")</f>
        <v>OK</v>
      </c>
      <c r="M234" s="1" t="str">
        <f>IF(tblOrders[[#This Row],[Delivery_Date]]&lt;tblOrders[[#This Row],[Order_Date]],"Error","OK")</f>
        <v>OK</v>
      </c>
    </row>
    <row r="235" spans="1:13" x14ac:dyDescent="0.25">
      <c r="A235" s="1">
        <v>234</v>
      </c>
      <c r="B235" s="1" t="s">
        <v>180</v>
      </c>
      <c r="C235">
        <v>42</v>
      </c>
      <c r="D235">
        <v>1</v>
      </c>
      <c r="E235" s="2">
        <v>45009</v>
      </c>
      <c r="F235" s="3">
        <v>0.88763888888888887</v>
      </c>
      <c r="G235" s="2">
        <v>45017</v>
      </c>
      <c r="H235" s="3">
        <v>2.5613425925925925E-2</v>
      </c>
      <c r="I235" s="1" t="s">
        <v>430</v>
      </c>
      <c r="J235" s="1" t="s">
        <v>8</v>
      </c>
      <c r="K235">
        <v>8</v>
      </c>
      <c r="L235" t="str">
        <f>IF(tblOrders[[#This Row],[Quantity]]&lt;=0,"Check","OK")</f>
        <v>OK</v>
      </c>
      <c r="M235" s="1" t="str">
        <f>IF(tblOrders[[#This Row],[Delivery_Date]]&lt;tblOrders[[#This Row],[Order_Date]],"Error","OK")</f>
        <v>OK</v>
      </c>
    </row>
    <row r="236" spans="1:13" x14ac:dyDescent="0.25">
      <c r="A236" s="1">
        <v>235</v>
      </c>
      <c r="B236" s="1" t="s">
        <v>222</v>
      </c>
      <c r="C236">
        <v>56</v>
      </c>
      <c r="D236">
        <v>2</v>
      </c>
      <c r="E236" s="2">
        <v>44983</v>
      </c>
      <c r="F236" s="3">
        <v>0.60192129629629632</v>
      </c>
      <c r="G236" s="2">
        <v>44988</v>
      </c>
      <c r="H236" s="3">
        <v>0.97665509259259264</v>
      </c>
      <c r="I236" s="1" t="s">
        <v>383</v>
      </c>
      <c r="J236" s="1" t="s">
        <v>30</v>
      </c>
      <c r="K236">
        <v>5</v>
      </c>
      <c r="L236" t="str">
        <f>IF(tblOrders[[#This Row],[Quantity]]&lt;=0,"Check","OK")</f>
        <v>OK</v>
      </c>
      <c r="M236" s="1" t="str">
        <f>IF(tblOrders[[#This Row],[Delivery_Date]]&lt;tblOrders[[#This Row],[Order_Date]],"Error","OK")</f>
        <v>OK</v>
      </c>
    </row>
    <row r="237" spans="1:13" x14ac:dyDescent="0.25">
      <c r="A237" s="1">
        <v>236</v>
      </c>
      <c r="B237" s="1" t="s">
        <v>182</v>
      </c>
      <c r="C237">
        <v>23</v>
      </c>
      <c r="D237">
        <v>5</v>
      </c>
      <c r="E237" s="2">
        <v>45172</v>
      </c>
      <c r="F237" s="3">
        <v>0.27351851851851849</v>
      </c>
      <c r="G237" s="2">
        <v>45180</v>
      </c>
      <c r="H237" s="3">
        <v>9.0486111111111114E-2</v>
      </c>
      <c r="I237" s="1" t="s">
        <v>431</v>
      </c>
      <c r="J237" s="1" t="s">
        <v>30</v>
      </c>
      <c r="K237">
        <v>8</v>
      </c>
      <c r="L237" t="str">
        <f>IF(tblOrders[[#This Row],[Quantity]]&lt;=0,"Check","OK")</f>
        <v>OK</v>
      </c>
      <c r="M237" s="1" t="str">
        <f>IF(tblOrders[[#This Row],[Delivery_Date]]&lt;tblOrders[[#This Row],[Order_Date]],"Error","OK")</f>
        <v>OK</v>
      </c>
    </row>
    <row r="238" spans="1:13" x14ac:dyDescent="0.25">
      <c r="A238" s="1">
        <v>237</v>
      </c>
      <c r="B238" s="1" t="s">
        <v>188</v>
      </c>
      <c r="C238">
        <v>55</v>
      </c>
      <c r="D238">
        <v>1</v>
      </c>
      <c r="E238" s="2">
        <v>45164</v>
      </c>
      <c r="F238" s="3">
        <v>0.39158564814814817</v>
      </c>
      <c r="G238" s="2">
        <v>45168</v>
      </c>
      <c r="H238" s="3">
        <v>0.34675925925925927</v>
      </c>
      <c r="I238" s="1" t="s">
        <v>432</v>
      </c>
      <c r="J238" s="1" t="s">
        <v>33</v>
      </c>
      <c r="K238">
        <v>4</v>
      </c>
      <c r="L238" t="str">
        <f>IF(tblOrders[[#This Row],[Quantity]]&lt;=0,"Check","OK")</f>
        <v>OK</v>
      </c>
      <c r="M238" s="1" t="str">
        <f>IF(tblOrders[[#This Row],[Delivery_Date]]&lt;tblOrders[[#This Row],[Order_Date]],"Error","OK")</f>
        <v>OK</v>
      </c>
    </row>
    <row r="239" spans="1:13" x14ac:dyDescent="0.25">
      <c r="A239" s="1">
        <v>238</v>
      </c>
      <c r="B239" s="1" t="s">
        <v>333</v>
      </c>
      <c r="C239">
        <v>26</v>
      </c>
      <c r="D239">
        <v>4</v>
      </c>
      <c r="E239" s="2">
        <v>44990</v>
      </c>
      <c r="F239" s="3">
        <v>0.33105324074074072</v>
      </c>
      <c r="G239" s="2">
        <v>44996</v>
      </c>
      <c r="H239" s="3">
        <v>0.84603009259259254</v>
      </c>
      <c r="I239" s="1" t="s">
        <v>433</v>
      </c>
      <c r="J239" s="1" t="s">
        <v>25</v>
      </c>
      <c r="K239">
        <v>6</v>
      </c>
      <c r="L239" t="str">
        <f>IF(tblOrders[[#This Row],[Quantity]]&lt;=0,"Check","OK")</f>
        <v>OK</v>
      </c>
      <c r="M239" s="1" t="str">
        <f>IF(tblOrders[[#This Row],[Delivery_Date]]&lt;tblOrders[[#This Row],[Order_Date]],"Error","OK")</f>
        <v>OK</v>
      </c>
    </row>
    <row r="240" spans="1:13" x14ac:dyDescent="0.25">
      <c r="A240" s="1">
        <v>239</v>
      </c>
      <c r="B240" s="1" t="s">
        <v>215</v>
      </c>
      <c r="C240">
        <v>27</v>
      </c>
      <c r="D240">
        <v>3</v>
      </c>
      <c r="E240" s="2">
        <v>45167</v>
      </c>
      <c r="F240" s="3">
        <v>0.35677083333333331</v>
      </c>
      <c r="G240" s="2">
        <v>45175</v>
      </c>
      <c r="H240" s="3">
        <v>0.55773148148148144</v>
      </c>
      <c r="I240" s="1" t="s">
        <v>415</v>
      </c>
      <c r="J240" s="1" t="s">
        <v>33</v>
      </c>
      <c r="K240">
        <v>8</v>
      </c>
      <c r="L240" t="str">
        <f>IF(tblOrders[[#This Row],[Quantity]]&lt;=0,"Check","OK")</f>
        <v>OK</v>
      </c>
      <c r="M240" s="1" t="str">
        <f>IF(tblOrders[[#This Row],[Delivery_Date]]&lt;tblOrders[[#This Row],[Order_Date]],"Error","OK")</f>
        <v>OK</v>
      </c>
    </row>
    <row r="241" spans="1:13" x14ac:dyDescent="0.25">
      <c r="A241" s="1">
        <v>240</v>
      </c>
      <c r="B241" s="1" t="s">
        <v>267</v>
      </c>
      <c r="C241">
        <v>5</v>
      </c>
      <c r="D241">
        <v>5</v>
      </c>
      <c r="E241" s="2">
        <v>45010</v>
      </c>
      <c r="F241" s="3">
        <v>0.25252314814814814</v>
      </c>
      <c r="G241" s="2">
        <v>45015</v>
      </c>
      <c r="H241" s="3">
        <v>0.6551851851851852</v>
      </c>
      <c r="I241" s="1" t="s">
        <v>264</v>
      </c>
      <c r="J241" s="1" t="s">
        <v>8</v>
      </c>
      <c r="K241">
        <v>5</v>
      </c>
      <c r="L241" t="str">
        <f>IF(tblOrders[[#This Row],[Quantity]]&lt;=0,"Check","OK")</f>
        <v>OK</v>
      </c>
      <c r="M241" s="1" t="str">
        <f>IF(tblOrders[[#This Row],[Delivery_Date]]&lt;tblOrders[[#This Row],[Order_Date]],"Error","OK")</f>
        <v>OK</v>
      </c>
    </row>
    <row r="242" spans="1:13" x14ac:dyDescent="0.25">
      <c r="A242" s="1">
        <v>241</v>
      </c>
      <c r="B242" s="1" t="s">
        <v>229</v>
      </c>
      <c r="C242">
        <v>20</v>
      </c>
      <c r="D242">
        <v>2</v>
      </c>
      <c r="E242" s="2">
        <v>45174</v>
      </c>
      <c r="F242" s="3">
        <v>0.41129629629629627</v>
      </c>
      <c r="G242" s="2">
        <v>45176</v>
      </c>
      <c r="H242" s="3">
        <v>0.37385416666666665</v>
      </c>
      <c r="I242" s="1" t="s">
        <v>230</v>
      </c>
      <c r="J242" s="1" t="s">
        <v>30</v>
      </c>
      <c r="K242">
        <v>2</v>
      </c>
      <c r="L242" t="str">
        <f>IF(tblOrders[[#This Row],[Quantity]]&lt;=0,"Check","OK")</f>
        <v>OK</v>
      </c>
      <c r="M242" s="1" t="str">
        <f>IF(tblOrders[[#This Row],[Delivery_Date]]&lt;tblOrders[[#This Row],[Order_Date]],"Error","OK")</f>
        <v>OK</v>
      </c>
    </row>
    <row r="243" spans="1:13" x14ac:dyDescent="0.25">
      <c r="A243" s="1">
        <v>242</v>
      </c>
      <c r="B243" s="1" t="s">
        <v>172</v>
      </c>
      <c r="C243">
        <v>21</v>
      </c>
      <c r="D243">
        <v>1</v>
      </c>
      <c r="E243" s="2">
        <v>45161</v>
      </c>
      <c r="F243" s="3">
        <v>0.43386574074074075</v>
      </c>
      <c r="G243" s="2">
        <v>45169</v>
      </c>
      <c r="H243" s="3">
        <v>0.66842592592592598</v>
      </c>
      <c r="I243" s="1" t="s">
        <v>212</v>
      </c>
      <c r="J243" s="1" t="s">
        <v>33</v>
      </c>
      <c r="K243">
        <v>8</v>
      </c>
      <c r="L243" t="str">
        <f>IF(tblOrders[[#This Row],[Quantity]]&lt;=0,"Check","OK")</f>
        <v>OK</v>
      </c>
      <c r="M243" s="1" t="str">
        <f>IF(tblOrders[[#This Row],[Delivery_Date]]&lt;tblOrders[[#This Row],[Order_Date]],"Error","OK")</f>
        <v>OK</v>
      </c>
    </row>
    <row r="244" spans="1:13" x14ac:dyDescent="0.25">
      <c r="A244" s="1">
        <v>243</v>
      </c>
      <c r="B244" s="1" t="s">
        <v>409</v>
      </c>
      <c r="C244">
        <v>3</v>
      </c>
      <c r="D244">
        <v>1</v>
      </c>
      <c r="E244" s="2">
        <v>44962</v>
      </c>
      <c r="F244" s="3">
        <v>0.86848379629629635</v>
      </c>
      <c r="G244" s="2">
        <v>44967</v>
      </c>
      <c r="H244" s="3">
        <v>0.52145833333333336</v>
      </c>
      <c r="I244" s="1" t="s">
        <v>434</v>
      </c>
      <c r="J244" s="1" t="s">
        <v>12</v>
      </c>
      <c r="K244">
        <v>5</v>
      </c>
      <c r="L244" t="str">
        <f>IF(tblOrders[[#This Row],[Quantity]]&lt;=0,"Check","OK")</f>
        <v>OK</v>
      </c>
      <c r="M244" s="1" t="str">
        <f>IF(tblOrders[[#This Row],[Delivery_Date]]&lt;tblOrders[[#This Row],[Order_Date]],"Error","OK")</f>
        <v>OK</v>
      </c>
    </row>
    <row r="245" spans="1:13" x14ac:dyDescent="0.25">
      <c r="A245" s="1">
        <v>244</v>
      </c>
      <c r="B245" s="1" t="s">
        <v>206</v>
      </c>
      <c r="C245">
        <v>65</v>
      </c>
      <c r="D245">
        <v>3</v>
      </c>
      <c r="E245" s="2">
        <v>45005</v>
      </c>
      <c r="F245" s="3">
        <v>0.62917824074074069</v>
      </c>
      <c r="G245" s="2">
        <v>45015</v>
      </c>
      <c r="H245" s="3">
        <v>0.29629629629629628</v>
      </c>
      <c r="I245" s="1" t="s">
        <v>435</v>
      </c>
      <c r="J245" s="1" t="s">
        <v>8</v>
      </c>
      <c r="K245">
        <v>10</v>
      </c>
      <c r="L245" t="str">
        <f>IF(tblOrders[[#This Row],[Quantity]]&lt;=0,"Check","OK")</f>
        <v>OK</v>
      </c>
      <c r="M245" s="1" t="str">
        <f>IF(tblOrders[[#This Row],[Delivery_Date]]&lt;tblOrders[[#This Row],[Order_Date]],"Error","OK")</f>
        <v>OK</v>
      </c>
    </row>
    <row r="246" spans="1:13" x14ac:dyDescent="0.25">
      <c r="A246" s="1">
        <v>245</v>
      </c>
      <c r="B246" s="1" t="s">
        <v>246</v>
      </c>
      <c r="C246">
        <v>50</v>
      </c>
      <c r="D246">
        <v>3</v>
      </c>
      <c r="E246" s="2">
        <v>44990</v>
      </c>
      <c r="F246" s="3">
        <v>0.26766203703703706</v>
      </c>
      <c r="G246" s="2">
        <v>44996</v>
      </c>
      <c r="H246" s="3">
        <v>0.39618055555555554</v>
      </c>
      <c r="I246" s="1" t="s">
        <v>436</v>
      </c>
      <c r="J246" s="1" t="s">
        <v>25</v>
      </c>
      <c r="K246">
        <v>6</v>
      </c>
      <c r="L246" t="str">
        <f>IF(tblOrders[[#This Row],[Quantity]]&lt;=0,"Check","OK")</f>
        <v>OK</v>
      </c>
      <c r="M246" s="1" t="str">
        <f>IF(tblOrders[[#This Row],[Delivery_Date]]&lt;tblOrders[[#This Row],[Order_Date]],"Error","OK")</f>
        <v>OK</v>
      </c>
    </row>
    <row r="247" spans="1:13" x14ac:dyDescent="0.25">
      <c r="A247" s="1">
        <v>246</v>
      </c>
      <c r="B247" s="1" t="s">
        <v>274</v>
      </c>
      <c r="C247">
        <v>69</v>
      </c>
      <c r="D247">
        <v>5</v>
      </c>
      <c r="E247" s="2">
        <v>44985</v>
      </c>
      <c r="F247" s="3">
        <v>0.97538194444444448</v>
      </c>
      <c r="G247" s="2">
        <v>44993</v>
      </c>
      <c r="H247" s="3">
        <v>2.6956018518518518E-2</v>
      </c>
      <c r="I247" s="1" t="s">
        <v>296</v>
      </c>
      <c r="J247" s="1" t="s">
        <v>25</v>
      </c>
      <c r="K247">
        <v>8</v>
      </c>
      <c r="L247" t="str">
        <f>IF(tblOrders[[#This Row],[Quantity]]&lt;=0,"Check","OK")</f>
        <v>OK</v>
      </c>
      <c r="M247" s="1" t="str">
        <f>IF(tblOrders[[#This Row],[Delivery_Date]]&lt;tblOrders[[#This Row],[Order_Date]],"Error","OK")</f>
        <v>OK</v>
      </c>
    </row>
    <row r="248" spans="1:13" x14ac:dyDescent="0.25">
      <c r="A248" s="1">
        <v>247</v>
      </c>
      <c r="B248" s="1" t="s">
        <v>437</v>
      </c>
      <c r="C248">
        <v>23</v>
      </c>
      <c r="D248">
        <v>4</v>
      </c>
      <c r="E248" s="2">
        <v>45210</v>
      </c>
      <c r="F248" s="3">
        <v>0.24916666666666668</v>
      </c>
      <c r="G248" s="2">
        <v>45215</v>
      </c>
      <c r="H248" s="3">
        <v>0.12414351851851851</v>
      </c>
      <c r="I248" s="1" t="s">
        <v>438</v>
      </c>
      <c r="J248" s="1" t="s">
        <v>30</v>
      </c>
      <c r="K248">
        <v>5</v>
      </c>
      <c r="L248" t="str">
        <f>IF(tblOrders[[#This Row],[Quantity]]&lt;=0,"Check","OK")</f>
        <v>OK</v>
      </c>
      <c r="M248" s="1" t="str">
        <f>IF(tblOrders[[#This Row],[Delivery_Date]]&lt;tblOrders[[#This Row],[Order_Date]],"Error","OK")</f>
        <v>OK</v>
      </c>
    </row>
    <row r="249" spans="1:13" x14ac:dyDescent="0.25">
      <c r="A249" s="1">
        <v>248</v>
      </c>
      <c r="B249" s="1" t="s">
        <v>182</v>
      </c>
      <c r="C249">
        <v>19</v>
      </c>
      <c r="D249">
        <v>5</v>
      </c>
      <c r="E249" s="2">
        <v>44965</v>
      </c>
      <c r="F249" s="3">
        <v>0.36366898148148147</v>
      </c>
      <c r="G249" s="2">
        <v>44967</v>
      </c>
      <c r="H249" s="3">
        <v>0.17709490740740741</v>
      </c>
      <c r="I249" s="1" t="s">
        <v>439</v>
      </c>
      <c r="J249" s="1" t="s">
        <v>12</v>
      </c>
      <c r="K249">
        <v>2</v>
      </c>
      <c r="L249" t="str">
        <f>IF(tblOrders[[#This Row],[Quantity]]&lt;=0,"Check","OK")</f>
        <v>OK</v>
      </c>
      <c r="M249" s="1" t="str">
        <f>IF(tblOrders[[#This Row],[Delivery_Date]]&lt;tblOrders[[#This Row],[Order_Date]],"Error","OK")</f>
        <v>OK</v>
      </c>
    </row>
    <row r="250" spans="1:13" x14ac:dyDescent="0.25">
      <c r="A250" s="1">
        <v>249</v>
      </c>
      <c r="B250" s="1" t="s">
        <v>440</v>
      </c>
      <c r="C250">
        <v>14</v>
      </c>
      <c r="D250">
        <v>2</v>
      </c>
      <c r="E250" s="2">
        <v>45179</v>
      </c>
      <c r="F250" s="3">
        <v>0.93212962962962964</v>
      </c>
      <c r="G250" s="2">
        <v>45188</v>
      </c>
      <c r="H250" s="3">
        <v>0.9705555555555555</v>
      </c>
      <c r="I250" s="1" t="s">
        <v>399</v>
      </c>
      <c r="J250" s="1" t="s">
        <v>36</v>
      </c>
      <c r="K250">
        <v>9</v>
      </c>
      <c r="L250" t="str">
        <f>IF(tblOrders[[#This Row],[Quantity]]&lt;=0,"Check","OK")</f>
        <v>OK</v>
      </c>
      <c r="M250" s="1" t="str">
        <f>IF(tblOrders[[#This Row],[Delivery_Date]]&lt;tblOrders[[#This Row],[Order_Date]],"Error","OK")</f>
        <v>OK</v>
      </c>
    </row>
    <row r="251" spans="1:13" x14ac:dyDescent="0.25">
      <c r="A251" s="1">
        <v>250</v>
      </c>
      <c r="B251" s="1" t="s">
        <v>441</v>
      </c>
      <c r="C251">
        <v>37</v>
      </c>
      <c r="D251">
        <v>5</v>
      </c>
      <c r="E251" s="2">
        <v>45238</v>
      </c>
      <c r="F251" s="3">
        <v>0.63017361111111114</v>
      </c>
      <c r="G251" s="2">
        <v>45239</v>
      </c>
      <c r="H251" s="3">
        <v>6.3958333333333339E-2</v>
      </c>
      <c r="I251" s="1" t="s">
        <v>442</v>
      </c>
      <c r="J251" s="1" t="s">
        <v>19</v>
      </c>
      <c r="K251">
        <v>1</v>
      </c>
      <c r="L251" t="str">
        <f>IF(tblOrders[[#This Row],[Quantity]]&lt;=0,"Check","OK")</f>
        <v>OK</v>
      </c>
      <c r="M251" s="1" t="str">
        <f>IF(tblOrders[[#This Row],[Delivery_Date]]&lt;tblOrders[[#This Row],[Order_Date]],"Error","OK")</f>
        <v>OK</v>
      </c>
    </row>
    <row r="252" spans="1:13" x14ac:dyDescent="0.25">
      <c r="A252" s="1">
        <v>251</v>
      </c>
      <c r="B252" s="1" t="s">
        <v>341</v>
      </c>
      <c r="C252">
        <v>7</v>
      </c>
      <c r="D252">
        <v>4</v>
      </c>
      <c r="E252" s="2">
        <v>44985</v>
      </c>
      <c r="F252" s="3">
        <v>2.2083333333333333E-2</v>
      </c>
      <c r="G252" s="2">
        <v>44987</v>
      </c>
      <c r="H252" s="3">
        <v>1.3703703703703704E-2</v>
      </c>
      <c r="I252" s="1" t="s">
        <v>443</v>
      </c>
      <c r="J252" s="1" t="s">
        <v>25</v>
      </c>
      <c r="K252">
        <v>2</v>
      </c>
      <c r="L252" t="str">
        <f>IF(tblOrders[[#This Row],[Quantity]]&lt;=0,"Check","OK")</f>
        <v>OK</v>
      </c>
      <c r="M252" s="1" t="str">
        <f>IF(tblOrders[[#This Row],[Delivery_Date]]&lt;tblOrders[[#This Row],[Order_Date]],"Error","OK")</f>
        <v>OK</v>
      </c>
    </row>
    <row r="253" spans="1:13" x14ac:dyDescent="0.25">
      <c r="A253" s="1">
        <v>252</v>
      </c>
      <c r="B253" s="1" t="s">
        <v>176</v>
      </c>
      <c r="C253">
        <v>69</v>
      </c>
      <c r="D253">
        <v>2</v>
      </c>
      <c r="E253" s="2">
        <v>44983</v>
      </c>
      <c r="F253" s="3">
        <v>0.23712962962962963</v>
      </c>
      <c r="G253" s="2">
        <v>44985</v>
      </c>
      <c r="H253" s="3">
        <v>0.34115740740740741</v>
      </c>
      <c r="I253" s="1" t="s">
        <v>219</v>
      </c>
      <c r="J253" s="1" t="s">
        <v>25</v>
      </c>
      <c r="K253">
        <v>2</v>
      </c>
      <c r="L253" t="str">
        <f>IF(tblOrders[[#This Row],[Quantity]]&lt;=0,"Check","OK")</f>
        <v>OK</v>
      </c>
      <c r="M253" s="1" t="str">
        <f>IF(tblOrders[[#This Row],[Delivery_Date]]&lt;tblOrders[[#This Row],[Order_Date]],"Error","OK")</f>
        <v>OK</v>
      </c>
    </row>
    <row r="254" spans="1:13" x14ac:dyDescent="0.25">
      <c r="A254" s="1">
        <v>253</v>
      </c>
      <c r="B254" s="1" t="s">
        <v>287</v>
      </c>
      <c r="C254">
        <v>68</v>
      </c>
      <c r="D254">
        <v>2</v>
      </c>
      <c r="E254" s="2">
        <v>44969</v>
      </c>
      <c r="F254" s="3">
        <v>0.60053240740740743</v>
      </c>
      <c r="G254" s="2">
        <v>44971</v>
      </c>
      <c r="H254" s="3">
        <v>0.23572916666666666</v>
      </c>
      <c r="I254" s="1" t="s">
        <v>444</v>
      </c>
      <c r="J254" s="1" t="s">
        <v>12</v>
      </c>
      <c r="K254">
        <v>2</v>
      </c>
      <c r="L254" t="str">
        <f>IF(tblOrders[[#This Row],[Quantity]]&lt;=0,"Check","OK")</f>
        <v>OK</v>
      </c>
      <c r="M254" s="1" t="str">
        <f>IF(tblOrders[[#This Row],[Delivery_Date]]&lt;tblOrders[[#This Row],[Order_Date]],"Error","OK")</f>
        <v>OK</v>
      </c>
    </row>
    <row r="255" spans="1:13" x14ac:dyDescent="0.25">
      <c r="A255" s="1">
        <v>254</v>
      </c>
      <c r="B255" s="1" t="s">
        <v>398</v>
      </c>
      <c r="C255">
        <v>1</v>
      </c>
      <c r="D255">
        <v>5</v>
      </c>
      <c r="E255" s="2">
        <v>45114</v>
      </c>
      <c r="F255" s="3">
        <v>6.7592592592592591E-3</v>
      </c>
      <c r="G255" s="2">
        <v>45122</v>
      </c>
      <c r="H255" s="3">
        <v>0.22765046296296296</v>
      </c>
      <c r="I255" s="1" t="s">
        <v>383</v>
      </c>
      <c r="J255" s="1" t="s">
        <v>8</v>
      </c>
      <c r="K255">
        <v>8</v>
      </c>
      <c r="L255" t="str">
        <f>IF(tblOrders[[#This Row],[Quantity]]&lt;=0,"Check","OK")</f>
        <v>OK</v>
      </c>
      <c r="M255" s="1" t="str">
        <f>IF(tblOrders[[#This Row],[Delivery_Date]]&lt;tblOrders[[#This Row],[Order_Date]],"Error","OK")</f>
        <v>OK</v>
      </c>
    </row>
    <row r="256" spans="1:13" x14ac:dyDescent="0.25">
      <c r="A256" s="1">
        <v>255</v>
      </c>
      <c r="B256" s="1" t="s">
        <v>361</v>
      </c>
      <c r="C256">
        <v>45</v>
      </c>
      <c r="D256">
        <v>2</v>
      </c>
      <c r="E256" s="2">
        <v>45287</v>
      </c>
      <c r="F256" s="3">
        <v>0.15457175925925926</v>
      </c>
      <c r="G256" s="2">
        <v>45297</v>
      </c>
      <c r="H256" s="3">
        <v>0.39113425925925926</v>
      </c>
      <c r="I256" s="1" t="s">
        <v>420</v>
      </c>
      <c r="J256" s="1" t="s">
        <v>36</v>
      </c>
      <c r="K256">
        <v>10</v>
      </c>
      <c r="L256" t="str">
        <f>IF(tblOrders[[#This Row],[Quantity]]&lt;=0,"Check","OK")</f>
        <v>OK</v>
      </c>
      <c r="M256" s="1" t="str">
        <f>IF(tblOrders[[#This Row],[Delivery_Date]]&lt;tblOrders[[#This Row],[Order_Date]],"Error","OK")</f>
        <v>OK</v>
      </c>
    </row>
    <row r="257" spans="1:13" x14ac:dyDescent="0.25">
      <c r="A257" s="1">
        <v>256</v>
      </c>
      <c r="B257" s="1" t="s">
        <v>185</v>
      </c>
      <c r="C257">
        <v>4</v>
      </c>
      <c r="D257">
        <v>5</v>
      </c>
      <c r="E257" s="2">
        <v>45236</v>
      </c>
      <c r="F257" s="3">
        <v>0.80126157407407406</v>
      </c>
      <c r="G257" s="2">
        <v>45244</v>
      </c>
      <c r="H257" s="3">
        <v>0.75410879629629635</v>
      </c>
      <c r="I257" s="1" t="s">
        <v>420</v>
      </c>
      <c r="J257" s="1" t="s">
        <v>19</v>
      </c>
      <c r="K257">
        <v>8</v>
      </c>
      <c r="L257" t="str">
        <f>IF(tblOrders[[#This Row],[Quantity]]&lt;=0,"Check","OK")</f>
        <v>OK</v>
      </c>
      <c r="M257" s="1" t="str">
        <f>IF(tblOrders[[#This Row],[Delivery_Date]]&lt;tblOrders[[#This Row],[Order_Date]],"Error","OK")</f>
        <v>OK</v>
      </c>
    </row>
    <row r="258" spans="1:13" x14ac:dyDescent="0.25">
      <c r="A258" s="1">
        <v>257</v>
      </c>
      <c r="B258" s="1" t="s">
        <v>261</v>
      </c>
      <c r="C258">
        <v>21</v>
      </c>
      <c r="D258">
        <v>3</v>
      </c>
      <c r="E258" s="2">
        <v>45160</v>
      </c>
      <c r="F258" s="3">
        <v>0.65484953703703708</v>
      </c>
      <c r="G258" s="2">
        <v>45162</v>
      </c>
      <c r="H258" s="3">
        <v>0.94420138888888894</v>
      </c>
      <c r="I258" s="1" t="s">
        <v>318</v>
      </c>
      <c r="J258" s="1" t="s">
        <v>33</v>
      </c>
      <c r="K258">
        <v>2</v>
      </c>
      <c r="L258" t="str">
        <f>IF(tblOrders[[#This Row],[Quantity]]&lt;=0,"Check","OK")</f>
        <v>OK</v>
      </c>
      <c r="M258" s="1" t="str">
        <f>IF(tblOrders[[#This Row],[Delivery_Date]]&lt;tblOrders[[#This Row],[Order_Date]],"Error","OK")</f>
        <v>OK</v>
      </c>
    </row>
    <row r="259" spans="1:13" x14ac:dyDescent="0.25">
      <c r="A259" s="1">
        <v>258</v>
      </c>
      <c r="B259" s="1" t="s">
        <v>182</v>
      </c>
      <c r="C259">
        <v>46</v>
      </c>
      <c r="D259">
        <v>5</v>
      </c>
      <c r="E259" s="2">
        <v>45032</v>
      </c>
      <c r="F259" s="3">
        <v>0.23656250000000001</v>
      </c>
      <c r="G259" s="2">
        <v>45036</v>
      </c>
      <c r="H259" s="3">
        <v>0.83717592592592593</v>
      </c>
      <c r="I259" s="1" t="s">
        <v>357</v>
      </c>
      <c r="J259" s="1" t="s">
        <v>30</v>
      </c>
      <c r="K259">
        <v>4</v>
      </c>
      <c r="L259" t="str">
        <f>IF(tblOrders[[#This Row],[Quantity]]&lt;=0,"Check","OK")</f>
        <v>OK</v>
      </c>
      <c r="M259" s="1" t="str">
        <f>IF(tblOrders[[#This Row],[Delivery_Date]]&lt;tblOrders[[#This Row],[Order_Date]],"Error","OK")</f>
        <v>OK</v>
      </c>
    </row>
    <row r="260" spans="1:13" x14ac:dyDescent="0.25">
      <c r="A260" s="1">
        <v>259</v>
      </c>
      <c r="B260" s="1" t="s">
        <v>405</v>
      </c>
      <c r="C260">
        <v>62</v>
      </c>
      <c r="D260">
        <v>1</v>
      </c>
      <c r="E260" s="2">
        <v>44990</v>
      </c>
      <c r="F260" s="3">
        <v>0.64020833333333338</v>
      </c>
      <c r="G260" s="2">
        <v>44995</v>
      </c>
      <c r="H260" s="3">
        <v>2.7893518518518519E-3</v>
      </c>
      <c r="I260" s="1" t="s">
        <v>177</v>
      </c>
      <c r="J260" s="1" t="s">
        <v>25</v>
      </c>
      <c r="K260">
        <v>5</v>
      </c>
      <c r="L260" t="str">
        <f>IF(tblOrders[[#This Row],[Quantity]]&lt;=0,"Check","OK")</f>
        <v>OK</v>
      </c>
      <c r="M260" s="1" t="str">
        <f>IF(tblOrders[[#This Row],[Delivery_Date]]&lt;tblOrders[[#This Row],[Order_Date]],"Error","OK")</f>
        <v>OK</v>
      </c>
    </row>
    <row r="261" spans="1:13" x14ac:dyDescent="0.25">
      <c r="A261" s="1">
        <v>260</v>
      </c>
      <c r="B261" s="1" t="s">
        <v>304</v>
      </c>
      <c r="C261">
        <v>69</v>
      </c>
      <c r="D261">
        <v>5</v>
      </c>
      <c r="E261" s="2">
        <v>44991</v>
      </c>
      <c r="F261" s="3">
        <v>0.54596064814814815</v>
      </c>
      <c r="G261" s="2">
        <v>45001</v>
      </c>
      <c r="H261" s="3">
        <v>0.93229166666666663</v>
      </c>
      <c r="I261" s="1" t="s">
        <v>344</v>
      </c>
      <c r="J261" s="1" t="s">
        <v>25</v>
      </c>
      <c r="K261">
        <v>10</v>
      </c>
      <c r="L261" t="str">
        <f>IF(tblOrders[[#This Row],[Quantity]]&lt;=0,"Check","OK")</f>
        <v>OK</v>
      </c>
      <c r="M261" s="1" t="str">
        <f>IF(tblOrders[[#This Row],[Delivery_Date]]&lt;tblOrders[[#This Row],[Order_Date]],"Error","OK")</f>
        <v>OK</v>
      </c>
    </row>
    <row r="262" spans="1:13" x14ac:dyDescent="0.25">
      <c r="A262" s="1">
        <v>261</v>
      </c>
      <c r="B262" s="1" t="s">
        <v>206</v>
      </c>
      <c r="C262">
        <v>37</v>
      </c>
      <c r="D262">
        <v>3</v>
      </c>
      <c r="E262" s="2">
        <v>45236</v>
      </c>
      <c r="F262" s="3">
        <v>0.58599537037037042</v>
      </c>
      <c r="G262" s="2">
        <v>45242</v>
      </c>
      <c r="H262" s="3">
        <v>0.84568287037037038</v>
      </c>
      <c r="I262" s="1" t="s">
        <v>336</v>
      </c>
      <c r="J262" s="1" t="s">
        <v>19</v>
      </c>
      <c r="K262">
        <v>6</v>
      </c>
      <c r="L262" t="str">
        <f>IF(tblOrders[[#This Row],[Quantity]]&lt;=0,"Check","OK")</f>
        <v>OK</v>
      </c>
      <c r="M262" s="1" t="str">
        <f>IF(tblOrders[[#This Row],[Delivery_Date]]&lt;tblOrders[[#This Row],[Order_Date]],"Error","OK")</f>
        <v>OK</v>
      </c>
    </row>
    <row r="263" spans="1:13" x14ac:dyDescent="0.25">
      <c r="A263" s="1">
        <v>262</v>
      </c>
      <c r="B263" s="1" t="s">
        <v>293</v>
      </c>
      <c r="C263">
        <v>49</v>
      </c>
      <c r="D263">
        <v>3</v>
      </c>
      <c r="E263" s="2">
        <v>44964</v>
      </c>
      <c r="F263" s="3">
        <v>0.33699074074074076</v>
      </c>
      <c r="G263" s="2">
        <v>44968</v>
      </c>
      <c r="H263" s="3">
        <v>4.6493055555555558E-2</v>
      </c>
      <c r="I263" s="1" t="s">
        <v>445</v>
      </c>
      <c r="J263" s="1" t="s">
        <v>12</v>
      </c>
      <c r="K263">
        <v>4</v>
      </c>
      <c r="L263" t="str">
        <f>IF(tblOrders[[#This Row],[Quantity]]&lt;=0,"Check","OK")</f>
        <v>OK</v>
      </c>
      <c r="M263" s="1" t="str">
        <f>IF(tblOrders[[#This Row],[Delivery_Date]]&lt;tblOrders[[#This Row],[Order_Date]],"Error","OK")</f>
        <v>OK</v>
      </c>
    </row>
    <row r="264" spans="1:13" x14ac:dyDescent="0.25">
      <c r="A264" s="1">
        <v>263</v>
      </c>
      <c r="B264" s="1" t="s">
        <v>313</v>
      </c>
      <c r="C264">
        <v>57</v>
      </c>
      <c r="D264">
        <v>4</v>
      </c>
      <c r="E264" s="2">
        <v>44997</v>
      </c>
      <c r="F264" s="3">
        <v>0.3994212962962963</v>
      </c>
      <c r="G264" s="2">
        <v>44998</v>
      </c>
      <c r="H264" s="3">
        <v>0.64028935185185187</v>
      </c>
      <c r="I264" s="1" t="s">
        <v>271</v>
      </c>
      <c r="J264" s="1" t="s">
        <v>36</v>
      </c>
      <c r="K264">
        <v>1</v>
      </c>
      <c r="L264" t="str">
        <f>IF(tblOrders[[#This Row],[Quantity]]&lt;=0,"Check","OK")</f>
        <v>OK</v>
      </c>
      <c r="M264" s="1" t="str">
        <f>IF(tblOrders[[#This Row],[Delivery_Date]]&lt;tblOrders[[#This Row],[Order_Date]],"Error","OK")</f>
        <v>OK</v>
      </c>
    </row>
    <row r="265" spans="1:13" x14ac:dyDescent="0.25">
      <c r="A265" s="1">
        <v>264</v>
      </c>
      <c r="B265" s="1" t="s">
        <v>287</v>
      </c>
      <c r="C265">
        <v>52</v>
      </c>
      <c r="D265">
        <v>3</v>
      </c>
      <c r="E265" s="2">
        <v>44966</v>
      </c>
      <c r="F265" s="3">
        <v>0.2328587962962963</v>
      </c>
      <c r="G265" s="2">
        <v>44975</v>
      </c>
      <c r="H265" s="3">
        <v>0.65539351851851857</v>
      </c>
      <c r="I265" s="1" t="s">
        <v>225</v>
      </c>
      <c r="J265" s="1" t="s">
        <v>12</v>
      </c>
      <c r="K265">
        <v>9</v>
      </c>
      <c r="L265" t="str">
        <f>IF(tblOrders[[#This Row],[Quantity]]&lt;=0,"Check","OK")</f>
        <v>OK</v>
      </c>
      <c r="M265" s="1" t="str">
        <f>IF(tblOrders[[#This Row],[Delivery_Date]]&lt;tblOrders[[#This Row],[Order_Date]],"Error","OK")</f>
        <v>OK</v>
      </c>
    </row>
    <row r="266" spans="1:13" x14ac:dyDescent="0.25">
      <c r="A266" s="1">
        <v>265</v>
      </c>
      <c r="B266" s="1" t="s">
        <v>299</v>
      </c>
      <c r="C266">
        <v>58</v>
      </c>
      <c r="D266">
        <v>1</v>
      </c>
      <c r="E266" s="2">
        <v>44967</v>
      </c>
      <c r="F266" s="3">
        <v>0.88701388888888888</v>
      </c>
      <c r="G266" s="2">
        <v>44975</v>
      </c>
      <c r="H266" s="3">
        <v>0.26982638888888888</v>
      </c>
      <c r="I266" s="1" t="s">
        <v>438</v>
      </c>
      <c r="J266" s="1" t="s">
        <v>12</v>
      </c>
      <c r="K266">
        <v>8</v>
      </c>
      <c r="L266" t="str">
        <f>IF(tblOrders[[#This Row],[Quantity]]&lt;=0,"Check","OK")</f>
        <v>OK</v>
      </c>
      <c r="M266" s="1" t="str">
        <f>IF(tblOrders[[#This Row],[Delivery_Date]]&lt;tblOrders[[#This Row],[Order_Date]],"Error","OK")</f>
        <v>OK</v>
      </c>
    </row>
    <row r="267" spans="1:13" x14ac:dyDescent="0.25">
      <c r="A267" s="1">
        <v>266</v>
      </c>
      <c r="B267" s="1" t="s">
        <v>293</v>
      </c>
      <c r="C267">
        <v>36</v>
      </c>
      <c r="D267">
        <v>1</v>
      </c>
      <c r="E267" s="2">
        <v>45058</v>
      </c>
      <c r="F267" s="3">
        <v>0.57425925925925925</v>
      </c>
      <c r="G267" s="2">
        <v>45059</v>
      </c>
      <c r="H267" s="3">
        <v>0.80565972222222226</v>
      </c>
      <c r="I267" s="1" t="s">
        <v>446</v>
      </c>
      <c r="J267" s="1" t="s">
        <v>36</v>
      </c>
      <c r="K267">
        <v>1</v>
      </c>
      <c r="L267" t="str">
        <f>IF(tblOrders[[#This Row],[Quantity]]&lt;=0,"Check","OK")</f>
        <v>OK</v>
      </c>
      <c r="M267" s="1" t="str">
        <f>IF(tblOrders[[#This Row],[Delivery_Date]]&lt;tblOrders[[#This Row],[Order_Date]],"Error","OK")</f>
        <v>OK</v>
      </c>
    </row>
    <row r="268" spans="1:13" x14ac:dyDescent="0.25">
      <c r="A268" s="1">
        <v>267</v>
      </c>
      <c r="B268" s="1" t="s">
        <v>224</v>
      </c>
      <c r="C268">
        <v>35</v>
      </c>
      <c r="D268">
        <v>3</v>
      </c>
      <c r="E268" s="2">
        <v>44989</v>
      </c>
      <c r="F268" s="3">
        <v>0.56871527777777775</v>
      </c>
      <c r="G268" s="2">
        <v>44997</v>
      </c>
      <c r="H268" s="3">
        <v>0.16111111111111112</v>
      </c>
      <c r="I268" s="1" t="s">
        <v>447</v>
      </c>
      <c r="J268" s="1" t="s">
        <v>25</v>
      </c>
      <c r="K268">
        <v>8</v>
      </c>
      <c r="L268" t="str">
        <f>IF(tblOrders[[#This Row],[Quantity]]&lt;=0,"Check","OK")</f>
        <v>OK</v>
      </c>
      <c r="M268" s="1" t="str">
        <f>IF(tblOrders[[#This Row],[Delivery_Date]]&lt;tblOrders[[#This Row],[Order_Date]],"Error","OK")</f>
        <v>OK</v>
      </c>
    </row>
    <row r="269" spans="1:13" x14ac:dyDescent="0.25">
      <c r="A269" s="1">
        <v>268</v>
      </c>
      <c r="B269" s="1" t="s">
        <v>291</v>
      </c>
      <c r="C269">
        <v>38</v>
      </c>
      <c r="D269">
        <v>1</v>
      </c>
      <c r="E269" s="2">
        <v>45152</v>
      </c>
      <c r="F269" s="3">
        <v>0.32359953703703703</v>
      </c>
      <c r="G269" s="2">
        <v>45161</v>
      </c>
      <c r="H269" s="3">
        <v>0.70381944444444444</v>
      </c>
      <c r="I269" s="1" t="s">
        <v>228</v>
      </c>
      <c r="J269" s="1" t="s">
        <v>36</v>
      </c>
      <c r="K269">
        <v>9</v>
      </c>
      <c r="L269" t="str">
        <f>IF(tblOrders[[#This Row],[Quantity]]&lt;=0,"Check","OK")</f>
        <v>OK</v>
      </c>
      <c r="M269" s="1" t="str">
        <f>IF(tblOrders[[#This Row],[Delivery_Date]]&lt;tblOrders[[#This Row],[Order_Date]],"Error","OK")</f>
        <v>OK</v>
      </c>
    </row>
    <row r="270" spans="1:13" x14ac:dyDescent="0.25">
      <c r="A270" s="1">
        <v>269</v>
      </c>
      <c r="B270" s="1" t="s">
        <v>188</v>
      </c>
      <c r="C270">
        <v>36</v>
      </c>
      <c r="D270">
        <v>1</v>
      </c>
      <c r="E270" s="2">
        <v>45224</v>
      </c>
      <c r="F270" s="3">
        <v>5.0138888888888886E-2</v>
      </c>
      <c r="G270" s="2">
        <v>45225</v>
      </c>
      <c r="H270" s="3">
        <v>0.74876157407407407</v>
      </c>
      <c r="I270" s="1" t="s">
        <v>448</v>
      </c>
      <c r="J270" s="1" t="s">
        <v>36</v>
      </c>
      <c r="K270">
        <v>1</v>
      </c>
      <c r="L270" t="str">
        <f>IF(tblOrders[[#This Row],[Quantity]]&lt;=0,"Check","OK")</f>
        <v>OK</v>
      </c>
      <c r="M270" s="1" t="str">
        <f>IF(tblOrders[[#This Row],[Delivery_Date]]&lt;tblOrders[[#This Row],[Order_Date]],"Error","OK")</f>
        <v>OK</v>
      </c>
    </row>
    <row r="271" spans="1:13" x14ac:dyDescent="0.25">
      <c r="A271" s="1">
        <v>270</v>
      </c>
      <c r="B271" s="1" t="s">
        <v>364</v>
      </c>
      <c r="C271">
        <v>21</v>
      </c>
      <c r="D271">
        <v>5</v>
      </c>
      <c r="E271" s="2">
        <v>45160</v>
      </c>
      <c r="F271" s="3">
        <v>0.84825231481481478</v>
      </c>
      <c r="G271" s="2">
        <v>45170</v>
      </c>
      <c r="H271" s="3">
        <v>0.66943287037037036</v>
      </c>
      <c r="I271" s="1" t="s">
        <v>298</v>
      </c>
      <c r="J271" s="1" t="s">
        <v>33</v>
      </c>
      <c r="K271">
        <v>10</v>
      </c>
      <c r="L271" t="str">
        <f>IF(tblOrders[[#This Row],[Quantity]]&lt;=0,"Check","OK")</f>
        <v>OK</v>
      </c>
      <c r="M271" s="1" t="str">
        <f>IF(tblOrders[[#This Row],[Delivery_Date]]&lt;tblOrders[[#This Row],[Order_Date]],"Error","OK")</f>
        <v>OK</v>
      </c>
    </row>
    <row r="272" spans="1:13" x14ac:dyDescent="0.25">
      <c r="A272" s="1">
        <v>271</v>
      </c>
      <c r="B272" s="1" t="s">
        <v>308</v>
      </c>
      <c r="C272">
        <v>36</v>
      </c>
      <c r="D272">
        <v>5</v>
      </c>
      <c r="E272" s="2">
        <v>45100</v>
      </c>
      <c r="F272" s="3">
        <v>0.76923611111111112</v>
      </c>
      <c r="G272" s="2">
        <v>45107</v>
      </c>
      <c r="H272" s="3">
        <v>0.76394675925925926</v>
      </c>
      <c r="I272" s="1" t="s">
        <v>449</v>
      </c>
      <c r="J272" s="1" t="s">
        <v>36</v>
      </c>
      <c r="K272">
        <v>7</v>
      </c>
      <c r="L272" t="str">
        <f>IF(tblOrders[[#This Row],[Quantity]]&lt;=0,"Check","OK")</f>
        <v>OK</v>
      </c>
      <c r="M272" s="1" t="str">
        <f>IF(tblOrders[[#This Row],[Delivery_Date]]&lt;tblOrders[[#This Row],[Order_Date]],"Error","OK")</f>
        <v>OK</v>
      </c>
    </row>
    <row r="273" spans="1:13" x14ac:dyDescent="0.25">
      <c r="A273" s="1">
        <v>272</v>
      </c>
      <c r="B273" s="1" t="s">
        <v>392</v>
      </c>
      <c r="C273">
        <v>12</v>
      </c>
      <c r="D273">
        <v>1</v>
      </c>
      <c r="E273" s="2">
        <v>45024</v>
      </c>
      <c r="F273" s="3">
        <v>0.40283564814814815</v>
      </c>
      <c r="G273" s="2">
        <v>45034</v>
      </c>
      <c r="H273" s="3">
        <v>0.84300925925925929</v>
      </c>
      <c r="I273" s="1" t="s">
        <v>356</v>
      </c>
      <c r="J273" s="1" t="s">
        <v>30</v>
      </c>
      <c r="K273">
        <v>10</v>
      </c>
      <c r="L273" t="str">
        <f>IF(tblOrders[[#This Row],[Quantity]]&lt;=0,"Check","OK")</f>
        <v>OK</v>
      </c>
      <c r="M273" s="1" t="str">
        <f>IF(tblOrders[[#This Row],[Delivery_Date]]&lt;tblOrders[[#This Row],[Order_Date]],"Error","OK")</f>
        <v>OK</v>
      </c>
    </row>
    <row r="274" spans="1:13" x14ac:dyDescent="0.25">
      <c r="A274" s="1">
        <v>273</v>
      </c>
      <c r="B274" s="1" t="s">
        <v>221</v>
      </c>
      <c r="C274">
        <v>10</v>
      </c>
      <c r="D274">
        <v>2</v>
      </c>
      <c r="E274" s="2">
        <v>45252</v>
      </c>
      <c r="F274" s="3">
        <v>0.67540509259259263</v>
      </c>
      <c r="G274" s="2">
        <v>45254</v>
      </c>
      <c r="H274" s="3">
        <v>7.8333333333333338E-2</v>
      </c>
      <c r="I274" s="1" t="s">
        <v>198</v>
      </c>
      <c r="J274" s="1" t="s">
        <v>36</v>
      </c>
      <c r="K274">
        <v>2</v>
      </c>
      <c r="L274" t="str">
        <f>IF(tblOrders[[#This Row],[Quantity]]&lt;=0,"Check","OK")</f>
        <v>OK</v>
      </c>
      <c r="M274" s="1" t="str">
        <f>IF(tblOrders[[#This Row],[Delivery_Date]]&lt;tblOrders[[#This Row],[Order_Date]],"Error","OK")</f>
        <v>OK</v>
      </c>
    </row>
    <row r="275" spans="1:13" x14ac:dyDescent="0.25">
      <c r="A275" s="1">
        <v>274</v>
      </c>
      <c r="B275" s="1" t="s">
        <v>174</v>
      </c>
      <c r="C275">
        <v>41</v>
      </c>
      <c r="D275">
        <v>5</v>
      </c>
      <c r="E275" s="2">
        <v>45232</v>
      </c>
      <c r="F275" s="3">
        <v>0.27628472222222222</v>
      </c>
      <c r="G275" s="2">
        <v>45242</v>
      </c>
      <c r="H275" s="3">
        <v>0.87055555555555553</v>
      </c>
      <c r="I275" s="1" t="s">
        <v>448</v>
      </c>
      <c r="J275" s="1" t="s">
        <v>19</v>
      </c>
      <c r="K275">
        <v>10</v>
      </c>
      <c r="L275" t="str">
        <f>IF(tblOrders[[#This Row],[Quantity]]&lt;=0,"Check","OK")</f>
        <v>OK</v>
      </c>
      <c r="M275" s="1" t="str">
        <f>IF(tblOrders[[#This Row],[Delivery_Date]]&lt;tblOrders[[#This Row],[Order_Date]],"Error","OK")</f>
        <v>OK</v>
      </c>
    </row>
    <row r="276" spans="1:13" x14ac:dyDescent="0.25">
      <c r="A276" s="1">
        <v>275</v>
      </c>
      <c r="B276" s="1" t="s">
        <v>283</v>
      </c>
      <c r="C276">
        <v>29</v>
      </c>
      <c r="D276">
        <v>1</v>
      </c>
      <c r="E276" s="2">
        <v>44987</v>
      </c>
      <c r="F276" s="3">
        <v>0.17623842592592592</v>
      </c>
      <c r="G276" s="2">
        <v>44990</v>
      </c>
      <c r="H276" s="3">
        <v>5.392361111111111E-2</v>
      </c>
      <c r="I276" s="1" t="s">
        <v>450</v>
      </c>
      <c r="J276" s="1" t="s">
        <v>25</v>
      </c>
      <c r="K276">
        <v>3</v>
      </c>
      <c r="L276" t="str">
        <f>IF(tblOrders[[#This Row],[Quantity]]&lt;=0,"Check","OK")</f>
        <v>OK</v>
      </c>
      <c r="M276" s="1" t="str">
        <f>IF(tblOrders[[#This Row],[Delivery_Date]]&lt;tblOrders[[#This Row],[Order_Date]],"Error","OK")</f>
        <v>OK</v>
      </c>
    </row>
    <row r="277" spans="1:13" x14ac:dyDescent="0.25">
      <c r="A277" s="1">
        <v>276</v>
      </c>
      <c r="B277" s="1" t="s">
        <v>185</v>
      </c>
      <c r="C277">
        <v>15</v>
      </c>
      <c r="D277">
        <v>2</v>
      </c>
      <c r="E277" s="2">
        <v>45074</v>
      </c>
      <c r="F277" s="3">
        <v>6.5347222222222223E-2</v>
      </c>
      <c r="G277" s="2">
        <v>45078</v>
      </c>
      <c r="H277" s="3">
        <v>0.29552083333333334</v>
      </c>
      <c r="I277" s="1" t="s">
        <v>451</v>
      </c>
      <c r="J277" s="1" t="s">
        <v>30</v>
      </c>
      <c r="K277">
        <v>4</v>
      </c>
      <c r="L277" t="str">
        <f>IF(tblOrders[[#This Row],[Quantity]]&lt;=0,"Check","OK")</f>
        <v>OK</v>
      </c>
      <c r="M277" s="1" t="str">
        <f>IF(tblOrders[[#This Row],[Delivery_Date]]&lt;tblOrders[[#This Row],[Order_Date]],"Error","OK")</f>
        <v>OK</v>
      </c>
    </row>
    <row r="278" spans="1:13" x14ac:dyDescent="0.25">
      <c r="A278" s="1">
        <v>277</v>
      </c>
      <c r="B278" s="1" t="s">
        <v>285</v>
      </c>
      <c r="C278">
        <v>34</v>
      </c>
      <c r="D278">
        <v>5</v>
      </c>
      <c r="E278" s="2">
        <v>45161</v>
      </c>
      <c r="F278" s="3">
        <v>0.8032407407407407</v>
      </c>
      <c r="G278" s="2">
        <v>45167</v>
      </c>
      <c r="H278" s="3">
        <v>0.65993055555555558</v>
      </c>
      <c r="I278" s="1" t="s">
        <v>383</v>
      </c>
      <c r="J278" s="1" t="s">
        <v>33</v>
      </c>
      <c r="K278">
        <v>6</v>
      </c>
      <c r="L278" t="str">
        <f>IF(tblOrders[[#This Row],[Quantity]]&lt;=0,"Check","OK")</f>
        <v>OK</v>
      </c>
      <c r="M278" s="1" t="str">
        <f>IF(tblOrders[[#This Row],[Delivery_Date]]&lt;tblOrders[[#This Row],[Order_Date]],"Error","OK")</f>
        <v>OK</v>
      </c>
    </row>
    <row r="279" spans="1:13" x14ac:dyDescent="0.25">
      <c r="A279" s="1">
        <v>278</v>
      </c>
      <c r="B279" s="1" t="s">
        <v>182</v>
      </c>
      <c r="C279">
        <v>1</v>
      </c>
      <c r="D279">
        <v>2</v>
      </c>
      <c r="E279" s="2">
        <v>45097</v>
      </c>
      <c r="F279" s="3">
        <v>0.98185185185185186</v>
      </c>
      <c r="G279" s="2">
        <v>45101</v>
      </c>
      <c r="H279" s="3">
        <v>0.23800925925925925</v>
      </c>
      <c r="I279" s="1" t="s">
        <v>452</v>
      </c>
      <c r="J279" s="1" t="s">
        <v>8</v>
      </c>
      <c r="K279">
        <v>4</v>
      </c>
      <c r="L279" t="str">
        <f>IF(tblOrders[[#This Row],[Quantity]]&lt;=0,"Check","OK")</f>
        <v>OK</v>
      </c>
      <c r="M279" s="1" t="str">
        <f>IF(tblOrders[[#This Row],[Delivery_Date]]&lt;tblOrders[[#This Row],[Order_Date]],"Error","OK")</f>
        <v>OK</v>
      </c>
    </row>
    <row r="280" spans="1:13" x14ac:dyDescent="0.25">
      <c r="A280" s="1">
        <v>279</v>
      </c>
      <c r="B280" s="1" t="s">
        <v>229</v>
      </c>
      <c r="C280">
        <v>23</v>
      </c>
      <c r="D280">
        <v>4</v>
      </c>
      <c r="E280" s="2">
        <v>45254</v>
      </c>
      <c r="F280" s="3">
        <v>0.38525462962962964</v>
      </c>
      <c r="G280" s="2">
        <v>45256</v>
      </c>
      <c r="H280" s="3">
        <v>0.74401620370370369</v>
      </c>
      <c r="I280" s="1" t="s">
        <v>318</v>
      </c>
      <c r="J280" s="1" t="s">
        <v>30</v>
      </c>
      <c r="K280">
        <v>2</v>
      </c>
      <c r="L280" t="str">
        <f>IF(tblOrders[[#This Row],[Quantity]]&lt;=0,"Check","OK")</f>
        <v>OK</v>
      </c>
      <c r="M280" s="1" t="str">
        <f>IF(tblOrders[[#This Row],[Delivery_Date]]&lt;tblOrders[[#This Row],[Order_Date]],"Error","OK")</f>
        <v>OK</v>
      </c>
    </row>
    <row r="281" spans="1:13" x14ac:dyDescent="0.25">
      <c r="A281" s="1">
        <v>280</v>
      </c>
      <c r="B281" s="1" t="s">
        <v>440</v>
      </c>
      <c r="C281">
        <v>19</v>
      </c>
      <c r="D281">
        <v>3</v>
      </c>
      <c r="E281" s="2">
        <v>44964</v>
      </c>
      <c r="F281" s="3">
        <v>0.73943287037037042</v>
      </c>
      <c r="G281" s="2">
        <v>44969</v>
      </c>
      <c r="H281" s="3">
        <v>0.68825231481481486</v>
      </c>
      <c r="I281" s="1" t="s">
        <v>360</v>
      </c>
      <c r="J281" s="1" t="s">
        <v>12</v>
      </c>
      <c r="K281">
        <v>5</v>
      </c>
      <c r="L281" t="str">
        <f>IF(tblOrders[[#This Row],[Quantity]]&lt;=0,"Check","OK")</f>
        <v>OK</v>
      </c>
      <c r="M281" s="1" t="str">
        <f>IF(tblOrders[[#This Row],[Delivery_Date]]&lt;tblOrders[[#This Row],[Order_Date]],"Error","OK")</f>
        <v>OK</v>
      </c>
    </row>
    <row r="282" spans="1:13" x14ac:dyDescent="0.25">
      <c r="A282" s="1">
        <v>281</v>
      </c>
      <c r="B282" s="1" t="s">
        <v>289</v>
      </c>
      <c r="C282">
        <v>15</v>
      </c>
      <c r="D282">
        <v>3</v>
      </c>
      <c r="E282" s="2">
        <v>45190</v>
      </c>
      <c r="F282" s="3">
        <v>0.85887731481481477</v>
      </c>
      <c r="G282" s="2">
        <v>45194</v>
      </c>
      <c r="H282" s="3">
        <v>0.43557870370370372</v>
      </c>
      <c r="I282" s="1" t="s">
        <v>384</v>
      </c>
      <c r="J282" s="1" t="s">
        <v>30</v>
      </c>
      <c r="K282">
        <v>4</v>
      </c>
      <c r="L282" t="str">
        <f>IF(tblOrders[[#This Row],[Quantity]]&lt;=0,"Check","OK")</f>
        <v>OK</v>
      </c>
      <c r="M282" s="1" t="str">
        <f>IF(tblOrders[[#This Row],[Delivery_Date]]&lt;tblOrders[[#This Row],[Order_Date]],"Error","OK")</f>
        <v>OK</v>
      </c>
    </row>
    <row r="283" spans="1:13" x14ac:dyDescent="0.25">
      <c r="A283" s="1">
        <v>282</v>
      </c>
      <c r="B283" s="1" t="s">
        <v>361</v>
      </c>
      <c r="C283">
        <v>41</v>
      </c>
      <c r="D283">
        <v>2</v>
      </c>
      <c r="E283" s="2">
        <v>45241</v>
      </c>
      <c r="F283" s="3">
        <v>0.43112268518518521</v>
      </c>
      <c r="G283" s="2">
        <v>45249</v>
      </c>
      <c r="H283" s="3">
        <v>0.92476851851851849</v>
      </c>
      <c r="I283" s="1" t="s">
        <v>360</v>
      </c>
      <c r="J283" s="1" t="s">
        <v>19</v>
      </c>
      <c r="K283">
        <v>8</v>
      </c>
      <c r="L283" t="str">
        <f>IF(tblOrders[[#This Row],[Quantity]]&lt;=0,"Check","OK")</f>
        <v>OK</v>
      </c>
      <c r="M283" s="1" t="str">
        <f>IF(tblOrders[[#This Row],[Delivery_Date]]&lt;tblOrders[[#This Row],[Order_Date]],"Error","OK")</f>
        <v>OK</v>
      </c>
    </row>
    <row r="284" spans="1:13" x14ac:dyDescent="0.25">
      <c r="A284" s="1">
        <v>283</v>
      </c>
      <c r="B284" s="1" t="s">
        <v>441</v>
      </c>
      <c r="C284">
        <v>23</v>
      </c>
      <c r="D284">
        <v>2</v>
      </c>
      <c r="E284" s="2">
        <v>45253</v>
      </c>
      <c r="F284" s="3">
        <v>0.11914351851851852</v>
      </c>
      <c r="G284" s="2">
        <v>45260</v>
      </c>
      <c r="H284" s="3">
        <v>0.76504629629629628</v>
      </c>
      <c r="I284" s="1" t="s">
        <v>453</v>
      </c>
      <c r="J284" s="1" t="s">
        <v>30</v>
      </c>
      <c r="K284">
        <v>7</v>
      </c>
      <c r="L284" t="str">
        <f>IF(tblOrders[[#This Row],[Quantity]]&lt;=0,"Check","OK")</f>
        <v>OK</v>
      </c>
      <c r="M284" s="1" t="str">
        <f>IF(tblOrders[[#This Row],[Delivery_Date]]&lt;tblOrders[[#This Row],[Order_Date]],"Error","OK")</f>
        <v>OK</v>
      </c>
    </row>
    <row r="285" spans="1:13" x14ac:dyDescent="0.25">
      <c r="A285" s="1">
        <v>284</v>
      </c>
      <c r="B285" s="1" t="s">
        <v>279</v>
      </c>
      <c r="C285">
        <v>17</v>
      </c>
      <c r="D285">
        <v>1</v>
      </c>
      <c r="E285" s="2">
        <v>45148</v>
      </c>
      <c r="F285" s="3">
        <v>0.67574074074074075</v>
      </c>
      <c r="G285" s="2">
        <v>45154</v>
      </c>
      <c r="H285" s="3">
        <v>0.47357638888888887</v>
      </c>
      <c r="I285" s="1" t="s">
        <v>300</v>
      </c>
      <c r="J285" s="1" t="s">
        <v>30</v>
      </c>
      <c r="K285">
        <v>6</v>
      </c>
      <c r="L285" t="str">
        <f>IF(tblOrders[[#This Row],[Quantity]]&lt;=0,"Check","OK")</f>
        <v>OK</v>
      </c>
      <c r="M285" s="1" t="str">
        <f>IF(tblOrders[[#This Row],[Delivery_Date]]&lt;tblOrders[[#This Row],[Order_Date]],"Error","OK")</f>
        <v>OK</v>
      </c>
    </row>
    <row r="286" spans="1:13" x14ac:dyDescent="0.25">
      <c r="A286" s="1">
        <v>285</v>
      </c>
      <c r="B286" s="1" t="s">
        <v>316</v>
      </c>
      <c r="C286">
        <v>7</v>
      </c>
      <c r="D286">
        <v>5</v>
      </c>
      <c r="E286" s="2">
        <v>44983</v>
      </c>
      <c r="F286" s="3">
        <v>0.72689814814814813</v>
      </c>
      <c r="G286" s="2">
        <v>44986</v>
      </c>
      <c r="H286" s="3">
        <v>0.53634259259259254</v>
      </c>
      <c r="I286" s="1" t="s">
        <v>445</v>
      </c>
      <c r="J286" s="1" t="s">
        <v>25</v>
      </c>
      <c r="K286">
        <v>3</v>
      </c>
      <c r="L286" t="str">
        <f>IF(tblOrders[[#This Row],[Quantity]]&lt;=0,"Check","OK")</f>
        <v>OK</v>
      </c>
      <c r="M286" s="1" t="str">
        <f>IF(tblOrders[[#This Row],[Delivery_Date]]&lt;tblOrders[[#This Row],[Order_Date]],"Error","OK")</f>
        <v>OK</v>
      </c>
    </row>
    <row r="287" spans="1:13" x14ac:dyDescent="0.25">
      <c r="A287" s="1">
        <v>286</v>
      </c>
      <c r="B287" s="1" t="s">
        <v>413</v>
      </c>
      <c r="C287">
        <v>50</v>
      </c>
      <c r="D287">
        <v>3</v>
      </c>
      <c r="E287" s="2">
        <v>44991</v>
      </c>
      <c r="F287" s="3">
        <v>0.83726851851851847</v>
      </c>
      <c r="G287" s="2">
        <v>44997</v>
      </c>
      <c r="H287" s="3">
        <v>0.11211805555555555</v>
      </c>
      <c r="I287" s="1" t="s">
        <v>454</v>
      </c>
      <c r="J287" s="1" t="s">
        <v>25</v>
      </c>
      <c r="K287">
        <v>6</v>
      </c>
      <c r="L287" t="str">
        <f>IF(tblOrders[[#This Row],[Quantity]]&lt;=0,"Check","OK")</f>
        <v>OK</v>
      </c>
      <c r="M287" s="1" t="str">
        <f>IF(tblOrders[[#This Row],[Delivery_Date]]&lt;tblOrders[[#This Row],[Order_Date]],"Error","OK")</f>
        <v>OK</v>
      </c>
    </row>
    <row r="288" spans="1:13" x14ac:dyDescent="0.25">
      <c r="A288" s="1">
        <v>287</v>
      </c>
      <c r="B288" s="1" t="s">
        <v>200</v>
      </c>
      <c r="C288">
        <v>7</v>
      </c>
      <c r="D288">
        <v>5</v>
      </c>
      <c r="E288" s="2">
        <v>44988</v>
      </c>
      <c r="F288" s="3">
        <v>0.20421296296296296</v>
      </c>
      <c r="G288" s="2">
        <v>44991</v>
      </c>
      <c r="H288" s="3">
        <v>0.65274305555555556</v>
      </c>
      <c r="I288" s="1" t="s">
        <v>455</v>
      </c>
      <c r="J288" s="1" t="s">
        <v>25</v>
      </c>
      <c r="K288">
        <v>3</v>
      </c>
      <c r="L288" t="str">
        <f>IF(tblOrders[[#This Row],[Quantity]]&lt;=0,"Check","OK")</f>
        <v>OK</v>
      </c>
      <c r="M288" s="1" t="str">
        <f>IF(tblOrders[[#This Row],[Delivery_Date]]&lt;tblOrders[[#This Row],[Order_Date]],"Error","OK")</f>
        <v>OK</v>
      </c>
    </row>
    <row r="289" spans="1:13" x14ac:dyDescent="0.25">
      <c r="A289" s="1">
        <v>288</v>
      </c>
      <c r="B289" s="1" t="s">
        <v>329</v>
      </c>
      <c r="C289">
        <v>34</v>
      </c>
      <c r="D289">
        <v>2</v>
      </c>
      <c r="E289" s="2">
        <v>45159</v>
      </c>
      <c r="F289" s="3">
        <v>0.66594907407407411</v>
      </c>
      <c r="G289" s="2">
        <v>45161</v>
      </c>
      <c r="H289" s="3">
        <v>0.86291666666666667</v>
      </c>
      <c r="I289" s="1" t="s">
        <v>452</v>
      </c>
      <c r="J289" s="1" t="s">
        <v>33</v>
      </c>
      <c r="K289">
        <v>2</v>
      </c>
      <c r="L289" t="str">
        <f>IF(tblOrders[[#This Row],[Quantity]]&lt;=0,"Check","OK")</f>
        <v>OK</v>
      </c>
      <c r="M289" s="1" t="str">
        <f>IF(tblOrders[[#This Row],[Delivery_Date]]&lt;tblOrders[[#This Row],[Order_Date]],"Error","OK")</f>
        <v>OK</v>
      </c>
    </row>
    <row r="290" spans="1:13" x14ac:dyDescent="0.25">
      <c r="A290" s="1">
        <v>289</v>
      </c>
      <c r="B290" s="1" t="s">
        <v>208</v>
      </c>
      <c r="C290">
        <v>30</v>
      </c>
      <c r="D290">
        <v>4</v>
      </c>
      <c r="E290" s="2">
        <v>45167</v>
      </c>
      <c r="F290" s="3">
        <v>0.9861226851851852</v>
      </c>
      <c r="G290" s="2">
        <v>45175</v>
      </c>
      <c r="H290" s="3">
        <v>0.11812499999999999</v>
      </c>
      <c r="I290" s="1" t="s">
        <v>456</v>
      </c>
      <c r="J290" s="1" t="s">
        <v>30</v>
      </c>
      <c r="K290">
        <v>8</v>
      </c>
      <c r="L290" t="str">
        <f>IF(tblOrders[[#This Row],[Quantity]]&lt;=0,"Check","OK")</f>
        <v>OK</v>
      </c>
      <c r="M290" s="1" t="str">
        <f>IF(tblOrders[[#This Row],[Delivery_Date]]&lt;tblOrders[[#This Row],[Order_Date]],"Error","OK")</f>
        <v>OK</v>
      </c>
    </row>
    <row r="291" spans="1:13" x14ac:dyDescent="0.25">
      <c r="A291" s="1">
        <v>290</v>
      </c>
      <c r="B291" s="1" t="s">
        <v>424</v>
      </c>
      <c r="C291">
        <v>69</v>
      </c>
      <c r="D291">
        <v>3</v>
      </c>
      <c r="E291" s="2">
        <v>44991</v>
      </c>
      <c r="F291" s="3">
        <v>0.43562499999999998</v>
      </c>
      <c r="G291" s="2">
        <v>44995</v>
      </c>
      <c r="H291" s="3">
        <v>0.6066435185185185</v>
      </c>
      <c r="I291" s="1" t="s">
        <v>439</v>
      </c>
      <c r="J291" s="1" t="s">
        <v>25</v>
      </c>
      <c r="K291">
        <v>4</v>
      </c>
      <c r="L291" t="str">
        <f>IF(tblOrders[[#This Row],[Quantity]]&lt;=0,"Check","OK")</f>
        <v>OK</v>
      </c>
      <c r="M291" s="1" t="str">
        <f>IF(tblOrders[[#This Row],[Delivery_Date]]&lt;tblOrders[[#This Row],[Order_Date]],"Error","OK")</f>
        <v>OK</v>
      </c>
    </row>
    <row r="292" spans="1:13" x14ac:dyDescent="0.25">
      <c r="A292" s="1">
        <v>291</v>
      </c>
      <c r="B292" s="1" t="s">
        <v>197</v>
      </c>
      <c r="C292">
        <v>49</v>
      </c>
      <c r="D292">
        <v>2</v>
      </c>
      <c r="E292" s="2">
        <v>44967</v>
      </c>
      <c r="F292" s="3">
        <v>8.7962962962962968E-3</v>
      </c>
      <c r="G292" s="2">
        <v>44968</v>
      </c>
      <c r="H292" s="3">
        <v>0.95336805555555559</v>
      </c>
      <c r="I292" s="1" t="s">
        <v>428</v>
      </c>
      <c r="J292" s="1" t="s">
        <v>12</v>
      </c>
      <c r="K292">
        <v>1</v>
      </c>
      <c r="L292" t="str">
        <f>IF(tblOrders[[#This Row],[Quantity]]&lt;=0,"Check","OK")</f>
        <v>OK</v>
      </c>
      <c r="M292" s="1" t="str">
        <f>IF(tblOrders[[#This Row],[Delivery_Date]]&lt;tblOrders[[#This Row],[Order_Date]],"Error","OK")</f>
        <v>OK</v>
      </c>
    </row>
    <row r="293" spans="1:13" x14ac:dyDescent="0.25">
      <c r="A293" s="1">
        <v>292</v>
      </c>
      <c r="B293" s="1" t="s">
        <v>291</v>
      </c>
      <c r="C293">
        <v>54</v>
      </c>
      <c r="D293">
        <v>1</v>
      </c>
      <c r="E293" s="2">
        <v>45196</v>
      </c>
      <c r="F293" s="3">
        <v>0.94693287037037033</v>
      </c>
      <c r="G293" s="2">
        <v>45202</v>
      </c>
      <c r="H293" s="3">
        <v>7.2766203703703708E-2</v>
      </c>
      <c r="I293" s="1" t="s">
        <v>327</v>
      </c>
      <c r="J293" s="1" t="s">
        <v>30</v>
      </c>
      <c r="K293">
        <v>6</v>
      </c>
      <c r="L293" t="str">
        <f>IF(tblOrders[[#This Row],[Quantity]]&lt;=0,"Check","OK")</f>
        <v>OK</v>
      </c>
      <c r="M293" s="1" t="str">
        <f>IF(tblOrders[[#This Row],[Delivery_Date]]&lt;tblOrders[[#This Row],[Order_Date]],"Error","OK")</f>
        <v>OK</v>
      </c>
    </row>
    <row r="294" spans="1:13" x14ac:dyDescent="0.25">
      <c r="A294" s="1">
        <v>293</v>
      </c>
      <c r="B294" s="1" t="s">
        <v>440</v>
      </c>
      <c r="C294">
        <v>1</v>
      </c>
      <c r="D294">
        <v>4</v>
      </c>
      <c r="E294" s="2">
        <v>45173</v>
      </c>
      <c r="F294" s="3">
        <v>0.16929398148148148</v>
      </c>
      <c r="G294" s="2">
        <v>45178</v>
      </c>
      <c r="H294" s="3">
        <v>0.75736111111111115</v>
      </c>
      <c r="I294" s="1" t="s">
        <v>457</v>
      </c>
      <c r="J294" s="1" t="s">
        <v>8</v>
      </c>
      <c r="K294">
        <v>5</v>
      </c>
      <c r="L294" t="str">
        <f>IF(tblOrders[[#This Row],[Quantity]]&lt;=0,"Check","OK")</f>
        <v>OK</v>
      </c>
      <c r="M294" s="1" t="str">
        <f>IF(tblOrders[[#This Row],[Delivery_Date]]&lt;tblOrders[[#This Row],[Order_Date]],"Error","OK")</f>
        <v>OK</v>
      </c>
    </row>
    <row r="295" spans="1:13" x14ac:dyDescent="0.25">
      <c r="A295" s="1">
        <v>294</v>
      </c>
      <c r="B295" s="1" t="s">
        <v>221</v>
      </c>
      <c r="C295">
        <v>26</v>
      </c>
      <c r="D295">
        <v>5</v>
      </c>
      <c r="E295" s="2">
        <v>44986</v>
      </c>
      <c r="F295" s="3">
        <v>0.87798611111111113</v>
      </c>
      <c r="G295" s="2">
        <v>44988</v>
      </c>
      <c r="H295" s="3">
        <v>0.82284722222222217</v>
      </c>
      <c r="I295" s="1" t="s">
        <v>458</v>
      </c>
      <c r="J295" s="1" t="s">
        <v>25</v>
      </c>
      <c r="K295">
        <v>2</v>
      </c>
      <c r="L295" t="str">
        <f>IF(tblOrders[[#This Row],[Quantity]]&lt;=0,"Check","OK")</f>
        <v>OK</v>
      </c>
      <c r="M295" s="1" t="str">
        <f>IF(tblOrders[[#This Row],[Delivery_Date]]&lt;tblOrders[[#This Row],[Order_Date]],"Error","OK")</f>
        <v>OK</v>
      </c>
    </row>
    <row r="296" spans="1:13" x14ac:dyDescent="0.25">
      <c r="A296" s="1">
        <v>295</v>
      </c>
      <c r="B296" s="1" t="s">
        <v>424</v>
      </c>
      <c r="C296">
        <v>18</v>
      </c>
      <c r="D296">
        <v>1</v>
      </c>
      <c r="E296" s="2">
        <v>45075</v>
      </c>
      <c r="F296" s="3">
        <v>0.66260416666666666</v>
      </c>
      <c r="G296" s="2">
        <v>45079</v>
      </c>
      <c r="H296" s="3">
        <v>0.42131944444444447</v>
      </c>
      <c r="I296" s="1" t="s">
        <v>459</v>
      </c>
      <c r="J296" s="1" t="s">
        <v>36</v>
      </c>
      <c r="K296">
        <v>4</v>
      </c>
      <c r="L296" t="str">
        <f>IF(tblOrders[[#This Row],[Quantity]]&lt;=0,"Check","OK")</f>
        <v>OK</v>
      </c>
      <c r="M296" s="1" t="str">
        <f>IF(tblOrders[[#This Row],[Delivery_Date]]&lt;tblOrders[[#This Row],[Order_Date]],"Error","OK")</f>
        <v>OK</v>
      </c>
    </row>
    <row r="297" spans="1:13" x14ac:dyDescent="0.25">
      <c r="A297" s="1">
        <v>296</v>
      </c>
      <c r="B297" s="1" t="s">
        <v>313</v>
      </c>
      <c r="C297">
        <v>70</v>
      </c>
      <c r="D297">
        <v>5</v>
      </c>
      <c r="E297" s="2">
        <v>45017</v>
      </c>
      <c r="F297" s="3">
        <v>0.49668981481481483</v>
      </c>
      <c r="G297" s="2">
        <v>45027</v>
      </c>
      <c r="H297" s="3">
        <v>0.81511574074074078</v>
      </c>
      <c r="I297" s="1" t="s">
        <v>445</v>
      </c>
      <c r="J297" s="1" t="s">
        <v>36</v>
      </c>
      <c r="K297">
        <v>10</v>
      </c>
      <c r="L297" t="str">
        <f>IF(tblOrders[[#This Row],[Quantity]]&lt;=0,"Check","OK")</f>
        <v>OK</v>
      </c>
      <c r="M297" s="1" t="str">
        <f>IF(tblOrders[[#This Row],[Delivery_Date]]&lt;tblOrders[[#This Row],[Order_Date]],"Error","OK")</f>
        <v>OK</v>
      </c>
    </row>
    <row r="298" spans="1:13" x14ac:dyDescent="0.25">
      <c r="A298" s="1">
        <v>297</v>
      </c>
      <c r="B298" s="1" t="s">
        <v>221</v>
      </c>
      <c r="C298">
        <v>13</v>
      </c>
      <c r="D298">
        <v>3</v>
      </c>
      <c r="E298" s="2">
        <v>44985</v>
      </c>
      <c r="F298" s="3">
        <v>0.84408564814814813</v>
      </c>
      <c r="G298" s="2">
        <v>44990</v>
      </c>
      <c r="H298" s="3">
        <v>0.8697569444444444</v>
      </c>
      <c r="I298" s="1" t="s">
        <v>397</v>
      </c>
      <c r="J298" s="1" t="s">
        <v>25</v>
      </c>
      <c r="K298">
        <v>5</v>
      </c>
      <c r="L298" t="str">
        <f>IF(tblOrders[[#This Row],[Quantity]]&lt;=0,"Check","OK")</f>
        <v>OK</v>
      </c>
      <c r="M298" s="1" t="str">
        <f>IF(tblOrders[[#This Row],[Delivery_Date]]&lt;tblOrders[[#This Row],[Order_Date]],"Error","OK")</f>
        <v>OK</v>
      </c>
    </row>
    <row r="299" spans="1:13" x14ac:dyDescent="0.25">
      <c r="A299" s="1">
        <v>298</v>
      </c>
      <c r="B299" s="1" t="s">
        <v>279</v>
      </c>
      <c r="C299">
        <v>3</v>
      </c>
      <c r="D299">
        <v>1</v>
      </c>
      <c r="E299" s="2">
        <v>44968</v>
      </c>
      <c r="F299" s="3">
        <v>0.96283564814814815</v>
      </c>
      <c r="G299" s="2">
        <v>44969</v>
      </c>
      <c r="H299" s="3">
        <v>9.5636574074074068E-2</v>
      </c>
      <c r="I299" s="1" t="s">
        <v>386</v>
      </c>
      <c r="J299" s="1" t="s">
        <v>12</v>
      </c>
      <c r="K299">
        <v>1</v>
      </c>
      <c r="L299" t="str">
        <f>IF(tblOrders[[#This Row],[Quantity]]&lt;=0,"Check","OK")</f>
        <v>OK</v>
      </c>
      <c r="M299" s="1" t="str">
        <f>IF(tblOrders[[#This Row],[Delivery_Date]]&lt;tblOrders[[#This Row],[Order_Date]],"Error","OK")</f>
        <v>OK</v>
      </c>
    </row>
    <row r="300" spans="1:13" x14ac:dyDescent="0.25">
      <c r="A300" s="1">
        <v>299</v>
      </c>
      <c r="B300" s="1" t="s">
        <v>210</v>
      </c>
      <c r="C300">
        <v>8</v>
      </c>
      <c r="D300">
        <v>5</v>
      </c>
      <c r="E300" s="2">
        <v>45238</v>
      </c>
      <c r="F300" s="3">
        <v>0.49399305555555556</v>
      </c>
      <c r="G300" s="2">
        <v>45247</v>
      </c>
      <c r="H300" s="3">
        <v>0.55406250000000001</v>
      </c>
      <c r="I300" s="1" t="s">
        <v>231</v>
      </c>
      <c r="J300" s="1" t="s">
        <v>30</v>
      </c>
      <c r="K300">
        <v>9</v>
      </c>
      <c r="L300" t="str">
        <f>IF(tblOrders[[#This Row],[Quantity]]&lt;=0,"Check","OK")</f>
        <v>OK</v>
      </c>
      <c r="M300" s="1" t="str">
        <f>IF(tblOrders[[#This Row],[Delivery_Date]]&lt;tblOrders[[#This Row],[Order_Date]],"Error","OK")</f>
        <v>OK</v>
      </c>
    </row>
    <row r="301" spans="1:13" x14ac:dyDescent="0.25">
      <c r="A301" s="1">
        <v>300</v>
      </c>
      <c r="B301" s="1" t="s">
        <v>295</v>
      </c>
      <c r="C301">
        <v>22</v>
      </c>
      <c r="D301">
        <v>1</v>
      </c>
      <c r="E301" s="2">
        <v>45167</v>
      </c>
      <c r="F301" s="3">
        <v>0.80561342592592589</v>
      </c>
      <c r="G301" s="2">
        <v>45177</v>
      </c>
      <c r="H301" s="3">
        <v>0.76754629629629634</v>
      </c>
      <c r="I301" s="1" t="s">
        <v>460</v>
      </c>
      <c r="J301" s="1" t="s">
        <v>8</v>
      </c>
      <c r="K301">
        <v>10</v>
      </c>
      <c r="L301" t="str">
        <f>IF(tblOrders[[#This Row],[Quantity]]&lt;=0,"Check","OK")</f>
        <v>OK</v>
      </c>
      <c r="M301" s="1" t="str">
        <f>IF(tblOrders[[#This Row],[Delivery_Date]]&lt;tblOrders[[#This Row],[Order_Date]],"Error","OK")</f>
        <v>OK</v>
      </c>
    </row>
    <row r="302" spans="1:13" x14ac:dyDescent="0.25">
      <c r="A302" s="1">
        <v>301</v>
      </c>
      <c r="B302" s="1" t="s">
        <v>343</v>
      </c>
      <c r="C302">
        <v>6</v>
      </c>
      <c r="D302">
        <v>3</v>
      </c>
      <c r="E302" s="2">
        <v>44984</v>
      </c>
      <c r="F302" s="3">
        <v>0.2669212962962963</v>
      </c>
      <c r="G302" s="2">
        <v>44989</v>
      </c>
      <c r="H302" s="3">
        <v>0.70296296296296301</v>
      </c>
      <c r="I302" s="1" t="s">
        <v>196</v>
      </c>
      <c r="J302" s="1" t="s">
        <v>25</v>
      </c>
      <c r="K302">
        <v>5</v>
      </c>
      <c r="L302" t="str">
        <f>IF(tblOrders[[#This Row],[Quantity]]&lt;=0,"Check","OK")</f>
        <v>OK</v>
      </c>
      <c r="M302" s="1" t="str">
        <f>IF(tblOrders[[#This Row],[Delivery_Date]]&lt;tblOrders[[#This Row],[Order_Date]],"Error","OK")</f>
        <v>OK</v>
      </c>
    </row>
    <row r="303" spans="1:13" x14ac:dyDescent="0.25">
      <c r="A303" s="1">
        <v>302</v>
      </c>
      <c r="B303" s="1" t="s">
        <v>222</v>
      </c>
      <c r="C303">
        <v>25</v>
      </c>
      <c r="D303">
        <v>4</v>
      </c>
      <c r="E303" s="2">
        <v>45223</v>
      </c>
      <c r="F303" s="3">
        <v>0.57853009259259258</v>
      </c>
      <c r="G303" s="2">
        <v>45224</v>
      </c>
      <c r="H303" s="3">
        <v>0.71765046296296298</v>
      </c>
      <c r="I303" s="1" t="s">
        <v>342</v>
      </c>
      <c r="J303" s="1" t="s">
        <v>30</v>
      </c>
      <c r="K303">
        <v>1</v>
      </c>
      <c r="L303" t="str">
        <f>IF(tblOrders[[#This Row],[Quantity]]&lt;=0,"Check","OK")</f>
        <v>OK</v>
      </c>
      <c r="M303" s="1" t="str">
        <f>IF(tblOrders[[#This Row],[Delivery_Date]]&lt;tblOrders[[#This Row],[Order_Date]],"Error","OK")</f>
        <v>OK</v>
      </c>
    </row>
    <row r="304" spans="1:13" x14ac:dyDescent="0.25">
      <c r="A304" s="1">
        <v>303</v>
      </c>
      <c r="B304" s="1" t="s">
        <v>341</v>
      </c>
      <c r="C304">
        <v>14</v>
      </c>
      <c r="D304">
        <v>1</v>
      </c>
      <c r="E304" s="2">
        <v>45250</v>
      </c>
      <c r="F304" s="3">
        <v>0.27982638888888889</v>
      </c>
      <c r="G304" s="2">
        <v>45259</v>
      </c>
      <c r="H304" s="3">
        <v>0.29724537037037035</v>
      </c>
      <c r="I304" s="1" t="s">
        <v>309</v>
      </c>
      <c r="J304" s="1" t="s">
        <v>36</v>
      </c>
      <c r="K304">
        <v>9</v>
      </c>
      <c r="L304" t="str">
        <f>IF(tblOrders[[#This Row],[Quantity]]&lt;=0,"Check","OK")</f>
        <v>OK</v>
      </c>
      <c r="M304" s="1" t="str">
        <f>IF(tblOrders[[#This Row],[Delivery_Date]]&lt;tblOrders[[#This Row],[Order_Date]],"Error","OK")</f>
        <v>OK</v>
      </c>
    </row>
    <row r="305" spans="1:13" x14ac:dyDescent="0.25">
      <c r="A305" s="1">
        <v>304</v>
      </c>
      <c r="B305" s="1" t="s">
        <v>215</v>
      </c>
      <c r="C305">
        <v>67</v>
      </c>
      <c r="D305">
        <v>3</v>
      </c>
      <c r="E305" s="2">
        <v>44997</v>
      </c>
      <c r="F305" s="3">
        <v>0.39199074074074075</v>
      </c>
      <c r="G305" s="2">
        <v>45004</v>
      </c>
      <c r="H305" s="3">
        <v>0.96501157407407412</v>
      </c>
      <c r="I305" s="1" t="s">
        <v>461</v>
      </c>
      <c r="J305" s="1" t="s">
        <v>30</v>
      </c>
      <c r="K305">
        <v>7</v>
      </c>
      <c r="L305" t="str">
        <f>IF(tblOrders[[#This Row],[Quantity]]&lt;=0,"Check","OK")</f>
        <v>OK</v>
      </c>
      <c r="M305" s="1" t="str">
        <f>IF(tblOrders[[#This Row],[Delivery_Date]]&lt;tblOrders[[#This Row],[Order_Date]],"Error","OK")</f>
        <v>OK</v>
      </c>
    </row>
    <row r="306" spans="1:13" x14ac:dyDescent="0.25">
      <c r="A306" s="1">
        <v>305</v>
      </c>
      <c r="B306" s="1" t="s">
        <v>440</v>
      </c>
      <c r="C306">
        <v>26</v>
      </c>
      <c r="D306">
        <v>1</v>
      </c>
      <c r="E306" s="2">
        <v>44987</v>
      </c>
      <c r="F306" s="3">
        <v>7.4537037037037037E-3</v>
      </c>
      <c r="G306" s="2">
        <v>44995</v>
      </c>
      <c r="H306" s="3">
        <v>0.58408564814814812</v>
      </c>
      <c r="I306" s="1" t="s">
        <v>375</v>
      </c>
      <c r="J306" s="1" t="s">
        <v>25</v>
      </c>
      <c r="K306">
        <v>8</v>
      </c>
      <c r="L306" t="str">
        <f>IF(tblOrders[[#This Row],[Quantity]]&lt;=0,"Check","OK")</f>
        <v>OK</v>
      </c>
      <c r="M306" s="1" t="str">
        <f>IF(tblOrders[[#This Row],[Delivery_Date]]&lt;tblOrders[[#This Row],[Order_Date]],"Error","OK")</f>
        <v>OK</v>
      </c>
    </row>
    <row r="307" spans="1:13" x14ac:dyDescent="0.25">
      <c r="A307" s="1">
        <v>306</v>
      </c>
      <c r="B307" s="1" t="s">
        <v>382</v>
      </c>
      <c r="C307">
        <v>49</v>
      </c>
      <c r="D307">
        <v>4</v>
      </c>
      <c r="E307" s="2">
        <v>44961</v>
      </c>
      <c r="F307" s="3">
        <v>0.48322916666666665</v>
      </c>
      <c r="G307" s="2">
        <v>44969</v>
      </c>
      <c r="H307" s="3">
        <v>0.27638888888888891</v>
      </c>
      <c r="I307" s="1" t="s">
        <v>462</v>
      </c>
      <c r="J307" s="1" t="s">
        <v>12</v>
      </c>
      <c r="K307">
        <v>8</v>
      </c>
      <c r="L307" t="str">
        <f>IF(tblOrders[[#This Row],[Quantity]]&lt;=0,"Check","OK")</f>
        <v>OK</v>
      </c>
      <c r="M307" s="1" t="str">
        <f>IF(tblOrders[[#This Row],[Delivery_Date]]&lt;tblOrders[[#This Row],[Order_Date]],"Error","OK")</f>
        <v>OK</v>
      </c>
    </row>
    <row r="308" spans="1:13" x14ac:dyDescent="0.25">
      <c r="A308" s="1">
        <v>307</v>
      </c>
      <c r="B308" s="1" t="s">
        <v>190</v>
      </c>
      <c r="C308">
        <v>3</v>
      </c>
      <c r="D308">
        <v>1</v>
      </c>
      <c r="E308" s="2">
        <v>44961</v>
      </c>
      <c r="F308" s="3">
        <v>0.90131944444444445</v>
      </c>
      <c r="G308" s="2">
        <v>44965</v>
      </c>
      <c r="H308" s="3">
        <v>0.47789351851851852</v>
      </c>
      <c r="I308" s="1" t="s">
        <v>412</v>
      </c>
      <c r="J308" s="1" t="s">
        <v>12</v>
      </c>
      <c r="K308">
        <v>4</v>
      </c>
      <c r="L308" t="str">
        <f>IF(tblOrders[[#This Row],[Quantity]]&lt;=0,"Check","OK")</f>
        <v>OK</v>
      </c>
      <c r="M308" s="1" t="str">
        <f>IF(tblOrders[[#This Row],[Delivery_Date]]&lt;tblOrders[[#This Row],[Order_Date]],"Error","OK")</f>
        <v>OK</v>
      </c>
    </row>
    <row r="309" spans="1:13" x14ac:dyDescent="0.25">
      <c r="A309" s="1">
        <v>308</v>
      </c>
      <c r="B309" s="1" t="s">
        <v>463</v>
      </c>
      <c r="C309">
        <v>57</v>
      </c>
      <c r="D309">
        <v>1</v>
      </c>
      <c r="E309" s="2">
        <v>44994</v>
      </c>
      <c r="F309" s="3">
        <v>0.32929398148148148</v>
      </c>
      <c r="G309" s="2">
        <v>44997</v>
      </c>
      <c r="H309" s="3">
        <v>0.50791666666666668</v>
      </c>
      <c r="I309" s="1" t="s">
        <v>241</v>
      </c>
      <c r="J309" s="1" t="s">
        <v>36</v>
      </c>
      <c r="K309">
        <v>3</v>
      </c>
      <c r="L309" t="str">
        <f>IF(tblOrders[[#This Row],[Quantity]]&lt;=0,"Check","OK")</f>
        <v>OK</v>
      </c>
      <c r="M309" s="1" t="str">
        <f>IF(tblOrders[[#This Row],[Delivery_Date]]&lt;tblOrders[[#This Row],[Order_Date]],"Error","OK")</f>
        <v>OK</v>
      </c>
    </row>
    <row r="310" spans="1:13" x14ac:dyDescent="0.25">
      <c r="A310" s="1">
        <v>309</v>
      </c>
      <c r="B310" s="1" t="s">
        <v>222</v>
      </c>
      <c r="C310">
        <v>60</v>
      </c>
      <c r="D310">
        <v>4</v>
      </c>
      <c r="E310" s="2">
        <v>45240</v>
      </c>
      <c r="F310" s="3">
        <v>0.27688657407407408</v>
      </c>
      <c r="G310" s="2">
        <v>45243</v>
      </c>
      <c r="H310" s="3">
        <v>0.21843750000000001</v>
      </c>
      <c r="I310" s="1" t="s">
        <v>360</v>
      </c>
      <c r="J310" s="1" t="s">
        <v>19</v>
      </c>
      <c r="K310">
        <v>3</v>
      </c>
      <c r="L310" t="str">
        <f>IF(tblOrders[[#This Row],[Quantity]]&lt;=0,"Check","OK")</f>
        <v>OK</v>
      </c>
      <c r="M310" s="1" t="str">
        <f>IF(tblOrders[[#This Row],[Delivery_Date]]&lt;tblOrders[[#This Row],[Order_Date]],"Error","OK")</f>
        <v>OK</v>
      </c>
    </row>
    <row r="311" spans="1:13" x14ac:dyDescent="0.25">
      <c r="A311" s="1">
        <v>310</v>
      </c>
      <c r="B311" s="1" t="s">
        <v>302</v>
      </c>
      <c r="C311">
        <v>38</v>
      </c>
      <c r="D311">
        <v>3</v>
      </c>
      <c r="E311" s="2">
        <v>45158</v>
      </c>
      <c r="F311" s="3">
        <v>0.51692129629629635</v>
      </c>
      <c r="G311" s="2">
        <v>45162</v>
      </c>
      <c r="H311" s="3">
        <v>0.65472222222222221</v>
      </c>
      <c r="I311" s="1" t="s">
        <v>419</v>
      </c>
      <c r="J311" s="1" t="s">
        <v>36</v>
      </c>
      <c r="K311">
        <v>4</v>
      </c>
      <c r="L311" t="str">
        <f>IF(tblOrders[[#This Row],[Quantity]]&lt;=0,"Check","OK")</f>
        <v>OK</v>
      </c>
      <c r="M311" s="1" t="str">
        <f>IF(tblOrders[[#This Row],[Delivery_Date]]&lt;tblOrders[[#This Row],[Order_Date]],"Error","OK")</f>
        <v>OK</v>
      </c>
    </row>
    <row r="312" spans="1:13" x14ac:dyDescent="0.25">
      <c r="A312" s="1">
        <v>311</v>
      </c>
      <c r="B312" s="1" t="s">
        <v>341</v>
      </c>
      <c r="C312">
        <v>39</v>
      </c>
      <c r="D312">
        <v>2</v>
      </c>
      <c r="E312" s="2">
        <v>45171</v>
      </c>
      <c r="F312" s="3">
        <v>0.39359953703703704</v>
      </c>
      <c r="G312" s="2">
        <v>45181</v>
      </c>
      <c r="H312" s="3">
        <v>0.74424768518518514</v>
      </c>
      <c r="I312" s="1" t="s">
        <v>426</v>
      </c>
      <c r="J312" s="1" t="s">
        <v>8</v>
      </c>
      <c r="K312">
        <v>10</v>
      </c>
      <c r="L312" t="str">
        <f>IF(tblOrders[[#This Row],[Quantity]]&lt;=0,"Check","OK")</f>
        <v>OK</v>
      </c>
      <c r="M312" s="1" t="str">
        <f>IF(tblOrders[[#This Row],[Delivery_Date]]&lt;tblOrders[[#This Row],[Order_Date]],"Error","OK")</f>
        <v>OK</v>
      </c>
    </row>
    <row r="313" spans="1:13" x14ac:dyDescent="0.25">
      <c r="A313" s="1">
        <v>312</v>
      </c>
      <c r="B313" s="1" t="s">
        <v>182</v>
      </c>
      <c r="C313">
        <v>9</v>
      </c>
      <c r="D313">
        <v>1</v>
      </c>
      <c r="E313" s="2">
        <v>45160</v>
      </c>
      <c r="F313" s="3">
        <v>0.76916666666666667</v>
      </c>
      <c r="G313" s="2">
        <v>45165</v>
      </c>
      <c r="H313" s="3">
        <v>0.25085648148148149</v>
      </c>
      <c r="I313" s="1" t="s">
        <v>464</v>
      </c>
      <c r="J313" s="1" t="s">
        <v>33</v>
      </c>
      <c r="K313">
        <v>5</v>
      </c>
      <c r="L313" t="str">
        <f>IF(tblOrders[[#This Row],[Quantity]]&lt;=0,"Check","OK")</f>
        <v>OK</v>
      </c>
      <c r="M313" s="1" t="str">
        <f>IF(tblOrders[[#This Row],[Delivery_Date]]&lt;tblOrders[[#This Row],[Order_Date]],"Error","OK")</f>
        <v>OK</v>
      </c>
    </row>
    <row r="314" spans="1:13" x14ac:dyDescent="0.25">
      <c r="A314" s="1">
        <v>313</v>
      </c>
      <c r="B314" s="1" t="s">
        <v>195</v>
      </c>
      <c r="C314">
        <v>30</v>
      </c>
      <c r="D314">
        <v>2</v>
      </c>
      <c r="E314" s="2">
        <v>45129</v>
      </c>
      <c r="F314" s="3">
        <v>0.80866898148148147</v>
      </c>
      <c r="G314" s="2">
        <v>45133</v>
      </c>
      <c r="H314" s="3">
        <v>0.25431712962962966</v>
      </c>
      <c r="I314" s="1" t="s">
        <v>465</v>
      </c>
      <c r="J314" s="1" t="s">
        <v>30</v>
      </c>
      <c r="K314">
        <v>4</v>
      </c>
      <c r="L314" t="str">
        <f>IF(tblOrders[[#This Row],[Quantity]]&lt;=0,"Check","OK")</f>
        <v>OK</v>
      </c>
      <c r="M314" s="1" t="str">
        <f>IF(tblOrders[[#This Row],[Delivery_Date]]&lt;tblOrders[[#This Row],[Order_Date]],"Error","OK")</f>
        <v>OK</v>
      </c>
    </row>
    <row r="315" spans="1:13" x14ac:dyDescent="0.25">
      <c r="A315" s="1">
        <v>314</v>
      </c>
      <c r="B315" s="1" t="s">
        <v>170</v>
      </c>
      <c r="C315">
        <v>43</v>
      </c>
      <c r="D315">
        <v>4</v>
      </c>
      <c r="E315" s="2">
        <v>45235</v>
      </c>
      <c r="F315" s="3">
        <v>0.49214120370370368</v>
      </c>
      <c r="G315" s="2">
        <v>45245</v>
      </c>
      <c r="H315" s="3">
        <v>0.20515046296296297</v>
      </c>
      <c r="I315" s="1" t="s">
        <v>379</v>
      </c>
      <c r="J315" s="1" t="s">
        <v>19</v>
      </c>
      <c r="K315">
        <v>10</v>
      </c>
      <c r="L315" t="str">
        <f>IF(tblOrders[[#This Row],[Quantity]]&lt;=0,"Check","OK")</f>
        <v>OK</v>
      </c>
      <c r="M315" s="1" t="str">
        <f>IF(tblOrders[[#This Row],[Delivery_Date]]&lt;tblOrders[[#This Row],[Order_Date]],"Error","OK")</f>
        <v>OK</v>
      </c>
    </row>
    <row r="316" spans="1:13" x14ac:dyDescent="0.25">
      <c r="A316" s="1">
        <v>315</v>
      </c>
      <c r="B316" s="1" t="s">
        <v>213</v>
      </c>
      <c r="C316">
        <v>26</v>
      </c>
      <c r="D316">
        <v>5</v>
      </c>
      <c r="E316" s="2">
        <v>44991</v>
      </c>
      <c r="F316" s="3">
        <v>0.59827546296296297</v>
      </c>
      <c r="G316" s="2">
        <v>44994</v>
      </c>
      <c r="H316" s="3">
        <v>0.80579861111111106</v>
      </c>
      <c r="I316" s="1" t="s">
        <v>466</v>
      </c>
      <c r="J316" s="1" t="s">
        <v>25</v>
      </c>
      <c r="K316">
        <v>3</v>
      </c>
      <c r="L316" t="str">
        <f>IF(tblOrders[[#This Row],[Quantity]]&lt;=0,"Check","OK")</f>
        <v>OK</v>
      </c>
      <c r="M316" s="1" t="str">
        <f>IF(tblOrders[[#This Row],[Delivery_Date]]&lt;tblOrders[[#This Row],[Order_Date]],"Error","OK")</f>
        <v>OK</v>
      </c>
    </row>
    <row r="317" spans="1:13" x14ac:dyDescent="0.25">
      <c r="A317" s="1">
        <v>316</v>
      </c>
      <c r="B317" s="1" t="s">
        <v>331</v>
      </c>
      <c r="C317">
        <v>2</v>
      </c>
      <c r="D317">
        <v>5</v>
      </c>
      <c r="E317" s="2">
        <v>44968</v>
      </c>
      <c r="F317" s="3">
        <v>0.89936342592592589</v>
      </c>
      <c r="G317" s="2">
        <v>44972</v>
      </c>
      <c r="H317" s="3">
        <v>0.30682870370370369</v>
      </c>
      <c r="I317" s="1" t="s">
        <v>455</v>
      </c>
      <c r="J317" s="1" t="s">
        <v>12</v>
      </c>
      <c r="K317">
        <v>4</v>
      </c>
      <c r="L317" t="str">
        <f>IF(tblOrders[[#This Row],[Quantity]]&lt;=0,"Check","OK")</f>
        <v>OK</v>
      </c>
      <c r="M317" s="1" t="str">
        <f>IF(tblOrders[[#This Row],[Delivery_Date]]&lt;tblOrders[[#This Row],[Order_Date]],"Error","OK")</f>
        <v>OK</v>
      </c>
    </row>
    <row r="318" spans="1:13" x14ac:dyDescent="0.25">
      <c r="A318" s="1">
        <v>317</v>
      </c>
      <c r="B318" s="1" t="s">
        <v>248</v>
      </c>
      <c r="C318">
        <v>29</v>
      </c>
      <c r="D318">
        <v>3</v>
      </c>
      <c r="E318" s="2">
        <v>44992</v>
      </c>
      <c r="F318" s="3">
        <v>0.7857291666666667</v>
      </c>
      <c r="G318" s="2">
        <v>45000</v>
      </c>
      <c r="H318" s="3">
        <v>0.67557870370370365</v>
      </c>
      <c r="I318" s="1" t="s">
        <v>317</v>
      </c>
      <c r="J318" s="1" t="s">
        <v>25</v>
      </c>
      <c r="K318">
        <v>8</v>
      </c>
      <c r="L318" t="str">
        <f>IF(tblOrders[[#This Row],[Quantity]]&lt;=0,"Check","OK")</f>
        <v>OK</v>
      </c>
      <c r="M318" s="1" t="str">
        <f>IF(tblOrders[[#This Row],[Delivery_Date]]&lt;tblOrders[[#This Row],[Order_Date]],"Error","OK")</f>
        <v>OK</v>
      </c>
    </row>
    <row r="319" spans="1:13" x14ac:dyDescent="0.25">
      <c r="A319" s="1">
        <v>318</v>
      </c>
      <c r="B319" s="1" t="s">
        <v>293</v>
      </c>
      <c r="C319">
        <v>26</v>
      </c>
      <c r="D319">
        <v>5</v>
      </c>
      <c r="E319" s="2">
        <v>44992</v>
      </c>
      <c r="F319" s="3">
        <v>0.51098379629629631</v>
      </c>
      <c r="G319" s="2">
        <v>44996</v>
      </c>
      <c r="H319" s="3">
        <v>0.66651620370370368</v>
      </c>
      <c r="I319" s="1" t="s">
        <v>467</v>
      </c>
      <c r="J319" s="1" t="s">
        <v>25</v>
      </c>
      <c r="K319">
        <v>4</v>
      </c>
      <c r="L319" t="str">
        <f>IF(tblOrders[[#This Row],[Quantity]]&lt;=0,"Check","OK")</f>
        <v>OK</v>
      </c>
      <c r="M319" s="1" t="str">
        <f>IF(tblOrders[[#This Row],[Delivery_Date]]&lt;tblOrders[[#This Row],[Order_Date]],"Error","OK")</f>
        <v>OK</v>
      </c>
    </row>
    <row r="320" spans="1:13" x14ac:dyDescent="0.25">
      <c r="A320" s="1">
        <v>319</v>
      </c>
      <c r="B320" s="1" t="s">
        <v>182</v>
      </c>
      <c r="C320">
        <v>64</v>
      </c>
      <c r="D320">
        <v>1</v>
      </c>
      <c r="E320" s="2">
        <v>45158</v>
      </c>
      <c r="F320" s="3">
        <v>0.26605324074074072</v>
      </c>
      <c r="G320" s="2">
        <v>45164</v>
      </c>
      <c r="H320" s="3">
        <v>0.94748842592592597</v>
      </c>
      <c r="I320" s="1" t="s">
        <v>468</v>
      </c>
      <c r="J320" s="1" t="s">
        <v>33</v>
      </c>
      <c r="K320">
        <v>6</v>
      </c>
      <c r="L320" t="str">
        <f>IF(tblOrders[[#This Row],[Quantity]]&lt;=0,"Check","OK")</f>
        <v>OK</v>
      </c>
      <c r="M320" s="1" t="str">
        <f>IF(tblOrders[[#This Row],[Delivery_Date]]&lt;tblOrders[[#This Row],[Order_Date]],"Error","OK")</f>
        <v>OK</v>
      </c>
    </row>
    <row r="321" spans="1:13" x14ac:dyDescent="0.25">
      <c r="A321" s="1">
        <v>320</v>
      </c>
      <c r="B321" s="1" t="s">
        <v>369</v>
      </c>
      <c r="C321">
        <v>13</v>
      </c>
      <c r="D321">
        <v>1</v>
      </c>
      <c r="E321" s="2">
        <v>44986</v>
      </c>
      <c r="F321" s="3">
        <v>0.32633101851851853</v>
      </c>
      <c r="G321" s="2">
        <v>44993</v>
      </c>
      <c r="H321" s="3">
        <v>0.35996527777777776</v>
      </c>
      <c r="I321" s="1" t="s">
        <v>423</v>
      </c>
      <c r="J321" s="1" t="s">
        <v>25</v>
      </c>
      <c r="K321">
        <v>7</v>
      </c>
      <c r="L321" t="str">
        <f>IF(tblOrders[[#This Row],[Quantity]]&lt;=0,"Check","OK")</f>
        <v>OK</v>
      </c>
      <c r="M321" s="1" t="str">
        <f>IF(tblOrders[[#This Row],[Delivery_Date]]&lt;tblOrders[[#This Row],[Order_Date]],"Error","OK")</f>
        <v>OK</v>
      </c>
    </row>
    <row r="322" spans="1:13" x14ac:dyDescent="0.25">
      <c r="A322" s="1">
        <v>321</v>
      </c>
      <c r="B322" s="1" t="s">
        <v>367</v>
      </c>
      <c r="C322">
        <v>12</v>
      </c>
      <c r="D322">
        <v>5</v>
      </c>
      <c r="E322" s="2">
        <v>44993</v>
      </c>
      <c r="F322" s="3">
        <v>0.47714120370370372</v>
      </c>
      <c r="G322" s="2">
        <v>45002</v>
      </c>
      <c r="H322" s="3">
        <v>0.41091435185185188</v>
      </c>
      <c r="I322" s="1" t="s">
        <v>469</v>
      </c>
      <c r="J322" s="1" t="s">
        <v>30</v>
      </c>
      <c r="K322">
        <v>9</v>
      </c>
      <c r="L322" t="str">
        <f>IF(tblOrders[[#This Row],[Quantity]]&lt;=0,"Check","OK")</f>
        <v>OK</v>
      </c>
      <c r="M322" s="1" t="str">
        <f>IF(tblOrders[[#This Row],[Delivery_Date]]&lt;tblOrders[[#This Row],[Order_Date]],"Error","OK")</f>
        <v>OK</v>
      </c>
    </row>
    <row r="323" spans="1:13" x14ac:dyDescent="0.25">
      <c r="A323" s="1">
        <v>322</v>
      </c>
      <c r="B323" s="1" t="s">
        <v>195</v>
      </c>
      <c r="C323">
        <v>15</v>
      </c>
      <c r="D323">
        <v>1</v>
      </c>
      <c r="E323" s="2">
        <v>45027</v>
      </c>
      <c r="F323" s="3">
        <v>0.35568287037037039</v>
      </c>
      <c r="G323" s="2">
        <v>45031</v>
      </c>
      <c r="H323" s="3">
        <v>0.14614583333333334</v>
      </c>
      <c r="I323" s="1" t="s">
        <v>470</v>
      </c>
      <c r="J323" s="1" t="s">
        <v>30</v>
      </c>
      <c r="K323">
        <v>4</v>
      </c>
      <c r="L323" t="str">
        <f>IF(tblOrders[[#This Row],[Quantity]]&lt;=0,"Check","OK")</f>
        <v>OK</v>
      </c>
      <c r="M323" s="1" t="str">
        <f>IF(tblOrders[[#This Row],[Delivery_Date]]&lt;tblOrders[[#This Row],[Order_Date]],"Error","OK")</f>
        <v>OK</v>
      </c>
    </row>
    <row r="324" spans="1:13" x14ac:dyDescent="0.25">
      <c r="A324" s="1">
        <v>323</v>
      </c>
      <c r="B324" s="1" t="s">
        <v>193</v>
      </c>
      <c r="C324">
        <v>23</v>
      </c>
      <c r="D324">
        <v>2</v>
      </c>
      <c r="E324" s="2">
        <v>44966</v>
      </c>
      <c r="F324" s="3">
        <v>0.75907407407407412</v>
      </c>
      <c r="G324" s="2">
        <v>44967</v>
      </c>
      <c r="H324" s="3">
        <v>0.43234953703703705</v>
      </c>
      <c r="I324" s="1" t="s">
        <v>443</v>
      </c>
      <c r="J324" s="1" t="s">
        <v>30</v>
      </c>
      <c r="K324">
        <v>1</v>
      </c>
      <c r="L324" t="str">
        <f>IF(tblOrders[[#This Row],[Quantity]]&lt;=0,"Check","OK")</f>
        <v>OK</v>
      </c>
      <c r="M324" s="1" t="str">
        <f>IF(tblOrders[[#This Row],[Delivery_Date]]&lt;tblOrders[[#This Row],[Order_Date]],"Error","OK")</f>
        <v>OK</v>
      </c>
    </row>
    <row r="325" spans="1:13" x14ac:dyDescent="0.25">
      <c r="A325" s="1">
        <v>324</v>
      </c>
      <c r="B325" s="1" t="s">
        <v>471</v>
      </c>
      <c r="C325">
        <v>14</v>
      </c>
      <c r="D325">
        <v>2</v>
      </c>
      <c r="E325" s="2">
        <v>44959</v>
      </c>
      <c r="F325" s="3">
        <v>0.78296296296296297</v>
      </c>
      <c r="G325" s="2">
        <v>44968</v>
      </c>
      <c r="H325" s="3">
        <v>0.64923611111111112</v>
      </c>
      <c r="I325" s="1" t="s">
        <v>472</v>
      </c>
      <c r="J325" s="1" t="s">
        <v>36</v>
      </c>
      <c r="K325">
        <v>9</v>
      </c>
      <c r="L325" t="str">
        <f>IF(tblOrders[[#This Row],[Quantity]]&lt;=0,"Check","OK")</f>
        <v>OK</v>
      </c>
      <c r="M325" s="1" t="str">
        <f>IF(tblOrders[[#This Row],[Delivery_Date]]&lt;tblOrders[[#This Row],[Order_Date]],"Error","OK")</f>
        <v>OK</v>
      </c>
    </row>
    <row r="326" spans="1:13" x14ac:dyDescent="0.25">
      <c r="A326" s="1">
        <v>325</v>
      </c>
      <c r="B326" s="1" t="s">
        <v>210</v>
      </c>
      <c r="C326">
        <v>27</v>
      </c>
      <c r="D326">
        <v>5</v>
      </c>
      <c r="E326" s="2">
        <v>45163</v>
      </c>
      <c r="F326" s="3">
        <v>0.77135416666666667</v>
      </c>
      <c r="G326" s="2">
        <v>45173</v>
      </c>
      <c r="H326" s="3">
        <v>0.83515046296296291</v>
      </c>
      <c r="I326" s="1" t="s">
        <v>351</v>
      </c>
      <c r="J326" s="1" t="s">
        <v>33</v>
      </c>
      <c r="K326">
        <v>10</v>
      </c>
      <c r="L326" t="str">
        <f>IF(tblOrders[[#This Row],[Quantity]]&lt;=0,"Check","OK")</f>
        <v>OK</v>
      </c>
      <c r="M326" s="1" t="str">
        <f>IF(tblOrders[[#This Row],[Delivery_Date]]&lt;tblOrders[[#This Row],[Order_Date]],"Error","OK")</f>
        <v>OK</v>
      </c>
    </row>
    <row r="327" spans="1:13" x14ac:dyDescent="0.25">
      <c r="A327" s="1">
        <v>326</v>
      </c>
      <c r="B327" s="1" t="s">
        <v>215</v>
      </c>
      <c r="C327">
        <v>34</v>
      </c>
      <c r="D327">
        <v>3</v>
      </c>
      <c r="E327" s="2">
        <v>45165</v>
      </c>
      <c r="F327" s="3">
        <v>0.65214120370370365</v>
      </c>
      <c r="G327" s="2">
        <v>45172</v>
      </c>
      <c r="H327" s="3">
        <v>0.64828703703703705</v>
      </c>
      <c r="I327" s="1" t="s">
        <v>473</v>
      </c>
      <c r="J327" s="1" t="s">
        <v>33</v>
      </c>
      <c r="K327">
        <v>7</v>
      </c>
      <c r="L327" t="str">
        <f>IF(tblOrders[[#This Row],[Quantity]]&lt;=0,"Check","OK")</f>
        <v>OK</v>
      </c>
      <c r="M327" s="1" t="str">
        <f>IF(tblOrders[[#This Row],[Delivery_Date]]&lt;tblOrders[[#This Row],[Order_Date]],"Error","OK")</f>
        <v>OK</v>
      </c>
    </row>
    <row r="328" spans="1:13" x14ac:dyDescent="0.25">
      <c r="A328" s="1">
        <v>327</v>
      </c>
      <c r="B328" s="1" t="s">
        <v>331</v>
      </c>
      <c r="C328">
        <v>51</v>
      </c>
      <c r="D328">
        <v>1</v>
      </c>
      <c r="E328" s="2">
        <v>45193</v>
      </c>
      <c r="F328" s="3">
        <v>0.39519675925925923</v>
      </c>
      <c r="G328" s="2">
        <v>45195</v>
      </c>
      <c r="H328" s="3">
        <v>0.83964120370370365</v>
      </c>
      <c r="I328" s="1" t="s">
        <v>455</v>
      </c>
      <c r="J328" s="1" t="s">
        <v>8</v>
      </c>
      <c r="K328">
        <v>2</v>
      </c>
      <c r="L328" t="str">
        <f>IF(tblOrders[[#This Row],[Quantity]]&lt;=0,"Check","OK")</f>
        <v>OK</v>
      </c>
      <c r="M328" s="1" t="str">
        <f>IF(tblOrders[[#This Row],[Delivery_Date]]&lt;tblOrders[[#This Row],[Order_Date]],"Error","OK")</f>
        <v>OK</v>
      </c>
    </row>
    <row r="329" spans="1:13" x14ac:dyDescent="0.25">
      <c r="A329" s="1">
        <v>328</v>
      </c>
      <c r="B329" s="1" t="s">
        <v>188</v>
      </c>
      <c r="C329">
        <v>23</v>
      </c>
      <c r="D329">
        <v>3</v>
      </c>
      <c r="E329" s="2">
        <v>45033</v>
      </c>
      <c r="F329" s="3">
        <v>0.74418981481481483</v>
      </c>
      <c r="G329" s="2">
        <v>45038</v>
      </c>
      <c r="H329" s="3">
        <v>0.37451388888888887</v>
      </c>
      <c r="I329" s="1" t="s">
        <v>474</v>
      </c>
      <c r="J329" s="1" t="s">
        <v>30</v>
      </c>
      <c r="K329">
        <v>5</v>
      </c>
      <c r="L329" t="str">
        <f>IF(tblOrders[[#This Row],[Quantity]]&lt;=0,"Check","OK")</f>
        <v>OK</v>
      </c>
      <c r="M329" s="1" t="str">
        <f>IF(tblOrders[[#This Row],[Delivery_Date]]&lt;tblOrders[[#This Row],[Order_Date]],"Error","OK")</f>
        <v>OK</v>
      </c>
    </row>
    <row r="330" spans="1:13" x14ac:dyDescent="0.25">
      <c r="A330" s="1">
        <v>329</v>
      </c>
      <c r="B330" s="1" t="s">
        <v>258</v>
      </c>
      <c r="C330">
        <v>17</v>
      </c>
      <c r="D330">
        <v>3</v>
      </c>
      <c r="E330" s="2">
        <v>45164</v>
      </c>
      <c r="F330" s="3">
        <v>9.8645833333333335E-2</v>
      </c>
      <c r="G330" s="2">
        <v>45173</v>
      </c>
      <c r="H330" s="3">
        <v>0.13115740740740742</v>
      </c>
      <c r="I330" s="1" t="s">
        <v>475</v>
      </c>
      <c r="J330" s="1" t="s">
        <v>30</v>
      </c>
      <c r="K330">
        <v>9</v>
      </c>
      <c r="L330" t="str">
        <f>IF(tblOrders[[#This Row],[Quantity]]&lt;=0,"Check","OK")</f>
        <v>OK</v>
      </c>
      <c r="M330" s="1" t="str">
        <f>IF(tblOrders[[#This Row],[Delivery_Date]]&lt;tblOrders[[#This Row],[Order_Date]],"Error","OK")</f>
        <v>OK</v>
      </c>
    </row>
    <row r="331" spans="1:13" x14ac:dyDescent="0.25">
      <c r="A331" s="1">
        <v>330</v>
      </c>
      <c r="B331" s="1" t="s">
        <v>242</v>
      </c>
      <c r="C331">
        <v>59</v>
      </c>
      <c r="D331">
        <v>2</v>
      </c>
      <c r="E331" s="2">
        <v>45162</v>
      </c>
      <c r="F331" s="3">
        <v>0.8507986111111111</v>
      </c>
      <c r="G331" s="2">
        <v>45170</v>
      </c>
      <c r="H331" s="3">
        <v>0.51828703703703705</v>
      </c>
      <c r="I331" s="1" t="s">
        <v>301</v>
      </c>
      <c r="J331" s="1" t="s">
        <v>33</v>
      </c>
      <c r="K331">
        <v>8</v>
      </c>
      <c r="L331" t="str">
        <f>IF(tblOrders[[#This Row],[Quantity]]&lt;=0,"Check","OK")</f>
        <v>OK</v>
      </c>
      <c r="M331" s="1" t="str">
        <f>IF(tblOrders[[#This Row],[Delivery_Date]]&lt;tblOrders[[#This Row],[Order_Date]],"Error","OK")</f>
        <v>OK</v>
      </c>
    </row>
    <row r="332" spans="1:13" x14ac:dyDescent="0.25">
      <c r="A332" s="1">
        <v>331</v>
      </c>
      <c r="B332" s="1" t="s">
        <v>252</v>
      </c>
      <c r="C332">
        <v>41</v>
      </c>
      <c r="D332">
        <v>5</v>
      </c>
      <c r="E332" s="2">
        <v>45234</v>
      </c>
      <c r="F332" s="3">
        <v>0.90967592592592594</v>
      </c>
      <c r="G332" s="2">
        <v>45235</v>
      </c>
      <c r="H332" s="3">
        <v>0.59273148148148147</v>
      </c>
      <c r="I332" s="1" t="s">
        <v>449</v>
      </c>
      <c r="J332" s="1" t="s">
        <v>19</v>
      </c>
      <c r="K332">
        <v>1</v>
      </c>
      <c r="L332" t="str">
        <f>IF(tblOrders[[#This Row],[Quantity]]&lt;=0,"Check","OK")</f>
        <v>OK</v>
      </c>
      <c r="M332" s="1" t="str">
        <f>IF(tblOrders[[#This Row],[Delivery_Date]]&lt;tblOrders[[#This Row],[Order_Date]],"Error","OK")</f>
        <v>OK</v>
      </c>
    </row>
    <row r="333" spans="1:13" x14ac:dyDescent="0.25">
      <c r="A333" s="1">
        <v>332</v>
      </c>
      <c r="B333" s="1" t="s">
        <v>437</v>
      </c>
      <c r="C333">
        <v>20</v>
      </c>
      <c r="D333">
        <v>5</v>
      </c>
      <c r="E333" s="2">
        <v>45027</v>
      </c>
      <c r="F333" s="3">
        <v>0.84320601851851851</v>
      </c>
      <c r="G333" s="2">
        <v>45034</v>
      </c>
      <c r="H333" s="3">
        <v>0.59078703703703705</v>
      </c>
      <c r="I333" s="1" t="s">
        <v>194</v>
      </c>
      <c r="J333" s="1" t="s">
        <v>30</v>
      </c>
      <c r="K333">
        <v>7</v>
      </c>
      <c r="L333" t="str">
        <f>IF(tblOrders[[#This Row],[Quantity]]&lt;=0,"Check","OK")</f>
        <v>OK</v>
      </c>
      <c r="M333" s="1" t="str">
        <f>IF(tblOrders[[#This Row],[Delivery_Date]]&lt;tblOrders[[#This Row],[Order_Date]],"Error","OK")</f>
        <v>OK</v>
      </c>
    </row>
    <row r="334" spans="1:13" x14ac:dyDescent="0.25">
      <c r="A334" s="1">
        <v>333</v>
      </c>
      <c r="B334" s="1" t="s">
        <v>304</v>
      </c>
      <c r="C334">
        <v>22</v>
      </c>
      <c r="D334">
        <v>5</v>
      </c>
      <c r="E334" s="2">
        <v>44966</v>
      </c>
      <c r="F334" s="3">
        <v>0.26336805555555554</v>
      </c>
      <c r="G334" s="2">
        <v>44967</v>
      </c>
      <c r="H334" s="3">
        <v>0.1572800925925926</v>
      </c>
      <c r="I334" s="1" t="s">
        <v>476</v>
      </c>
      <c r="J334" s="1" t="s">
        <v>8</v>
      </c>
      <c r="K334">
        <v>1</v>
      </c>
      <c r="L334" t="str">
        <f>IF(tblOrders[[#This Row],[Quantity]]&lt;=0,"Check","OK")</f>
        <v>OK</v>
      </c>
      <c r="M334" s="1" t="str">
        <f>IF(tblOrders[[#This Row],[Delivery_Date]]&lt;tblOrders[[#This Row],[Order_Date]],"Error","OK")</f>
        <v>OK</v>
      </c>
    </row>
    <row r="335" spans="1:13" x14ac:dyDescent="0.25">
      <c r="A335" s="1">
        <v>334</v>
      </c>
      <c r="B335" s="1" t="s">
        <v>232</v>
      </c>
      <c r="C335">
        <v>53</v>
      </c>
      <c r="D335">
        <v>1</v>
      </c>
      <c r="E335" s="2">
        <v>45166</v>
      </c>
      <c r="F335" s="3">
        <v>0.88872685185185185</v>
      </c>
      <c r="G335" s="2">
        <v>45170</v>
      </c>
      <c r="H335" s="3">
        <v>0.91878472222222218</v>
      </c>
      <c r="I335" s="1" t="s">
        <v>379</v>
      </c>
      <c r="J335" s="1" t="s">
        <v>33</v>
      </c>
      <c r="K335">
        <v>4</v>
      </c>
      <c r="L335" t="str">
        <f>IF(tblOrders[[#This Row],[Quantity]]&lt;=0,"Check","OK")</f>
        <v>OK</v>
      </c>
      <c r="M335" s="1" t="str">
        <f>IF(tblOrders[[#This Row],[Delivery_Date]]&lt;tblOrders[[#This Row],[Order_Date]],"Error","OK")</f>
        <v>OK</v>
      </c>
    </row>
    <row r="336" spans="1:13" x14ac:dyDescent="0.25">
      <c r="A336" s="1">
        <v>335</v>
      </c>
      <c r="B336" s="1" t="s">
        <v>193</v>
      </c>
      <c r="C336">
        <v>17</v>
      </c>
      <c r="D336">
        <v>2</v>
      </c>
      <c r="E336" s="2">
        <v>45236</v>
      </c>
      <c r="F336" s="3">
        <v>8.998842592592593E-2</v>
      </c>
      <c r="G336" s="2">
        <v>45238</v>
      </c>
      <c r="H336" s="3">
        <v>9.9583333333333329E-2</v>
      </c>
      <c r="I336" s="1" t="s">
        <v>477</v>
      </c>
      <c r="J336" s="1" t="s">
        <v>30</v>
      </c>
      <c r="K336">
        <v>2</v>
      </c>
      <c r="L336" t="str">
        <f>IF(tblOrders[[#This Row],[Quantity]]&lt;=0,"Check","OK")</f>
        <v>OK</v>
      </c>
      <c r="M336" s="1" t="str">
        <f>IF(tblOrders[[#This Row],[Delivery_Date]]&lt;tblOrders[[#This Row],[Order_Date]],"Error","OK")</f>
        <v>OK</v>
      </c>
    </row>
    <row r="337" spans="1:13" x14ac:dyDescent="0.25">
      <c r="A337" s="1">
        <v>336</v>
      </c>
      <c r="B337" s="1" t="s">
        <v>191</v>
      </c>
      <c r="C337">
        <v>53</v>
      </c>
      <c r="D337">
        <v>1</v>
      </c>
      <c r="E337" s="2">
        <v>45158</v>
      </c>
      <c r="F337" s="3">
        <v>0.18916666666666668</v>
      </c>
      <c r="G337" s="2">
        <v>45163</v>
      </c>
      <c r="H337" s="3">
        <v>0.82936342592592593</v>
      </c>
      <c r="I337" s="1" t="s">
        <v>461</v>
      </c>
      <c r="J337" s="1" t="s">
        <v>33</v>
      </c>
      <c r="K337">
        <v>5</v>
      </c>
      <c r="L337" t="str">
        <f>IF(tblOrders[[#This Row],[Quantity]]&lt;=0,"Check","OK")</f>
        <v>OK</v>
      </c>
      <c r="M337" s="1" t="str">
        <f>IF(tblOrders[[#This Row],[Delivery_Date]]&lt;tblOrders[[#This Row],[Order_Date]],"Error","OK")</f>
        <v>OK</v>
      </c>
    </row>
    <row r="338" spans="1:13" x14ac:dyDescent="0.25">
      <c r="A338" s="1">
        <v>337</v>
      </c>
      <c r="B338" s="1" t="s">
        <v>289</v>
      </c>
      <c r="C338">
        <v>24</v>
      </c>
      <c r="D338">
        <v>3</v>
      </c>
      <c r="E338" s="2">
        <v>45062</v>
      </c>
      <c r="F338" s="3">
        <v>0.59805555555555556</v>
      </c>
      <c r="G338" s="2">
        <v>45068</v>
      </c>
      <c r="H338" s="3">
        <v>0.85153935185185181</v>
      </c>
      <c r="I338" s="1" t="s">
        <v>434</v>
      </c>
      <c r="J338" s="1" t="s">
        <v>36</v>
      </c>
      <c r="K338">
        <v>6</v>
      </c>
      <c r="L338" t="str">
        <f>IF(tblOrders[[#This Row],[Quantity]]&lt;=0,"Check","OK")</f>
        <v>OK</v>
      </c>
      <c r="M338" s="1" t="str">
        <f>IF(tblOrders[[#This Row],[Delivery_Date]]&lt;tblOrders[[#This Row],[Order_Date]],"Error","OK")</f>
        <v>OK</v>
      </c>
    </row>
    <row r="339" spans="1:13" x14ac:dyDescent="0.25">
      <c r="A339" s="1">
        <v>338</v>
      </c>
      <c r="B339" s="1" t="s">
        <v>347</v>
      </c>
      <c r="C339">
        <v>21</v>
      </c>
      <c r="D339">
        <v>3</v>
      </c>
      <c r="E339" s="2">
        <v>45158</v>
      </c>
      <c r="F339" s="3">
        <v>0.59434027777777776</v>
      </c>
      <c r="G339" s="2">
        <v>45166</v>
      </c>
      <c r="H339" s="3">
        <v>6.535879629629629E-2</v>
      </c>
      <c r="I339" s="1" t="s">
        <v>473</v>
      </c>
      <c r="J339" s="1" t="s">
        <v>33</v>
      </c>
      <c r="K339">
        <v>8</v>
      </c>
      <c r="L339" t="str">
        <f>IF(tblOrders[[#This Row],[Quantity]]&lt;=0,"Check","OK")</f>
        <v>OK</v>
      </c>
      <c r="M339" s="1" t="str">
        <f>IF(tblOrders[[#This Row],[Delivery_Date]]&lt;tblOrders[[#This Row],[Order_Date]],"Error","OK")</f>
        <v>OK</v>
      </c>
    </row>
    <row r="340" spans="1:13" x14ac:dyDescent="0.25">
      <c r="A340" s="1">
        <v>339</v>
      </c>
      <c r="B340" s="1" t="s">
        <v>333</v>
      </c>
      <c r="C340">
        <v>8</v>
      </c>
      <c r="D340">
        <v>1</v>
      </c>
      <c r="E340" s="2">
        <v>45189</v>
      </c>
      <c r="F340" s="3">
        <v>0.83841435185185187</v>
      </c>
      <c r="G340" s="2">
        <v>45198</v>
      </c>
      <c r="H340" s="3">
        <v>0.4516087962962963</v>
      </c>
      <c r="I340" s="1" t="s">
        <v>177</v>
      </c>
      <c r="J340" s="1" t="s">
        <v>30</v>
      </c>
      <c r="K340">
        <v>9</v>
      </c>
      <c r="L340" t="str">
        <f>IF(tblOrders[[#This Row],[Quantity]]&lt;=0,"Check","OK")</f>
        <v>OK</v>
      </c>
      <c r="M340" s="1" t="str">
        <f>IF(tblOrders[[#This Row],[Delivery_Date]]&lt;tblOrders[[#This Row],[Order_Date]],"Error","OK")</f>
        <v>OK</v>
      </c>
    </row>
    <row r="341" spans="1:13" x14ac:dyDescent="0.25">
      <c r="A341" s="1">
        <v>340</v>
      </c>
      <c r="B341" s="1" t="s">
        <v>417</v>
      </c>
      <c r="C341">
        <v>38</v>
      </c>
      <c r="D341">
        <v>3</v>
      </c>
      <c r="E341" s="2">
        <v>45121</v>
      </c>
      <c r="F341" s="3">
        <v>0.32848379629629632</v>
      </c>
      <c r="G341" s="2">
        <v>45129</v>
      </c>
      <c r="H341" s="3">
        <v>0.1222337962962963</v>
      </c>
      <c r="I341" s="1" t="s">
        <v>371</v>
      </c>
      <c r="J341" s="1" t="s">
        <v>36</v>
      </c>
      <c r="K341">
        <v>8</v>
      </c>
      <c r="L341" t="str">
        <f>IF(tblOrders[[#This Row],[Quantity]]&lt;=0,"Check","OK")</f>
        <v>OK</v>
      </c>
      <c r="M341" s="1" t="str">
        <f>IF(tblOrders[[#This Row],[Delivery_Date]]&lt;tblOrders[[#This Row],[Order_Date]],"Error","OK")</f>
        <v>OK</v>
      </c>
    </row>
    <row r="342" spans="1:13" x14ac:dyDescent="0.25">
      <c r="A342" s="1">
        <v>341</v>
      </c>
      <c r="B342" s="1" t="s">
        <v>283</v>
      </c>
      <c r="C342">
        <v>9</v>
      </c>
      <c r="D342">
        <v>2</v>
      </c>
      <c r="E342" s="2">
        <v>45158</v>
      </c>
      <c r="F342" s="3">
        <v>0.62123842592592593</v>
      </c>
      <c r="G342" s="2">
        <v>45168</v>
      </c>
      <c r="H342" s="3">
        <v>0.93903935185185183</v>
      </c>
      <c r="I342" s="1" t="s">
        <v>478</v>
      </c>
      <c r="J342" s="1" t="s">
        <v>33</v>
      </c>
      <c r="K342">
        <v>10</v>
      </c>
      <c r="L342" t="str">
        <f>IF(tblOrders[[#This Row],[Quantity]]&lt;=0,"Check","OK")</f>
        <v>OK</v>
      </c>
      <c r="M342" s="1" t="str">
        <f>IF(tblOrders[[#This Row],[Delivery_Date]]&lt;tblOrders[[#This Row],[Order_Date]],"Error","OK")</f>
        <v>OK</v>
      </c>
    </row>
    <row r="343" spans="1:13" x14ac:dyDescent="0.25">
      <c r="A343" s="1">
        <v>342</v>
      </c>
      <c r="B343" s="1" t="s">
        <v>285</v>
      </c>
      <c r="C343">
        <v>36</v>
      </c>
      <c r="D343">
        <v>5</v>
      </c>
      <c r="E343" s="2">
        <v>45233</v>
      </c>
      <c r="F343" s="3">
        <v>0.16924768518518518</v>
      </c>
      <c r="G343" s="2">
        <v>45238</v>
      </c>
      <c r="H343" s="3">
        <v>0.68490740740740741</v>
      </c>
      <c r="I343" s="1" t="s">
        <v>290</v>
      </c>
      <c r="J343" s="1" t="s">
        <v>36</v>
      </c>
      <c r="K343">
        <v>5</v>
      </c>
      <c r="L343" t="str">
        <f>IF(tblOrders[[#This Row],[Quantity]]&lt;=0,"Check","OK")</f>
        <v>OK</v>
      </c>
      <c r="M343" s="1" t="str">
        <f>IF(tblOrders[[#This Row],[Delivery_Date]]&lt;tblOrders[[#This Row],[Order_Date]],"Error","OK")</f>
        <v>OK</v>
      </c>
    </row>
    <row r="344" spans="1:13" x14ac:dyDescent="0.25">
      <c r="A344" s="1">
        <v>343</v>
      </c>
      <c r="B344" s="1" t="s">
        <v>239</v>
      </c>
      <c r="C344">
        <v>66</v>
      </c>
      <c r="D344">
        <v>3</v>
      </c>
      <c r="E344" s="2">
        <v>44991</v>
      </c>
      <c r="F344" s="3">
        <v>0.59212962962962967</v>
      </c>
      <c r="G344" s="2">
        <v>44994</v>
      </c>
      <c r="H344" s="3">
        <v>0.39380787037037035</v>
      </c>
      <c r="I344" s="1" t="s">
        <v>479</v>
      </c>
      <c r="J344" s="1" t="s">
        <v>25</v>
      </c>
      <c r="K344">
        <v>3</v>
      </c>
      <c r="L344" t="str">
        <f>IF(tblOrders[[#This Row],[Quantity]]&lt;=0,"Check","OK")</f>
        <v>OK</v>
      </c>
      <c r="M344" s="1" t="str">
        <f>IF(tblOrders[[#This Row],[Delivery_Date]]&lt;tblOrders[[#This Row],[Order_Date]],"Error","OK")</f>
        <v>OK</v>
      </c>
    </row>
    <row r="345" spans="1:13" x14ac:dyDescent="0.25">
      <c r="A345" s="1">
        <v>344</v>
      </c>
      <c r="B345" s="1" t="s">
        <v>246</v>
      </c>
      <c r="C345">
        <v>28</v>
      </c>
      <c r="D345">
        <v>5</v>
      </c>
      <c r="E345" s="2">
        <v>45167</v>
      </c>
      <c r="F345" s="3">
        <v>0.71275462962962965</v>
      </c>
      <c r="G345" s="2">
        <v>45172</v>
      </c>
      <c r="H345" s="3">
        <v>0.26952546296296298</v>
      </c>
      <c r="I345" s="1" t="s">
        <v>378</v>
      </c>
      <c r="J345" s="1" t="s">
        <v>33</v>
      </c>
      <c r="K345">
        <v>5</v>
      </c>
      <c r="L345" t="str">
        <f>IF(tblOrders[[#This Row],[Quantity]]&lt;=0,"Check","OK")</f>
        <v>OK</v>
      </c>
      <c r="M345" s="1" t="str">
        <f>IF(tblOrders[[#This Row],[Delivery_Date]]&lt;tblOrders[[#This Row],[Order_Date]],"Error","OK")</f>
        <v>OK</v>
      </c>
    </row>
    <row r="346" spans="1:13" x14ac:dyDescent="0.25">
      <c r="A346" s="1">
        <v>345</v>
      </c>
      <c r="B346" s="1" t="s">
        <v>195</v>
      </c>
      <c r="C346">
        <v>45</v>
      </c>
      <c r="D346">
        <v>4</v>
      </c>
      <c r="E346" s="2">
        <v>45184</v>
      </c>
      <c r="F346" s="3">
        <v>0.65326388888888887</v>
      </c>
      <c r="G346" s="2">
        <v>45192</v>
      </c>
      <c r="H346" s="3">
        <v>0.96633101851851855</v>
      </c>
      <c r="I346" s="1" t="s">
        <v>462</v>
      </c>
      <c r="J346" s="1" t="s">
        <v>36</v>
      </c>
      <c r="K346">
        <v>8</v>
      </c>
      <c r="L346" t="str">
        <f>IF(tblOrders[[#This Row],[Quantity]]&lt;=0,"Check","OK")</f>
        <v>OK</v>
      </c>
      <c r="M346" s="1" t="str">
        <f>IF(tblOrders[[#This Row],[Delivery_Date]]&lt;tblOrders[[#This Row],[Order_Date]],"Error","OK")</f>
        <v>OK</v>
      </c>
    </row>
    <row r="347" spans="1:13" x14ac:dyDescent="0.25">
      <c r="A347" s="1">
        <v>346</v>
      </c>
      <c r="B347" s="1" t="s">
        <v>202</v>
      </c>
      <c r="C347">
        <v>50</v>
      </c>
      <c r="D347">
        <v>1</v>
      </c>
      <c r="E347" s="2">
        <v>44989</v>
      </c>
      <c r="F347" s="3">
        <v>0.9751967592592593</v>
      </c>
      <c r="G347" s="2">
        <v>44997</v>
      </c>
      <c r="H347" s="3">
        <v>0.69900462962962961</v>
      </c>
      <c r="I347" s="1" t="s">
        <v>395</v>
      </c>
      <c r="J347" s="1" t="s">
        <v>25</v>
      </c>
      <c r="K347">
        <v>8</v>
      </c>
      <c r="L347" t="str">
        <f>IF(tblOrders[[#This Row],[Quantity]]&lt;=0,"Check","OK")</f>
        <v>OK</v>
      </c>
      <c r="M347" s="1" t="str">
        <f>IF(tblOrders[[#This Row],[Delivery_Date]]&lt;tblOrders[[#This Row],[Order_Date]],"Error","OK")</f>
        <v>OK</v>
      </c>
    </row>
    <row r="348" spans="1:13" x14ac:dyDescent="0.25">
      <c r="A348" s="1">
        <v>347</v>
      </c>
      <c r="B348" s="1" t="s">
        <v>480</v>
      </c>
      <c r="C348">
        <v>34</v>
      </c>
      <c r="D348">
        <v>2</v>
      </c>
      <c r="E348" s="2">
        <v>45167</v>
      </c>
      <c r="F348" s="3">
        <v>0.40718749999999998</v>
      </c>
      <c r="G348" s="2">
        <v>45177</v>
      </c>
      <c r="H348" s="3">
        <v>0.35913194444444446</v>
      </c>
      <c r="I348" s="1" t="s">
        <v>481</v>
      </c>
      <c r="J348" s="1" t="s">
        <v>33</v>
      </c>
      <c r="K348">
        <v>10</v>
      </c>
      <c r="L348" t="str">
        <f>IF(tblOrders[[#This Row],[Quantity]]&lt;=0,"Check","OK")</f>
        <v>OK</v>
      </c>
      <c r="M348" s="1" t="str">
        <f>IF(tblOrders[[#This Row],[Delivery_Date]]&lt;tblOrders[[#This Row],[Order_Date]],"Error","OK")</f>
        <v>OK</v>
      </c>
    </row>
    <row r="349" spans="1:13" x14ac:dyDescent="0.25">
      <c r="A349" s="1">
        <v>348</v>
      </c>
      <c r="B349" s="1" t="s">
        <v>299</v>
      </c>
      <c r="C349">
        <v>30</v>
      </c>
      <c r="D349">
        <v>2</v>
      </c>
      <c r="E349" s="2">
        <v>45258</v>
      </c>
      <c r="F349" s="3">
        <v>0.85667824074074073</v>
      </c>
      <c r="G349" s="2">
        <v>45267</v>
      </c>
      <c r="H349" s="3">
        <v>0.50207175925925929</v>
      </c>
      <c r="I349" s="1" t="s">
        <v>292</v>
      </c>
      <c r="J349" s="1" t="s">
        <v>30</v>
      </c>
      <c r="K349">
        <v>9</v>
      </c>
      <c r="L349" t="str">
        <f>IF(tblOrders[[#This Row],[Quantity]]&lt;=0,"Check","OK")</f>
        <v>OK</v>
      </c>
      <c r="M349" s="1" t="str">
        <f>IF(tblOrders[[#This Row],[Delivery_Date]]&lt;tblOrders[[#This Row],[Order_Date]],"Error","OK")</f>
        <v>OK</v>
      </c>
    </row>
    <row r="350" spans="1:13" x14ac:dyDescent="0.25">
      <c r="A350" s="1">
        <v>349</v>
      </c>
      <c r="B350" s="1" t="s">
        <v>274</v>
      </c>
      <c r="C350">
        <v>44</v>
      </c>
      <c r="D350">
        <v>4</v>
      </c>
      <c r="E350" s="2">
        <v>45241</v>
      </c>
      <c r="F350" s="3">
        <v>0.14765046296296297</v>
      </c>
      <c r="G350" s="2">
        <v>45242</v>
      </c>
      <c r="H350" s="3">
        <v>0.43834490740740739</v>
      </c>
      <c r="I350" s="1" t="s">
        <v>425</v>
      </c>
      <c r="J350" s="1" t="s">
        <v>19</v>
      </c>
      <c r="K350">
        <v>1</v>
      </c>
      <c r="L350" t="str">
        <f>IF(tblOrders[[#This Row],[Quantity]]&lt;=0,"Check","OK")</f>
        <v>OK</v>
      </c>
      <c r="M350" s="1" t="str">
        <f>IF(tblOrders[[#This Row],[Delivery_Date]]&lt;tblOrders[[#This Row],[Order_Date]],"Error","OK")</f>
        <v>OK</v>
      </c>
    </row>
    <row r="351" spans="1:13" x14ac:dyDescent="0.25">
      <c r="A351" s="1">
        <v>350</v>
      </c>
      <c r="B351" s="1" t="s">
        <v>246</v>
      </c>
      <c r="C351">
        <v>19</v>
      </c>
      <c r="D351">
        <v>3</v>
      </c>
      <c r="E351" s="2">
        <v>44970</v>
      </c>
      <c r="F351" s="3">
        <v>0.51593750000000005</v>
      </c>
      <c r="G351" s="2">
        <v>44979</v>
      </c>
      <c r="H351" s="3">
        <v>0.68483796296296295</v>
      </c>
      <c r="I351" s="1" t="s">
        <v>339</v>
      </c>
      <c r="J351" s="1" t="s">
        <v>12</v>
      </c>
      <c r="K351">
        <v>9</v>
      </c>
      <c r="L351" t="str">
        <f>IF(tblOrders[[#This Row],[Quantity]]&lt;=0,"Check","OK")</f>
        <v>OK</v>
      </c>
      <c r="M351" s="1" t="str">
        <f>IF(tblOrders[[#This Row],[Delivery_Date]]&lt;tblOrders[[#This Row],[Order_Date]],"Error","OK")</f>
        <v>OK</v>
      </c>
    </row>
    <row r="352" spans="1:13" x14ac:dyDescent="0.25">
      <c r="A352" s="1">
        <v>351</v>
      </c>
      <c r="B352" s="1" t="s">
        <v>183</v>
      </c>
      <c r="C352">
        <v>1</v>
      </c>
      <c r="D352">
        <v>1</v>
      </c>
      <c r="E352" s="2">
        <v>44942</v>
      </c>
      <c r="F352" s="3">
        <v>0.63271990740740736</v>
      </c>
      <c r="G352" s="2">
        <v>44951</v>
      </c>
      <c r="H352" s="3">
        <v>0.93748842592592596</v>
      </c>
      <c r="I352" s="1" t="s">
        <v>383</v>
      </c>
      <c r="J352" s="1" t="s">
        <v>8</v>
      </c>
      <c r="K352">
        <v>9</v>
      </c>
      <c r="L352" t="str">
        <f>IF(tblOrders[[#This Row],[Quantity]]&lt;=0,"Check","OK")</f>
        <v>OK</v>
      </c>
      <c r="M352" s="1" t="str">
        <f>IF(tblOrders[[#This Row],[Delivery_Date]]&lt;tblOrders[[#This Row],[Order_Date]],"Error","OK")</f>
        <v>OK</v>
      </c>
    </row>
    <row r="353" spans="1:13" x14ac:dyDescent="0.25">
      <c r="A353" s="1">
        <v>352</v>
      </c>
      <c r="B353" s="1" t="s">
        <v>235</v>
      </c>
      <c r="C353">
        <v>28</v>
      </c>
      <c r="D353">
        <v>1</v>
      </c>
      <c r="E353" s="2">
        <v>45161</v>
      </c>
      <c r="F353" s="3">
        <v>0.99288194444444444</v>
      </c>
      <c r="G353" s="2">
        <v>45171</v>
      </c>
      <c r="H353" s="3">
        <v>0.3853240740740741</v>
      </c>
      <c r="I353" s="1" t="s">
        <v>462</v>
      </c>
      <c r="J353" s="1" t="s">
        <v>33</v>
      </c>
      <c r="K353">
        <v>10</v>
      </c>
      <c r="L353" t="str">
        <f>IF(tblOrders[[#This Row],[Quantity]]&lt;=0,"Check","OK")</f>
        <v>OK</v>
      </c>
      <c r="M353" s="1" t="str">
        <f>IF(tblOrders[[#This Row],[Delivery_Date]]&lt;tblOrders[[#This Row],[Order_Date]],"Error","OK")</f>
        <v>OK</v>
      </c>
    </row>
    <row r="354" spans="1:13" x14ac:dyDescent="0.25">
      <c r="A354" s="1">
        <v>353</v>
      </c>
      <c r="B354" s="1" t="s">
        <v>402</v>
      </c>
      <c r="C354">
        <v>55</v>
      </c>
      <c r="D354">
        <v>2</v>
      </c>
      <c r="E354" s="2">
        <v>45159</v>
      </c>
      <c r="F354" s="3">
        <v>0.40517361111111111</v>
      </c>
      <c r="G354" s="2">
        <v>45162</v>
      </c>
      <c r="H354" s="3">
        <v>0.59182870370370366</v>
      </c>
      <c r="I354" s="1" t="s">
        <v>442</v>
      </c>
      <c r="J354" s="1" t="s">
        <v>33</v>
      </c>
      <c r="K354">
        <v>3</v>
      </c>
      <c r="L354" t="str">
        <f>IF(tblOrders[[#This Row],[Quantity]]&lt;=0,"Check","OK")</f>
        <v>OK</v>
      </c>
      <c r="M354" s="1" t="str">
        <f>IF(tblOrders[[#This Row],[Delivery_Date]]&lt;tblOrders[[#This Row],[Order_Date]],"Error","OK")</f>
        <v>OK</v>
      </c>
    </row>
    <row r="355" spans="1:13" x14ac:dyDescent="0.25">
      <c r="A355" s="1">
        <v>354</v>
      </c>
      <c r="B355" s="1" t="s">
        <v>347</v>
      </c>
      <c r="C355">
        <v>13</v>
      </c>
      <c r="D355">
        <v>5</v>
      </c>
      <c r="E355" s="2">
        <v>44983</v>
      </c>
      <c r="F355" s="3">
        <v>0.72601851851851851</v>
      </c>
      <c r="G355" s="2">
        <v>44991</v>
      </c>
      <c r="H355" s="3">
        <v>0.40523148148148147</v>
      </c>
      <c r="I355" s="1" t="s">
        <v>309</v>
      </c>
      <c r="J355" s="1" t="s">
        <v>25</v>
      </c>
      <c r="K355">
        <v>8</v>
      </c>
      <c r="L355" t="str">
        <f>IF(tblOrders[[#This Row],[Quantity]]&lt;=0,"Check","OK")</f>
        <v>OK</v>
      </c>
      <c r="M355" s="1" t="str">
        <f>IF(tblOrders[[#This Row],[Delivery_Date]]&lt;tblOrders[[#This Row],[Order_Date]],"Error","OK")</f>
        <v>OK</v>
      </c>
    </row>
    <row r="356" spans="1:13" x14ac:dyDescent="0.25">
      <c r="A356" s="1">
        <v>355</v>
      </c>
      <c r="B356" s="1" t="s">
        <v>183</v>
      </c>
      <c r="C356">
        <v>10</v>
      </c>
      <c r="D356">
        <v>1</v>
      </c>
      <c r="E356" s="2">
        <v>45284</v>
      </c>
      <c r="F356" s="3">
        <v>0.20328703703703704</v>
      </c>
      <c r="G356" s="2">
        <v>45293</v>
      </c>
      <c r="H356" s="3">
        <v>0.40177083333333335</v>
      </c>
      <c r="I356" s="1" t="s">
        <v>344</v>
      </c>
      <c r="J356" s="1" t="s">
        <v>36</v>
      </c>
      <c r="K356">
        <v>9</v>
      </c>
      <c r="L356" t="str">
        <f>IF(tblOrders[[#This Row],[Quantity]]&lt;=0,"Check","OK")</f>
        <v>OK</v>
      </c>
      <c r="M356" s="1" t="str">
        <f>IF(tblOrders[[#This Row],[Delivery_Date]]&lt;tblOrders[[#This Row],[Order_Date]],"Error","OK")</f>
        <v>OK</v>
      </c>
    </row>
    <row r="357" spans="1:13" x14ac:dyDescent="0.25">
      <c r="A357" s="1">
        <v>356</v>
      </c>
      <c r="B357" s="1" t="s">
        <v>283</v>
      </c>
      <c r="C357">
        <v>14</v>
      </c>
      <c r="D357">
        <v>1</v>
      </c>
      <c r="E357" s="2">
        <v>45115</v>
      </c>
      <c r="F357" s="3">
        <v>2.8935185185185185E-2</v>
      </c>
      <c r="G357" s="2">
        <v>45116</v>
      </c>
      <c r="H357" s="3">
        <v>0.18868055555555555</v>
      </c>
      <c r="I357" s="1" t="s">
        <v>431</v>
      </c>
      <c r="J357" s="1" t="s">
        <v>36</v>
      </c>
      <c r="K357">
        <v>1</v>
      </c>
      <c r="L357" t="str">
        <f>IF(tblOrders[[#This Row],[Quantity]]&lt;=0,"Check","OK")</f>
        <v>OK</v>
      </c>
      <c r="M357" s="1" t="str">
        <f>IF(tblOrders[[#This Row],[Delivery_Date]]&lt;tblOrders[[#This Row],[Order_Date]],"Error","OK")</f>
        <v>OK</v>
      </c>
    </row>
    <row r="358" spans="1:13" x14ac:dyDescent="0.25">
      <c r="A358" s="1">
        <v>357</v>
      </c>
      <c r="B358" s="1" t="s">
        <v>213</v>
      </c>
      <c r="C358">
        <v>62</v>
      </c>
      <c r="D358">
        <v>4</v>
      </c>
      <c r="E358" s="2">
        <v>44988</v>
      </c>
      <c r="F358" s="3">
        <v>0.83423611111111107</v>
      </c>
      <c r="G358" s="2">
        <v>44998</v>
      </c>
      <c r="H358" s="3">
        <v>0.87192129629629633</v>
      </c>
      <c r="I358" s="1" t="s">
        <v>482</v>
      </c>
      <c r="J358" s="1" t="s">
        <v>25</v>
      </c>
      <c r="K358">
        <v>10</v>
      </c>
      <c r="L358" t="str">
        <f>IF(tblOrders[[#This Row],[Quantity]]&lt;=0,"Check","OK")</f>
        <v>OK</v>
      </c>
      <c r="M358" s="1" t="str">
        <f>IF(tblOrders[[#This Row],[Delivery_Date]]&lt;tblOrders[[#This Row],[Order_Date]],"Error","OK")</f>
        <v>OK</v>
      </c>
    </row>
    <row r="359" spans="1:13" x14ac:dyDescent="0.25">
      <c r="A359" s="1">
        <v>358</v>
      </c>
      <c r="B359" s="1" t="s">
        <v>176</v>
      </c>
      <c r="C359">
        <v>55</v>
      </c>
      <c r="D359">
        <v>1</v>
      </c>
      <c r="E359" s="2">
        <v>45158</v>
      </c>
      <c r="F359" s="3">
        <v>0.7038078703703704</v>
      </c>
      <c r="G359" s="2">
        <v>45163</v>
      </c>
      <c r="H359" s="3">
        <v>0.56292824074074077</v>
      </c>
      <c r="I359" s="1" t="s">
        <v>483</v>
      </c>
      <c r="J359" s="1" t="s">
        <v>33</v>
      </c>
      <c r="K359">
        <v>5</v>
      </c>
      <c r="L359" t="str">
        <f>IF(tblOrders[[#This Row],[Quantity]]&lt;=0,"Check","OK")</f>
        <v>OK</v>
      </c>
      <c r="M359" s="1" t="str">
        <f>IF(tblOrders[[#This Row],[Delivery_Date]]&lt;tblOrders[[#This Row],[Order_Date]],"Error","OK")</f>
        <v>OK</v>
      </c>
    </row>
    <row r="360" spans="1:13" x14ac:dyDescent="0.25">
      <c r="A360" s="1">
        <v>359</v>
      </c>
      <c r="B360" s="1" t="s">
        <v>437</v>
      </c>
      <c r="C360">
        <v>47</v>
      </c>
      <c r="D360">
        <v>2</v>
      </c>
      <c r="E360" s="2">
        <v>44985</v>
      </c>
      <c r="F360" s="3">
        <v>0.50944444444444448</v>
      </c>
      <c r="G360" s="2">
        <v>44990</v>
      </c>
      <c r="H360" s="3">
        <v>0.85520833333333335</v>
      </c>
      <c r="I360" s="1" t="s">
        <v>458</v>
      </c>
      <c r="J360" s="1" t="s">
        <v>25</v>
      </c>
      <c r="K360">
        <v>5</v>
      </c>
      <c r="L360" t="str">
        <f>IF(tblOrders[[#This Row],[Quantity]]&lt;=0,"Check","OK")</f>
        <v>OK</v>
      </c>
      <c r="M360" s="1" t="str">
        <f>IF(tblOrders[[#This Row],[Delivery_Date]]&lt;tblOrders[[#This Row],[Order_Date]],"Error","OK")</f>
        <v>OK</v>
      </c>
    </row>
    <row r="361" spans="1:13" x14ac:dyDescent="0.25">
      <c r="A361" s="1">
        <v>360</v>
      </c>
      <c r="B361" s="1" t="s">
        <v>183</v>
      </c>
      <c r="C361">
        <v>41</v>
      </c>
      <c r="D361">
        <v>1</v>
      </c>
      <c r="E361" s="2">
        <v>45236</v>
      </c>
      <c r="F361" s="3">
        <v>0.1332986111111111</v>
      </c>
      <c r="G361" s="2">
        <v>45239</v>
      </c>
      <c r="H361" s="3">
        <v>0.73994212962962957</v>
      </c>
      <c r="I361" s="1" t="s">
        <v>186</v>
      </c>
      <c r="J361" s="1" t="s">
        <v>19</v>
      </c>
      <c r="K361">
        <v>3</v>
      </c>
      <c r="L361" t="str">
        <f>IF(tblOrders[[#This Row],[Quantity]]&lt;=0,"Check","OK")</f>
        <v>OK</v>
      </c>
      <c r="M361" s="1" t="str">
        <f>IF(tblOrders[[#This Row],[Delivery_Date]]&lt;tblOrders[[#This Row],[Order_Date]],"Error","OK")</f>
        <v>OK</v>
      </c>
    </row>
    <row r="362" spans="1:13" x14ac:dyDescent="0.25">
      <c r="A362" s="1">
        <v>361</v>
      </c>
      <c r="B362" s="1" t="s">
        <v>367</v>
      </c>
      <c r="C362">
        <v>47</v>
      </c>
      <c r="D362">
        <v>4</v>
      </c>
      <c r="E362" s="2">
        <v>44988</v>
      </c>
      <c r="F362" s="3">
        <v>0.25689814814814815</v>
      </c>
      <c r="G362" s="2">
        <v>44996</v>
      </c>
      <c r="H362" s="3">
        <v>0.35636574074074073</v>
      </c>
      <c r="I362" s="1" t="s">
        <v>175</v>
      </c>
      <c r="J362" s="1" t="s">
        <v>25</v>
      </c>
      <c r="K362">
        <v>8</v>
      </c>
      <c r="L362" t="str">
        <f>IF(tblOrders[[#This Row],[Quantity]]&lt;=0,"Check","OK")</f>
        <v>OK</v>
      </c>
      <c r="M362" s="1" t="str">
        <f>IF(tblOrders[[#This Row],[Delivery_Date]]&lt;tblOrders[[#This Row],[Order_Date]],"Error","OK")</f>
        <v>OK</v>
      </c>
    </row>
    <row r="363" spans="1:13" x14ac:dyDescent="0.25">
      <c r="A363" s="1">
        <v>362</v>
      </c>
      <c r="B363" s="1" t="s">
        <v>206</v>
      </c>
      <c r="C363">
        <v>31</v>
      </c>
      <c r="D363">
        <v>2</v>
      </c>
      <c r="E363" s="2">
        <v>44995</v>
      </c>
      <c r="F363" s="3">
        <v>0.15278935185185186</v>
      </c>
      <c r="G363" s="2">
        <v>45002</v>
      </c>
      <c r="H363" s="3">
        <v>0.44123842592592594</v>
      </c>
      <c r="I363" s="1" t="s">
        <v>475</v>
      </c>
      <c r="J363" s="1" t="s">
        <v>8</v>
      </c>
      <c r="K363">
        <v>7</v>
      </c>
      <c r="L363" t="str">
        <f>IF(tblOrders[[#This Row],[Quantity]]&lt;=0,"Check","OK")</f>
        <v>OK</v>
      </c>
      <c r="M363" s="1" t="str">
        <f>IF(tblOrders[[#This Row],[Delivery_Date]]&lt;tblOrders[[#This Row],[Order_Date]],"Error","OK")</f>
        <v>OK</v>
      </c>
    </row>
    <row r="364" spans="1:13" x14ac:dyDescent="0.25">
      <c r="A364" s="1">
        <v>363</v>
      </c>
      <c r="B364" s="1" t="s">
        <v>349</v>
      </c>
      <c r="C364">
        <v>15</v>
      </c>
      <c r="D364">
        <v>2</v>
      </c>
      <c r="E364" s="2">
        <v>45257</v>
      </c>
      <c r="F364" s="3">
        <v>0.79237268518518522</v>
      </c>
      <c r="G364" s="2">
        <v>45265</v>
      </c>
      <c r="H364" s="3">
        <v>7.6805555555555557E-2</v>
      </c>
      <c r="I364" s="1" t="s">
        <v>240</v>
      </c>
      <c r="J364" s="1" t="s">
        <v>30</v>
      </c>
      <c r="K364">
        <v>8</v>
      </c>
      <c r="L364" t="str">
        <f>IF(tblOrders[[#This Row],[Quantity]]&lt;=0,"Check","OK")</f>
        <v>OK</v>
      </c>
      <c r="M364" s="1" t="str">
        <f>IF(tblOrders[[#This Row],[Delivery_Date]]&lt;tblOrders[[#This Row],[Order_Date]],"Error","OK")</f>
        <v>OK</v>
      </c>
    </row>
    <row r="365" spans="1:13" x14ac:dyDescent="0.25">
      <c r="A365" s="1">
        <v>364</v>
      </c>
      <c r="B365" s="1" t="s">
        <v>440</v>
      </c>
      <c r="C365">
        <v>43</v>
      </c>
      <c r="D365">
        <v>3</v>
      </c>
      <c r="E365" s="2">
        <v>45238</v>
      </c>
      <c r="F365" s="3">
        <v>0.25626157407407407</v>
      </c>
      <c r="G365" s="2">
        <v>45239</v>
      </c>
      <c r="H365" s="3">
        <v>0.19274305555555554</v>
      </c>
      <c r="I365" s="1" t="s">
        <v>344</v>
      </c>
      <c r="J365" s="1" t="s">
        <v>19</v>
      </c>
      <c r="K365">
        <v>1</v>
      </c>
      <c r="L365" t="str">
        <f>IF(tblOrders[[#This Row],[Quantity]]&lt;=0,"Check","OK")</f>
        <v>OK</v>
      </c>
      <c r="M365" s="1" t="str">
        <f>IF(tblOrders[[#This Row],[Delivery_Date]]&lt;tblOrders[[#This Row],[Order_Date]],"Error","OK")</f>
        <v>OK</v>
      </c>
    </row>
    <row r="366" spans="1:13" x14ac:dyDescent="0.25">
      <c r="A366" s="1">
        <v>365</v>
      </c>
      <c r="B366" s="1" t="s">
        <v>283</v>
      </c>
      <c r="C366">
        <v>8</v>
      </c>
      <c r="D366">
        <v>5</v>
      </c>
      <c r="E366" s="2">
        <v>45078</v>
      </c>
      <c r="F366" s="3">
        <v>0.6470717592592593</v>
      </c>
      <c r="G366" s="2">
        <v>45081</v>
      </c>
      <c r="H366" s="3">
        <v>0.4274189814814815</v>
      </c>
      <c r="I366" s="1" t="s">
        <v>296</v>
      </c>
      <c r="J366" s="1" t="s">
        <v>30</v>
      </c>
      <c r="K366">
        <v>3</v>
      </c>
      <c r="L366" t="str">
        <f>IF(tblOrders[[#This Row],[Quantity]]&lt;=0,"Check","OK")</f>
        <v>OK</v>
      </c>
      <c r="M366" s="1" t="str">
        <f>IF(tblOrders[[#This Row],[Delivery_Date]]&lt;tblOrders[[#This Row],[Order_Date]],"Error","OK")</f>
        <v>OK</v>
      </c>
    </row>
    <row r="367" spans="1:13" x14ac:dyDescent="0.25">
      <c r="A367" s="1">
        <v>366</v>
      </c>
      <c r="B367" s="1" t="s">
        <v>272</v>
      </c>
      <c r="C367">
        <v>3</v>
      </c>
      <c r="D367">
        <v>3</v>
      </c>
      <c r="E367" s="2">
        <v>44965</v>
      </c>
      <c r="F367" s="3">
        <v>0.96929398148148149</v>
      </c>
      <c r="G367" s="2">
        <v>44973</v>
      </c>
      <c r="H367" s="3">
        <v>0.45252314814814815</v>
      </c>
      <c r="I367" s="1" t="s">
        <v>339</v>
      </c>
      <c r="J367" s="1" t="s">
        <v>12</v>
      </c>
      <c r="K367">
        <v>8</v>
      </c>
      <c r="L367" t="str">
        <f>IF(tblOrders[[#This Row],[Quantity]]&lt;=0,"Check","OK")</f>
        <v>OK</v>
      </c>
      <c r="M367" s="1" t="str">
        <f>IF(tblOrders[[#This Row],[Delivery_Date]]&lt;tblOrders[[#This Row],[Order_Date]],"Error","OK")</f>
        <v>OK</v>
      </c>
    </row>
    <row r="368" spans="1:13" x14ac:dyDescent="0.25">
      <c r="A368" s="1">
        <v>367</v>
      </c>
      <c r="B368" s="1" t="s">
        <v>287</v>
      </c>
      <c r="C368">
        <v>47</v>
      </c>
      <c r="D368">
        <v>5</v>
      </c>
      <c r="E368" s="2">
        <v>44988</v>
      </c>
      <c r="F368" s="3">
        <v>3.0659722222222224E-2</v>
      </c>
      <c r="G368" s="2">
        <v>44997</v>
      </c>
      <c r="H368" s="3">
        <v>0.62850694444444444</v>
      </c>
      <c r="I368" s="1" t="s">
        <v>476</v>
      </c>
      <c r="J368" s="1" t="s">
        <v>25</v>
      </c>
      <c r="K368">
        <v>9</v>
      </c>
      <c r="L368" t="str">
        <f>IF(tblOrders[[#This Row],[Quantity]]&lt;=0,"Check","OK")</f>
        <v>OK</v>
      </c>
      <c r="M368" s="1" t="str">
        <f>IF(tblOrders[[#This Row],[Delivery_Date]]&lt;tblOrders[[#This Row],[Order_Date]],"Error","OK")</f>
        <v>OK</v>
      </c>
    </row>
    <row r="369" spans="1:13" x14ac:dyDescent="0.25">
      <c r="A369" s="1">
        <v>368</v>
      </c>
      <c r="B369" s="1" t="s">
        <v>190</v>
      </c>
      <c r="C369">
        <v>6</v>
      </c>
      <c r="D369">
        <v>3</v>
      </c>
      <c r="E369" s="2">
        <v>44989</v>
      </c>
      <c r="F369" s="3">
        <v>0.96067129629629633</v>
      </c>
      <c r="G369" s="2">
        <v>44991</v>
      </c>
      <c r="H369" s="3">
        <v>0.11956018518518519</v>
      </c>
      <c r="I369" s="1" t="s">
        <v>475</v>
      </c>
      <c r="J369" s="1" t="s">
        <v>25</v>
      </c>
      <c r="K369">
        <v>2</v>
      </c>
      <c r="L369" t="str">
        <f>IF(tblOrders[[#This Row],[Quantity]]&lt;=0,"Check","OK")</f>
        <v>OK</v>
      </c>
      <c r="M369" s="1" t="str">
        <f>IF(tblOrders[[#This Row],[Delivery_Date]]&lt;tblOrders[[#This Row],[Order_Date]],"Error","OK")</f>
        <v>OK</v>
      </c>
    </row>
    <row r="370" spans="1:13" x14ac:dyDescent="0.25">
      <c r="A370" s="1">
        <v>369</v>
      </c>
      <c r="B370" s="1" t="s">
        <v>248</v>
      </c>
      <c r="C370">
        <v>63</v>
      </c>
      <c r="D370">
        <v>3</v>
      </c>
      <c r="E370" s="2">
        <v>45145</v>
      </c>
      <c r="F370" s="3">
        <v>0.30814814814814817</v>
      </c>
      <c r="G370" s="2">
        <v>45153</v>
      </c>
      <c r="H370" s="3">
        <v>0.18645833333333334</v>
      </c>
      <c r="I370" s="1" t="s">
        <v>433</v>
      </c>
      <c r="J370" s="1" t="s">
        <v>8</v>
      </c>
      <c r="K370">
        <v>8</v>
      </c>
      <c r="L370" t="str">
        <f>IF(tblOrders[[#This Row],[Quantity]]&lt;=0,"Check","OK")</f>
        <v>OK</v>
      </c>
      <c r="M370" s="1" t="str">
        <f>IF(tblOrders[[#This Row],[Delivery_Date]]&lt;tblOrders[[#This Row],[Order_Date]],"Error","OK")</f>
        <v>OK</v>
      </c>
    </row>
    <row r="371" spans="1:13" x14ac:dyDescent="0.25">
      <c r="A371" s="1">
        <v>370</v>
      </c>
      <c r="B371" s="1" t="s">
        <v>471</v>
      </c>
      <c r="C371">
        <v>54</v>
      </c>
      <c r="D371">
        <v>2</v>
      </c>
      <c r="E371" s="2">
        <v>45116</v>
      </c>
      <c r="F371" s="3">
        <v>0.24836805555555555</v>
      </c>
      <c r="G371" s="2">
        <v>45120</v>
      </c>
      <c r="H371" s="3">
        <v>0.79282407407407407</v>
      </c>
      <c r="I371" s="1" t="s">
        <v>259</v>
      </c>
      <c r="J371" s="1" t="s">
        <v>30</v>
      </c>
      <c r="K371">
        <v>4</v>
      </c>
      <c r="L371" t="str">
        <f>IF(tblOrders[[#This Row],[Quantity]]&lt;=0,"Check","OK")</f>
        <v>OK</v>
      </c>
      <c r="M371" s="1" t="str">
        <f>IF(tblOrders[[#This Row],[Delivery_Date]]&lt;tblOrders[[#This Row],[Order_Date]],"Error","OK")</f>
        <v>OK</v>
      </c>
    </row>
    <row r="372" spans="1:13" x14ac:dyDescent="0.25">
      <c r="A372" s="1">
        <v>371</v>
      </c>
      <c r="B372" s="1" t="s">
        <v>202</v>
      </c>
      <c r="C372">
        <v>23</v>
      </c>
      <c r="D372">
        <v>4</v>
      </c>
      <c r="E372" s="2">
        <v>45061</v>
      </c>
      <c r="F372" s="3">
        <v>6.1087962962962962E-2</v>
      </c>
      <c r="G372" s="2">
        <v>45065</v>
      </c>
      <c r="H372" s="3">
        <v>0.43665509259259261</v>
      </c>
      <c r="I372" s="1" t="s">
        <v>371</v>
      </c>
      <c r="J372" s="1" t="s">
        <v>30</v>
      </c>
      <c r="K372">
        <v>4</v>
      </c>
      <c r="L372" t="str">
        <f>IF(tblOrders[[#This Row],[Quantity]]&lt;=0,"Check","OK")</f>
        <v>OK</v>
      </c>
      <c r="M372" s="1" t="str">
        <f>IF(tblOrders[[#This Row],[Delivery_Date]]&lt;tblOrders[[#This Row],[Order_Date]],"Error","OK")</f>
        <v>OK</v>
      </c>
    </row>
    <row r="373" spans="1:13" x14ac:dyDescent="0.25">
      <c r="A373" s="1">
        <v>372</v>
      </c>
      <c r="B373" s="1" t="s">
        <v>239</v>
      </c>
      <c r="C373">
        <v>25</v>
      </c>
      <c r="D373">
        <v>3</v>
      </c>
      <c r="E373" s="2">
        <v>45238</v>
      </c>
      <c r="F373" s="3">
        <v>0.79473379629629626</v>
      </c>
      <c r="G373" s="2">
        <v>45248</v>
      </c>
      <c r="H373" s="3">
        <v>0.76997685185185183</v>
      </c>
      <c r="I373" s="1" t="s">
        <v>377</v>
      </c>
      <c r="J373" s="1" t="s">
        <v>30</v>
      </c>
      <c r="K373">
        <v>10</v>
      </c>
      <c r="L373" t="str">
        <f>IF(tblOrders[[#This Row],[Quantity]]&lt;=0,"Check","OK")</f>
        <v>OK</v>
      </c>
      <c r="M373" s="1" t="str">
        <f>IF(tblOrders[[#This Row],[Delivery_Date]]&lt;tblOrders[[#This Row],[Order_Date]],"Error","OK")</f>
        <v>OK</v>
      </c>
    </row>
    <row r="374" spans="1:13" x14ac:dyDescent="0.25">
      <c r="A374" s="1">
        <v>373</v>
      </c>
      <c r="B374" s="1" t="s">
        <v>335</v>
      </c>
      <c r="C374">
        <v>65</v>
      </c>
      <c r="D374">
        <v>2</v>
      </c>
      <c r="E374" s="2">
        <v>45084</v>
      </c>
      <c r="F374" s="3">
        <v>0.8674884259259259</v>
      </c>
      <c r="G374" s="2">
        <v>45087</v>
      </c>
      <c r="H374" s="3">
        <v>0.99837962962962967</v>
      </c>
      <c r="I374" s="1" t="s">
        <v>472</v>
      </c>
      <c r="J374" s="1" t="s">
        <v>8</v>
      </c>
      <c r="K374">
        <v>3</v>
      </c>
      <c r="L374" t="str">
        <f>IF(tblOrders[[#This Row],[Quantity]]&lt;=0,"Check","OK")</f>
        <v>OK</v>
      </c>
      <c r="M374" s="1" t="str">
        <f>IF(tblOrders[[#This Row],[Delivery_Date]]&lt;tblOrders[[#This Row],[Order_Date]],"Error","OK")</f>
        <v>OK</v>
      </c>
    </row>
    <row r="375" spans="1:13" x14ac:dyDescent="0.25">
      <c r="A375" s="1">
        <v>374</v>
      </c>
      <c r="B375" s="1" t="s">
        <v>347</v>
      </c>
      <c r="C375">
        <v>4</v>
      </c>
      <c r="D375">
        <v>1</v>
      </c>
      <c r="E375" s="2">
        <v>45237</v>
      </c>
      <c r="F375" s="3">
        <v>0.32467592592592592</v>
      </c>
      <c r="G375" s="2">
        <v>45239</v>
      </c>
      <c r="H375" s="3">
        <v>0.93939814814814815</v>
      </c>
      <c r="I375" s="1" t="s">
        <v>243</v>
      </c>
      <c r="J375" s="1" t="s">
        <v>19</v>
      </c>
      <c r="K375">
        <v>2</v>
      </c>
      <c r="L375" t="str">
        <f>IF(tblOrders[[#This Row],[Quantity]]&lt;=0,"Check","OK")</f>
        <v>OK</v>
      </c>
      <c r="M375" s="1" t="str">
        <f>IF(tblOrders[[#This Row],[Delivery_Date]]&lt;tblOrders[[#This Row],[Order_Date]],"Error","OK")</f>
        <v>OK</v>
      </c>
    </row>
    <row r="376" spans="1:13" x14ac:dyDescent="0.25">
      <c r="A376" s="1">
        <v>375</v>
      </c>
      <c r="B376" s="1" t="s">
        <v>210</v>
      </c>
      <c r="C376">
        <v>46</v>
      </c>
      <c r="D376">
        <v>1</v>
      </c>
      <c r="E376" s="2">
        <v>44968</v>
      </c>
      <c r="F376" s="3">
        <v>0.17806712962962962</v>
      </c>
      <c r="G376" s="2">
        <v>44977</v>
      </c>
      <c r="H376" s="3">
        <v>0.8178009259259259</v>
      </c>
      <c r="I376" s="1" t="s">
        <v>484</v>
      </c>
      <c r="J376" s="1" t="s">
        <v>30</v>
      </c>
      <c r="K376">
        <v>9</v>
      </c>
      <c r="L376" t="str">
        <f>IF(tblOrders[[#This Row],[Quantity]]&lt;=0,"Check","OK")</f>
        <v>OK</v>
      </c>
      <c r="M376" s="1" t="str">
        <f>IF(tblOrders[[#This Row],[Delivery_Date]]&lt;tblOrders[[#This Row],[Order_Date]],"Error","OK")</f>
        <v>OK</v>
      </c>
    </row>
    <row r="377" spans="1:13" x14ac:dyDescent="0.25">
      <c r="A377" s="1">
        <v>376</v>
      </c>
      <c r="B377" s="1" t="s">
        <v>180</v>
      </c>
      <c r="C377">
        <v>10</v>
      </c>
      <c r="D377">
        <v>2</v>
      </c>
      <c r="E377" s="2">
        <v>45060</v>
      </c>
      <c r="F377" s="3">
        <v>0.84620370370370368</v>
      </c>
      <c r="G377" s="2">
        <v>45065</v>
      </c>
      <c r="H377" s="3">
        <v>0.99168981481481477</v>
      </c>
      <c r="I377" s="1" t="s">
        <v>218</v>
      </c>
      <c r="J377" s="1" t="s">
        <v>36</v>
      </c>
      <c r="K377">
        <v>5</v>
      </c>
      <c r="L377" t="str">
        <f>IF(tblOrders[[#This Row],[Quantity]]&lt;=0,"Check","OK")</f>
        <v>OK</v>
      </c>
      <c r="M377" s="1" t="str">
        <f>IF(tblOrders[[#This Row],[Delivery_Date]]&lt;tblOrders[[#This Row],[Order_Date]],"Error","OK")</f>
        <v>OK</v>
      </c>
    </row>
    <row r="378" spans="1:13" x14ac:dyDescent="0.25">
      <c r="A378" s="1">
        <v>377</v>
      </c>
      <c r="B378" s="1" t="s">
        <v>193</v>
      </c>
      <c r="C378">
        <v>55</v>
      </c>
      <c r="D378">
        <v>4</v>
      </c>
      <c r="E378" s="2">
        <v>45164</v>
      </c>
      <c r="F378" s="3">
        <v>0.35701388888888891</v>
      </c>
      <c r="G378" s="2">
        <v>45169</v>
      </c>
      <c r="H378" s="3">
        <v>0.49107638888888888</v>
      </c>
      <c r="I378" s="1" t="s">
        <v>485</v>
      </c>
      <c r="J378" s="1" t="s">
        <v>33</v>
      </c>
      <c r="K378">
        <v>5</v>
      </c>
      <c r="L378" t="str">
        <f>IF(tblOrders[[#This Row],[Quantity]]&lt;=0,"Check","OK")</f>
        <v>OK</v>
      </c>
      <c r="M378" s="1" t="str">
        <f>IF(tblOrders[[#This Row],[Delivery_Date]]&lt;tblOrders[[#This Row],[Order_Date]],"Error","OK")</f>
        <v>OK</v>
      </c>
    </row>
    <row r="379" spans="1:13" x14ac:dyDescent="0.25">
      <c r="A379" s="1">
        <v>378</v>
      </c>
      <c r="B379" s="1" t="s">
        <v>176</v>
      </c>
      <c r="C379">
        <v>6</v>
      </c>
      <c r="D379">
        <v>2</v>
      </c>
      <c r="E379" s="2">
        <v>44986</v>
      </c>
      <c r="F379" s="3">
        <v>0.47939814814814813</v>
      </c>
      <c r="G379" s="2">
        <v>44993</v>
      </c>
      <c r="H379" s="3">
        <v>0.81032407407407403</v>
      </c>
      <c r="I379" s="1" t="s">
        <v>486</v>
      </c>
      <c r="J379" s="1" t="s">
        <v>25</v>
      </c>
      <c r="K379">
        <v>7</v>
      </c>
      <c r="L379" t="str">
        <f>IF(tblOrders[[#This Row],[Quantity]]&lt;=0,"Check","OK")</f>
        <v>OK</v>
      </c>
      <c r="M379" s="1" t="str">
        <f>IF(tblOrders[[#This Row],[Delivery_Date]]&lt;tblOrders[[#This Row],[Order_Date]],"Error","OK")</f>
        <v>OK</v>
      </c>
    </row>
    <row r="380" spans="1:13" x14ac:dyDescent="0.25">
      <c r="A380" s="1">
        <v>379</v>
      </c>
      <c r="B380" s="1" t="s">
        <v>174</v>
      </c>
      <c r="C380">
        <v>66</v>
      </c>
      <c r="D380">
        <v>1</v>
      </c>
      <c r="E380" s="2">
        <v>44988</v>
      </c>
      <c r="F380" s="3">
        <v>0.98033564814814811</v>
      </c>
      <c r="G380" s="2">
        <v>44991</v>
      </c>
      <c r="H380" s="3">
        <v>0.44725694444444447</v>
      </c>
      <c r="I380" s="1" t="s">
        <v>240</v>
      </c>
      <c r="J380" s="1" t="s">
        <v>25</v>
      </c>
      <c r="K380">
        <v>3</v>
      </c>
      <c r="L380" t="str">
        <f>IF(tblOrders[[#This Row],[Quantity]]&lt;=0,"Check","OK")</f>
        <v>OK</v>
      </c>
      <c r="M380" s="1" t="str">
        <f>IF(tblOrders[[#This Row],[Delivery_Date]]&lt;tblOrders[[#This Row],[Order_Date]],"Error","OK")</f>
        <v>OK</v>
      </c>
    </row>
    <row r="381" spans="1:13" x14ac:dyDescent="0.25">
      <c r="A381" s="1">
        <v>380</v>
      </c>
      <c r="B381" s="1" t="s">
        <v>178</v>
      </c>
      <c r="C381">
        <v>60</v>
      </c>
      <c r="D381">
        <v>4</v>
      </c>
      <c r="E381" s="2">
        <v>45238</v>
      </c>
      <c r="F381" s="3">
        <v>0.56460648148148151</v>
      </c>
      <c r="G381" s="2">
        <v>45245</v>
      </c>
      <c r="H381" s="3">
        <v>0.98653935185185182</v>
      </c>
      <c r="I381" s="1" t="s">
        <v>487</v>
      </c>
      <c r="J381" s="1" t="s">
        <v>19</v>
      </c>
      <c r="K381">
        <v>7</v>
      </c>
      <c r="L381" t="str">
        <f>IF(tblOrders[[#This Row],[Quantity]]&lt;=0,"Check","OK")</f>
        <v>OK</v>
      </c>
      <c r="M381" s="1" t="str">
        <f>IF(tblOrders[[#This Row],[Delivery_Date]]&lt;tblOrders[[#This Row],[Order_Date]],"Error","OK")</f>
        <v>OK</v>
      </c>
    </row>
    <row r="382" spans="1:13" x14ac:dyDescent="0.25">
      <c r="A382" s="1">
        <v>381</v>
      </c>
      <c r="B382" s="1" t="s">
        <v>193</v>
      </c>
      <c r="C382">
        <v>25</v>
      </c>
      <c r="D382">
        <v>3</v>
      </c>
      <c r="E382" s="2">
        <v>44951</v>
      </c>
      <c r="F382" s="3">
        <v>0.7708680555555556</v>
      </c>
      <c r="G382" s="2">
        <v>44954</v>
      </c>
      <c r="H382" s="3">
        <v>0.26465277777777779</v>
      </c>
      <c r="I382" s="1" t="s">
        <v>461</v>
      </c>
      <c r="J382" s="1" t="s">
        <v>30</v>
      </c>
      <c r="K382">
        <v>3</v>
      </c>
      <c r="L382" t="str">
        <f>IF(tblOrders[[#This Row],[Quantity]]&lt;=0,"Check","OK")</f>
        <v>OK</v>
      </c>
      <c r="M382" s="1" t="str">
        <f>IF(tblOrders[[#This Row],[Delivery_Date]]&lt;tblOrders[[#This Row],[Order_Date]],"Error","OK")</f>
        <v>OK</v>
      </c>
    </row>
    <row r="383" spans="1:13" x14ac:dyDescent="0.25">
      <c r="A383" s="1">
        <v>382</v>
      </c>
      <c r="B383" s="1" t="s">
        <v>440</v>
      </c>
      <c r="C383">
        <v>24</v>
      </c>
      <c r="D383">
        <v>1</v>
      </c>
      <c r="E383" s="2">
        <v>45080</v>
      </c>
      <c r="F383" s="3">
        <v>0.41827546296296297</v>
      </c>
      <c r="G383" s="2">
        <v>45090</v>
      </c>
      <c r="H383" s="3">
        <v>0.91236111111111107</v>
      </c>
      <c r="I383" s="1" t="s">
        <v>377</v>
      </c>
      <c r="J383" s="1" t="s">
        <v>36</v>
      </c>
      <c r="K383">
        <v>10</v>
      </c>
      <c r="L383" t="str">
        <f>IF(tblOrders[[#This Row],[Quantity]]&lt;=0,"Check","OK")</f>
        <v>OK</v>
      </c>
      <c r="M383" s="1" t="str">
        <f>IF(tblOrders[[#This Row],[Delivery_Date]]&lt;tblOrders[[#This Row],[Order_Date]],"Error","OK")</f>
        <v>OK</v>
      </c>
    </row>
    <row r="384" spans="1:13" x14ac:dyDescent="0.25">
      <c r="A384" s="1">
        <v>383</v>
      </c>
      <c r="B384" s="1" t="s">
        <v>392</v>
      </c>
      <c r="C384">
        <v>37</v>
      </c>
      <c r="D384">
        <v>1</v>
      </c>
      <c r="E384" s="2">
        <v>45236</v>
      </c>
      <c r="F384" s="3">
        <v>1.1631944444444445E-2</v>
      </c>
      <c r="G384" s="2">
        <v>45238</v>
      </c>
      <c r="H384" s="3">
        <v>0.84018518518518515</v>
      </c>
      <c r="I384" s="1" t="s">
        <v>473</v>
      </c>
      <c r="J384" s="1" t="s">
        <v>19</v>
      </c>
      <c r="K384">
        <v>2</v>
      </c>
      <c r="L384" t="str">
        <f>IF(tblOrders[[#This Row],[Quantity]]&lt;=0,"Check","OK")</f>
        <v>OK</v>
      </c>
      <c r="M384" s="1" t="str">
        <f>IF(tblOrders[[#This Row],[Delivery_Date]]&lt;tblOrders[[#This Row],[Order_Date]],"Error","OK")</f>
        <v>OK</v>
      </c>
    </row>
    <row r="385" spans="1:13" x14ac:dyDescent="0.25">
      <c r="A385" s="1">
        <v>384</v>
      </c>
      <c r="B385" s="1" t="s">
        <v>400</v>
      </c>
      <c r="C385">
        <v>25</v>
      </c>
      <c r="D385">
        <v>3</v>
      </c>
      <c r="E385" s="2">
        <v>45057</v>
      </c>
      <c r="F385" s="3">
        <v>0.70690972222222226</v>
      </c>
      <c r="G385" s="2">
        <v>45061</v>
      </c>
      <c r="H385" s="3">
        <v>0.58140046296296299</v>
      </c>
      <c r="I385" s="1" t="s">
        <v>383</v>
      </c>
      <c r="J385" s="1" t="s">
        <v>30</v>
      </c>
      <c r="K385">
        <v>4</v>
      </c>
      <c r="L385" t="str">
        <f>IF(tblOrders[[#This Row],[Quantity]]&lt;=0,"Check","OK")</f>
        <v>OK</v>
      </c>
      <c r="M385" s="1" t="str">
        <f>IF(tblOrders[[#This Row],[Delivery_Date]]&lt;tblOrders[[#This Row],[Order_Date]],"Error","OK")</f>
        <v>OK</v>
      </c>
    </row>
    <row r="386" spans="1:13" x14ac:dyDescent="0.25">
      <c r="A386" s="1">
        <v>385</v>
      </c>
      <c r="B386" s="1" t="s">
        <v>488</v>
      </c>
      <c r="C386">
        <v>50</v>
      </c>
      <c r="D386">
        <v>4</v>
      </c>
      <c r="E386" s="2">
        <v>44988</v>
      </c>
      <c r="F386" s="3">
        <v>5.2789351851851851E-2</v>
      </c>
      <c r="G386" s="2">
        <v>44993</v>
      </c>
      <c r="H386" s="3">
        <v>0.44881944444444444</v>
      </c>
      <c r="I386" s="1" t="s">
        <v>439</v>
      </c>
      <c r="J386" s="1" t="s">
        <v>25</v>
      </c>
      <c r="K386">
        <v>5</v>
      </c>
      <c r="L386" t="str">
        <f>IF(tblOrders[[#This Row],[Quantity]]&lt;=0,"Check","OK")</f>
        <v>OK</v>
      </c>
      <c r="M386" s="1" t="str">
        <f>IF(tblOrders[[#This Row],[Delivery_Date]]&lt;tblOrders[[#This Row],[Order_Date]],"Error","OK")</f>
        <v>OK</v>
      </c>
    </row>
    <row r="387" spans="1:13" x14ac:dyDescent="0.25">
      <c r="A387" s="1">
        <v>386</v>
      </c>
      <c r="B387" s="1" t="s">
        <v>210</v>
      </c>
      <c r="C387">
        <v>5</v>
      </c>
      <c r="D387">
        <v>4</v>
      </c>
      <c r="E387" s="2">
        <v>45081</v>
      </c>
      <c r="F387" s="3">
        <v>0.53315972222222219</v>
      </c>
      <c r="G387" s="2">
        <v>45091</v>
      </c>
      <c r="H387" s="3">
        <v>0.89908564814814818</v>
      </c>
      <c r="I387" s="1" t="s">
        <v>416</v>
      </c>
      <c r="J387" s="1" t="s">
        <v>8</v>
      </c>
      <c r="K387">
        <v>10</v>
      </c>
      <c r="L387" t="str">
        <f>IF(tblOrders[[#This Row],[Quantity]]&lt;=0,"Check","OK")</f>
        <v>OK</v>
      </c>
      <c r="M387" s="1" t="str">
        <f>IF(tblOrders[[#This Row],[Delivery_Date]]&lt;tblOrders[[#This Row],[Order_Date]],"Error","OK")</f>
        <v>OK</v>
      </c>
    </row>
    <row r="388" spans="1:13" x14ac:dyDescent="0.25">
      <c r="A388" s="1">
        <v>387</v>
      </c>
      <c r="B388" s="1" t="s">
        <v>302</v>
      </c>
      <c r="C388">
        <v>1</v>
      </c>
      <c r="D388">
        <v>2</v>
      </c>
      <c r="E388" s="2">
        <v>45046</v>
      </c>
      <c r="F388" s="3">
        <v>0.23501157407407408</v>
      </c>
      <c r="G388" s="2">
        <v>45055</v>
      </c>
      <c r="H388" s="3">
        <v>9.4421296296296295E-2</v>
      </c>
      <c r="I388" s="1" t="s">
        <v>260</v>
      </c>
      <c r="J388" s="1" t="s">
        <v>8</v>
      </c>
      <c r="K388">
        <v>9</v>
      </c>
      <c r="L388" t="str">
        <f>IF(tblOrders[[#This Row],[Quantity]]&lt;=0,"Check","OK")</f>
        <v>OK</v>
      </c>
      <c r="M388" s="1" t="str">
        <f>IF(tblOrders[[#This Row],[Delivery_Date]]&lt;tblOrders[[#This Row],[Order_Date]],"Error","OK")</f>
        <v>OK</v>
      </c>
    </row>
    <row r="389" spans="1:13" x14ac:dyDescent="0.25">
      <c r="A389" s="1">
        <v>388</v>
      </c>
      <c r="B389" s="1" t="s">
        <v>232</v>
      </c>
      <c r="C389">
        <v>36</v>
      </c>
      <c r="D389">
        <v>2</v>
      </c>
      <c r="E389" s="2">
        <v>45240</v>
      </c>
      <c r="F389" s="3">
        <v>1.0532407407407407E-2</v>
      </c>
      <c r="G389" s="2">
        <v>45248</v>
      </c>
      <c r="H389" s="3">
        <v>0.44243055555555555</v>
      </c>
      <c r="I389" s="1" t="s">
        <v>363</v>
      </c>
      <c r="J389" s="1" t="s">
        <v>36</v>
      </c>
      <c r="K389">
        <v>8</v>
      </c>
      <c r="L389" t="str">
        <f>IF(tblOrders[[#This Row],[Quantity]]&lt;=0,"Check","OK")</f>
        <v>OK</v>
      </c>
      <c r="M389" s="1" t="str">
        <f>IF(tblOrders[[#This Row],[Delivery_Date]]&lt;tblOrders[[#This Row],[Order_Date]],"Error","OK")</f>
        <v>OK</v>
      </c>
    </row>
    <row r="390" spans="1:13" x14ac:dyDescent="0.25">
      <c r="A390" s="1">
        <v>389</v>
      </c>
      <c r="B390" s="1" t="s">
        <v>302</v>
      </c>
      <c r="C390">
        <v>29</v>
      </c>
      <c r="D390">
        <v>2</v>
      </c>
      <c r="E390" s="2">
        <v>44991</v>
      </c>
      <c r="F390" s="3">
        <v>0.14326388888888889</v>
      </c>
      <c r="G390" s="2">
        <v>45001</v>
      </c>
      <c r="H390" s="3">
        <v>0.75949074074074074</v>
      </c>
      <c r="I390" s="1" t="s">
        <v>303</v>
      </c>
      <c r="J390" s="1" t="s">
        <v>25</v>
      </c>
      <c r="K390">
        <v>10</v>
      </c>
      <c r="L390" t="str">
        <f>IF(tblOrders[[#This Row],[Quantity]]&lt;=0,"Check","OK")</f>
        <v>OK</v>
      </c>
      <c r="M390" s="1" t="str">
        <f>IF(tblOrders[[#This Row],[Delivery_Date]]&lt;tblOrders[[#This Row],[Order_Date]],"Error","OK")</f>
        <v>OK</v>
      </c>
    </row>
    <row r="391" spans="1:13" x14ac:dyDescent="0.25">
      <c r="A391" s="1">
        <v>390</v>
      </c>
      <c r="B391" s="1" t="s">
        <v>409</v>
      </c>
      <c r="C391">
        <v>26</v>
      </c>
      <c r="D391">
        <v>4</v>
      </c>
      <c r="E391" s="2">
        <v>44988</v>
      </c>
      <c r="F391" s="3">
        <v>0.65342592592592597</v>
      </c>
      <c r="G391" s="2">
        <v>44995</v>
      </c>
      <c r="H391" s="3">
        <v>0.95980324074074075</v>
      </c>
      <c r="I391" s="1" t="s">
        <v>464</v>
      </c>
      <c r="J391" s="1" t="s">
        <v>25</v>
      </c>
      <c r="K391">
        <v>7</v>
      </c>
      <c r="L391" t="str">
        <f>IF(tblOrders[[#This Row],[Quantity]]&lt;=0,"Check","OK")</f>
        <v>OK</v>
      </c>
      <c r="M391" s="1" t="str">
        <f>IF(tblOrders[[#This Row],[Delivery_Date]]&lt;tblOrders[[#This Row],[Order_Date]],"Error","OK")</f>
        <v>OK</v>
      </c>
    </row>
    <row r="392" spans="1:13" x14ac:dyDescent="0.25">
      <c r="A392" s="1">
        <v>391</v>
      </c>
      <c r="B392" s="1" t="s">
        <v>333</v>
      </c>
      <c r="C392">
        <v>22</v>
      </c>
      <c r="D392">
        <v>4</v>
      </c>
      <c r="E392" s="2">
        <v>45289</v>
      </c>
      <c r="F392" s="3">
        <v>0.57229166666666664</v>
      </c>
      <c r="G392" s="2">
        <v>45298</v>
      </c>
      <c r="H392" s="3">
        <v>0.54075231481481478</v>
      </c>
      <c r="I392" s="1" t="s">
        <v>399</v>
      </c>
      <c r="J392" s="1" t="s">
        <v>8</v>
      </c>
      <c r="K392">
        <v>9</v>
      </c>
      <c r="L392" t="str">
        <f>IF(tblOrders[[#This Row],[Quantity]]&lt;=0,"Check","OK")</f>
        <v>OK</v>
      </c>
      <c r="M392" s="1" t="str">
        <f>IF(tblOrders[[#This Row],[Delivery_Date]]&lt;tblOrders[[#This Row],[Order_Date]],"Error","OK")</f>
        <v>OK</v>
      </c>
    </row>
    <row r="393" spans="1:13" x14ac:dyDescent="0.25">
      <c r="A393" s="1">
        <v>392</v>
      </c>
      <c r="B393" s="1" t="s">
        <v>382</v>
      </c>
      <c r="C393">
        <v>4</v>
      </c>
      <c r="D393">
        <v>2</v>
      </c>
      <c r="E393" s="2">
        <v>45235</v>
      </c>
      <c r="F393" s="3">
        <v>0.13813657407407406</v>
      </c>
      <c r="G393" s="2">
        <v>45236</v>
      </c>
      <c r="H393" s="3">
        <v>0.78690972222222222</v>
      </c>
      <c r="I393" s="1" t="s">
        <v>489</v>
      </c>
      <c r="J393" s="1" t="s">
        <v>19</v>
      </c>
      <c r="K393">
        <v>1</v>
      </c>
      <c r="L393" t="str">
        <f>IF(tblOrders[[#This Row],[Quantity]]&lt;=0,"Check","OK")</f>
        <v>OK</v>
      </c>
      <c r="M393" s="1" t="str">
        <f>IF(tblOrders[[#This Row],[Delivery_Date]]&lt;tblOrders[[#This Row],[Order_Date]],"Error","OK")</f>
        <v>OK</v>
      </c>
    </row>
    <row r="394" spans="1:13" x14ac:dyDescent="0.25">
      <c r="A394" s="1">
        <v>393</v>
      </c>
      <c r="B394" s="1" t="s">
        <v>347</v>
      </c>
      <c r="C394">
        <v>17</v>
      </c>
      <c r="D394">
        <v>5</v>
      </c>
      <c r="E394" s="2">
        <v>45244</v>
      </c>
      <c r="F394" s="3">
        <v>0.45923611111111112</v>
      </c>
      <c r="G394" s="2">
        <v>45252</v>
      </c>
      <c r="H394" s="3">
        <v>0.6741435185185185</v>
      </c>
      <c r="I394" s="1" t="s">
        <v>490</v>
      </c>
      <c r="J394" s="1" t="s">
        <v>30</v>
      </c>
      <c r="K394">
        <v>8</v>
      </c>
      <c r="L394" t="str">
        <f>IF(tblOrders[[#This Row],[Quantity]]&lt;=0,"Check","OK")</f>
        <v>OK</v>
      </c>
      <c r="M394" s="1" t="str">
        <f>IF(tblOrders[[#This Row],[Delivery_Date]]&lt;tblOrders[[#This Row],[Order_Date]],"Error","OK")</f>
        <v>OK</v>
      </c>
    </row>
    <row r="395" spans="1:13" x14ac:dyDescent="0.25">
      <c r="A395" s="1">
        <v>394</v>
      </c>
      <c r="B395" s="1" t="s">
        <v>283</v>
      </c>
      <c r="C395">
        <v>38</v>
      </c>
      <c r="D395">
        <v>5</v>
      </c>
      <c r="E395" s="2">
        <v>45008</v>
      </c>
      <c r="F395" s="3">
        <v>0.18515046296296298</v>
      </c>
      <c r="G395" s="2">
        <v>45016</v>
      </c>
      <c r="H395" s="3">
        <v>0.80969907407407404</v>
      </c>
      <c r="I395" s="1" t="s">
        <v>401</v>
      </c>
      <c r="J395" s="1" t="s">
        <v>36</v>
      </c>
      <c r="K395">
        <v>8</v>
      </c>
      <c r="L395" t="str">
        <f>IF(tblOrders[[#This Row],[Quantity]]&lt;=0,"Check","OK")</f>
        <v>OK</v>
      </c>
      <c r="M395" s="1" t="str">
        <f>IF(tblOrders[[#This Row],[Delivery_Date]]&lt;tblOrders[[#This Row],[Order_Date]],"Error","OK")</f>
        <v>OK</v>
      </c>
    </row>
    <row r="396" spans="1:13" x14ac:dyDescent="0.25">
      <c r="A396" s="1">
        <v>395</v>
      </c>
      <c r="B396" s="1" t="s">
        <v>229</v>
      </c>
      <c r="C396">
        <v>26</v>
      </c>
      <c r="D396">
        <v>2</v>
      </c>
      <c r="E396" s="2">
        <v>44988</v>
      </c>
      <c r="F396" s="3">
        <v>0.96868055555555554</v>
      </c>
      <c r="G396" s="2">
        <v>44991</v>
      </c>
      <c r="H396" s="3">
        <v>0.77265046296296291</v>
      </c>
      <c r="I396" s="1" t="s">
        <v>467</v>
      </c>
      <c r="J396" s="1" t="s">
        <v>25</v>
      </c>
      <c r="K396">
        <v>3</v>
      </c>
      <c r="L396" t="str">
        <f>IF(tblOrders[[#This Row],[Quantity]]&lt;=0,"Check","OK")</f>
        <v>OK</v>
      </c>
      <c r="M396" s="1" t="str">
        <f>IF(tblOrders[[#This Row],[Delivery_Date]]&lt;tblOrders[[#This Row],[Order_Date]],"Error","OK")</f>
        <v>OK</v>
      </c>
    </row>
    <row r="397" spans="1:13" x14ac:dyDescent="0.25">
      <c r="A397" s="1">
        <v>396</v>
      </c>
      <c r="B397" s="1" t="s">
        <v>388</v>
      </c>
      <c r="C397">
        <v>10</v>
      </c>
      <c r="D397">
        <v>5</v>
      </c>
      <c r="E397" s="2">
        <v>45000</v>
      </c>
      <c r="F397" s="3">
        <v>0.64650462962962962</v>
      </c>
      <c r="G397" s="2">
        <v>45001</v>
      </c>
      <c r="H397" s="3">
        <v>7.2928240740740738E-2</v>
      </c>
      <c r="I397" s="1" t="s">
        <v>378</v>
      </c>
      <c r="J397" s="1" t="s">
        <v>36</v>
      </c>
      <c r="K397">
        <v>1</v>
      </c>
      <c r="L397" t="str">
        <f>IF(tblOrders[[#This Row],[Quantity]]&lt;=0,"Check","OK")</f>
        <v>OK</v>
      </c>
      <c r="M397" s="1" t="str">
        <f>IF(tblOrders[[#This Row],[Delivery_Date]]&lt;tblOrders[[#This Row],[Order_Date]],"Error","OK")</f>
        <v>OK</v>
      </c>
    </row>
    <row r="398" spans="1:13" x14ac:dyDescent="0.25">
      <c r="A398" s="1">
        <v>397</v>
      </c>
      <c r="B398" s="1" t="s">
        <v>480</v>
      </c>
      <c r="C398">
        <v>4</v>
      </c>
      <c r="D398">
        <v>5</v>
      </c>
      <c r="E398" s="2">
        <v>45239</v>
      </c>
      <c r="F398" s="3">
        <v>0.28343750000000001</v>
      </c>
      <c r="G398" s="2">
        <v>45244</v>
      </c>
      <c r="H398" s="3">
        <v>0.56428240740740743</v>
      </c>
      <c r="I398" s="1" t="s">
        <v>425</v>
      </c>
      <c r="J398" s="1" t="s">
        <v>19</v>
      </c>
      <c r="K398">
        <v>5</v>
      </c>
      <c r="L398" t="str">
        <f>IF(tblOrders[[#This Row],[Quantity]]&lt;=0,"Check","OK")</f>
        <v>OK</v>
      </c>
      <c r="M398" s="1" t="str">
        <f>IF(tblOrders[[#This Row],[Delivery_Date]]&lt;tblOrders[[#This Row],[Order_Date]],"Error","OK")</f>
        <v>OK</v>
      </c>
    </row>
    <row r="399" spans="1:13" x14ac:dyDescent="0.25">
      <c r="A399" s="1">
        <v>398</v>
      </c>
      <c r="B399" s="1" t="s">
        <v>235</v>
      </c>
      <c r="C399">
        <v>54</v>
      </c>
      <c r="D399">
        <v>1</v>
      </c>
      <c r="E399" s="2">
        <v>45051</v>
      </c>
      <c r="F399" s="3">
        <v>0.36482638888888891</v>
      </c>
      <c r="G399" s="2">
        <v>45061</v>
      </c>
      <c r="H399" s="3">
        <v>0.4178587962962963</v>
      </c>
      <c r="I399" s="1" t="s">
        <v>411</v>
      </c>
      <c r="J399" s="1" t="s">
        <v>30</v>
      </c>
      <c r="K399">
        <v>10</v>
      </c>
      <c r="L399" t="str">
        <f>IF(tblOrders[[#This Row],[Quantity]]&lt;=0,"Check","OK")</f>
        <v>OK</v>
      </c>
      <c r="M399" s="1" t="str">
        <f>IF(tblOrders[[#This Row],[Delivery_Date]]&lt;tblOrders[[#This Row],[Order_Date]],"Error","OK")</f>
        <v>OK</v>
      </c>
    </row>
    <row r="400" spans="1:13" x14ac:dyDescent="0.25">
      <c r="A400" s="1">
        <v>399</v>
      </c>
      <c r="B400" s="1" t="s">
        <v>289</v>
      </c>
      <c r="C400">
        <v>68</v>
      </c>
      <c r="D400">
        <v>1</v>
      </c>
      <c r="E400" s="2">
        <v>44965</v>
      </c>
      <c r="F400" s="3">
        <v>0.26512731481481483</v>
      </c>
      <c r="G400" s="2">
        <v>44972</v>
      </c>
      <c r="H400" s="3">
        <v>0.29738425925925926</v>
      </c>
      <c r="I400" s="1" t="s">
        <v>399</v>
      </c>
      <c r="J400" s="1" t="s">
        <v>12</v>
      </c>
      <c r="K400">
        <v>7</v>
      </c>
      <c r="L400" t="str">
        <f>IF(tblOrders[[#This Row],[Quantity]]&lt;=0,"Check","OK")</f>
        <v>OK</v>
      </c>
      <c r="M400" s="1" t="str">
        <f>IF(tblOrders[[#This Row],[Delivery_Date]]&lt;tblOrders[[#This Row],[Order_Date]],"Error","OK")</f>
        <v>OK</v>
      </c>
    </row>
    <row r="401" spans="1:13" x14ac:dyDescent="0.25">
      <c r="A401" s="1">
        <v>400</v>
      </c>
      <c r="B401" s="1" t="s">
        <v>333</v>
      </c>
      <c r="C401">
        <v>45</v>
      </c>
      <c r="D401">
        <v>3</v>
      </c>
      <c r="E401" s="2">
        <v>45053</v>
      </c>
      <c r="F401" s="3">
        <v>0.58681712962962962</v>
      </c>
      <c r="G401" s="2">
        <v>45061</v>
      </c>
      <c r="H401" s="3">
        <v>0.75755787037037037</v>
      </c>
      <c r="I401" s="1" t="s">
        <v>356</v>
      </c>
      <c r="J401" s="1" t="s">
        <v>36</v>
      </c>
      <c r="K401">
        <v>8</v>
      </c>
      <c r="L401" t="str">
        <f>IF(tblOrders[[#This Row],[Quantity]]&lt;=0,"Check","OK")</f>
        <v>OK</v>
      </c>
      <c r="M401" s="1" t="str">
        <f>IF(tblOrders[[#This Row],[Delivery_Date]]&lt;tblOrders[[#This Row],[Order_Date]],"Error","OK")</f>
        <v>OK</v>
      </c>
    </row>
    <row r="402" spans="1:13" x14ac:dyDescent="0.25">
      <c r="A402" s="1">
        <v>401</v>
      </c>
      <c r="B402" s="1" t="s">
        <v>402</v>
      </c>
      <c r="C402">
        <v>9</v>
      </c>
      <c r="D402">
        <v>5</v>
      </c>
      <c r="E402" s="2">
        <v>45167</v>
      </c>
      <c r="F402" s="3">
        <v>0.82885416666666667</v>
      </c>
      <c r="G402" s="2">
        <v>45173</v>
      </c>
      <c r="H402" s="3">
        <v>0.30494212962962963</v>
      </c>
      <c r="I402" s="1" t="s">
        <v>352</v>
      </c>
      <c r="J402" s="1" t="s">
        <v>33</v>
      </c>
      <c r="K402">
        <v>6</v>
      </c>
      <c r="L402" t="str">
        <f>IF(tblOrders[[#This Row],[Quantity]]&lt;=0,"Check","OK")</f>
        <v>OK</v>
      </c>
      <c r="M402" s="1" t="str">
        <f>IF(tblOrders[[#This Row],[Delivery_Date]]&lt;tblOrders[[#This Row],[Order_Date]],"Error","OK")</f>
        <v>OK</v>
      </c>
    </row>
    <row r="403" spans="1:13" x14ac:dyDescent="0.25">
      <c r="A403" s="1">
        <v>402</v>
      </c>
      <c r="B403" s="1" t="s">
        <v>166</v>
      </c>
      <c r="C403">
        <v>29</v>
      </c>
      <c r="D403">
        <v>1</v>
      </c>
      <c r="E403" s="2">
        <v>44990</v>
      </c>
      <c r="F403" s="3">
        <v>0.69616898148148143</v>
      </c>
      <c r="G403" s="2">
        <v>44993</v>
      </c>
      <c r="H403" s="3">
        <v>0.5644675925925926</v>
      </c>
      <c r="I403" s="1" t="s">
        <v>275</v>
      </c>
      <c r="J403" s="1" t="s">
        <v>25</v>
      </c>
      <c r="K403">
        <v>3</v>
      </c>
      <c r="L403" t="str">
        <f>IF(tblOrders[[#This Row],[Quantity]]&lt;=0,"Check","OK")</f>
        <v>OK</v>
      </c>
      <c r="M403" s="1" t="str">
        <f>IF(tblOrders[[#This Row],[Delivery_Date]]&lt;tblOrders[[#This Row],[Order_Date]],"Error","OK")</f>
        <v>OK</v>
      </c>
    </row>
    <row r="404" spans="1:13" x14ac:dyDescent="0.25">
      <c r="A404" s="1">
        <v>403</v>
      </c>
      <c r="B404" s="1" t="s">
        <v>321</v>
      </c>
      <c r="C404">
        <v>57</v>
      </c>
      <c r="D404">
        <v>1</v>
      </c>
      <c r="E404" s="2">
        <v>44932</v>
      </c>
      <c r="F404" s="3">
        <v>0.4899074074074074</v>
      </c>
      <c r="G404" s="2">
        <v>44942</v>
      </c>
      <c r="H404" s="3">
        <v>0.84266203703703701</v>
      </c>
      <c r="I404" s="1" t="s">
        <v>491</v>
      </c>
      <c r="J404" s="1" t="s">
        <v>36</v>
      </c>
      <c r="K404">
        <v>10</v>
      </c>
      <c r="L404" t="str">
        <f>IF(tblOrders[[#This Row],[Quantity]]&lt;=0,"Check","OK")</f>
        <v>OK</v>
      </c>
      <c r="M404" s="1" t="str">
        <f>IF(tblOrders[[#This Row],[Delivery_Date]]&lt;tblOrders[[#This Row],[Order_Date]],"Error","OK")</f>
        <v>OK</v>
      </c>
    </row>
    <row r="405" spans="1:13" x14ac:dyDescent="0.25">
      <c r="A405" s="1">
        <v>404</v>
      </c>
      <c r="B405" s="1" t="s">
        <v>224</v>
      </c>
      <c r="C405">
        <v>21</v>
      </c>
      <c r="D405">
        <v>5</v>
      </c>
      <c r="E405" s="2">
        <v>45160</v>
      </c>
      <c r="F405" s="3">
        <v>0.3300925925925926</v>
      </c>
      <c r="G405" s="2">
        <v>45162</v>
      </c>
      <c r="H405" s="3">
        <v>0.93563657407407408</v>
      </c>
      <c r="I405" s="1" t="s">
        <v>476</v>
      </c>
      <c r="J405" s="1" t="s">
        <v>33</v>
      </c>
      <c r="K405">
        <v>2</v>
      </c>
      <c r="L405" t="str">
        <f>IF(tblOrders[[#This Row],[Quantity]]&lt;=0,"Check","OK")</f>
        <v>OK</v>
      </c>
      <c r="M405" s="1" t="str">
        <f>IF(tblOrders[[#This Row],[Delivery_Date]]&lt;tblOrders[[#This Row],[Order_Date]],"Error","OK")</f>
        <v>OK</v>
      </c>
    </row>
    <row r="406" spans="1:13" x14ac:dyDescent="0.25">
      <c r="A406" s="1">
        <v>405</v>
      </c>
      <c r="B406" s="1" t="s">
        <v>272</v>
      </c>
      <c r="C406">
        <v>49</v>
      </c>
      <c r="D406">
        <v>1</v>
      </c>
      <c r="E406" s="2">
        <v>44967</v>
      </c>
      <c r="F406" s="3">
        <v>0.96196759259259257</v>
      </c>
      <c r="G406" s="2">
        <v>44975</v>
      </c>
      <c r="H406" s="3">
        <v>0.61641203703703706</v>
      </c>
      <c r="I406" s="1" t="s">
        <v>173</v>
      </c>
      <c r="J406" s="1" t="s">
        <v>12</v>
      </c>
      <c r="K406">
        <v>8</v>
      </c>
      <c r="L406" t="str">
        <f>IF(tblOrders[[#This Row],[Quantity]]&lt;=0,"Check","OK")</f>
        <v>OK</v>
      </c>
      <c r="M406" s="1" t="str">
        <f>IF(tblOrders[[#This Row],[Delivery_Date]]&lt;tblOrders[[#This Row],[Order_Date]],"Error","OK")</f>
        <v>OK</v>
      </c>
    </row>
    <row r="407" spans="1:13" x14ac:dyDescent="0.25">
      <c r="A407" s="1">
        <v>406</v>
      </c>
      <c r="B407" s="1" t="s">
        <v>367</v>
      </c>
      <c r="C407">
        <v>55</v>
      </c>
      <c r="D407">
        <v>4</v>
      </c>
      <c r="E407" s="2">
        <v>45163</v>
      </c>
      <c r="F407" s="3">
        <v>0.66616898148148151</v>
      </c>
      <c r="G407" s="2">
        <v>45171</v>
      </c>
      <c r="H407" s="3">
        <v>0.26658564814814817</v>
      </c>
      <c r="I407" s="1" t="s">
        <v>393</v>
      </c>
      <c r="J407" s="1" t="s">
        <v>33</v>
      </c>
      <c r="K407">
        <v>8</v>
      </c>
      <c r="L407" t="str">
        <f>IF(tblOrders[[#This Row],[Quantity]]&lt;=0,"Check","OK")</f>
        <v>OK</v>
      </c>
      <c r="M407" s="1" t="str">
        <f>IF(tblOrders[[#This Row],[Delivery_Date]]&lt;tblOrders[[#This Row],[Order_Date]],"Error","OK")</f>
        <v>OK</v>
      </c>
    </row>
    <row r="408" spans="1:13" x14ac:dyDescent="0.25">
      <c r="A408" s="1">
        <v>407</v>
      </c>
      <c r="B408" s="1" t="s">
        <v>267</v>
      </c>
      <c r="C408">
        <v>69</v>
      </c>
      <c r="D408">
        <v>3</v>
      </c>
      <c r="E408" s="2">
        <v>44983</v>
      </c>
      <c r="F408" s="3">
        <v>0.36957175925925928</v>
      </c>
      <c r="G408" s="2">
        <v>44985</v>
      </c>
      <c r="H408" s="3">
        <v>0.17342592592592593</v>
      </c>
      <c r="I408" s="1" t="s">
        <v>249</v>
      </c>
      <c r="J408" s="1" t="s">
        <v>25</v>
      </c>
      <c r="K408">
        <v>2</v>
      </c>
      <c r="L408" t="str">
        <f>IF(tblOrders[[#This Row],[Quantity]]&lt;=0,"Check","OK")</f>
        <v>OK</v>
      </c>
      <c r="M408" s="1" t="str">
        <f>IF(tblOrders[[#This Row],[Delivery_Date]]&lt;tblOrders[[#This Row],[Order_Date]],"Error","OK")</f>
        <v>OK</v>
      </c>
    </row>
    <row r="409" spans="1:13" x14ac:dyDescent="0.25">
      <c r="A409" s="1">
        <v>408</v>
      </c>
      <c r="B409" s="1" t="s">
        <v>213</v>
      </c>
      <c r="C409">
        <v>31</v>
      </c>
      <c r="D409">
        <v>2</v>
      </c>
      <c r="E409" s="2">
        <v>44990</v>
      </c>
      <c r="F409" s="3">
        <v>0.51349537037037041</v>
      </c>
      <c r="G409" s="2">
        <v>44996</v>
      </c>
      <c r="H409" s="3">
        <v>0.1955787037037037</v>
      </c>
      <c r="I409" s="1" t="s">
        <v>241</v>
      </c>
      <c r="J409" s="1" t="s">
        <v>8</v>
      </c>
      <c r="K409">
        <v>6</v>
      </c>
      <c r="L409" t="str">
        <f>IF(tblOrders[[#This Row],[Quantity]]&lt;=0,"Check","OK")</f>
        <v>OK</v>
      </c>
      <c r="M409" s="1" t="str">
        <f>IF(tblOrders[[#This Row],[Delivery_Date]]&lt;tblOrders[[#This Row],[Order_Date]],"Error","OK")</f>
        <v>OK</v>
      </c>
    </row>
    <row r="410" spans="1:13" x14ac:dyDescent="0.25">
      <c r="A410" s="1">
        <v>409</v>
      </c>
      <c r="B410" s="1" t="s">
        <v>367</v>
      </c>
      <c r="C410">
        <v>50</v>
      </c>
      <c r="D410">
        <v>4</v>
      </c>
      <c r="E410" s="2">
        <v>44983</v>
      </c>
      <c r="F410" s="3">
        <v>0.73887731481481478</v>
      </c>
      <c r="G410" s="2">
        <v>44985</v>
      </c>
      <c r="H410" s="3">
        <v>0.8228819444444444</v>
      </c>
      <c r="I410" s="1" t="s">
        <v>194</v>
      </c>
      <c r="J410" s="1" t="s">
        <v>25</v>
      </c>
      <c r="K410">
        <v>2</v>
      </c>
      <c r="L410" t="str">
        <f>IF(tblOrders[[#This Row],[Quantity]]&lt;=0,"Check","OK")</f>
        <v>OK</v>
      </c>
      <c r="M410" s="1" t="str">
        <f>IF(tblOrders[[#This Row],[Delivery_Date]]&lt;tblOrders[[#This Row],[Order_Date]],"Error","OK")</f>
        <v>OK</v>
      </c>
    </row>
    <row r="411" spans="1:13" x14ac:dyDescent="0.25">
      <c r="A411" s="1">
        <v>410</v>
      </c>
      <c r="B411" s="1" t="s">
        <v>492</v>
      </c>
      <c r="C411">
        <v>24</v>
      </c>
      <c r="D411">
        <v>1</v>
      </c>
      <c r="E411" s="2">
        <v>44927</v>
      </c>
      <c r="F411" s="3">
        <v>0.84778935185185189</v>
      </c>
      <c r="G411" s="2">
        <v>44928</v>
      </c>
      <c r="H411" s="3">
        <v>0.2479861111111111</v>
      </c>
      <c r="I411" s="1" t="s">
        <v>493</v>
      </c>
      <c r="J411" s="1" t="s">
        <v>36</v>
      </c>
      <c r="K411">
        <v>1</v>
      </c>
      <c r="L411" t="str">
        <f>IF(tblOrders[[#This Row],[Quantity]]&lt;=0,"Check","OK")</f>
        <v>OK</v>
      </c>
      <c r="M411" s="1" t="str">
        <f>IF(tblOrders[[#This Row],[Delivery_Date]]&lt;tblOrders[[#This Row],[Order_Date]],"Error","OK")</f>
        <v>OK</v>
      </c>
    </row>
    <row r="412" spans="1:13" x14ac:dyDescent="0.25">
      <c r="A412" s="1">
        <v>411</v>
      </c>
      <c r="B412" s="1" t="s">
        <v>239</v>
      </c>
      <c r="C412">
        <v>48</v>
      </c>
      <c r="D412">
        <v>1</v>
      </c>
      <c r="E412" s="2">
        <v>45235</v>
      </c>
      <c r="F412" s="3">
        <v>0.68858796296296299</v>
      </c>
      <c r="G412" s="2">
        <v>45238</v>
      </c>
      <c r="H412" s="3">
        <v>0.30655092592592592</v>
      </c>
      <c r="I412" s="1" t="s">
        <v>428</v>
      </c>
      <c r="J412" s="1" t="s">
        <v>19</v>
      </c>
      <c r="K412">
        <v>3</v>
      </c>
      <c r="L412" t="str">
        <f>IF(tblOrders[[#This Row],[Quantity]]&lt;=0,"Check","OK")</f>
        <v>OK</v>
      </c>
      <c r="M412" s="1" t="str">
        <f>IF(tblOrders[[#This Row],[Delivery_Date]]&lt;tblOrders[[#This Row],[Order_Date]],"Error","OK")</f>
        <v>OK</v>
      </c>
    </row>
    <row r="413" spans="1:13" x14ac:dyDescent="0.25">
      <c r="A413" s="1">
        <v>412</v>
      </c>
      <c r="B413" s="1" t="s">
        <v>313</v>
      </c>
      <c r="C413">
        <v>67</v>
      </c>
      <c r="D413">
        <v>2</v>
      </c>
      <c r="E413" s="2">
        <v>45227</v>
      </c>
      <c r="F413" s="3">
        <v>0.3947222222222222</v>
      </c>
      <c r="G413" s="2">
        <v>45230</v>
      </c>
      <c r="H413" s="3">
        <v>0.96836805555555561</v>
      </c>
      <c r="I413" s="1" t="s">
        <v>474</v>
      </c>
      <c r="J413" s="1" t="s">
        <v>30</v>
      </c>
      <c r="K413">
        <v>3</v>
      </c>
      <c r="L413" t="str">
        <f>IF(tblOrders[[#This Row],[Quantity]]&lt;=0,"Check","OK")</f>
        <v>OK</v>
      </c>
      <c r="M413" s="1" t="str">
        <f>IF(tblOrders[[#This Row],[Delivery_Date]]&lt;tblOrders[[#This Row],[Order_Date]],"Error","OK")</f>
        <v>OK</v>
      </c>
    </row>
    <row r="414" spans="1:13" x14ac:dyDescent="0.25">
      <c r="A414" s="1">
        <v>413</v>
      </c>
      <c r="B414" s="1" t="s">
        <v>276</v>
      </c>
      <c r="C414">
        <v>59</v>
      </c>
      <c r="D414">
        <v>5</v>
      </c>
      <c r="E414" s="2">
        <v>45160</v>
      </c>
      <c r="F414" s="3">
        <v>0.23075231481481481</v>
      </c>
      <c r="G414" s="2">
        <v>45168</v>
      </c>
      <c r="H414" s="3">
        <v>0.84804398148148152</v>
      </c>
      <c r="I414" s="1" t="s">
        <v>351</v>
      </c>
      <c r="J414" s="1" t="s">
        <v>33</v>
      </c>
      <c r="K414">
        <v>8</v>
      </c>
      <c r="L414" t="str">
        <f>IF(tblOrders[[#This Row],[Quantity]]&lt;=0,"Check","OK")</f>
        <v>OK</v>
      </c>
      <c r="M414" s="1" t="str">
        <f>IF(tblOrders[[#This Row],[Delivery_Date]]&lt;tblOrders[[#This Row],[Order_Date]],"Error","OK")</f>
        <v>OK</v>
      </c>
    </row>
    <row r="415" spans="1:13" x14ac:dyDescent="0.25">
      <c r="A415" s="1">
        <v>414</v>
      </c>
      <c r="B415" s="1" t="s">
        <v>480</v>
      </c>
      <c r="C415">
        <v>7</v>
      </c>
      <c r="D415">
        <v>4</v>
      </c>
      <c r="E415" s="2">
        <v>44985</v>
      </c>
      <c r="F415" s="3">
        <v>0.88762731481481483</v>
      </c>
      <c r="G415" s="2">
        <v>44992</v>
      </c>
      <c r="H415" s="3">
        <v>4.6886574074074074E-2</v>
      </c>
      <c r="I415" s="1" t="s">
        <v>389</v>
      </c>
      <c r="J415" s="1" t="s">
        <v>25</v>
      </c>
      <c r="K415">
        <v>7</v>
      </c>
      <c r="L415" t="str">
        <f>IF(tblOrders[[#This Row],[Quantity]]&lt;=0,"Check","OK")</f>
        <v>OK</v>
      </c>
      <c r="M415" s="1" t="str">
        <f>IF(tblOrders[[#This Row],[Delivery_Date]]&lt;tblOrders[[#This Row],[Order_Date]],"Error","OK")</f>
        <v>OK</v>
      </c>
    </row>
    <row r="416" spans="1:13" x14ac:dyDescent="0.25">
      <c r="A416" s="1">
        <v>415</v>
      </c>
      <c r="B416" s="1" t="s">
        <v>185</v>
      </c>
      <c r="C416">
        <v>14</v>
      </c>
      <c r="D416">
        <v>4</v>
      </c>
      <c r="E416" s="2">
        <v>45085</v>
      </c>
      <c r="F416" s="3">
        <v>0.83923611111111107</v>
      </c>
      <c r="G416" s="2">
        <v>45087</v>
      </c>
      <c r="H416" s="3">
        <v>5.6203703703703707E-2</v>
      </c>
      <c r="I416" s="1" t="s">
        <v>407</v>
      </c>
      <c r="J416" s="1" t="s">
        <v>36</v>
      </c>
      <c r="K416">
        <v>2</v>
      </c>
      <c r="L416" t="str">
        <f>IF(tblOrders[[#This Row],[Quantity]]&lt;=0,"Check","OK")</f>
        <v>OK</v>
      </c>
      <c r="M416" s="1" t="str">
        <f>IF(tblOrders[[#This Row],[Delivery_Date]]&lt;tblOrders[[#This Row],[Order_Date]],"Error","OK")</f>
        <v>OK</v>
      </c>
    </row>
    <row r="417" spans="1:13" x14ac:dyDescent="0.25">
      <c r="A417" s="1">
        <v>416</v>
      </c>
      <c r="B417" s="1" t="s">
        <v>239</v>
      </c>
      <c r="C417">
        <v>58</v>
      </c>
      <c r="D417">
        <v>5</v>
      </c>
      <c r="E417" s="2">
        <v>44969</v>
      </c>
      <c r="F417" s="3">
        <v>0.69516203703703705</v>
      </c>
      <c r="G417" s="2">
        <v>44974</v>
      </c>
      <c r="H417" s="3">
        <v>0.4007060185185185</v>
      </c>
      <c r="I417" s="1" t="s">
        <v>494</v>
      </c>
      <c r="J417" s="1" t="s">
        <v>12</v>
      </c>
      <c r="K417">
        <v>5</v>
      </c>
      <c r="L417" t="str">
        <f>IF(tblOrders[[#This Row],[Quantity]]&lt;=0,"Check","OK")</f>
        <v>OK</v>
      </c>
      <c r="M417" s="1" t="str">
        <f>IF(tblOrders[[#This Row],[Delivery_Date]]&lt;tblOrders[[#This Row],[Order_Date]],"Error","OK")</f>
        <v>OK</v>
      </c>
    </row>
    <row r="418" spans="1:13" x14ac:dyDescent="0.25">
      <c r="A418" s="1">
        <v>417</v>
      </c>
      <c r="B418" s="1" t="s">
        <v>400</v>
      </c>
      <c r="C418">
        <v>62</v>
      </c>
      <c r="D418">
        <v>4</v>
      </c>
      <c r="E418" s="2">
        <v>44992</v>
      </c>
      <c r="F418" s="3">
        <v>0.94490740740740742</v>
      </c>
      <c r="G418" s="2">
        <v>44996</v>
      </c>
      <c r="H418" s="3">
        <v>0.24760416666666665</v>
      </c>
      <c r="I418" s="1" t="s">
        <v>194</v>
      </c>
      <c r="J418" s="1" t="s">
        <v>25</v>
      </c>
      <c r="K418">
        <v>4</v>
      </c>
      <c r="L418" t="str">
        <f>IF(tblOrders[[#This Row],[Quantity]]&lt;=0,"Check","OK")</f>
        <v>OK</v>
      </c>
      <c r="M418" s="1" t="str">
        <f>IF(tblOrders[[#This Row],[Delivery_Date]]&lt;tblOrders[[#This Row],[Order_Date]],"Error","OK")</f>
        <v>OK</v>
      </c>
    </row>
    <row r="419" spans="1:13" x14ac:dyDescent="0.25">
      <c r="A419" s="1">
        <v>418</v>
      </c>
      <c r="B419" s="1" t="s">
        <v>191</v>
      </c>
      <c r="C419">
        <v>64</v>
      </c>
      <c r="D419">
        <v>3</v>
      </c>
      <c r="E419" s="2">
        <v>45162</v>
      </c>
      <c r="F419" s="3">
        <v>0.55372685185185189</v>
      </c>
      <c r="G419" s="2">
        <v>45170</v>
      </c>
      <c r="H419" s="3">
        <v>0.4841435185185185</v>
      </c>
      <c r="I419" s="1" t="s">
        <v>495</v>
      </c>
      <c r="J419" s="1" t="s">
        <v>33</v>
      </c>
      <c r="K419">
        <v>8</v>
      </c>
      <c r="L419" t="str">
        <f>IF(tblOrders[[#This Row],[Quantity]]&lt;=0,"Check","OK")</f>
        <v>OK</v>
      </c>
      <c r="M419" s="1" t="str">
        <f>IF(tblOrders[[#This Row],[Delivery_Date]]&lt;tblOrders[[#This Row],[Order_Date]],"Error","OK")</f>
        <v>OK</v>
      </c>
    </row>
    <row r="420" spans="1:13" x14ac:dyDescent="0.25">
      <c r="A420" s="1">
        <v>419</v>
      </c>
      <c r="B420" s="1" t="s">
        <v>185</v>
      </c>
      <c r="C420">
        <v>47</v>
      </c>
      <c r="D420">
        <v>3</v>
      </c>
      <c r="E420" s="2">
        <v>44990</v>
      </c>
      <c r="F420" s="3">
        <v>0.72142361111111108</v>
      </c>
      <c r="G420" s="2">
        <v>44996</v>
      </c>
      <c r="H420" s="3">
        <v>0.5788888888888889</v>
      </c>
      <c r="I420" s="1" t="s">
        <v>251</v>
      </c>
      <c r="J420" s="1" t="s">
        <v>25</v>
      </c>
      <c r="K420">
        <v>6</v>
      </c>
      <c r="L420" t="str">
        <f>IF(tblOrders[[#This Row],[Quantity]]&lt;=0,"Check","OK")</f>
        <v>OK</v>
      </c>
      <c r="M420" s="1" t="str">
        <f>IF(tblOrders[[#This Row],[Delivery_Date]]&lt;tblOrders[[#This Row],[Order_Date]],"Error","OK")</f>
        <v>OK</v>
      </c>
    </row>
    <row r="421" spans="1:13" x14ac:dyDescent="0.25">
      <c r="A421" s="1">
        <v>420</v>
      </c>
      <c r="B421" s="1" t="s">
        <v>308</v>
      </c>
      <c r="C421">
        <v>6</v>
      </c>
      <c r="D421">
        <v>3</v>
      </c>
      <c r="E421" s="2">
        <v>44984</v>
      </c>
      <c r="F421" s="3">
        <v>0.35856481481481484</v>
      </c>
      <c r="G421" s="2">
        <v>44985</v>
      </c>
      <c r="H421" s="3">
        <v>5.1967592592592595E-3</v>
      </c>
      <c r="I421" s="1" t="s">
        <v>196</v>
      </c>
      <c r="J421" s="1" t="s">
        <v>25</v>
      </c>
      <c r="K421">
        <v>1</v>
      </c>
      <c r="L421" t="str">
        <f>IF(tblOrders[[#This Row],[Quantity]]&lt;=0,"Check","OK")</f>
        <v>OK</v>
      </c>
      <c r="M421" s="1" t="str">
        <f>IF(tblOrders[[#This Row],[Delivery_Date]]&lt;tblOrders[[#This Row],[Order_Date]],"Error","OK")</f>
        <v>OK</v>
      </c>
    </row>
    <row r="422" spans="1:13" x14ac:dyDescent="0.25">
      <c r="A422" s="1">
        <v>421</v>
      </c>
      <c r="B422" s="1" t="s">
        <v>232</v>
      </c>
      <c r="C422">
        <v>38</v>
      </c>
      <c r="D422">
        <v>4</v>
      </c>
      <c r="E422" s="2">
        <v>45146</v>
      </c>
      <c r="F422" s="3">
        <v>0.84479166666666672</v>
      </c>
      <c r="G422" s="2">
        <v>45150</v>
      </c>
      <c r="H422" s="3">
        <v>0.7944444444444444</v>
      </c>
      <c r="I422" s="1" t="s">
        <v>391</v>
      </c>
      <c r="J422" s="1" t="s">
        <v>36</v>
      </c>
      <c r="K422">
        <v>4</v>
      </c>
      <c r="L422" t="str">
        <f>IF(tblOrders[[#This Row],[Quantity]]&lt;=0,"Check","OK")</f>
        <v>OK</v>
      </c>
      <c r="M422" s="1" t="str">
        <f>IF(tblOrders[[#This Row],[Delivery_Date]]&lt;tblOrders[[#This Row],[Order_Date]],"Error","OK")</f>
        <v>OK</v>
      </c>
    </row>
    <row r="423" spans="1:13" x14ac:dyDescent="0.25">
      <c r="A423" s="1">
        <v>422</v>
      </c>
      <c r="B423" s="1" t="s">
        <v>182</v>
      </c>
      <c r="C423">
        <v>53</v>
      </c>
      <c r="D423">
        <v>2</v>
      </c>
      <c r="E423" s="2">
        <v>45158</v>
      </c>
      <c r="F423" s="3">
        <v>0.12775462962962963</v>
      </c>
      <c r="G423" s="2">
        <v>45167</v>
      </c>
      <c r="H423" s="3">
        <v>0.17059027777777777</v>
      </c>
      <c r="I423" s="1" t="s">
        <v>496</v>
      </c>
      <c r="J423" s="1" t="s">
        <v>33</v>
      </c>
      <c r="K423">
        <v>9</v>
      </c>
      <c r="L423" t="str">
        <f>IF(tblOrders[[#This Row],[Quantity]]&lt;=0,"Check","OK")</f>
        <v>OK</v>
      </c>
      <c r="M423" s="1" t="str">
        <f>IF(tblOrders[[#This Row],[Delivery_Date]]&lt;tblOrders[[#This Row],[Order_Date]],"Error","OK")</f>
        <v>OK</v>
      </c>
    </row>
    <row r="424" spans="1:13" x14ac:dyDescent="0.25">
      <c r="A424" s="1">
        <v>423</v>
      </c>
      <c r="B424" s="1" t="s">
        <v>229</v>
      </c>
      <c r="C424">
        <v>19</v>
      </c>
      <c r="D424">
        <v>1</v>
      </c>
      <c r="E424" s="2">
        <v>44968</v>
      </c>
      <c r="F424" s="3">
        <v>0.69928240740740744</v>
      </c>
      <c r="G424" s="2">
        <v>44974</v>
      </c>
      <c r="H424" s="3">
        <v>7.0023148148148145E-3</v>
      </c>
      <c r="I424" s="1" t="s">
        <v>497</v>
      </c>
      <c r="J424" s="1" t="s">
        <v>12</v>
      </c>
      <c r="K424">
        <v>6</v>
      </c>
      <c r="L424" t="str">
        <f>IF(tblOrders[[#This Row],[Quantity]]&lt;=0,"Check","OK")</f>
        <v>OK</v>
      </c>
      <c r="M424" s="1" t="str">
        <f>IF(tblOrders[[#This Row],[Delivery_Date]]&lt;tblOrders[[#This Row],[Order_Date]],"Error","OK")</f>
        <v>OK</v>
      </c>
    </row>
    <row r="425" spans="1:13" x14ac:dyDescent="0.25">
      <c r="A425" s="1">
        <v>424</v>
      </c>
      <c r="B425" s="1" t="s">
        <v>197</v>
      </c>
      <c r="C425">
        <v>7</v>
      </c>
      <c r="D425">
        <v>4</v>
      </c>
      <c r="E425" s="2">
        <v>44986</v>
      </c>
      <c r="F425" s="3">
        <v>0.12842592592592592</v>
      </c>
      <c r="G425" s="2">
        <v>44994</v>
      </c>
      <c r="H425" s="3">
        <v>0.4354513888888889</v>
      </c>
      <c r="I425" s="1" t="s">
        <v>322</v>
      </c>
      <c r="J425" s="1" t="s">
        <v>25</v>
      </c>
      <c r="K425">
        <v>8</v>
      </c>
      <c r="L425" t="str">
        <f>IF(tblOrders[[#This Row],[Quantity]]&lt;=0,"Check","OK")</f>
        <v>OK</v>
      </c>
      <c r="M425" s="1" t="str">
        <f>IF(tblOrders[[#This Row],[Delivery_Date]]&lt;tblOrders[[#This Row],[Order_Date]],"Error","OK")</f>
        <v>OK</v>
      </c>
    </row>
    <row r="426" spans="1:13" x14ac:dyDescent="0.25">
      <c r="A426" s="1">
        <v>425</v>
      </c>
      <c r="B426" s="1" t="s">
        <v>222</v>
      </c>
      <c r="C426">
        <v>56</v>
      </c>
      <c r="D426">
        <v>1</v>
      </c>
      <c r="E426" s="2">
        <v>45199</v>
      </c>
      <c r="F426" s="3">
        <v>1.4583333333333334E-3</v>
      </c>
      <c r="G426" s="2">
        <v>45208</v>
      </c>
      <c r="H426" s="3">
        <v>0.95796296296296302</v>
      </c>
      <c r="I426" s="1" t="s">
        <v>472</v>
      </c>
      <c r="J426" s="1" t="s">
        <v>30</v>
      </c>
      <c r="K426">
        <v>9</v>
      </c>
      <c r="L426" t="str">
        <f>IF(tblOrders[[#This Row],[Quantity]]&lt;=0,"Check","OK")</f>
        <v>OK</v>
      </c>
      <c r="M426" s="1" t="str">
        <f>IF(tblOrders[[#This Row],[Delivery_Date]]&lt;tblOrders[[#This Row],[Order_Date]],"Error","OK")</f>
        <v>OK</v>
      </c>
    </row>
    <row r="427" spans="1:13" x14ac:dyDescent="0.25">
      <c r="A427" s="1">
        <v>426</v>
      </c>
      <c r="B427" s="1" t="s">
        <v>471</v>
      </c>
      <c r="C427">
        <v>2</v>
      </c>
      <c r="D427">
        <v>2</v>
      </c>
      <c r="E427" s="2">
        <v>44970</v>
      </c>
      <c r="F427" s="3">
        <v>0.95826388888888892</v>
      </c>
      <c r="G427" s="2">
        <v>44974</v>
      </c>
      <c r="H427" s="3">
        <v>0.57708333333333328</v>
      </c>
      <c r="I427" s="1" t="s">
        <v>498</v>
      </c>
      <c r="J427" s="1" t="s">
        <v>12</v>
      </c>
      <c r="K427">
        <v>4</v>
      </c>
      <c r="L427" t="str">
        <f>IF(tblOrders[[#This Row],[Quantity]]&lt;=0,"Check","OK")</f>
        <v>OK</v>
      </c>
      <c r="M427" s="1" t="str">
        <f>IF(tblOrders[[#This Row],[Delivery_Date]]&lt;tblOrders[[#This Row],[Order_Date]],"Error","OK")</f>
        <v>OK</v>
      </c>
    </row>
    <row r="428" spans="1:13" x14ac:dyDescent="0.25">
      <c r="A428" s="1">
        <v>427</v>
      </c>
      <c r="B428" s="1" t="s">
        <v>190</v>
      </c>
      <c r="C428">
        <v>48</v>
      </c>
      <c r="D428">
        <v>5</v>
      </c>
      <c r="E428" s="2">
        <v>45233</v>
      </c>
      <c r="F428" s="3">
        <v>0.3309259259259259</v>
      </c>
      <c r="G428" s="2">
        <v>45243</v>
      </c>
      <c r="H428" s="3">
        <v>0.94874999999999998</v>
      </c>
      <c r="I428" s="1" t="s">
        <v>438</v>
      </c>
      <c r="J428" s="1" t="s">
        <v>19</v>
      </c>
      <c r="K428">
        <v>10</v>
      </c>
      <c r="L428" t="str">
        <f>IF(tblOrders[[#This Row],[Quantity]]&lt;=0,"Check","OK")</f>
        <v>OK</v>
      </c>
      <c r="M428" s="1" t="str">
        <f>IF(tblOrders[[#This Row],[Delivery_Date]]&lt;tblOrders[[#This Row],[Order_Date]],"Error","OK")</f>
        <v>OK</v>
      </c>
    </row>
    <row r="429" spans="1:13" x14ac:dyDescent="0.25">
      <c r="A429" s="1">
        <v>428</v>
      </c>
      <c r="B429" s="1" t="s">
        <v>293</v>
      </c>
      <c r="C429">
        <v>10</v>
      </c>
      <c r="D429">
        <v>2</v>
      </c>
      <c r="E429" s="2">
        <v>45266</v>
      </c>
      <c r="F429" s="3">
        <v>0.14766203703703704</v>
      </c>
      <c r="G429" s="2">
        <v>45272</v>
      </c>
      <c r="H429" s="3">
        <v>0.81737268518518513</v>
      </c>
      <c r="I429" s="1" t="s">
        <v>443</v>
      </c>
      <c r="J429" s="1" t="s">
        <v>36</v>
      </c>
      <c r="K429">
        <v>6</v>
      </c>
      <c r="L429" t="str">
        <f>IF(tblOrders[[#This Row],[Quantity]]&lt;=0,"Check","OK")</f>
        <v>OK</v>
      </c>
      <c r="M429" s="1" t="str">
        <f>IF(tblOrders[[#This Row],[Delivery_Date]]&lt;tblOrders[[#This Row],[Order_Date]],"Error","OK")</f>
        <v>OK</v>
      </c>
    </row>
    <row r="430" spans="1:13" x14ac:dyDescent="0.25">
      <c r="A430" s="1">
        <v>429</v>
      </c>
      <c r="B430" s="1" t="s">
        <v>369</v>
      </c>
      <c r="C430">
        <v>9</v>
      </c>
      <c r="D430">
        <v>5</v>
      </c>
      <c r="E430" s="2">
        <v>45160</v>
      </c>
      <c r="F430" s="3">
        <v>0.94927083333333329</v>
      </c>
      <c r="G430" s="2">
        <v>45169</v>
      </c>
      <c r="H430" s="3">
        <v>0.53046296296296291</v>
      </c>
      <c r="I430" s="1" t="s">
        <v>386</v>
      </c>
      <c r="J430" s="1" t="s">
        <v>33</v>
      </c>
      <c r="K430">
        <v>9</v>
      </c>
      <c r="L430" t="str">
        <f>IF(tblOrders[[#This Row],[Quantity]]&lt;=0,"Check","OK")</f>
        <v>OK</v>
      </c>
      <c r="M430" s="1" t="str">
        <f>IF(tblOrders[[#This Row],[Delivery_Date]]&lt;tblOrders[[#This Row],[Order_Date]],"Error","OK")</f>
        <v>OK</v>
      </c>
    </row>
    <row r="431" spans="1:13" x14ac:dyDescent="0.25">
      <c r="A431" s="1">
        <v>430</v>
      </c>
      <c r="B431" s="1" t="s">
        <v>254</v>
      </c>
      <c r="C431">
        <v>27</v>
      </c>
      <c r="D431">
        <v>2</v>
      </c>
      <c r="E431" s="2">
        <v>45165</v>
      </c>
      <c r="F431" s="3">
        <v>0.3059027777777778</v>
      </c>
      <c r="G431" s="2">
        <v>45169</v>
      </c>
      <c r="H431" s="3">
        <v>0.41912037037037037</v>
      </c>
      <c r="I431" s="1" t="s">
        <v>499</v>
      </c>
      <c r="J431" s="1" t="s">
        <v>33</v>
      </c>
      <c r="K431">
        <v>4</v>
      </c>
      <c r="L431" t="str">
        <f>IF(tblOrders[[#This Row],[Quantity]]&lt;=0,"Check","OK")</f>
        <v>OK</v>
      </c>
      <c r="M431" s="1" t="str">
        <f>IF(tblOrders[[#This Row],[Delivery_Date]]&lt;tblOrders[[#This Row],[Order_Date]],"Error","OK")</f>
        <v>OK</v>
      </c>
    </row>
    <row r="432" spans="1:13" x14ac:dyDescent="0.25">
      <c r="A432" s="1">
        <v>431</v>
      </c>
      <c r="B432" s="1" t="s">
        <v>279</v>
      </c>
      <c r="C432">
        <v>1</v>
      </c>
      <c r="D432">
        <v>4</v>
      </c>
      <c r="E432" s="2">
        <v>45273</v>
      </c>
      <c r="F432" s="3">
        <v>0.8011921296296296</v>
      </c>
      <c r="G432" s="2">
        <v>45279</v>
      </c>
      <c r="H432" s="3">
        <v>0.87666666666666671</v>
      </c>
      <c r="I432" s="1" t="s">
        <v>288</v>
      </c>
      <c r="J432" s="1" t="s">
        <v>8</v>
      </c>
      <c r="K432">
        <v>6</v>
      </c>
      <c r="L432" t="str">
        <f>IF(tblOrders[[#This Row],[Quantity]]&lt;=0,"Check","OK")</f>
        <v>OK</v>
      </c>
      <c r="M432" s="1" t="str">
        <f>IF(tblOrders[[#This Row],[Delivery_Date]]&lt;tblOrders[[#This Row],[Order_Date]],"Error","OK")</f>
        <v>OK</v>
      </c>
    </row>
    <row r="433" spans="1:13" x14ac:dyDescent="0.25">
      <c r="A433" s="1">
        <v>432</v>
      </c>
      <c r="B433" s="1" t="s">
        <v>361</v>
      </c>
      <c r="C433">
        <v>12</v>
      </c>
      <c r="D433">
        <v>4</v>
      </c>
      <c r="E433" s="2">
        <v>44931</v>
      </c>
      <c r="F433" s="3">
        <v>0.50656250000000003</v>
      </c>
      <c r="G433" s="2">
        <v>44939</v>
      </c>
      <c r="H433" s="3">
        <v>0.81988425925925923</v>
      </c>
      <c r="I433" s="1" t="s">
        <v>452</v>
      </c>
      <c r="J433" s="1" t="s">
        <v>30</v>
      </c>
      <c r="K433">
        <v>8</v>
      </c>
      <c r="L433" t="str">
        <f>IF(tblOrders[[#This Row],[Quantity]]&lt;=0,"Check","OK")</f>
        <v>OK</v>
      </c>
      <c r="M433" s="1" t="str">
        <f>IF(tblOrders[[#This Row],[Delivery_Date]]&lt;tblOrders[[#This Row],[Order_Date]],"Error","OK")</f>
        <v>OK</v>
      </c>
    </row>
    <row r="434" spans="1:13" x14ac:dyDescent="0.25">
      <c r="A434" s="1">
        <v>433</v>
      </c>
      <c r="B434" s="1" t="s">
        <v>388</v>
      </c>
      <c r="C434">
        <v>7</v>
      </c>
      <c r="D434">
        <v>5</v>
      </c>
      <c r="E434" s="2">
        <v>44983</v>
      </c>
      <c r="F434" s="3">
        <v>0.98184027777777783</v>
      </c>
      <c r="G434" s="2">
        <v>44987</v>
      </c>
      <c r="H434" s="3">
        <v>0.18050925925925926</v>
      </c>
      <c r="I434" s="1" t="s">
        <v>262</v>
      </c>
      <c r="J434" s="1" t="s">
        <v>25</v>
      </c>
      <c r="K434">
        <v>4</v>
      </c>
      <c r="L434" t="str">
        <f>IF(tblOrders[[#This Row],[Quantity]]&lt;=0,"Check","OK")</f>
        <v>OK</v>
      </c>
      <c r="M434" s="1" t="str">
        <f>IF(tblOrders[[#This Row],[Delivery_Date]]&lt;tblOrders[[#This Row],[Order_Date]],"Error","OK")</f>
        <v>OK</v>
      </c>
    </row>
    <row r="435" spans="1:13" x14ac:dyDescent="0.25">
      <c r="A435" s="1">
        <v>434</v>
      </c>
      <c r="B435" s="1" t="s">
        <v>246</v>
      </c>
      <c r="C435">
        <v>51</v>
      </c>
      <c r="D435">
        <v>4</v>
      </c>
      <c r="E435" s="2">
        <v>45258</v>
      </c>
      <c r="F435" s="3">
        <v>0.30770833333333331</v>
      </c>
      <c r="G435" s="2">
        <v>45259</v>
      </c>
      <c r="H435" s="3">
        <v>0.8218981481481481</v>
      </c>
      <c r="I435" s="1" t="s">
        <v>325</v>
      </c>
      <c r="J435" s="1" t="s">
        <v>8</v>
      </c>
      <c r="K435">
        <v>1</v>
      </c>
      <c r="L435" t="str">
        <f>IF(tblOrders[[#This Row],[Quantity]]&lt;=0,"Check","OK")</f>
        <v>OK</v>
      </c>
      <c r="M435" s="1" t="str">
        <f>IF(tblOrders[[#This Row],[Delivery_Date]]&lt;tblOrders[[#This Row],[Order_Date]],"Error","OK")</f>
        <v>OK</v>
      </c>
    </row>
    <row r="436" spans="1:13" x14ac:dyDescent="0.25">
      <c r="A436" s="1">
        <v>435</v>
      </c>
      <c r="B436" s="1" t="s">
        <v>274</v>
      </c>
      <c r="C436">
        <v>53</v>
      </c>
      <c r="D436">
        <v>4</v>
      </c>
      <c r="E436" s="2">
        <v>45160</v>
      </c>
      <c r="F436" s="3">
        <v>0.72743055555555558</v>
      </c>
      <c r="G436" s="2">
        <v>45165</v>
      </c>
      <c r="H436" s="3">
        <v>0.52446759259259257</v>
      </c>
      <c r="I436" s="1" t="s">
        <v>500</v>
      </c>
      <c r="J436" s="1" t="s">
        <v>33</v>
      </c>
      <c r="K436">
        <v>5</v>
      </c>
      <c r="L436" t="str">
        <f>IF(tblOrders[[#This Row],[Quantity]]&lt;=0,"Check","OK")</f>
        <v>OK</v>
      </c>
      <c r="M436" s="1" t="str">
        <f>IF(tblOrders[[#This Row],[Delivery_Date]]&lt;tblOrders[[#This Row],[Order_Date]],"Error","OK")</f>
        <v>OK</v>
      </c>
    </row>
    <row r="437" spans="1:13" x14ac:dyDescent="0.25">
      <c r="A437" s="1">
        <v>436</v>
      </c>
      <c r="B437" s="1" t="s">
        <v>265</v>
      </c>
      <c r="C437">
        <v>8</v>
      </c>
      <c r="D437">
        <v>1</v>
      </c>
      <c r="E437" s="2">
        <v>44953</v>
      </c>
      <c r="F437" s="3">
        <v>0.25555555555555554</v>
      </c>
      <c r="G437" s="2">
        <v>44960</v>
      </c>
      <c r="H437" s="3">
        <v>0.34431712962962963</v>
      </c>
      <c r="I437" s="1" t="s">
        <v>290</v>
      </c>
      <c r="J437" s="1" t="s">
        <v>30</v>
      </c>
      <c r="K437">
        <v>7</v>
      </c>
      <c r="L437" t="str">
        <f>IF(tblOrders[[#This Row],[Quantity]]&lt;=0,"Check","OK")</f>
        <v>OK</v>
      </c>
      <c r="M437" s="1" t="str">
        <f>IF(tblOrders[[#This Row],[Delivery_Date]]&lt;tblOrders[[#This Row],[Order_Date]],"Error","OK")</f>
        <v>OK</v>
      </c>
    </row>
    <row r="438" spans="1:13" x14ac:dyDescent="0.25">
      <c r="A438" s="1">
        <v>437</v>
      </c>
      <c r="B438" s="1" t="s">
        <v>287</v>
      </c>
      <c r="C438">
        <v>55</v>
      </c>
      <c r="D438">
        <v>1</v>
      </c>
      <c r="E438" s="2">
        <v>45162</v>
      </c>
      <c r="F438" s="3">
        <v>0.27137731481481481</v>
      </c>
      <c r="G438" s="2">
        <v>45165</v>
      </c>
      <c r="H438" s="3">
        <v>0.95599537037037041</v>
      </c>
      <c r="I438" s="1" t="s">
        <v>501</v>
      </c>
      <c r="J438" s="1" t="s">
        <v>33</v>
      </c>
      <c r="K438">
        <v>3</v>
      </c>
      <c r="L438" t="str">
        <f>IF(tblOrders[[#This Row],[Quantity]]&lt;=0,"Check","OK")</f>
        <v>OK</v>
      </c>
      <c r="M438" s="1" t="str">
        <f>IF(tblOrders[[#This Row],[Delivery_Date]]&lt;tblOrders[[#This Row],[Order_Date]],"Error","OK")</f>
        <v>OK</v>
      </c>
    </row>
    <row r="439" spans="1:13" x14ac:dyDescent="0.25">
      <c r="A439" s="1">
        <v>438</v>
      </c>
      <c r="B439" s="1" t="s">
        <v>166</v>
      </c>
      <c r="C439">
        <v>34</v>
      </c>
      <c r="D439">
        <v>2</v>
      </c>
      <c r="E439" s="2">
        <v>45164</v>
      </c>
      <c r="F439" s="3">
        <v>0.39394675925925926</v>
      </c>
      <c r="G439" s="2">
        <v>45165</v>
      </c>
      <c r="H439" s="3">
        <v>0.1378587962962963</v>
      </c>
      <c r="I439" s="1" t="s">
        <v>459</v>
      </c>
      <c r="J439" s="1" t="s">
        <v>33</v>
      </c>
      <c r="K439">
        <v>1</v>
      </c>
      <c r="L439" t="str">
        <f>IF(tblOrders[[#This Row],[Quantity]]&lt;=0,"Check","OK")</f>
        <v>OK</v>
      </c>
      <c r="M439" s="1" t="str">
        <f>IF(tblOrders[[#This Row],[Delivery_Date]]&lt;tblOrders[[#This Row],[Order_Date]],"Error","OK")</f>
        <v>OK</v>
      </c>
    </row>
    <row r="440" spans="1:13" x14ac:dyDescent="0.25">
      <c r="A440" s="1">
        <v>439</v>
      </c>
      <c r="B440" s="1" t="s">
        <v>166</v>
      </c>
      <c r="C440">
        <v>12</v>
      </c>
      <c r="D440">
        <v>3</v>
      </c>
      <c r="E440" s="2">
        <v>45273</v>
      </c>
      <c r="F440" s="3">
        <v>0.37234953703703705</v>
      </c>
      <c r="G440" s="2">
        <v>45282</v>
      </c>
      <c r="H440" s="3">
        <v>0.53548611111111111</v>
      </c>
      <c r="I440" s="1" t="s">
        <v>277</v>
      </c>
      <c r="J440" s="1" t="s">
        <v>30</v>
      </c>
      <c r="K440">
        <v>9</v>
      </c>
      <c r="L440" t="str">
        <f>IF(tblOrders[[#This Row],[Quantity]]&lt;=0,"Check","OK")</f>
        <v>OK</v>
      </c>
      <c r="M440" s="1" t="str">
        <f>IF(tblOrders[[#This Row],[Delivery_Date]]&lt;tblOrders[[#This Row],[Order_Date]],"Error","OK")</f>
        <v>OK</v>
      </c>
    </row>
    <row r="441" spans="1:13" x14ac:dyDescent="0.25">
      <c r="A441" s="1">
        <v>440</v>
      </c>
      <c r="B441" s="1" t="s">
        <v>208</v>
      </c>
      <c r="C441">
        <v>13</v>
      </c>
      <c r="D441">
        <v>4</v>
      </c>
      <c r="E441" s="2">
        <v>44992</v>
      </c>
      <c r="F441" s="3">
        <v>0.39827546296296296</v>
      </c>
      <c r="G441" s="2">
        <v>44994</v>
      </c>
      <c r="H441" s="3">
        <v>5.6585648148148149E-2</v>
      </c>
      <c r="I441" s="1" t="s">
        <v>438</v>
      </c>
      <c r="J441" s="1" t="s">
        <v>25</v>
      </c>
      <c r="K441">
        <v>2</v>
      </c>
      <c r="L441" t="str">
        <f>IF(tblOrders[[#This Row],[Quantity]]&lt;=0,"Check","OK")</f>
        <v>OK</v>
      </c>
      <c r="M441" s="1" t="str">
        <f>IF(tblOrders[[#This Row],[Delivery_Date]]&lt;tblOrders[[#This Row],[Order_Date]],"Error","OK")</f>
        <v>OK</v>
      </c>
    </row>
    <row r="442" spans="1:13" x14ac:dyDescent="0.25">
      <c r="A442" s="1">
        <v>441</v>
      </c>
      <c r="B442" s="1" t="s">
        <v>437</v>
      </c>
      <c r="C442">
        <v>26</v>
      </c>
      <c r="D442">
        <v>2</v>
      </c>
      <c r="E442" s="2">
        <v>44983</v>
      </c>
      <c r="F442" s="3">
        <v>0.47495370370370371</v>
      </c>
      <c r="G442" s="2">
        <v>44991</v>
      </c>
      <c r="H442" s="3">
        <v>0.69363425925925926</v>
      </c>
      <c r="I442" s="1" t="s">
        <v>502</v>
      </c>
      <c r="J442" s="1" t="s">
        <v>25</v>
      </c>
      <c r="K442">
        <v>8</v>
      </c>
      <c r="L442" t="str">
        <f>IF(tblOrders[[#This Row],[Quantity]]&lt;=0,"Check","OK")</f>
        <v>OK</v>
      </c>
      <c r="M442" s="1" t="str">
        <f>IF(tblOrders[[#This Row],[Delivery_Date]]&lt;tblOrders[[#This Row],[Order_Date]],"Error","OK")</f>
        <v>OK</v>
      </c>
    </row>
    <row r="443" spans="1:13" x14ac:dyDescent="0.25">
      <c r="A443" s="1">
        <v>442</v>
      </c>
      <c r="B443" s="1" t="s">
        <v>252</v>
      </c>
      <c r="C443">
        <v>3</v>
      </c>
      <c r="D443">
        <v>3</v>
      </c>
      <c r="E443" s="2">
        <v>44965</v>
      </c>
      <c r="F443" s="3">
        <v>0.75231481481481477</v>
      </c>
      <c r="G443" s="2">
        <v>44972</v>
      </c>
      <c r="H443" s="3">
        <v>0.33725694444444443</v>
      </c>
      <c r="I443" s="1" t="s">
        <v>430</v>
      </c>
      <c r="J443" s="1" t="s">
        <v>12</v>
      </c>
      <c r="K443">
        <v>7</v>
      </c>
      <c r="L443" t="str">
        <f>IF(tblOrders[[#This Row],[Quantity]]&lt;=0,"Check","OK")</f>
        <v>OK</v>
      </c>
      <c r="M443" s="1" t="str">
        <f>IF(tblOrders[[#This Row],[Delivery_Date]]&lt;tblOrders[[#This Row],[Order_Date]],"Error","OK")</f>
        <v>OK</v>
      </c>
    </row>
    <row r="444" spans="1:13" x14ac:dyDescent="0.25">
      <c r="A444" s="1">
        <v>443</v>
      </c>
      <c r="B444" s="1" t="s">
        <v>237</v>
      </c>
      <c r="C444">
        <v>49</v>
      </c>
      <c r="D444">
        <v>3</v>
      </c>
      <c r="E444" s="2">
        <v>44961</v>
      </c>
      <c r="F444" s="3">
        <v>0.93216435185185187</v>
      </c>
      <c r="G444" s="2">
        <v>44970</v>
      </c>
      <c r="H444" s="3">
        <v>9.4444444444444442E-2</v>
      </c>
      <c r="I444" s="1" t="s">
        <v>483</v>
      </c>
      <c r="J444" s="1" t="s">
        <v>12</v>
      </c>
      <c r="K444">
        <v>9</v>
      </c>
      <c r="L444" t="str">
        <f>IF(tblOrders[[#This Row],[Quantity]]&lt;=0,"Check","OK")</f>
        <v>OK</v>
      </c>
      <c r="M444" s="1" t="str">
        <f>IF(tblOrders[[#This Row],[Delivery_Date]]&lt;tblOrders[[#This Row],[Order_Date]],"Error","OK")</f>
        <v>OK</v>
      </c>
    </row>
    <row r="445" spans="1:13" x14ac:dyDescent="0.25">
      <c r="A445" s="1">
        <v>444</v>
      </c>
      <c r="B445" s="1" t="s">
        <v>503</v>
      </c>
      <c r="C445">
        <v>60</v>
      </c>
      <c r="D445">
        <v>3</v>
      </c>
      <c r="E445" s="2">
        <v>45232</v>
      </c>
      <c r="F445" s="3">
        <v>4.2511574074074077E-2</v>
      </c>
      <c r="G445" s="2">
        <v>45239</v>
      </c>
      <c r="H445" s="3">
        <v>0.41273148148148148</v>
      </c>
      <c r="I445" s="1" t="s">
        <v>363</v>
      </c>
      <c r="J445" s="1" t="s">
        <v>19</v>
      </c>
      <c r="K445">
        <v>7</v>
      </c>
      <c r="L445" t="str">
        <f>IF(tblOrders[[#This Row],[Quantity]]&lt;=0,"Check","OK")</f>
        <v>OK</v>
      </c>
      <c r="M445" s="1" t="str">
        <f>IF(tblOrders[[#This Row],[Delivery_Date]]&lt;tblOrders[[#This Row],[Order_Date]],"Error","OK")</f>
        <v>OK</v>
      </c>
    </row>
    <row r="446" spans="1:13" x14ac:dyDescent="0.25">
      <c r="A446" s="1">
        <v>445</v>
      </c>
      <c r="B446" s="1" t="s">
        <v>221</v>
      </c>
      <c r="C446">
        <v>30</v>
      </c>
      <c r="D446">
        <v>5</v>
      </c>
      <c r="E446" s="2">
        <v>45091</v>
      </c>
      <c r="F446" s="3">
        <v>0.83937499999999998</v>
      </c>
      <c r="G446" s="2">
        <v>45092</v>
      </c>
      <c r="H446" s="3">
        <v>0.59892361111111114</v>
      </c>
      <c r="I446" s="1" t="s">
        <v>187</v>
      </c>
      <c r="J446" s="1" t="s">
        <v>30</v>
      </c>
      <c r="K446">
        <v>1</v>
      </c>
      <c r="L446" t="str">
        <f>IF(tblOrders[[#This Row],[Quantity]]&lt;=0,"Check","OK")</f>
        <v>OK</v>
      </c>
      <c r="M446" s="1" t="str">
        <f>IF(tblOrders[[#This Row],[Delivery_Date]]&lt;tblOrders[[#This Row],[Order_Date]],"Error","OK")</f>
        <v>OK</v>
      </c>
    </row>
    <row r="447" spans="1:13" x14ac:dyDescent="0.25">
      <c r="A447" s="1">
        <v>446</v>
      </c>
      <c r="B447" s="1" t="s">
        <v>424</v>
      </c>
      <c r="C447">
        <v>33</v>
      </c>
      <c r="D447">
        <v>5</v>
      </c>
      <c r="E447" s="2">
        <v>44969</v>
      </c>
      <c r="F447" s="3">
        <v>0.12087962962962963</v>
      </c>
      <c r="G447" s="2">
        <v>44972</v>
      </c>
      <c r="H447" s="3">
        <v>0.46074074074074073</v>
      </c>
      <c r="I447" s="1" t="s">
        <v>348</v>
      </c>
      <c r="J447" s="1" t="s">
        <v>12</v>
      </c>
      <c r="K447">
        <v>3</v>
      </c>
      <c r="L447" t="str">
        <f>IF(tblOrders[[#This Row],[Quantity]]&lt;=0,"Check","OK")</f>
        <v>OK</v>
      </c>
      <c r="M447" s="1" t="str">
        <f>IF(tblOrders[[#This Row],[Delivery_Date]]&lt;tblOrders[[#This Row],[Order_Date]],"Error","OK")</f>
        <v>OK</v>
      </c>
    </row>
    <row r="448" spans="1:13" x14ac:dyDescent="0.25">
      <c r="A448" s="1">
        <v>447</v>
      </c>
      <c r="B448" s="1" t="s">
        <v>295</v>
      </c>
      <c r="C448">
        <v>47</v>
      </c>
      <c r="D448">
        <v>4</v>
      </c>
      <c r="E448" s="2">
        <v>44984</v>
      </c>
      <c r="F448" s="3">
        <v>0.11497685185185186</v>
      </c>
      <c r="G448" s="2">
        <v>44989</v>
      </c>
      <c r="H448" s="3">
        <v>0.62842592592592594</v>
      </c>
      <c r="I448" s="1" t="s">
        <v>338</v>
      </c>
      <c r="J448" s="1" t="s">
        <v>25</v>
      </c>
      <c r="K448">
        <v>5</v>
      </c>
      <c r="L448" t="str">
        <f>IF(tblOrders[[#This Row],[Quantity]]&lt;=0,"Check","OK")</f>
        <v>OK</v>
      </c>
      <c r="M448" s="1" t="str">
        <f>IF(tblOrders[[#This Row],[Delivery_Date]]&lt;tblOrders[[#This Row],[Order_Date]],"Error","OK")</f>
        <v>OK</v>
      </c>
    </row>
    <row r="449" spans="1:13" x14ac:dyDescent="0.25">
      <c r="A449" s="1">
        <v>448</v>
      </c>
      <c r="B449" s="1" t="s">
        <v>441</v>
      </c>
      <c r="C449">
        <v>16</v>
      </c>
      <c r="D449">
        <v>1</v>
      </c>
      <c r="E449" s="2">
        <v>44987</v>
      </c>
      <c r="F449" s="3">
        <v>0.113125</v>
      </c>
      <c r="G449" s="2">
        <v>44988</v>
      </c>
      <c r="H449" s="3">
        <v>0.57111111111111112</v>
      </c>
      <c r="I449" s="1" t="s">
        <v>218</v>
      </c>
      <c r="J449" s="1" t="s">
        <v>25</v>
      </c>
      <c r="K449">
        <v>1</v>
      </c>
      <c r="L449" t="str">
        <f>IF(tblOrders[[#This Row],[Quantity]]&lt;=0,"Check","OK")</f>
        <v>OK</v>
      </c>
      <c r="M449" s="1" t="str">
        <f>IF(tblOrders[[#This Row],[Delivery_Date]]&lt;tblOrders[[#This Row],[Order_Date]],"Error","OK")</f>
        <v>OK</v>
      </c>
    </row>
    <row r="450" spans="1:13" x14ac:dyDescent="0.25">
      <c r="A450" s="1">
        <v>449</v>
      </c>
      <c r="B450" s="1" t="s">
        <v>254</v>
      </c>
      <c r="C450">
        <v>49</v>
      </c>
      <c r="D450">
        <v>4</v>
      </c>
      <c r="E450" s="2">
        <v>44970</v>
      </c>
      <c r="F450" s="3">
        <v>0.13780092592592594</v>
      </c>
      <c r="G450" s="2">
        <v>44973</v>
      </c>
      <c r="H450" s="3">
        <v>0.4233912037037037</v>
      </c>
      <c r="I450" s="1" t="s">
        <v>315</v>
      </c>
      <c r="J450" s="1" t="s">
        <v>12</v>
      </c>
      <c r="K450">
        <v>3</v>
      </c>
      <c r="L450" t="str">
        <f>IF(tblOrders[[#This Row],[Quantity]]&lt;=0,"Check","OK")</f>
        <v>OK</v>
      </c>
      <c r="M450" s="1" t="str">
        <f>IF(tblOrders[[#This Row],[Delivery_Date]]&lt;tblOrders[[#This Row],[Order_Date]],"Error","OK")</f>
        <v>OK</v>
      </c>
    </row>
    <row r="451" spans="1:13" x14ac:dyDescent="0.25">
      <c r="A451" s="1">
        <v>450</v>
      </c>
      <c r="B451" s="1" t="s">
        <v>227</v>
      </c>
      <c r="C451">
        <v>39</v>
      </c>
      <c r="D451">
        <v>5</v>
      </c>
      <c r="E451" s="2">
        <v>45262</v>
      </c>
      <c r="F451" s="3">
        <v>0.33200231481481479</v>
      </c>
      <c r="G451" s="2">
        <v>45272</v>
      </c>
      <c r="H451" s="3">
        <v>0.42358796296296297</v>
      </c>
      <c r="I451" s="1" t="s">
        <v>477</v>
      </c>
      <c r="J451" s="1" t="s">
        <v>8</v>
      </c>
      <c r="K451">
        <v>10</v>
      </c>
      <c r="L451" t="str">
        <f>IF(tblOrders[[#This Row],[Quantity]]&lt;=0,"Check","OK")</f>
        <v>OK</v>
      </c>
      <c r="M451" s="1" t="str">
        <f>IF(tblOrders[[#This Row],[Delivery_Date]]&lt;tblOrders[[#This Row],[Order_Date]],"Error","OK")</f>
        <v>OK</v>
      </c>
    </row>
    <row r="452" spans="1:13" x14ac:dyDescent="0.25">
      <c r="A452" s="1">
        <v>451</v>
      </c>
      <c r="B452" s="1" t="s">
        <v>424</v>
      </c>
      <c r="C452">
        <v>33</v>
      </c>
      <c r="D452">
        <v>5</v>
      </c>
      <c r="E452" s="2">
        <v>44964</v>
      </c>
      <c r="F452" s="3">
        <v>1.1712962962962963E-2</v>
      </c>
      <c r="G452" s="2">
        <v>44970</v>
      </c>
      <c r="H452" s="3">
        <v>0.88260416666666663</v>
      </c>
      <c r="I452" s="1" t="s">
        <v>374</v>
      </c>
      <c r="J452" s="1" t="s">
        <v>12</v>
      </c>
      <c r="K452">
        <v>6</v>
      </c>
      <c r="L452" t="str">
        <f>IF(tblOrders[[#This Row],[Quantity]]&lt;=0,"Check","OK")</f>
        <v>OK</v>
      </c>
      <c r="M452" s="1" t="str">
        <f>IF(tblOrders[[#This Row],[Delivery_Date]]&lt;tblOrders[[#This Row],[Order_Date]],"Error","OK")</f>
        <v>OK</v>
      </c>
    </row>
    <row r="453" spans="1:13" x14ac:dyDescent="0.25">
      <c r="A453" s="1">
        <v>452</v>
      </c>
      <c r="B453" s="1" t="s">
        <v>254</v>
      </c>
      <c r="C453">
        <v>70</v>
      </c>
      <c r="D453">
        <v>3</v>
      </c>
      <c r="E453" s="2">
        <v>45116</v>
      </c>
      <c r="F453" s="3">
        <v>0.83158564814814817</v>
      </c>
      <c r="G453" s="2">
        <v>45124</v>
      </c>
      <c r="H453" s="3">
        <v>0.48770833333333335</v>
      </c>
      <c r="I453" s="1" t="s">
        <v>303</v>
      </c>
      <c r="J453" s="1" t="s">
        <v>36</v>
      </c>
      <c r="K453">
        <v>8</v>
      </c>
      <c r="L453" t="str">
        <f>IF(tblOrders[[#This Row],[Quantity]]&lt;=0,"Check","OK")</f>
        <v>OK</v>
      </c>
      <c r="M453" s="1" t="str">
        <f>IF(tblOrders[[#This Row],[Delivery_Date]]&lt;tblOrders[[#This Row],[Order_Date]],"Error","OK")</f>
        <v>OK</v>
      </c>
    </row>
    <row r="454" spans="1:13" x14ac:dyDescent="0.25">
      <c r="A454" s="1">
        <v>453</v>
      </c>
      <c r="B454" s="1" t="s">
        <v>295</v>
      </c>
      <c r="C454">
        <v>27</v>
      </c>
      <c r="D454">
        <v>2</v>
      </c>
      <c r="E454" s="2">
        <v>45159</v>
      </c>
      <c r="F454" s="3">
        <v>0.42475694444444445</v>
      </c>
      <c r="G454" s="2">
        <v>45169</v>
      </c>
      <c r="H454" s="3">
        <v>0.51968749999999997</v>
      </c>
      <c r="I454" s="1" t="s">
        <v>288</v>
      </c>
      <c r="J454" s="1" t="s">
        <v>33</v>
      </c>
      <c r="K454">
        <v>10</v>
      </c>
      <c r="L454" t="str">
        <f>IF(tblOrders[[#This Row],[Quantity]]&lt;=0,"Check","OK")</f>
        <v>OK</v>
      </c>
      <c r="M454" s="1" t="str">
        <f>IF(tblOrders[[#This Row],[Delivery_Date]]&lt;tblOrders[[#This Row],[Order_Date]],"Error","OK")</f>
        <v>OK</v>
      </c>
    </row>
    <row r="455" spans="1:13" x14ac:dyDescent="0.25">
      <c r="A455" s="1">
        <v>454</v>
      </c>
      <c r="B455" s="1" t="s">
        <v>215</v>
      </c>
      <c r="C455">
        <v>3</v>
      </c>
      <c r="D455">
        <v>2</v>
      </c>
      <c r="E455" s="2">
        <v>44964</v>
      </c>
      <c r="F455" s="3">
        <v>0.97695601851851854</v>
      </c>
      <c r="G455" s="2">
        <v>44966</v>
      </c>
      <c r="H455" s="3">
        <v>5.6898148148148149E-2</v>
      </c>
      <c r="I455" s="1" t="s">
        <v>420</v>
      </c>
      <c r="J455" s="1" t="s">
        <v>12</v>
      </c>
      <c r="K455">
        <v>2</v>
      </c>
      <c r="L455" t="str">
        <f>IF(tblOrders[[#This Row],[Quantity]]&lt;=0,"Check","OK")</f>
        <v>OK</v>
      </c>
      <c r="M455" s="1" t="str">
        <f>IF(tblOrders[[#This Row],[Delivery_Date]]&lt;tblOrders[[#This Row],[Order_Date]],"Error","OK")</f>
        <v>OK</v>
      </c>
    </row>
    <row r="456" spans="1:13" x14ac:dyDescent="0.25">
      <c r="A456" s="1">
        <v>455</v>
      </c>
      <c r="B456" s="1" t="s">
        <v>197</v>
      </c>
      <c r="C456">
        <v>1</v>
      </c>
      <c r="D456">
        <v>2</v>
      </c>
      <c r="E456" s="2">
        <v>45219</v>
      </c>
      <c r="F456" s="3">
        <v>0.94016203703703705</v>
      </c>
      <c r="G456" s="2">
        <v>45224</v>
      </c>
      <c r="H456" s="3">
        <v>0.75300925925925921</v>
      </c>
      <c r="I456" s="1" t="s">
        <v>496</v>
      </c>
      <c r="J456" s="1" t="s">
        <v>8</v>
      </c>
      <c r="K456">
        <v>5</v>
      </c>
      <c r="L456" t="str">
        <f>IF(tblOrders[[#This Row],[Quantity]]&lt;=0,"Check","OK")</f>
        <v>OK</v>
      </c>
      <c r="M456" s="1" t="str">
        <f>IF(tblOrders[[#This Row],[Delivery_Date]]&lt;tblOrders[[#This Row],[Order_Date]],"Error","OK")</f>
        <v>OK</v>
      </c>
    </row>
    <row r="457" spans="1:13" x14ac:dyDescent="0.25">
      <c r="A457" s="1">
        <v>456</v>
      </c>
      <c r="B457" s="1" t="s">
        <v>222</v>
      </c>
      <c r="C457">
        <v>33</v>
      </c>
      <c r="D457">
        <v>2</v>
      </c>
      <c r="E457" s="2">
        <v>44969</v>
      </c>
      <c r="F457" s="3">
        <v>0.95253472222222224</v>
      </c>
      <c r="G457" s="2">
        <v>44972</v>
      </c>
      <c r="H457" s="3">
        <v>0.92645833333333338</v>
      </c>
      <c r="I457" s="1" t="s">
        <v>247</v>
      </c>
      <c r="J457" s="1" t="s">
        <v>12</v>
      </c>
      <c r="K457">
        <v>3</v>
      </c>
      <c r="L457" t="str">
        <f>IF(tblOrders[[#This Row],[Quantity]]&lt;=0,"Check","OK")</f>
        <v>OK</v>
      </c>
      <c r="M457" s="1" t="str">
        <f>IF(tblOrders[[#This Row],[Delivery_Date]]&lt;tblOrders[[#This Row],[Order_Date]],"Error","OK")</f>
        <v>OK</v>
      </c>
    </row>
    <row r="458" spans="1:13" x14ac:dyDescent="0.25">
      <c r="A458" s="1">
        <v>457</v>
      </c>
      <c r="B458" s="1" t="s">
        <v>250</v>
      </c>
      <c r="C458">
        <v>22</v>
      </c>
      <c r="D458">
        <v>5</v>
      </c>
      <c r="E458" s="2">
        <v>45073</v>
      </c>
      <c r="F458" s="3">
        <v>0.58031250000000001</v>
      </c>
      <c r="G458" s="2">
        <v>45075</v>
      </c>
      <c r="H458" s="3">
        <v>0.6933449074074074</v>
      </c>
      <c r="I458" s="1" t="s">
        <v>504</v>
      </c>
      <c r="J458" s="1" t="s">
        <v>8</v>
      </c>
      <c r="K458">
        <v>2</v>
      </c>
      <c r="L458" t="str">
        <f>IF(tblOrders[[#This Row],[Quantity]]&lt;=0,"Check","OK")</f>
        <v>OK</v>
      </c>
      <c r="M458" s="1" t="str">
        <f>IF(tblOrders[[#This Row],[Delivery_Date]]&lt;tblOrders[[#This Row],[Order_Date]],"Error","OK")</f>
        <v>OK</v>
      </c>
    </row>
    <row r="459" spans="1:13" x14ac:dyDescent="0.25">
      <c r="A459" s="1">
        <v>458</v>
      </c>
      <c r="B459" s="1" t="s">
        <v>204</v>
      </c>
      <c r="C459">
        <v>32</v>
      </c>
      <c r="D459">
        <v>2</v>
      </c>
      <c r="E459" s="2">
        <v>45126</v>
      </c>
      <c r="F459" s="3">
        <v>0.72326388888888893</v>
      </c>
      <c r="G459" s="2">
        <v>45131</v>
      </c>
      <c r="H459" s="3">
        <v>0.85606481481481478</v>
      </c>
      <c r="I459" s="1" t="s">
        <v>323</v>
      </c>
      <c r="J459" s="1" t="s">
        <v>36</v>
      </c>
      <c r="K459">
        <v>5</v>
      </c>
      <c r="L459" t="str">
        <f>IF(tblOrders[[#This Row],[Quantity]]&lt;=0,"Check","OK")</f>
        <v>OK</v>
      </c>
      <c r="M459" s="1" t="str">
        <f>IF(tblOrders[[#This Row],[Delivery_Date]]&lt;tblOrders[[#This Row],[Order_Date]],"Error","OK")</f>
        <v>OK</v>
      </c>
    </row>
    <row r="460" spans="1:13" x14ac:dyDescent="0.25">
      <c r="A460" s="1">
        <v>459</v>
      </c>
      <c r="B460" s="1" t="s">
        <v>398</v>
      </c>
      <c r="C460">
        <v>12</v>
      </c>
      <c r="D460">
        <v>2</v>
      </c>
      <c r="E460" s="2">
        <v>45014</v>
      </c>
      <c r="F460" s="3">
        <v>0.30896990740740743</v>
      </c>
      <c r="G460" s="2">
        <v>45015</v>
      </c>
      <c r="H460" s="3">
        <v>0.31563657407407408</v>
      </c>
      <c r="I460" s="1" t="s">
        <v>450</v>
      </c>
      <c r="J460" s="1" t="s">
        <v>30</v>
      </c>
      <c r="K460">
        <v>1</v>
      </c>
      <c r="L460" t="str">
        <f>IF(tblOrders[[#This Row],[Quantity]]&lt;=0,"Check","OK")</f>
        <v>OK</v>
      </c>
      <c r="M460" s="1" t="str">
        <f>IF(tblOrders[[#This Row],[Delivery_Date]]&lt;tblOrders[[#This Row],[Order_Date]],"Error","OK")</f>
        <v>OK</v>
      </c>
    </row>
    <row r="461" spans="1:13" x14ac:dyDescent="0.25">
      <c r="A461" s="1">
        <v>460</v>
      </c>
      <c r="B461" s="1" t="s">
        <v>369</v>
      </c>
      <c r="C461">
        <v>29</v>
      </c>
      <c r="D461">
        <v>2</v>
      </c>
      <c r="E461" s="2">
        <v>44989</v>
      </c>
      <c r="F461" s="3">
        <v>0.33232638888888888</v>
      </c>
      <c r="G461" s="2">
        <v>44991</v>
      </c>
      <c r="H461" s="3">
        <v>5.162037037037037E-3</v>
      </c>
      <c r="I461" s="1" t="s">
        <v>505</v>
      </c>
      <c r="J461" s="1" t="s">
        <v>25</v>
      </c>
      <c r="K461">
        <v>2</v>
      </c>
      <c r="L461" t="str">
        <f>IF(tblOrders[[#This Row],[Quantity]]&lt;=0,"Check","OK")</f>
        <v>OK</v>
      </c>
      <c r="M461" s="1" t="str">
        <f>IF(tblOrders[[#This Row],[Delivery_Date]]&lt;tblOrders[[#This Row],[Order_Date]],"Error","OK")</f>
        <v>OK</v>
      </c>
    </row>
    <row r="462" spans="1:13" x14ac:dyDescent="0.25">
      <c r="A462" s="1">
        <v>461</v>
      </c>
      <c r="B462" s="1" t="s">
        <v>333</v>
      </c>
      <c r="C462">
        <v>12</v>
      </c>
      <c r="D462">
        <v>4</v>
      </c>
      <c r="E462" s="2">
        <v>45099</v>
      </c>
      <c r="F462" s="3">
        <v>0.34209490740740739</v>
      </c>
      <c r="G462" s="2">
        <v>45104</v>
      </c>
      <c r="H462" s="3">
        <v>0.62009259259259264</v>
      </c>
      <c r="I462" s="1" t="s">
        <v>355</v>
      </c>
      <c r="J462" s="1" t="s">
        <v>30</v>
      </c>
      <c r="K462">
        <v>5</v>
      </c>
      <c r="L462" t="str">
        <f>IF(tblOrders[[#This Row],[Quantity]]&lt;=0,"Check","OK")</f>
        <v>OK</v>
      </c>
      <c r="M462" s="1" t="str">
        <f>IF(tblOrders[[#This Row],[Delivery_Date]]&lt;tblOrders[[#This Row],[Order_Date]],"Error","OK")</f>
        <v>OK</v>
      </c>
    </row>
    <row r="463" spans="1:13" x14ac:dyDescent="0.25">
      <c r="A463" s="1">
        <v>462</v>
      </c>
      <c r="B463" s="1" t="s">
        <v>191</v>
      </c>
      <c r="C463">
        <v>60</v>
      </c>
      <c r="D463">
        <v>5</v>
      </c>
      <c r="E463" s="2">
        <v>45234</v>
      </c>
      <c r="F463" s="3">
        <v>0.75701388888888888</v>
      </c>
      <c r="G463" s="2">
        <v>45243</v>
      </c>
      <c r="H463" s="3">
        <v>0.59738425925925931</v>
      </c>
      <c r="I463" s="1" t="s">
        <v>325</v>
      </c>
      <c r="J463" s="1" t="s">
        <v>19</v>
      </c>
      <c r="K463">
        <v>9</v>
      </c>
      <c r="L463" t="str">
        <f>IF(tblOrders[[#This Row],[Quantity]]&lt;=0,"Check","OK")</f>
        <v>OK</v>
      </c>
      <c r="M463" s="1" t="str">
        <f>IF(tblOrders[[#This Row],[Delivery_Date]]&lt;tblOrders[[#This Row],[Order_Date]],"Error","OK")</f>
        <v>OK</v>
      </c>
    </row>
    <row r="464" spans="1:13" x14ac:dyDescent="0.25">
      <c r="A464" s="1">
        <v>463</v>
      </c>
      <c r="B464" s="1" t="s">
        <v>174</v>
      </c>
      <c r="C464">
        <v>18</v>
      </c>
      <c r="D464">
        <v>3</v>
      </c>
      <c r="E464" s="2">
        <v>45193</v>
      </c>
      <c r="F464" s="3">
        <v>0.9331828703703704</v>
      </c>
      <c r="G464" s="2">
        <v>45199</v>
      </c>
      <c r="H464" s="3">
        <v>3.6145833333333335E-2</v>
      </c>
      <c r="I464" s="1" t="s">
        <v>506</v>
      </c>
      <c r="J464" s="1" t="s">
        <v>36</v>
      </c>
      <c r="K464">
        <v>6</v>
      </c>
      <c r="L464" t="str">
        <f>IF(tblOrders[[#This Row],[Quantity]]&lt;=0,"Check","OK")</f>
        <v>OK</v>
      </c>
      <c r="M464" s="1" t="str">
        <f>IF(tblOrders[[#This Row],[Delivery_Date]]&lt;tblOrders[[#This Row],[Order_Date]],"Error","OK")</f>
        <v>OK</v>
      </c>
    </row>
    <row r="465" spans="1:13" x14ac:dyDescent="0.25">
      <c r="A465" s="1">
        <v>464</v>
      </c>
      <c r="B465" s="1" t="s">
        <v>248</v>
      </c>
      <c r="C465">
        <v>18</v>
      </c>
      <c r="D465">
        <v>3</v>
      </c>
      <c r="E465" s="2">
        <v>45112</v>
      </c>
      <c r="F465" s="3">
        <v>0.12806712962962963</v>
      </c>
      <c r="G465" s="2">
        <v>45115</v>
      </c>
      <c r="H465" s="3">
        <v>0.56857638888888884</v>
      </c>
      <c r="I465" s="1" t="s">
        <v>507</v>
      </c>
      <c r="J465" s="1" t="s">
        <v>36</v>
      </c>
      <c r="K465">
        <v>3</v>
      </c>
      <c r="L465" t="str">
        <f>IF(tblOrders[[#This Row],[Quantity]]&lt;=0,"Check","OK")</f>
        <v>OK</v>
      </c>
      <c r="M465" s="1" t="str">
        <f>IF(tblOrders[[#This Row],[Delivery_Date]]&lt;tblOrders[[#This Row],[Order_Date]],"Error","OK")</f>
        <v>OK</v>
      </c>
    </row>
    <row r="466" spans="1:13" x14ac:dyDescent="0.25">
      <c r="A466" s="1">
        <v>465</v>
      </c>
      <c r="B466" s="1" t="s">
        <v>170</v>
      </c>
      <c r="C466">
        <v>55</v>
      </c>
      <c r="D466">
        <v>5</v>
      </c>
      <c r="E466" s="2">
        <v>45161</v>
      </c>
      <c r="F466" s="3">
        <v>0.99041666666666661</v>
      </c>
      <c r="G466" s="2">
        <v>45164</v>
      </c>
      <c r="H466" s="3">
        <v>0.56193287037037032</v>
      </c>
      <c r="I466" s="1" t="s">
        <v>201</v>
      </c>
      <c r="J466" s="1" t="s">
        <v>33</v>
      </c>
      <c r="K466">
        <v>3</v>
      </c>
      <c r="L466" t="str">
        <f>IF(tblOrders[[#This Row],[Quantity]]&lt;=0,"Check","OK")</f>
        <v>OK</v>
      </c>
      <c r="M466" s="1" t="str">
        <f>IF(tblOrders[[#This Row],[Delivery_Date]]&lt;tblOrders[[#This Row],[Order_Date]],"Error","OK")</f>
        <v>OK</v>
      </c>
    </row>
    <row r="467" spans="1:13" x14ac:dyDescent="0.25">
      <c r="A467" s="1">
        <v>466</v>
      </c>
      <c r="B467" s="1" t="s">
        <v>291</v>
      </c>
      <c r="C467">
        <v>23</v>
      </c>
      <c r="D467">
        <v>1</v>
      </c>
      <c r="E467" s="2">
        <v>45202</v>
      </c>
      <c r="F467" s="3">
        <v>0.58219907407407412</v>
      </c>
      <c r="G467" s="2">
        <v>45210</v>
      </c>
      <c r="H467" s="3">
        <v>0.41644675925925928</v>
      </c>
      <c r="I467" s="1" t="s">
        <v>278</v>
      </c>
      <c r="J467" s="1" t="s">
        <v>30</v>
      </c>
      <c r="K467">
        <v>8</v>
      </c>
      <c r="L467" t="str">
        <f>IF(tblOrders[[#This Row],[Quantity]]&lt;=0,"Check","OK")</f>
        <v>OK</v>
      </c>
      <c r="M467" s="1" t="str">
        <f>IF(tblOrders[[#This Row],[Delivery_Date]]&lt;tblOrders[[#This Row],[Order_Date]],"Error","OK")</f>
        <v>OK</v>
      </c>
    </row>
    <row r="468" spans="1:13" x14ac:dyDescent="0.25">
      <c r="A468" s="1">
        <v>467</v>
      </c>
      <c r="B468" s="1" t="s">
        <v>195</v>
      </c>
      <c r="C468">
        <v>53</v>
      </c>
      <c r="D468">
        <v>1</v>
      </c>
      <c r="E468" s="2">
        <v>45166</v>
      </c>
      <c r="F468" s="3">
        <v>0.59634259259259259</v>
      </c>
      <c r="G468" s="2">
        <v>45171</v>
      </c>
      <c r="H468" s="3">
        <v>0.63901620370370371</v>
      </c>
      <c r="I468" s="1" t="s">
        <v>189</v>
      </c>
      <c r="J468" s="1" t="s">
        <v>33</v>
      </c>
      <c r="K468">
        <v>5</v>
      </c>
      <c r="L468" t="str">
        <f>IF(tblOrders[[#This Row],[Quantity]]&lt;=0,"Check","OK")</f>
        <v>OK</v>
      </c>
      <c r="M468" s="1" t="str">
        <f>IF(tblOrders[[#This Row],[Delivery_Date]]&lt;tblOrders[[#This Row],[Order_Date]],"Error","OK")</f>
        <v>OK</v>
      </c>
    </row>
    <row r="469" spans="1:13" x14ac:dyDescent="0.25">
      <c r="A469" s="1">
        <v>468</v>
      </c>
      <c r="B469" s="1" t="s">
        <v>369</v>
      </c>
      <c r="C469">
        <v>5</v>
      </c>
      <c r="D469">
        <v>2</v>
      </c>
      <c r="E469" s="2">
        <v>45132</v>
      </c>
      <c r="F469" s="3">
        <v>0.33155092592592594</v>
      </c>
      <c r="G469" s="2">
        <v>45142</v>
      </c>
      <c r="H469" s="3">
        <v>5.8877314814814813E-2</v>
      </c>
      <c r="I469" s="1" t="s">
        <v>508</v>
      </c>
      <c r="J469" s="1" t="s">
        <v>8</v>
      </c>
      <c r="K469">
        <v>10</v>
      </c>
      <c r="L469" t="str">
        <f>IF(tblOrders[[#This Row],[Quantity]]&lt;=0,"Check","OK")</f>
        <v>OK</v>
      </c>
      <c r="M469" s="1" t="str">
        <f>IF(tblOrders[[#This Row],[Delivery_Date]]&lt;tblOrders[[#This Row],[Order_Date]],"Error","OK")</f>
        <v>OK</v>
      </c>
    </row>
    <row r="470" spans="1:13" x14ac:dyDescent="0.25">
      <c r="A470" s="1">
        <v>469</v>
      </c>
      <c r="B470" s="1" t="s">
        <v>341</v>
      </c>
      <c r="C470">
        <v>42</v>
      </c>
      <c r="D470">
        <v>4</v>
      </c>
      <c r="E470" s="2">
        <v>45275</v>
      </c>
      <c r="F470" s="3">
        <v>0.29583333333333334</v>
      </c>
      <c r="G470" s="2">
        <v>45279</v>
      </c>
      <c r="H470" s="3">
        <v>0.53945601851851854</v>
      </c>
      <c r="I470" s="1" t="s">
        <v>377</v>
      </c>
      <c r="J470" s="1" t="s">
        <v>8</v>
      </c>
      <c r="K470">
        <v>4</v>
      </c>
      <c r="L470" t="str">
        <f>IF(tblOrders[[#This Row],[Quantity]]&lt;=0,"Check","OK")</f>
        <v>OK</v>
      </c>
      <c r="M470" s="1" t="str">
        <f>IF(tblOrders[[#This Row],[Delivery_Date]]&lt;tblOrders[[#This Row],[Order_Date]],"Error","OK")</f>
        <v>OK</v>
      </c>
    </row>
    <row r="471" spans="1:13" x14ac:dyDescent="0.25">
      <c r="A471" s="1">
        <v>470</v>
      </c>
      <c r="B471" s="1" t="s">
        <v>244</v>
      </c>
      <c r="C471">
        <v>47</v>
      </c>
      <c r="D471">
        <v>5</v>
      </c>
      <c r="E471" s="2">
        <v>44985</v>
      </c>
      <c r="F471" s="3">
        <v>0.73199074074074078</v>
      </c>
      <c r="G471" s="2">
        <v>44991</v>
      </c>
      <c r="H471" s="3">
        <v>0.64547453703703705</v>
      </c>
      <c r="I471" s="1" t="s">
        <v>240</v>
      </c>
      <c r="J471" s="1" t="s">
        <v>25</v>
      </c>
      <c r="K471">
        <v>6</v>
      </c>
      <c r="L471" t="str">
        <f>IF(tblOrders[[#This Row],[Quantity]]&lt;=0,"Check","OK")</f>
        <v>OK</v>
      </c>
      <c r="M471" s="1" t="str">
        <f>IF(tblOrders[[#This Row],[Delivery_Date]]&lt;tblOrders[[#This Row],[Order_Date]],"Error","OK")</f>
        <v>OK</v>
      </c>
    </row>
    <row r="472" spans="1:13" x14ac:dyDescent="0.25">
      <c r="A472" s="1">
        <v>471</v>
      </c>
      <c r="B472" s="1" t="s">
        <v>361</v>
      </c>
      <c r="C472">
        <v>23</v>
      </c>
      <c r="D472">
        <v>2</v>
      </c>
      <c r="E472" s="2">
        <v>44957</v>
      </c>
      <c r="F472" s="3">
        <v>0.50626157407407413</v>
      </c>
      <c r="G472" s="2">
        <v>44967</v>
      </c>
      <c r="H472" s="3">
        <v>0.24312500000000001</v>
      </c>
      <c r="I472" s="1" t="s">
        <v>445</v>
      </c>
      <c r="J472" s="1" t="s">
        <v>30</v>
      </c>
      <c r="K472">
        <v>10</v>
      </c>
      <c r="L472" t="str">
        <f>IF(tblOrders[[#This Row],[Quantity]]&lt;=0,"Check","OK")</f>
        <v>OK</v>
      </c>
      <c r="M472" s="1" t="str">
        <f>IF(tblOrders[[#This Row],[Delivery_Date]]&lt;tblOrders[[#This Row],[Order_Date]],"Error","OK")</f>
        <v>OK</v>
      </c>
    </row>
    <row r="473" spans="1:13" x14ac:dyDescent="0.25">
      <c r="A473" s="1">
        <v>472</v>
      </c>
      <c r="B473" s="1" t="s">
        <v>270</v>
      </c>
      <c r="C473">
        <v>56</v>
      </c>
      <c r="D473">
        <v>1</v>
      </c>
      <c r="E473" s="2">
        <v>45284</v>
      </c>
      <c r="F473" s="3">
        <v>0.31432870370370369</v>
      </c>
      <c r="G473" s="2">
        <v>45290</v>
      </c>
      <c r="H473" s="3">
        <v>0.94881944444444444</v>
      </c>
      <c r="I473" s="1" t="s">
        <v>194</v>
      </c>
      <c r="J473" s="1" t="s">
        <v>30</v>
      </c>
      <c r="K473">
        <v>6</v>
      </c>
      <c r="L473" t="str">
        <f>IF(tblOrders[[#This Row],[Quantity]]&lt;=0,"Check","OK")</f>
        <v>OK</v>
      </c>
      <c r="M473" s="1" t="str">
        <f>IF(tblOrders[[#This Row],[Delivery_Date]]&lt;tblOrders[[#This Row],[Order_Date]],"Error","OK")</f>
        <v>OK</v>
      </c>
    </row>
    <row r="474" spans="1:13" x14ac:dyDescent="0.25">
      <c r="A474" s="1">
        <v>473</v>
      </c>
      <c r="B474" s="1" t="s">
        <v>302</v>
      </c>
      <c r="C474">
        <v>22</v>
      </c>
      <c r="D474">
        <v>3</v>
      </c>
      <c r="E474" s="2">
        <v>45013</v>
      </c>
      <c r="F474" s="3">
        <v>0.34302083333333333</v>
      </c>
      <c r="G474" s="2">
        <v>45020</v>
      </c>
      <c r="H474" s="3">
        <v>0.65576388888888892</v>
      </c>
      <c r="I474" s="1" t="s">
        <v>509</v>
      </c>
      <c r="J474" s="1" t="s">
        <v>8</v>
      </c>
      <c r="K474">
        <v>7</v>
      </c>
      <c r="L474" t="str">
        <f>IF(tblOrders[[#This Row],[Quantity]]&lt;=0,"Check","OK")</f>
        <v>OK</v>
      </c>
      <c r="M474" s="1" t="str">
        <f>IF(tblOrders[[#This Row],[Delivery_Date]]&lt;tblOrders[[#This Row],[Order_Date]],"Error","OK")</f>
        <v>OK</v>
      </c>
    </row>
    <row r="475" spans="1:13" x14ac:dyDescent="0.25">
      <c r="A475" s="1">
        <v>474</v>
      </c>
      <c r="B475" s="1" t="s">
        <v>341</v>
      </c>
      <c r="C475">
        <v>1</v>
      </c>
      <c r="D475">
        <v>4</v>
      </c>
      <c r="E475" s="2">
        <v>44964</v>
      </c>
      <c r="F475" s="3">
        <v>0.27221064814814816</v>
      </c>
      <c r="G475" s="2">
        <v>44971</v>
      </c>
      <c r="H475" s="3">
        <v>8.3414351851851851E-2</v>
      </c>
      <c r="I475" s="1" t="s">
        <v>510</v>
      </c>
      <c r="J475" s="1" t="s">
        <v>8</v>
      </c>
      <c r="K475">
        <v>7</v>
      </c>
      <c r="L475" t="str">
        <f>IF(tblOrders[[#This Row],[Quantity]]&lt;=0,"Check","OK")</f>
        <v>OK</v>
      </c>
      <c r="M475" s="1" t="str">
        <f>IF(tblOrders[[#This Row],[Delivery_Date]]&lt;tblOrders[[#This Row],[Order_Date]],"Error","OK")</f>
        <v>OK</v>
      </c>
    </row>
    <row r="476" spans="1:13" x14ac:dyDescent="0.25">
      <c r="A476" s="1">
        <v>475</v>
      </c>
      <c r="B476" s="1" t="s">
        <v>183</v>
      </c>
      <c r="C476">
        <v>46</v>
      </c>
      <c r="D476">
        <v>2</v>
      </c>
      <c r="E476" s="2">
        <v>45264</v>
      </c>
      <c r="F476" s="3">
        <v>0.30651620370370369</v>
      </c>
      <c r="G476" s="2">
        <v>45268</v>
      </c>
      <c r="H476" s="3">
        <v>0.56414351851851852</v>
      </c>
      <c r="I476" s="1" t="s">
        <v>511</v>
      </c>
      <c r="J476" s="1" t="s">
        <v>30</v>
      </c>
      <c r="K476">
        <v>4</v>
      </c>
      <c r="L476" t="str">
        <f>IF(tblOrders[[#This Row],[Quantity]]&lt;=0,"Check","OK")</f>
        <v>OK</v>
      </c>
      <c r="M476" s="1" t="str">
        <f>IF(tblOrders[[#This Row],[Delivery_Date]]&lt;tblOrders[[#This Row],[Order_Date]],"Error","OK")</f>
        <v>OK</v>
      </c>
    </row>
    <row r="477" spans="1:13" x14ac:dyDescent="0.25">
      <c r="A477" s="1">
        <v>476</v>
      </c>
      <c r="B477" s="1" t="s">
        <v>229</v>
      </c>
      <c r="C477">
        <v>40</v>
      </c>
      <c r="D477">
        <v>2</v>
      </c>
      <c r="E477" s="2">
        <v>45187</v>
      </c>
      <c r="F477" s="3">
        <v>5.3680555555555558E-2</v>
      </c>
      <c r="G477" s="2">
        <v>45189</v>
      </c>
      <c r="H477" s="3">
        <v>0.74530092592592589</v>
      </c>
      <c r="I477" s="1" t="s">
        <v>198</v>
      </c>
      <c r="J477" s="1" t="s">
        <v>30</v>
      </c>
      <c r="K477">
        <v>2</v>
      </c>
      <c r="L477" t="str">
        <f>IF(tblOrders[[#This Row],[Quantity]]&lt;=0,"Check","OK")</f>
        <v>OK</v>
      </c>
      <c r="M477" s="1" t="str">
        <f>IF(tblOrders[[#This Row],[Delivery_Date]]&lt;tblOrders[[#This Row],[Order_Date]],"Error","OK")</f>
        <v>OK</v>
      </c>
    </row>
    <row r="478" spans="1:13" x14ac:dyDescent="0.25">
      <c r="A478" s="1">
        <v>477</v>
      </c>
      <c r="B478" s="1" t="s">
        <v>183</v>
      </c>
      <c r="C478">
        <v>33</v>
      </c>
      <c r="D478">
        <v>4</v>
      </c>
      <c r="E478" s="2">
        <v>44969</v>
      </c>
      <c r="F478" s="3">
        <v>0.72093750000000001</v>
      </c>
      <c r="G478" s="2">
        <v>44971</v>
      </c>
      <c r="H478" s="3">
        <v>0.13324074074074074</v>
      </c>
      <c r="I478" s="1" t="s">
        <v>489</v>
      </c>
      <c r="J478" s="1" t="s">
        <v>12</v>
      </c>
      <c r="K478">
        <v>2</v>
      </c>
      <c r="L478" t="str">
        <f>IF(tblOrders[[#This Row],[Quantity]]&lt;=0,"Check","OK")</f>
        <v>OK</v>
      </c>
      <c r="M478" s="1" t="str">
        <f>IF(tblOrders[[#This Row],[Delivery_Date]]&lt;tblOrders[[#This Row],[Order_Date]],"Error","OK")</f>
        <v>OK</v>
      </c>
    </row>
    <row r="479" spans="1:13" x14ac:dyDescent="0.25">
      <c r="A479" s="1">
        <v>478</v>
      </c>
      <c r="B479" s="1" t="s">
        <v>440</v>
      </c>
      <c r="C479">
        <v>11</v>
      </c>
      <c r="D479">
        <v>5</v>
      </c>
      <c r="E479" s="2">
        <v>44965</v>
      </c>
      <c r="F479" s="3">
        <v>4.9548611111111113E-2</v>
      </c>
      <c r="G479" s="2">
        <v>44966</v>
      </c>
      <c r="H479" s="3">
        <v>0.40994212962962961</v>
      </c>
      <c r="I479" s="1" t="s">
        <v>512</v>
      </c>
      <c r="J479" s="1" t="s">
        <v>12</v>
      </c>
      <c r="K479">
        <v>1</v>
      </c>
      <c r="L479" t="str">
        <f>IF(tblOrders[[#This Row],[Quantity]]&lt;=0,"Check","OK")</f>
        <v>OK</v>
      </c>
      <c r="M479" s="1" t="str">
        <f>IF(tblOrders[[#This Row],[Delivery_Date]]&lt;tblOrders[[#This Row],[Order_Date]],"Error","OK")</f>
        <v>OK</v>
      </c>
    </row>
    <row r="480" spans="1:13" x14ac:dyDescent="0.25">
      <c r="A480" s="1">
        <v>479</v>
      </c>
      <c r="B480" s="1" t="s">
        <v>222</v>
      </c>
      <c r="C480">
        <v>11</v>
      </c>
      <c r="D480">
        <v>1</v>
      </c>
      <c r="E480" s="2">
        <v>44964</v>
      </c>
      <c r="F480" s="3">
        <v>0.74190972222222218</v>
      </c>
      <c r="G480" s="2">
        <v>44968</v>
      </c>
      <c r="H480" s="3">
        <v>0.45015046296296296</v>
      </c>
      <c r="I480" s="1" t="s">
        <v>485</v>
      </c>
      <c r="J480" s="1" t="s">
        <v>12</v>
      </c>
      <c r="K480">
        <v>4</v>
      </c>
      <c r="L480" t="str">
        <f>IF(tblOrders[[#This Row],[Quantity]]&lt;=0,"Check","OK")</f>
        <v>OK</v>
      </c>
      <c r="M480" s="1" t="str">
        <f>IF(tblOrders[[#This Row],[Delivery_Date]]&lt;tblOrders[[#This Row],[Order_Date]],"Error","OK")</f>
        <v>OK</v>
      </c>
    </row>
    <row r="481" spans="1:13" x14ac:dyDescent="0.25">
      <c r="A481" s="1">
        <v>480</v>
      </c>
      <c r="B481" s="1" t="s">
        <v>242</v>
      </c>
      <c r="C481">
        <v>62</v>
      </c>
      <c r="D481">
        <v>4</v>
      </c>
      <c r="E481" s="2">
        <v>44991</v>
      </c>
      <c r="F481" s="3">
        <v>0.18716435185185185</v>
      </c>
      <c r="G481" s="2">
        <v>45001</v>
      </c>
      <c r="H481" s="3">
        <v>0.93024305555555553</v>
      </c>
      <c r="I481" s="1" t="s">
        <v>513</v>
      </c>
      <c r="J481" s="1" t="s">
        <v>25</v>
      </c>
      <c r="K481">
        <v>10</v>
      </c>
      <c r="L481" t="str">
        <f>IF(tblOrders[[#This Row],[Quantity]]&lt;=0,"Check","OK")</f>
        <v>OK</v>
      </c>
      <c r="M481" s="1" t="str">
        <f>IF(tblOrders[[#This Row],[Delivery_Date]]&lt;tblOrders[[#This Row],[Order_Date]],"Error","OK")</f>
        <v>OK</v>
      </c>
    </row>
    <row r="482" spans="1:13" x14ac:dyDescent="0.25">
      <c r="A482" s="1">
        <v>481</v>
      </c>
      <c r="B482" s="1" t="s">
        <v>182</v>
      </c>
      <c r="C482">
        <v>12</v>
      </c>
      <c r="D482">
        <v>5</v>
      </c>
      <c r="E482" s="2">
        <v>45159</v>
      </c>
      <c r="F482" s="3">
        <v>6.134259259259259E-4</v>
      </c>
      <c r="G482" s="2">
        <v>45163</v>
      </c>
      <c r="H482" s="3">
        <v>0.77528935185185188</v>
      </c>
      <c r="I482" s="1" t="s">
        <v>514</v>
      </c>
      <c r="J482" s="1" t="s">
        <v>30</v>
      </c>
      <c r="K482">
        <v>4</v>
      </c>
      <c r="L482" t="str">
        <f>IF(tblOrders[[#This Row],[Quantity]]&lt;=0,"Check","OK")</f>
        <v>OK</v>
      </c>
      <c r="M482" s="1" t="str">
        <f>IF(tblOrders[[#This Row],[Delivery_Date]]&lt;tblOrders[[#This Row],[Order_Date]],"Error","OK")</f>
        <v>OK</v>
      </c>
    </row>
    <row r="483" spans="1:13" x14ac:dyDescent="0.25">
      <c r="A483" s="1">
        <v>482</v>
      </c>
      <c r="B483" s="1" t="s">
        <v>276</v>
      </c>
      <c r="C483">
        <v>23</v>
      </c>
      <c r="D483">
        <v>3</v>
      </c>
      <c r="E483" s="2">
        <v>45082</v>
      </c>
      <c r="F483" s="3">
        <v>0.85668981481481477</v>
      </c>
      <c r="G483" s="2">
        <v>45091</v>
      </c>
      <c r="H483" s="3">
        <v>0.87262731481481481</v>
      </c>
      <c r="I483" s="1" t="s">
        <v>207</v>
      </c>
      <c r="J483" s="1" t="s">
        <v>30</v>
      </c>
      <c r="K483">
        <v>9</v>
      </c>
      <c r="L483" t="str">
        <f>IF(tblOrders[[#This Row],[Quantity]]&lt;=0,"Check","OK")</f>
        <v>OK</v>
      </c>
      <c r="M483" s="1" t="str">
        <f>IF(tblOrders[[#This Row],[Delivery_Date]]&lt;tblOrders[[#This Row],[Order_Date]],"Error","OK")</f>
        <v>OK</v>
      </c>
    </row>
    <row r="484" spans="1:13" x14ac:dyDescent="0.25">
      <c r="A484" s="1">
        <v>483</v>
      </c>
      <c r="B484" s="1" t="s">
        <v>369</v>
      </c>
      <c r="C484">
        <v>59</v>
      </c>
      <c r="D484">
        <v>2</v>
      </c>
      <c r="E484" s="2">
        <v>45166</v>
      </c>
      <c r="F484" s="3">
        <v>0.26739583333333333</v>
      </c>
      <c r="G484" s="2">
        <v>45169</v>
      </c>
      <c r="H484" s="3">
        <v>0.21252314814814816</v>
      </c>
      <c r="I484" s="1" t="s">
        <v>286</v>
      </c>
      <c r="J484" s="1" t="s">
        <v>33</v>
      </c>
      <c r="K484">
        <v>3</v>
      </c>
      <c r="L484" t="str">
        <f>IF(tblOrders[[#This Row],[Quantity]]&lt;=0,"Check","OK")</f>
        <v>OK</v>
      </c>
      <c r="M484" s="1" t="str">
        <f>IF(tblOrders[[#This Row],[Delivery_Date]]&lt;tblOrders[[#This Row],[Order_Date]],"Error","OK")</f>
        <v>OK</v>
      </c>
    </row>
    <row r="485" spans="1:13" x14ac:dyDescent="0.25">
      <c r="A485" s="1">
        <v>484</v>
      </c>
      <c r="B485" s="1" t="s">
        <v>480</v>
      </c>
      <c r="C485">
        <v>1</v>
      </c>
      <c r="D485">
        <v>5</v>
      </c>
      <c r="E485" s="2">
        <v>45072</v>
      </c>
      <c r="F485" s="3">
        <v>0.79438657407407409</v>
      </c>
      <c r="G485" s="2">
        <v>45080</v>
      </c>
      <c r="H485" s="3">
        <v>0.8140856481481481</v>
      </c>
      <c r="I485" s="1" t="s">
        <v>181</v>
      </c>
      <c r="J485" s="1" t="s">
        <v>8</v>
      </c>
      <c r="K485">
        <v>8</v>
      </c>
      <c r="L485" t="str">
        <f>IF(tblOrders[[#This Row],[Quantity]]&lt;=0,"Check","OK")</f>
        <v>OK</v>
      </c>
      <c r="M485" s="1" t="str">
        <f>IF(tblOrders[[#This Row],[Delivery_Date]]&lt;tblOrders[[#This Row],[Order_Date]],"Error","OK")</f>
        <v>OK</v>
      </c>
    </row>
    <row r="486" spans="1:13" x14ac:dyDescent="0.25">
      <c r="A486" s="1">
        <v>485</v>
      </c>
      <c r="B486" s="1" t="s">
        <v>170</v>
      </c>
      <c r="C486">
        <v>43</v>
      </c>
      <c r="D486">
        <v>4</v>
      </c>
      <c r="E486" s="2">
        <v>45236</v>
      </c>
      <c r="F486" s="3">
        <v>0.80583333333333329</v>
      </c>
      <c r="G486" s="2">
        <v>45244</v>
      </c>
      <c r="H486" s="3">
        <v>0.81057870370370366</v>
      </c>
      <c r="I486" s="1" t="s">
        <v>515</v>
      </c>
      <c r="J486" s="1" t="s">
        <v>19</v>
      </c>
      <c r="K486">
        <v>8</v>
      </c>
      <c r="L486" t="str">
        <f>IF(tblOrders[[#This Row],[Quantity]]&lt;=0,"Check","OK")</f>
        <v>OK</v>
      </c>
      <c r="M486" s="1" t="str">
        <f>IF(tblOrders[[#This Row],[Delivery_Date]]&lt;tblOrders[[#This Row],[Order_Date]],"Error","OK")</f>
        <v>OK</v>
      </c>
    </row>
    <row r="487" spans="1:13" x14ac:dyDescent="0.25">
      <c r="A487" s="1">
        <v>486</v>
      </c>
      <c r="B487" s="1" t="s">
        <v>337</v>
      </c>
      <c r="C487">
        <v>24</v>
      </c>
      <c r="D487">
        <v>1</v>
      </c>
      <c r="E487" s="2">
        <v>45132</v>
      </c>
      <c r="F487" s="3">
        <v>0.60729166666666667</v>
      </c>
      <c r="G487" s="2">
        <v>45137</v>
      </c>
      <c r="H487" s="3">
        <v>0.70734953703703707</v>
      </c>
      <c r="I487" s="1" t="s">
        <v>466</v>
      </c>
      <c r="J487" s="1" t="s">
        <v>36</v>
      </c>
      <c r="K487">
        <v>5</v>
      </c>
      <c r="L487" t="str">
        <f>IF(tblOrders[[#This Row],[Quantity]]&lt;=0,"Check","OK")</f>
        <v>OK</v>
      </c>
      <c r="M487" s="1" t="str">
        <f>IF(tblOrders[[#This Row],[Delivery_Date]]&lt;tblOrders[[#This Row],[Order_Date]],"Error","OK")</f>
        <v>OK</v>
      </c>
    </row>
    <row r="488" spans="1:13" x14ac:dyDescent="0.25">
      <c r="A488" s="1">
        <v>487</v>
      </c>
      <c r="B488" s="1" t="s">
        <v>291</v>
      </c>
      <c r="C488">
        <v>51</v>
      </c>
      <c r="D488">
        <v>1</v>
      </c>
      <c r="E488" s="2">
        <v>44931</v>
      </c>
      <c r="F488" s="3">
        <v>0.69927083333333329</v>
      </c>
      <c r="G488" s="2">
        <v>44935</v>
      </c>
      <c r="H488" s="3">
        <v>0.18631944444444445</v>
      </c>
      <c r="I488" s="1" t="s">
        <v>432</v>
      </c>
      <c r="J488" s="1" t="s">
        <v>8</v>
      </c>
      <c r="K488">
        <v>4</v>
      </c>
      <c r="L488" t="str">
        <f>IF(tblOrders[[#This Row],[Quantity]]&lt;=0,"Check","OK")</f>
        <v>OK</v>
      </c>
      <c r="M488" s="1" t="str">
        <f>IF(tblOrders[[#This Row],[Delivery_Date]]&lt;tblOrders[[#This Row],[Order_Date]],"Error","OK")</f>
        <v>OK</v>
      </c>
    </row>
    <row r="489" spans="1:13" x14ac:dyDescent="0.25">
      <c r="A489" s="1">
        <v>488</v>
      </c>
      <c r="B489" s="1" t="s">
        <v>492</v>
      </c>
      <c r="C489">
        <v>21</v>
      </c>
      <c r="D489">
        <v>4</v>
      </c>
      <c r="E489" s="2">
        <v>45166</v>
      </c>
      <c r="F489" s="3">
        <v>0.92604166666666665</v>
      </c>
      <c r="G489" s="2">
        <v>45167</v>
      </c>
      <c r="H489" s="3">
        <v>0.22695601851851852</v>
      </c>
      <c r="I489" s="1" t="s">
        <v>429</v>
      </c>
      <c r="J489" s="1" t="s">
        <v>33</v>
      </c>
      <c r="K489">
        <v>1</v>
      </c>
      <c r="L489" t="str">
        <f>IF(tblOrders[[#This Row],[Quantity]]&lt;=0,"Check","OK")</f>
        <v>OK</v>
      </c>
      <c r="M489" s="1" t="str">
        <f>IF(tblOrders[[#This Row],[Delivery_Date]]&lt;tblOrders[[#This Row],[Order_Date]],"Error","OK")</f>
        <v>OK</v>
      </c>
    </row>
    <row r="490" spans="1:13" x14ac:dyDescent="0.25">
      <c r="A490" s="1">
        <v>489</v>
      </c>
      <c r="B490" s="1" t="s">
        <v>197</v>
      </c>
      <c r="C490">
        <v>10</v>
      </c>
      <c r="D490">
        <v>1</v>
      </c>
      <c r="E490" s="2">
        <v>45166</v>
      </c>
      <c r="F490" s="3">
        <v>0.93537037037037041</v>
      </c>
      <c r="G490" s="2">
        <v>45171</v>
      </c>
      <c r="H490" s="3">
        <v>0.1880324074074074</v>
      </c>
      <c r="I490" s="1" t="s">
        <v>325</v>
      </c>
      <c r="J490" s="1" t="s">
        <v>36</v>
      </c>
      <c r="K490">
        <v>5</v>
      </c>
      <c r="L490" t="str">
        <f>IF(tblOrders[[#This Row],[Quantity]]&lt;=0,"Check","OK")</f>
        <v>OK</v>
      </c>
      <c r="M490" s="1" t="str">
        <f>IF(tblOrders[[#This Row],[Delivery_Date]]&lt;tblOrders[[#This Row],[Order_Date]],"Error","OK")</f>
        <v>OK</v>
      </c>
    </row>
    <row r="491" spans="1:13" x14ac:dyDescent="0.25">
      <c r="A491" s="1">
        <v>490</v>
      </c>
      <c r="B491" s="1" t="s">
        <v>321</v>
      </c>
      <c r="C491">
        <v>2</v>
      </c>
      <c r="D491">
        <v>1</v>
      </c>
      <c r="E491" s="2">
        <v>44969</v>
      </c>
      <c r="F491" s="3">
        <v>0.51947916666666671</v>
      </c>
      <c r="G491" s="2">
        <v>44971</v>
      </c>
      <c r="H491" s="3">
        <v>0.51896990740740745</v>
      </c>
      <c r="I491" s="1" t="s">
        <v>496</v>
      </c>
      <c r="J491" s="1" t="s">
        <v>12</v>
      </c>
      <c r="K491">
        <v>2</v>
      </c>
      <c r="L491" t="str">
        <f>IF(tblOrders[[#This Row],[Quantity]]&lt;=0,"Check","OK")</f>
        <v>OK</v>
      </c>
      <c r="M491" s="1" t="str">
        <f>IF(tblOrders[[#This Row],[Delivery_Date]]&lt;tblOrders[[#This Row],[Order_Date]],"Error","OK")</f>
        <v>OK</v>
      </c>
    </row>
    <row r="492" spans="1:13" x14ac:dyDescent="0.25">
      <c r="A492" s="1">
        <v>491</v>
      </c>
      <c r="B492" s="1" t="s">
        <v>258</v>
      </c>
      <c r="C492">
        <v>30</v>
      </c>
      <c r="D492">
        <v>1</v>
      </c>
      <c r="E492" s="2">
        <v>45223</v>
      </c>
      <c r="F492" s="3">
        <v>0.26011574074074073</v>
      </c>
      <c r="G492" s="2">
        <v>45232</v>
      </c>
      <c r="H492" s="3">
        <v>0.95787037037037037</v>
      </c>
      <c r="I492" s="1" t="s">
        <v>455</v>
      </c>
      <c r="J492" s="1" t="s">
        <v>30</v>
      </c>
      <c r="K492">
        <v>9</v>
      </c>
      <c r="L492" t="str">
        <f>IF(tblOrders[[#This Row],[Quantity]]&lt;=0,"Check","OK")</f>
        <v>OK</v>
      </c>
      <c r="M492" s="1" t="str">
        <f>IF(tblOrders[[#This Row],[Delivery_Date]]&lt;tblOrders[[#This Row],[Order_Date]],"Error","OK")</f>
        <v>OK</v>
      </c>
    </row>
    <row r="493" spans="1:13" x14ac:dyDescent="0.25">
      <c r="A493" s="1">
        <v>492</v>
      </c>
      <c r="B493" s="1" t="s">
        <v>221</v>
      </c>
      <c r="C493">
        <v>33</v>
      </c>
      <c r="D493">
        <v>2</v>
      </c>
      <c r="E493" s="2">
        <v>44961</v>
      </c>
      <c r="F493" s="3">
        <v>0.57945601851851847</v>
      </c>
      <c r="G493" s="2">
        <v>44970</v>
      </c>
      <c r="H493" s="3">
        <v>0.50315972222222227</v>
      </c>
      <c r="I493" s="1" t="s">
        <v>290</v>
      </c>
      <c r="J493" s="1" t="s">
        <v>12</v>
      </c>
      <c r="K493">
        <v>9</v>
      </c>
      <c r="L493" t="str">
        <f>IF(tblOrders[[#This Row],[Quantity]]&lt;=0,"Check","OK")</f>
        <v>OK</v>
      </c>
      <c r="M493" s="1" t="str">
        <f>IF(tblOrders[[#This Row],[Delivery_Date]]&lt;tblOrders[[#This Row],[Order_Date]],"Error","OK")</f>
        <v>OK</v>
      </c>
    </row>
    <row r="494" spans="1:13" x14ac:dyDescent="0.25">
      <c r="A494" s="1">
        <v>493</v>
      </c>
      <c r="B494" s="1" t="s">
        <v>329</v>
      </c>
      <c r="C494">
        <v>11</v>
      </c>
      <c r="D494">
        <v>1</v>
      </c>
      <c r="E494" s="2">
        <v>44962</v>
      </c>
      <c r="F494" s="3">
        <v>0.92458333333333331</v>
      </c>
      <c r="G494" s="2">
        <v>44963</v>
      </c>
      <c r="H494" s="3">
        <v>0.65498842592592588</v>
      </c>
      <c r="I494" s="1" t="s">
        <v>359</v>
      </c>
      <c r="J494" s="1" t="s">
        <v>12</v>
      </c>
      <c r="K494">
        <v>1</v>
      </c>
      <c r="L494" t="str">
        <f>IF(tblOrders[[#This Row],[Quantity]]&lt;=0,"Check","OK")</f>
        <v>OK</v>
      </c>
      <c r="M494" s="1" t="str">
        <f>IF(tblOrders[[#This Row],[Delivery_Date]]&lt;tblOrders[[#This Row],[Order_Date]],"Error","OK")</f>
        <v>OK</v>
      </c>
    </row>
    <row r="495" spans="1:13" x14ac:dyDescent="0.25">
      <c r="A495" s="1">
        <v>494</v>
      </c>
      <c r="B495" s="1" t="s">
        <v>316</v>
      </c>
      <c r="C495">
        <v>7</v>
      </c>
      <c r="D495">
        <v>4</v>
      </c>
      <c r="E495" s="2">
        <v>44985</v>
      </c>
      <c r="F495" s="3">
        <v>0.13289351851851852</v>
      </c>
      <c r="G495" s="2">
        <v>44993</v>
      </c>
      <c r="H495" s="3">
        <v>0.79638888888888892</v>
      </c>
      <c r="I495" s="1" t="s">
        <v>366</v>
      </c>
      <c r="J495" s="1" t="s">
        <v>25</v>
      </c>
      <c r="K495">
        <v>8</v>
      </c>
      <c r="L495" t="str">
        <f>IF(tblOrders[[#This Row],[Quantity]]&lt;=0,"Check","OK")</f>
        <v>OK</v>
      </c>
      <c r="M495" s="1" t="str">
        <f>IF(tblOrders[[#This Row],[Delivery_Date]]&lt;tblOrders[[#This Row],[Order_Date]],"Error","OK")</f>
        <v>OK</v>
      </c>
    </row>
    <row r="496" spans="1:13" x14ac:dyDescent="0.25">
      <c r="A496" s="1">
        <v>495</v>
      </c>
      <c r="B496" s="1" t="s">
        <v>369</v>
      </c>
      <c r="C496">
        <v>20</v>
      </c>
      <c r="D496">
        <v>1</v>
      </c>
      <c r="E496" s="2">
        <v>45166</v>
      </c>
      <c r="F496" s="3">
        <v>0.73783564814814817</v>
      </c>
      <c r="G496" s="2">
        <v>45167</v>
      </c>
      <c r="H496" s="3">
        <v>0.9524421296296296</v>
      </c>
      <c r="I496" s="1" t="s">
        <v>516</v>
      </c>
      <c r="J496" s="1" t="s">
        <v>30</v>
      </c>
      <c r="K496">
        <v>1</v>
      </c>
      <c r="L496" t="str">
        <f>IF(tblOrders[[#This Row],[Quantity]]&lt;=0,"Check","OK")</f>
        <v>OK</v>
      </c>
      <c r="M496" s="1" t="str">
        <f>IF(tblOrders[[#This Row],[Delivery_Date]]&lt;tblOrders[[#This Row],[Order_Date]],"Error","OK")</f>
        <v>OK</v>
      </c>
    </row>
    <row r="497" spans="1:13" x14ac:dyDescent="0.25">
      <c r="A497" s="1">
        <v>496</v>
      </c>
      <c r="B497" s="1" t="s">
        <v>503</v>
      </c>
      <c r="C497">
        <v>11</v>
      </c>
      <c r="D497">
        <v>4</v>
      </c>
      <c r="E497" s="2">
        <v>44966</v>
      </c>
      <c r="F497" s="3">
        <v>0.60552083333333329</v>
      </c>
      <c r="G497" s="2">
        <v>44973</v>
      </c>
      <c r="H497" s="3">
        <v>0.54561342592592588</v>
      </c>
      <c r="I497" s="1" t="s">
        <v>368</v>
      </c>
      <c r="J497" s="1" t="s">
        <v>12</v>
      </c>
      <c r="K497">
        <v>7</v>
      </c>
      <c r="L497" t="str">
        <f>IF(tblOrders[[#This Row],[Quantity]]&lt;=0,"Check","OK")</f>
        <v>OK</v>
      </c>
      <c r="M497" s="1" t="str">
        <f>IF(tblOrders[[#This Row],[Delivery_Date]]&lt;tblOrders[[#This Row],[Order_Date]],"Error","OK")</f>
        <v>OK</v>
      </c>
    </row>
    <row r="498" spans="1:13" x14ac:dyDescent="0.25">
      <c r="A498" s="1">
        <v>497</v>
      </c>
      <c r="B498" s="1" t="s">
        <v>313</v>
      </c>
      <c r="C498">
        <v>64</v>
      </c>
      <c r="D498">
        <v>2</v>
      </c>
      <c r="E498" s="2">
        <v>45167</v>
      </c>
      <c r="F498" s="3">
        <v>0.8430671296296296</v>
      </c>
      <c r="G498" s="2">
        <v>45170</v>
      </c>
      <c r="H498" s="3">
        <v>0.19648148148148148</v>
      </c>
      <c r="I498" s="1" t="s">
        <v>439</v>
      </c>
      <c r="J498" s="1" t="s">
        <v>33</v>
      </c>
      <c r="K498">
        <v>3</v>
      </c>
      <c r="L498" t="str">
        <f>IF(tblOrders[[#This Row],[Quantity]]&lt;=0,"Check","OK")</f>
        <v>OK</v>
      </c>
      <c r="M498" s="1" t="str">
        <f>IF(tblOrders[[#This Row],[Delivery_Date]]&lt;tblOrders[[#This Row],[Order_Date]],"Error","OK")</f>
        <v>OK</v>
      </c>
    </row>
    <row r="499" spans="1:13" x14ac:dyDescent="0.25">
      <c r="A499" s="1">
        <v>498</v>
      </c>
      <c r="B499" s="1" t="s">
        <v>304</v>
      </c>
      <c r="C499">
        <v>19</v>
      </c>
      <c r="D499">
        <v>4</v>
      </c>
      <c r="E499" s="2">
        <v>44970</v>
      </c>
      <c r="F499" s="3">
        <v>0.8991203703703704</v>
      </c>
      <c r="G499" s="2">
        <v>44977</v>
      </c>
      <c r="H499" s="3">
        <v>0.88500000000000001</v>
      </c>
      <c r="I499" s="1" t="s">
        <v>517</v>
      </c>
      <c r="J499" s="1" t="s">
        <v>12</v>
      </c>
      <c r="K499">
        <v>7</v>
      </c>
      <c r="L499" t="str">
        <f>IF(tblOrders[[#This Row],[Quantity]]&lt;=0,"Check","OK")</f>
        <v>OK</v>
      </c>
      <c r="M499" s="1" t="str">
        <f>IF(tblOrders[[#This Row],[Delivery_Date]]&lt;tblOrders[[#This Row],[Order_Date]],"Error","OK")</f>
        <v>OK</v>
      </c>
    </row>
    <row r="500" spans="1:13" x14ac:dyDescent="0.25">
      <c r="A500" s="1">
        <v>499</v>
      </c>
      <c r="B500" s="1" t="s">
        <v>244</v>
      </c>
      <c r="C500">
        <v>59</v>
      </c>
      <c r="D500">
        <v>1</v>
      </c>
      <c r="E500" s="2">
        <v>45165</v>
      </c>
      <c r="F500" s="3">
        <v>0.50648148148148153</v>
      </c>
      <c r="G500" s="2">
        <v>45171</v>
      </c>
      <c r="H500" s="3">
        <v>0.41912037037037037</v>
      </c>
      <c r="I500" s="1" t="s">
        <v>315</v>
      </c>
      <c r="J500" s="1" t="s">
        <v>33</v>
      </c>
      <c r="K500">
        <v>6</v>
      </c>
      <c r="L500" t="str">
        <f>IF(tblOrders[[#This Row],[Quantity]]&lt;=0,"Check","OK")</f>
        <v>OK</v>
      </c>
      <c r="M500" s="1" t="str">
        <f>IF(tblOrders[[#This Row],[Delivery_Date]]&lt;tblOrders[[#This Row],[Order_Date]],"Error","OK")</f>
        <v>OK</v>
      </c>
    </row>
    <row r="501" spans="1:13" x14ac:dyDescent="0.25">
      <c r="A501" s="1">
        <v>500</v>
      </c>
      <c r="B501" s="1" t="s">
        <v>193</v>
      </c>
      <c r="C501">
        <v>61</v>
      </c>
      <c r="D501">
        <v>2</v>
      </c>
      <c r="E501" s="2">
        <v>45106</v>
      </c>
      <c r="F501" s="3">
        <v>0.42212962962962963</v>
      </c>
      <c r="G501" s="2">
        <v>45112</v>
      </c>
      <c r="H501" s="3">
        <v>0.51001157407407405</v>
      </c>
      <c r="I501" s="1" t="s">
        <v>518</v>
      </c>
      <c r="J501" s="1" t="s">
        <v>30</v>
      </c>
      <c r="K501">
        <v>6</v>
      </c>
      <c r="L501" t="str">
        <f>IF(tblOrders[[#This Row],[Quantity]]&lt;=0,"Check","OK")</f>
        <v>OK</v>
      </c>
      <c r="M501" s="1" t="str">
        <f>IF(tblOrders[[#This Row],[Delivery_Date]]&lt;tblOrders[[#This Row],[Order_Date]],"Error","OK")</f>
        <v>OK</v>
      </c>
    </row>
    <row r="502" spans="1:13" x14ac:dyDescent="0.25">
      <c r="A502" s="1">
        <v>501</v>
      </c>
      <c r="B502" s="1" t="s">
        <v>232</v>
      </c>
      <c r="C502">
        <v>46</v>
      </c>
      <c r="D502">
        <v>2</v>
      </c>
      <c r="E502" s="2">
        <v>45171</v>
      </c>
      <c r="F502" s="3">
        <v>0.68589120370370371</v>
      </c>
      <c r="G502" s="2">
        <v>45177</v>
      </c>
      <c r="H502" s="3">
        <v>0.315</v>
      </c>
      <c r="I502" s="1" t="s">
        <v>381</v>
      </c>
      <c r="J502" s="1" t="s">
        <v>30</v>
      </c>
      <c r="K502">
        <v>6</v>
      </c>
      <c r="L502" t="str">
        <f>IF(tblOrders[[#This Row],[Quantity]]&lt;=0,"Check","OK")</f>
        <v>OK</v>
      </c>
      <c r="M502" s="1" t="str">
        <f>IF(tblOrders[[#This Row],[Delivery_Date]]&lt;tblOrders[[#This Row],[Order_Date]],"Error","OK")</f>
        <v>OK</v>
      </c>
    </row>
    <row r="503" spans="1:13" x14ac:dyDescent="0.25">
      <c r="A503" s="1">
        <v>502</v>
      </c>
      <c r="B503" s="1" t="s">
        <v>183</v>
      </c>
      <c r="C503">
        <v>22</v>
      </c>
      <c r="D503">
        <v>5</v>
      </c>
      <c r="E503" s="2">
        <v>45101</v>
      </c>
      <c r="F503" s="3">
        <v>0.23148148148148148</v>
      </c>
      <c r="G503" s="2">
        <v>45107</v>
      </c>
      <c r="H503" s="3">
        <v>3.8703703703703705E-2</v>
      </c>
      <c r="I503" s="1" t="s">
        <v>269</v>
      </c>
      <c r="J503" s="1" t="s">
        <v>8</v>
      </c>
      <c r="K503">
        <v>6</v>
      </c>
      <c r="L503" t="str">
        <f>IF(tblOrders[[#This Row],[Quantity]]&lt;=0,"Check","OK")</f>
        <v>OK</v>
      </c>
      <c r="M503" s="1" t="str">
        <f>IF(tblOrders[[#This Row],[Delivery_Date]]&lt;tblOrders[[#This Row],[Order_Date]],"Error","OK")</f>
        <v>OK</v>
      </c>
    </row>
    <row r="504" spans="1:13" x14ac:dyDescent="0.25">
      <c r="A504" s="1">
        <v>503</v>
      </c>
      <c r="B504" s="1" t="s">
        <v>246</v>
      </c>
      <c r="C504">
        <v>34</v>
      </c>
      <c r="D504">
        <v>1</v>
      </c>
      <c r="E504" s="2">
        <v>45167</v>
      </c>
      <c r="F504" s="3">
        <v>0.86510416666666667</v>
      </c>
      <c r="G504" s="2">
        <v>45175</v>
      </c>
      <c r="H504" s="3">
        <v>0.32631944444444444</v>
      </c>
      <c r="I504" s="1" t="s">
        <v>519</v>
      </c>
      <c r="J504" s="1" t="s">
        <v>33</v>
      </c>
      <c r="K504">
        <v>8</v>
      </c>
      <c r="L504" t="str">
        <f>IF(tblOrders[[#This Row],[Quantity]]&lt;=0,"Check","OK")</f>
        <v>OK</v>
      </c>
      <c r="M504" s="1" t="str">
        <f>IF(tblOrders[[#This Row],[Delivery_Date]]&lt;tblOrders[[#This Row],[Order_Date]],"Error","OK")</f>
        <v>OK</v>
      </c>
    </row>
    <row r="505" spans="1:13" x14ac:dyDescent="0.25">
      <c r="A505" s="1">
        <v>504</v>
      </c>
      <c r="B505" s="1" t="s">
        <v>265</v>
      </c>
      <c r="C505">
        <v>25</v>
      </c>
      <c r="D505">
        <v>1</v>
      </c>
      <c r="E505" s="2">
        <v>45121</v>
      </c>
      <c r="F505" s="3">
        <v>0.54493055555555558</v>
      </c>
      <c r="G505" s="2">
        <v>45131</v>
      </c>
      <c r="H505" s="3">
        <v>0.22263888888888889</v>
      </c>
      <c r="I505" s="1" t="s">
        <v>520</v>
      </c>
      <c r="J505" s="1" t="s">
        <v>30</v>
      </c>
      <c r="K505">
        <v>10</v>
      </c>
      <c r="L505" t="str">
        <f>IF(tblOrders[[#This Row],[Quantity]]&lt;=0,"Check","OK")</f>
        <v>OK</v>
      </c>
      <c r="M505" s="1" t="str">
        <f>IF(tblOrders[[#This Row],[Delivery_Date]]&lt;tblOrders[[#This Row],[Order_Date]],"Error","OK")</f>
        <v>OK</v>
      </c>
    </row>
    <row r="506" spans="1:13" x14ac:dyDescent="0.25">
      <c r="A506" s="1">
        <v>505</v>
      </c>
      <c r="B506" s="1" t="s">
        <v>283</v>
      </c>
      <c r="C506">
        <v>45</v>
      </c>
      <c r="D506">
        <v>3</v>
      </c>
      <c r="E506" s="2">
        <v>45079</v>
      </c>
      <c r="F506" s="3">
        <v>0.555150462962963</v>
      </c>
      <c r="G506" s="2">
        <v>45082</v>
      </c>
      <c r="H506" s="3">
        <v>8.3009259259259255E-2</v>
      </c>
      <c r="I506" s="1" t="s">
        <v>353</v>
      </c>
      <c r="J506" s="1" t="s">
        <v>36</v>
      </c>
      <c r="K506">
        <v>3</v>
      </c>
      <c r="L506" t="str">
        <f>IF(tblOrders[[#This Row],[Quantity]]&lt;=0,"Check","OK")</f>
        <v>OK</v>
      </c>
      <c r="M506" s="1" t="str">
        <f>IF(tblOrders[[#This Row],[Delivery_Date]]&lt;tblOrders[[#This Row],[Order_Date]],"Error","OK")</f>
        <v>OK</v>
      </c>
    </row>
    <row r="507" spans="1:13" x14ac:dyDescent="0.25">
      <c r="A507" s="1">
        <v>506</v>
      </c>
      <c r="B507" s="1" t="s">
        <v>265</v>
      </c>
      <c r="C507">
        <v>55</v>
      </c>
      <c r="D507">
        <v>4</v>
      </c>
      <c r="E507" s="2">
        <v>45165</v>
      </c>
      <c r="F507" s="3">
        <v>0.36949074074074073</v>
      </c>
      <c r="G507" s="2">
        <v>45171</v>
      </c>
      <c r="H507" s="3">
        <v>0.4884722222222222</v>
      </c>
      <c r="I507" s="1" t="s">
        <v>275</v>
      </c>
      <c r="J507" s="1" t="s">
        <v>33</v>
      </c>
      <c r="K507">
        <v>6</v>
      </c>
      <c r="L507" t="str">
        <f>IF(tblOrders[[#This Row],[Quantity]]&lt;=0,"Check","OK")</f>
        <v>OK</v>
      </c>
      <c r="M507" s="1" t="str">
        <f>IF(tblOrders[[#This Row],[Delivery_Date]]&lt;tblOrders[[#This Row],[Order_Date]],"Error","OK")</f>
        <v>OK</v>
      </c>
    </row>
    <row r="508" spans="1:13" x14ac:dyDescent="0.25">
      <c r="A508" s="1">
        <v>507</v>
      </c>
      <c r="B508" s="1" t="s">
        <v>283</v>
      </c>
      <c r="C508">
        <v>13</v>
      </c>
      <c r="D508">
        <v>4</v>
      </c>
      <c r="E508" s="2">
        <v>44992</v>
      </c>
      <c r="F508" s="3">
        <v>1.9571759259259261E-2</v>
      </c>
      <c r="G508" s="2">
        <v>44998</v>
      </c>
      <c r="H508" s="3">
        <v>0.84138888888888885</v>
      </c>
      <c r="I508" s="1" t="s">
        <v>297</v>
      </c>
      <c r="J508" s="1" t="s">
        <v>25</v>
      </c>
      <c r="K508">
        <v>6</v>
      </c>
      <c r="L508" t="str">
        <f>IF(tblOrders[[#This Row],[Quantity]]&lt;=0,"Check","OK")</f>
        <v>OK</v>
      </c>
      <c r="M508" s="1" t="str">
        <f>IF(tblOrders[[#This Row],[Delivery_Date]]&lt;tblOrders[[#This Row],[Order_Date]],"Error","OK")</f>
        <v>OK</v>
      </c>
    </row>
    <row r="509" spans="1:13" x14ac:dyDescent="0.25">
      <c r="A509" s="1">
        <v>508</v>
      </c>
      <c r="B509" s="1" t="s">
        <v>329</v>
      </c>
      <c r="C509">
        <v>69</v>
      </c>
      <c r="D509">
        <v>1</v>
      </c>
      <c r="E509" s="2">
        <v>44983</v>
      </c>
      <c r="F509" s="3">
        <v>0.72879629629629628</v>
      </c>
      <c r="G509" s="2">
        <v>44989</v>
      </c>
      <c r="H509" s="3">
        <v>0.299375</v>
      </c>
      <c r="I509" s="1" t="s">
        <v>288</v>
      </c>
      <c r="J509" s="1" t="s">
        <v>25</v>
      </c>
      <c r="K509">
        <v>6</v>
      </c>
      <c r="L509" t="str">
        <f>IF(tblOrders[[#This Row],[Quantity]]&lt;=0,"Check","OK")</f>
        <v>OK</v>
      </c>
      <c r="M509" s="1" t="str">
        <f>IF(tblOrders[[#This Row],[Delivery_Date]]&lt;tblOrders[[#This Row],[Order_Date]],"Error","OK")</f>
        <v>OK</v>
      </c>
    </row>
    <row r="510" spans="1:13" x14ac:dyDescent="0.25">
      <c r="A510" s="1">
        <v>509</v>
      </c>
      <c r="B510" s="1" t="s">
        <v>440</v>
      </c>
      <c r="C510">
        <v>13</v>
      </c>
      <c r="D510">
        <v>5</v>
      </c>
      <c r="E510" s="2">
        <v>44990</v>
      </c>
      <c r="F510" s="3">
        <v>0.53396990740740746</v>
      </c>
      <c r="G510" s="2">
        <v>44994</v>
      </c>
      <c r="H510" s="3">
        <v>0.32449074074074075</v>
      </c>
      <c r="I510" s="1" t="s">
        <v>501</v>
      </c>
      <c r="J510" s="1" t="s">
        <v>25</v>
      </c>
      <c r="K510">
        <v>4</v>
      </c>
      <c r="L510" t="str">
        <f>IF(tblOrders[[#This Row],[Quantity]]&lt;=0,"Check","OK")</f>
        <v>OK</v>
      </c>
      <c r="M510" s="1" t="str">
        <f>IF(tblOrders[[#This Row],[Delivery_Date]]&lt;tblOrders[[#This Row],[Order_Date]],"Error","OK")</f>
        <v>OK</v>
      </c>
    </row>
    <row r="511" spans="1:13" x14ac:dyDescent="0.25">
      <c r="A511" s="1">
        <v>510</v>
      </c>
      <c r="B511" s="1" t="s">
        <v>274</v>
      </c>
      <c r="C511">
        <v>54</v>
      </c>
      <c r="D511">
        <v>5</v>
      </c>
      <c r="E511" s="2">
        <v>45268</v>
      </c>
      <c r="F511" s="3">
        <v>0.54172453703703705</v>
      </c>
      <c r="G511" s="2">
        <v>45277</v>
      </c>
      <c r="H511" s="3">
        <v>0.26026620370370368</v>
      </c>
      <c r="I511" s="1" t="s">
        <v>211</v>
      </c>
      <c r="J511" s="1" t="s">
        <v>30</v>
      </c>
      <c r="K511">
        <v>9</v>
      </c>
      <c r="L511" t="str">
        <f>IF(tblOrders[[#This Row],[Quantity]]&lt;=0,"Check","OK")</f>
        <v>OK</v>
      </c>
      <c r="M511" s="1" t="str">
        <f>IF(tblOrders[[#This Row],[Delivery_Date]]&lt;tblOrders[[#This Row],[Order_Date]],"Error","OK")</f>
        <v>OK</v>
      </c>
    </row>
    <row r="512" spans="1:13" x14ac:dyDescent="0.25">
      <c r="A512" s="1">
        <v>511</v>
      </c>
      <c r="B512" s="1" t="s">
        <v>224</v>
      </c>
      <c r="C512">
        <v>47</v>
      </c>
      <c r="D512">
        <v>2</v>
      </c>
      <c r="E512" s="2">
        <v>44984</v>
      </c>
      <c r="F512" s="3">
        <v>0.54033564814814816</v>
      </c>
      <c r="G512" s="2">
        <v>44989</v>
      </c>
      <c r="H512" s="3">
        <v>3.2071759259259258E-2</v>
      </c>
      <c r="I512" s="1" t="s">
        <v>510</v>
      </c>
      <c r="J512" s="1" t="s">
        <v>25</v>
      </c>
      <c r="K512">
        <v>5</v>
      </c>
      <c r="L512" t="str">
        <f>IF(tblOrders[[#This Row],[Quantity]]&lt;=0,"Check","OK")</f>
        <v>OK</v>
      </c>
      <c r="M512" s="1" t="str">
        <f>IF(tblOrders[[#This Row],[Delivery_Date]]&lt;tblOrders[[#This Row],[Order_Date]],"Error","OK")</f>
        <v>OK</v>
      </c>
    </row>
    <row r="513" spans="1:13" x14ac:dyDescent="0.25">
      <c r="A513" s="1">
        <v>512</v>
      </c>
      <c r="B513" s="1" t="s">
        <v>289</v>
      </c>
      <c r="C513">
        <v>41</v>
      </c>
      <c r="D513">
        <v>1</v>
      </c>
      <c r="E513" s="2">
        <v>45235</v>
      </c>
      <c r="F513" s="3">
        <v>0.11297453703703704</v>
      </c>
      <c r="G513" s="2">
        <v>45241</v>
      </c>
      <c r="H513" s="3">
        <v>0.54907407407407405</v>
      </c>
      <c r="I513" s="1" t="s">
        <v>450</v>
      </c>
      <c r="J513" s="1" t="s">
        <v>19</v>
      </c>
      <c r="K513">
        <v>6</v>
      </c>
      <c r="L513" t="str">
        <f>IF(tblOrders[[#This Row],[Quantity]]&lt;=0,"Check","OK")</f>
        <v>OK</v>
      </c>
      <c r="M513" s="1" t="str">
        <f>IF(tblOrders[[#This Row],[Delivery_Date]]&lt;tblOrders[[#This Row],[Order_Date]],"Error","OK")</f>
        <v>OK</v>
      </c>
    </row>
    <row r="514" spans="1:13" x14ac:dyDescent="0.25">
      <c r="A514" s="1">
        <v>513</v>
      </c>
      <c r="B514" s="1" t="s">
        <v>215</v>
      </c>
      <c r="C514">
        <v>1</v>
      </c>
      <c r="D514">
        <v>4</v>
      </c>
      <c r="E514" s="2">
        <v>45012</v>
      </c>
      <c r="F514" s="3">
        <v>0.41495370370370371</v>
      </c>
      <c r="G514" s="2">
        <v>45018</v>
      </c>
      <c r="H514" s="3">
        <v>0.58103009259259264</v>
      </c>
      <c r="I514" s="1" t="s">
        <v>219</v>
      </c>
      <c r="J514" s="1" t="s">
        <v>8</v>
      </c>
      <c r="K514">
        <v>6</v>
      </c>
      <c r="L514" t="str">
        <f>IF(tblOrders[[#This Row],[Quantity]]&lt;=0,"Check","OK")</f>
        <v>OK</v>
      </c>
      <c r="M514" s="1" t="str">
        <f>IF(tblOrders[[#This Row],[Delivery_Date]]&lt;tblOrders[[#This Row],[Order_Date]],"Error","OK")</f>
        <v>OK</v>
      </c>
    </row>
    <row r="515" spans="1:13" x14ac:dyDescent="0.25">
      <c r="A515" s="1">
        <v>514</v>
      </c>
      <c r="B515" s="1" t="s">
        <v>202</v>
      </c>
      <c r="C515">
        <v>24</v>
      </c>
      <c r="D515">
        <v>1</v>
      </c>
      <c r="E515" s="2">
        <v>44927</v>
      </c>
      <c r="F515" s="3">
        <v>0.41400462962962964</v>
      </c>
      <c r="G515" s="2">
        <v>44935</v>
      </c>
      <c r="H515" s="3">
        <v>0.74782407407407403</v>
      </c>
      <c r="I515" s="1" t="s">
        <v>353</v>
      </c>
      <c r="J515" s="1" t="s">
        <v>36</v>
      </c>
      <c r="K515">
        <v>8</v>
      </c>
      <c r="L515" t="str">
        <f>IF(tblOrders[[#This Row],[Quantity]]&lt;=0,"Check","OK")</f>
        <v>OK</v>
      </c>
      <c r="M515" s="1" t="str">
        <f>IF(tblOrders[[#This Row],[Delivery_Date]]&lt;tblOrders[[#This Row],[Order_Date]],"Error","OK")</f>
        <v>OK</v>
      </c>
    </row>
    <row r="516" spans="1:13" x14ac:dyDescent="0.25">
      <c r="A516" s="1">
        <v>515</v>
      </c>
      <c r="B516" s="1" t="s">
        <v>174</v>
      </c>
      <c r="C516">
        <v>14</v>
      </c>
      <c r="D516">
        <v>5</v>
      </c>
      <c r="E516" s="2">
        <v>45220</v>
      </c>
      <c r="F516" s="3">
        <v>0.97406250000000005</v>
      </c>
      <c r="G516" s="2">
        <v>45226</v>
      </c>
      <c r="H516" s="3">
        <v>0.62487268518518524</v>
      </c>
      <c r="I516" s="1" t="s">
        <v>521</v>
      </c>
      <c r="J516" s="1" t="s">
        <v>36</v>
      </c>
      <c r="K516">
        <v>6</v>
      </c>
      <c r="L516" t="str">
        <f>IF(tblOrders[[#This Row],[Quantity]]&lt;=0,"Check","OK")</f>
        <v>OK</v>
      </c>
      <c r="M516" s="1" t="str">
        <f>IF(tblOrders[[#This Row],[Delivery_Date]]&lt;tblOrders[[#This Row],[Order_Date]],"Error","OK")</f>
        <v>OK</v>
      </c>
    </row>
    <row r="517" spans="1:13" x14ac:dyDescent="0.25">
      <c r="A517" s="1">
        <v>516</v>
      </c>
      <c r="B517" s="1" t="s">
        <v>246</v>
      </c>
      <c r="C517">
        <v>22</v>
      </c>
      <c r="D517">
        <v>2</v>
      </c>
      <c r="E517" s="2">
        <v>45112</v>
      </c>
      <c r="F517" s="3">
        <v>0.87009259259259264</v>
      </c>
      <c r="G517" s="2">
        <v>45113</v>
      </c>
      <c r="H517" s="3">
        <v>4.6064814814814815E-2</v>
      </c>
      <c r="I517" s="1" t="s">
        <v>522</v>
      </c>
      <c r="J517" s="1" t="s">
        <v>8</v>
      </c>
      <c r="K517">
        <v>1</v>
      </c>
      <c r="L517" t="str">
        <f>IF(tblOrders[[#This Row],[Quantity]]&lt;=0,"Check","OK")</f>
        <v>OK</v>
      </c>
      <c r="M517" s="1" t="str">
        <f>IF(tblOrders[[#This Row],[Delivery_Date]]&lt;tblOrders[[#This Row],[Order_Date]],"Error","OK")</f>
        <v>OK</v>
      </c>
    </row>
    <row r="518" spans="1:13" x14ac:dyDescent="0.25">
      <c r="A518" s="1">
        <v>517</v>
      </c>
      <c r="B518" s="1" t="s">
        <v>216</v>
      </c>
      <c r="C518">
        <v>60</v>
      </c>
      <c r="D518">
        <v>5</v>
      </c>
      <c r="E518" s="2">
        <v>45239</v>
      </c>
      <c r="F518" s="3">
        <v>4.2511574074074077E-2</v>
      </c>
      <c r="G518" s="2">
        <v>45247</v>
      </c>
      <c r="H518" s="3">
        <v>0.79508101851851853</v>
      </c>
      <c r="I518" s="1" t="s">
        <v>408</v>
      </c>
      <c r="J518" s="1" t="s">
        <v>19</v>
      </c>
      <c r="K518">
        <v>8</v>
      </c>
      <c r="L518" t="str">
        <f>IF(tblOrders[[#This Row],[Quantity]]&lt;=0,"Check","OK")</f>
        <v>OK</v>
      </c>
      <c r="M518" s="1" t="str">
        <f>IF(tblOrders[[#This Row],[Delivery_Date]]&lt;tblOrders[[#This Row],[Order_Date]],"Error","OK")</f>
        <v>OK</v>
      </c>
    </row>
    <row r="519" spans="1:13" x14ac:dyDescent="0.25">
      <c r="A519" s="1">
        <v>518</v>
      </c>
      <c r="B519" s="1" t="s">
        <v>254</v>
      </c>
      <c r="C519">
        <v>45</v>
      </c>
      <c r="D519">
        <v>3</v>
      </c>
      <c r="E519" s="2">
        <v>45025</v>
      </c>
      <c r="F519" s="3">
        <v>0.19908564814814814</v>
      </c>
      <c r="G519" s="2">
        <v>45031</v>
      </c>
      <c r="H519" s="3">
        <v>0.81997685185185187</v>
      </c>
      <c r="I519" s="1" t="s">
        <v>317</v>
      </c>
      <c r="J519" s="1" t="s">
        <v>36</v>
      </c>
      <c r="K519">
        <v>6</v>
      </c>
      <c r="L519" t="str">
        <f>IF(tblOrders[[#This Row],[Quantity]]&lt;=0,"Check","OK")</f>
        <v>OK</v>
      </c>
      <c r="M519" s="1" t="str">
        <f>IF(tblOrders[[#This Row],[Delivery_Date]]&lt;tblOrders[[#This Row],[Order_Date]],"Error","OK")</f>
        <v>OK</v>
      </c>
    </row>
    <row r="520" spans="1:13" x14ac:dyDescent="0.25">
      <c r="A520" s="1">
        <v>519</v>
      </c>
      <c r="B520" s="1" t="s">
        <v>248</v>
      </c>
      <c r="C520">
        <v>52</v>
      </c>
      <c r="D520">
        <v>4</v>
      </c>
      <c r="E520" s="2">
        <v>44964</v>
      </c>
      <c r="F520" s="3">
        <v>0.9657175925925926</v>
      </c>
      <c r="G520" s="2">
        <v>44972</v>
      </c>
      <c r="H520" s="3">
        <v>0.27800925925925923</v>
      </c>
      <c r="I520" s="1" t="s">
        <v>486</v>
      </c>
      <c r="J520" s="1" t="s">
        <v>12</v>
      </c>
      <c r="K520">
        <v>8</v>
      </c>
      <c r="L520" t="str">
        <f>IF(tblOrders[[#This Row],[Quantity]]&lt;=0,"Check","OK")</f>
        <v>OK</v>
      </c>
      <c r="M520" s="1" t="str">
        <f>IF(tblOrders[[#This Row],[Delivery_Date]]&lt;tblOrders[[#This Row],[Order_Date]],"Error","OK")</f>
        <v>OK</v>
      </c>
    </row>
    <row r="521" spans="1:13" x14ac:dyDescent="0.25">
      <c r="A521" s="1">
        <v>520</v>
      </c>
      <c r="B521" s="1" t="s">
        <v>335</v>
      </c>
      <c r="C521">
        <v>14</v>
      </c>
      <c r="D521">
        <v>5</v>
      </c>
      <c r="E521" s="2">
        <v>45023</v>
      </c>
      <c r="F521" s="3">
        <v>0.19711805555555556</v>
      </c>
      <c r="G521" s="2">
        <v>45024</v>
      </c>
      <c r="H521" s="3">
        <v>0.34837962962962965</v>
      </c>
      <c r="I521" s="1" t="s">
        <v>484</v>
      </c>
      <c r="J521" s="1" t="s">
        <v>36</v>
      </c>
      <c r="K521">
        <v>1</v>
      </c>
      <c r="L521" t="str">
        <f>IF(tblOrders[[#This Row],[Quantity]]&lt;=0,"Check","OK")</f>
        <v>OK</v>
      </c>
      <c r="M521" s="1" t="str">
        <f>IF(tblOrders[[#This Row],[Delivery_Date]]&lt;tblOrders[[#This Row],[Order_Date]],"Error","OK")</f>
        <v>OK</v>
      </c>
    </row>
    <row r="522" spans="1:13" x14ac:dyDescent="0.25">
      <c r="A522" s="1">
        <v>521</v>
      </c>
      <c r="B522" s="1" t="s">
        <v>285</v>
      </c>
      <c r="C522">
        <v>33</v>
      </c>
      <c r="D522">
        <v>5</v>
      </c>
      <c r="E522" s="2">
        <v>44961</v>
      </c>
      <c r="F522" s="3">
        <v>0.87519675925925922</v>
      </c>
      <c r="G522" s="2">
        <v>44965</v>
      </c>
      <c r="H522" s="3">
        <v>0.1032175925925926</v>
      </c>
      <c r="I522" s="1" t="s">
        <v>436</v>
      </c>
      <c r="J522" s="1" t="s">
        <v>12</v>
      </c>
      <c r="K522">
        <v>4</v>
      </c>
      <c r="L522" t="str">
        <f>IF(tblOrders[[#This Row],[Quantity]]&lt;=0,"Check","OK")</f>
        <v>OK</v>
      </c>
      <c r="M522" s="1" t="str">
        <f>IF(tblOrders[[#This Row],[Delivery_Date]]&lt;tblOrders[[#This Row],[Order_Date]],"Error","OK")</f>
        <v>OK</v>
      </c>
    </row>
    <row r="523" spans="1:13" x14ac:dyDescent="0.25">
      <c r="A523" s="1">
        <v>522</v>
      </c>
      <c r="B523" s="1" t="s">
        <v>200</v>
      </c>
      <c r="C523">
        <v>50</v>
      </c>
      <c r="D523">
        <v>3</v>
      </c>
      <c r="E523" s="2">
        <v>44984</v>
      </c>
      <c r="F523" s="3">
        <v>0.87810185185185186</v>
      </c>
      <c r="G523" s="2">
        <v>44993</v>
      </c>
      <c r="H523" s="3">
        <v>6.5856481481481488E-2</v>
      </c>
      <c r="I523" s="1" t="s">
        <v>298</v>
      </c>
      <c r="J523" s="1" t="s">
        <v>25</v>
      </c>
      <c r="K523">
        <v>9</v>
      </c>
      <c r="L523" t="str">
        <f>IF(tblOrders[[#This Row],[Quantity]]&lt;=0,"Check","OK")</f>
        <v>OK</v>
      </c>
      <c r="M523" s="1" t="str">
        <f>IF(tblOrders[[#This Row],[Delivery_Date]]&lt;tblOrders[[#This Row],[Order_Date]],"Error","OK")</f>
        <v>OK</v>
      </c>
    </row>
    <row r="524" spans="1:13" x14ac:dyDescent="0.25">
      <c r="A524" s="1">
        <v>523</v>
      </c>
      <c r="B524" s="1" t="s">
        <v>222</v>
      </c>
      <c r="C524">
        <v>30</v>
      </c>
      <c r="D524">
        <v>3</v>
      </c>
      <c r="E524" s="2">
        <v>45109</v>
      </c>
      <c r="F524" s="3">
        <v>0.56745370370370374</v>
      </c>
      <c r="G524" s="2">
        <v>45116</v>
      </c>
      <c r="H524" s="3">
        <v>0.65180555555555553</v>
      </c>
      <c r="I524" s="1" t="s">
        <v>451</v>
      </c>
      <c r="J524" s="1" t="s">
        <v>30</v>
      </c>
      <c r="K524">
        <v>7</v>
      </c>
      <c r="L524" t="str">
        <f>IF(tblOrders[[#This Row],[Quantity]]&lt;=0,"Check","OK")</f>
        <v>OK</v>
      </c>
      <c r="M524" s="1" t="str">
        <f>IF(tblOrders[[#This Row],[Delivery_Date]]&lt;tblOrders[[#This Row],[Order_Date]],"Error","OK")</f>
        <v>OK</v>
      </c>
    </row>
    <row r="525" spans="1:13" x14ac:dyDescent="0.25">
      <c r="A525" s="1">
        <v>524</v>
      </c>
      <c r="B525" s="1" t="s">
        <v>364</v>
      </c>
      <c r="C525">
        <v>45</v>
      </c>
      <c r="D525">
        <v>1</v>
      </c>
      <c r="E525" s="2">
        <v>45153</v>
      </c>
      <c r="F525" s="3">
        <v>0.57979166666666671</v>
      </c>
      <c r="G525" s="2">
        <v>45160</v>
      </c>
      <c r="H525" s="3">
        <v>0.52068287037037042</v>
      </c>
      <c r="I525" s="1" t="s">
        <v>416</v>
      </c>
      <c r="J525" s="1" t="s">
        <v>36</v>
      </c>
      <c r="K525">
        <v>7</v>
      </c>
      <c r="L525" t="str">
        <f>IF(tblOrders[[#This Row],[Quantity]]&lt;=0,"Check","OK")</f>
        <v>OK</v>
      </c>
      <c r="M525" s="1" t="str">
        <f>IF(tblOrders[[#This Row],[Delivery_Date]]&lt;tblOrders[[#This Row],[Order_Date]],"Error","OK")</f>
        <v>OK</v>
      </c>
    </row>
    <row r="526" spans="1:13" x14ac:dyDescent="0.25">
      <c r="A526" s="1">
        <v>525</v>
      </c>
      <c r="B526" s="1" t="s">
        <v>272</v>
      </c>
      <c r="C526">
        <v>16</v>
      </c>
      <c r="D526">
        <v>2</v>
      </c>
      <c r="E526" s="2">
        <v>44987</v>
      </c>
      <c r="F526" s="3">
        <v>0.83759259259259256</v>
      </c>
      <c r="G526" s="2">
        <v>44996</v>
      </c>
      <c r="H526" s="3">
        <v>0.93234953703703705</v>
      </c>
      <c r="I526" s="1" t="s">
        <v>523</v>
      </c>
      <c r="J526" s="1" t="s">
        <v>25</v>
      </c>
      <c r="K526">
        <v>9</v>
      </c>
      <c r="L526" t="str">
        <f>IF(tblOrders[[#This Row],[Quantity]]&lt;=0,"Check","OK")</f>
        <v>OK</v>
      </c>
      <c r="M526" s="1" t="str">
        <f>IF(tblOrders[[#This Row],[Delivery_Date]]&lt;tblOrders[[#This Row],[Order_Date]],"Error","OK")</f>
        <v>OK</v>
      </c>
    </row>
    <row r="527" spans="1:13" x14ac:dyDescent="0.25">
      <c r="A527" s="1">
        <v>526</v>
      </c>
      <c r="B527" s="1" t="s">
        <v>289</v>
      </c>
      <c r="C527">
        <v>13</v>
      </c>
      <c r="D527">
        <v>5</v>
      </c>
      <c r="E527" s="2">
        <v>44987</v>
      </c>
      <c r="F527" s="3">
        <v>0.25439814814814815</v>
      </c>
      <c r="G527" s="2">
        <v>44993</v>
      </c>
      <c r="H527" s="3">
        <v>6.6030092592592599E-2</v>
      </c>
      <c r="I527" s="1" t="s">
        <v>444</v>
      </c>
      <c r="J527" s="1" t="s">
        <v>25</v>
      </c>
      <c r="K527">
        <v>6</v>
      </c>
      <c r="L527" t="str">
        <f>IF(tblOrders[[#This Row],[Quantity]]&lt;=0,"Check","OK")</f>
        <v>OK</v>
      </c>
      <c r="M527" s="1" t="str">
        <f>IF(tblOrders[[#This Row],[Delivery_Date]]&lt;tblOrders[[#This Row],[Order_Date]],"Error","OK")</f>
        <v>OK</v>
      </c>
    </row>
    <row r="528" spans="1:13" x14ac:dyDescent="0.25">
      <c r="A528" s="1">
        <v>527</v>
      </c>
      <c r="B528" s="1" t="s">
        <v>250</v>
      </c>
      <c r="C528">
        <v>33</v>
      </c>
      <c r="D528">
        <v>3</v>
      </c>
      <c r="E528" s="2">
        <v>44968</v>
      </c>
      <c r="F528" s="3">
        <v>0.53587962962962965</v>
      </c>
      <c r="G528" s="2">
        <v>44976</v>
      </c>
      <c r="H528" s="3">
        <v>0.66535879629629635</v>
      </c>
      <c r="I528" s="1" t="s">
        <v>167</v>
      </c>
      <c r="J528" s="1" t="s">
        <v>12</v>
      </c>
      <c r="K528">
        <v>8</v>
      </c>
      <c r="L528" t="str">
        <f>IF(tblOrders[[#This Row],[Quantity]]&lt;=0,"Check","OK")</f>
        <v>OK</v>
      </c>
      <c r="M528" s="1" t="str">
        <f>IF(tblOrders[[#This Row],[Delivery_Date]]&lt;tblOrders[[#This Row],[Order_Date]],"Error","OK")</f>
        <v>OK</v>
      </c>
    </row>
    <row r="529" spans="1:13" x14ac:dyDescent="0.25">
      <c r="A529" s="1">
        <v>528</v>
      </c>
      <c r="B529" s="1" t="s">
        <v>405</v>
      </c>
      <c r="C529">
        <v>27</v>
      </c>
      <c r="D529">
        <v>3</v>
      </c>
      <c r="E529" s="2">
        <v>45165</v>
      </c>
      <c r="F529" s="3">
        <v>0.20921296296296296</v>
      </c>
      <c r="G529" s="2">
        <v>45168</v>
      </c>
      <c r="H529" s="3">
        <v>0.71091435185185181</v>
      </c>
      <c r="I529" s="1" t="s">
        <v>445</v>
      </c>
      <c r="J529" s="1" t="s">
        <v>33</v>
      </c>
      <c r="K529">
        <v>3</v>
      </c>
      <c r="L529" t="str">
        <f>IF(tblOrders[[#This Row],[Quantity]]&lt;=0,"Check","OK")</f>
        <v>OK</v>
      </c>
      <c r="M529" s="1" t="str">
        <f>IF(tblOrders[[#This Row],[Delivery_Date]]&lt;tblOrders[[#This Row],[Order_Date]],"Error","OK")</f>
        <v>OK</v>
      </c>
    </row>
    <row r="530" spans="1:13" x14ac:dyDescent="0.25">
      <c r="A530" s="1">
        <v>529</v>
      </c>
      <c r="B530" s="1" t="s">
        <v>193</v>
      </c>
      <c r="C530">
        <v>64</v>
      </c>
      <c r="D530">
        <v>2</v>
      </c>
      <c r="E530" s="2">
        <v>45163</v>
      </c>
      <c r="F530" s="3">
        <v>0.65796296296296297</v>
      </c>
      <c r="G530" s="2">
        <v>45166</v>
      </c>
      <c r="H530" s="3">
        <v>0.58701388888888884</v>
      </c>
      <c r="I530" s="1" t="s">
        <v>201</v>
      </c>
      <c r="J530" s="1" t="s">
        <v>33</v>
      </c>
      <c r="K530">
        <v>3</v>
      </c>
      <c r="L530" t="str">
        <f>IF(tblOrders[[#This Row],[Quantity]]&lt;=0,"Check","OK")</f>
        <v>OK</v>
      </c>
      <c r="M530" s="1" t="str">
        <f>IF(tblOrders[[#This Row],[Delivery_Date]]&lt;tblOrders[[#This Row],[Order_Date]],"Error","OK")</f>
        <v>OK</v>
      </c>
    </row>
    <row r="531" spans="1:13" x14ac:dyDescent="0.25">
      <c r="A531" s="1">
        <v>530</v>
      </c>
      <c r="B531" s="1" t="s">
        <v>289</v>
      </c>
      <c r="C531">
        <v>5</v>
      </c>
      <c r="D531">
        <v>2</v>
      </c>
      <c r="E531" s="2">
        <v>45157</v>
      </c>
      <c r="F531" s="3">
        <v>0.44815972222222222</v>
      </c>
      <c r="G531" s="2">
        <v>45165</v>
      </c>
      <c r="H531" s="3">
        <v>1.6620370370370369E-2</v>
      </c>
      <c r="I531" s="1" t="s">
        <v>245</v>
      </c>
      <c r="J531" s="1" t="s">
        <v>8</v>
      </c>
      <c r="K531">
        <v>8</v>
      </c>
      <c r="L531" t="str">
        <f>IF(tblOrders[[#This Row],[Quantity]]&lt;=0,"Check","OK")</f>
        <v>OK</v>
      </c>
      <c r="M531" s="1" t="str">
        <f>IF(tblOrders[[#This Row],[Delivery_Date]]&lt;tblOrders[[#This Row],[Order_Date]],"Error","OK")</f>
        <v>OK</v>
      </c>
    </row>
    <row r="532" spans="1:13" x14ac:dyDescent="0.25">
      <c r="A532" s="1">
        <v>531</v>
      </c>
      <c r="B532" s="1" t="s">
        <v>170</v>
      </c>
      <c r="C532">
        <v>28</v>
      </c>
      <c r="D532">
        <v>5</v>
      </c>
      <c r="E532" s="2">
        <v>45167</v>
      </c>
      <c r="F532" s="3">
        <v>0.56398148148148153</v>
      </c>
      <c r="G532" s="2">
        <v>45176</v>
      </c>
      <c r="H532" s="3">
        <v>0.36332175925925925</v>
      </c>
      <c r="I532" s="1" t="s">
        <v>411</v>
      </c>
      <c r="J532" s="1" t="s">
        <v>33</v>
      </c>
      <c r="K532">
        <v>9</v>
      </c>
      <c r="L532" t="str">
        <f>IF(tblOrders[[#This Row],[Quantity]]&lt;=0,"Check","OK")</f>
        <v>OK</v>
      </c>
      <c r="M532" s="1" t="str">
        <f>IF(tblOrders[[#This Row],[Delivery_Date]]&lt;tblOrders[[#This Row],[Order_Date]],"Error","OK")</f>
        <v>OK</v>
      </c>
    </row>
    <row r="533" spans="1:13" x14ac:dyDescent="0.25">
      <c r="A533" s="1">
        <v>532</v>
      </c>
      <c r="B533" s="1" t="s">
        <v>250</v>
      </c>
      <c r="C533">
        <v>30</v>
      </c>
      <c r="D533">
        <v>5</v>
      </c>
      <c r="E533" s="2">
        <v>45171</v>
      </c>
      <c r="F533" s="3">
        <v>0.55909722222222225</v>
      </c>
      <c r="G533" s="2">
        <v>45179</v>
      </c>
      <c r="H533" s="3">
        <v>0.1216087962962963</v>
      </c>
      <c r="I533" s="1" t="s">
        <v>352</v>
      </c>
      <c r="J533" s="1" t="s">
        <v>30</v>
      </c>
      <c r="K533">
        <v>8</v>
      </c>
      <c r="L533" t="str">
        <f>IF(tblOrders[[#This Row],[Quantity]]&lt;=0,"Check","OK")</f>
        <v>OK</v>
      </c>
      <c r="M533" s="1" t="str">
        <f>IF(tblOrders[[#This Row],[Delivery_Date]]&lt;tblOrders[[#This Row],[Order_Date]],"Error","OK")</f>
        <v>OK</v>
      </c>
    </row>
    <row r="534" spans="1:13" x14ac:dyDescent="0.25">
      <c r="A534" s="1">
        <v>533</v>
      </c>
      <c r="B534" s="1" t="s">
        <v>239</v>
      </c>
      <c r="C534">
        <v>14</v>
      </c>
      <c r="D534">
        <v>3</v>
      </c>
      <c r="E534" s="2">
        <v>45034</v>
      </c>
      <c r="F534" s="3">
        <v>0.30546296296296294</v>
      </c>
      <c r="G534" s="2">
        <v>45036</v>
      </c>
      <c r="H534" s="3">
        <v>0.73871527777777779</v>
      </c>
      <c r="I534" s="1" t="s">
        <v>389</v>
      </c>
      <c r="J534" s="1" t="s">
        <v>36</v>
      </c>
      <c r="K534">
        <v>2</v>
      </c>
      <c r="L534" t="str">
        <f>IF(tblOrders[[#This Row],[Quantity]]&lt;=0,"Check","OK")</f>
        <v>OK</v>
      </c>
      <c r="M534" s="1" t="str">
        <f>IF(tblOrders[[#This Row],[Delivery_Date]]&lt;tblOrders[[#This Row],[Order_Date]],"Error","OK")</f>
        <v>OK</v>
      </c>
    </row>
    <row r="535" spans="1:13" x14ac:dyDescent="0.25">
      <c r="A535" s="1">
        <v>534</v>
      </c>
      <c r="B535" s="1" t="s">
        <v>302</v>
      </c>
      <c r="C535">
        <v>31</v>
      </c>
      <c r="D535">
        <v>2</v>
      </c>
      <c r="E535" s="2">
        <v>45257</v>
      </c>
      <c r="F535" s="3">
        <v>0.15296296296296297</v>
      </c>
      <c r="G535" s="2">
        <v>45264</v>
      </c>
      <c r="H535" s="3">
        <v>0.47403935185185186</v>
      </c>
      <c r="I535" s="1" t="s">
        <v>418</v>
      </c>
      <c r="J535" s="1" t="s">
        <v>8</v>
      </c>
      <c r="K535">
        <v>7</v>
      </c>
      <c r="L535" t="str">
        <f>IF(tblOrders[[#This Row],[Quantity]]&lt;=0,"Check","OK")</f>
        <v>OK</v>
      </c>
      <c r="M535" s="1" t="str">
        <f>IF(tblOrders[[#This Row],[Delivery_Date]]&lt;tblOrders[[#This Row],[Order_Date]],"Error","OK")</f>
        <v>OK</v>
      </c>
    </row>
    <row r="536" spans="1:13" x14ac:dyDescent="0.25">
      <c r="A536" s="1">
        <v>535</v>
      </c>
      <c r="B536" s="1" t="s">
        <v>274</v>
      </c>
      <c r="C536">
        <v>25</v>
      </c>
      <c r="D536">
        <v>3</v>
      </c>
      <c r="E536" s="2">
        <v>45115</v>
      </c>
      <c r="F536" s="3">
        <v>0.91629629629629628</v>
      </c>
      <c r="G536" s="2">
        <v>45118</v>
      </c>
      <c r="H536" s="3">
        <v>0.27129629629629631</v>
      </c>
      <c r="I536" s="1" t="s">
        <v>234</v>
      </c>
      <c r="J536" s="1" t="s">
        <v>30</v>
      </c>
      <c r="K536">
        <v>3</v>
      </c>
      <c r="L536" t="str">
        <f>IF(tblOrders[[#This Row],[Quantity]]&lt;=0,"Check","OK")</f>
        <v>OK</v>
      </c>
      <c r="M536" s="1" t="str">
        <f>IF(tblOrders[[#This Row],[Delivery_Date]]&lt;tblOrders[[#This Row],[Order_Date]],"Error","OK")</f>
        <v>OK</v>
      </c>
    </row>
    <row r="537" spans="1:13" x14ac:dyDescent="0.25">
      <c r="A537" s="1">
        <v>536</v>
      </c>
      <c r="B537" s="1" t="s">
        <v>331</v>
      </c>
      <c r="C537">
        <v>59</v>
      </c>
      <c r="D537">
        <v>3</v>
      </c>
      <c r="E537" s="2">
        <v>45163</v>
      </c>
      <c r="F537" s="3">
        <v>0.6353240740740741</v>
      </c>
      <c r="G537" s="2">
        <v>45168</v>
      </c>
      <c r="H537" s="3">
        <v>0.46747685185185184</v>
      </c>
      <c r="I537" s="1" t="s">
        <v>196</v>
      </c>
      <c r="J537" s="1" t="s">
        <v>33</v>
      </c>
      <c r="K537">
        <v>5</v>
      </c>
      <c r="L537" t="str">
        <f>IF(tblOrders[[#This Row],[Quantity]]&lt;=0,"Check","OK")</f>
        <v>OK</v>
      </c>
      <c r="M537" s="1" t="str">
        <f>IF(tblOrders[[#This Row],[Delivery_Date]]&lt;tblOrders[[#This Row],[Order_Date]],"Error","OK")</f>
        <v>OK</v>
      </c>
    </row>
    <row r="538" spans="1:13" x14ac:dyDescent="0.25">
      <c r="A538" s="1">
        <v>537</v>
      </c>
      <c r="B538" s="1" t="s">
        <v>216</v>
      </c>
      <c r="C538">
        <v>42</v>
      </c>
      <c r="D538">
        <v>3</v>
      </c>
      <c r="E538" s="2">
        <v>45216</v>
      </c>
      <c r="F538" s="3">
        <v>0.26347222222222222</v>
      </c>
      <c r="G538" s="2">
        <v>45224</v>
      </c>
      <c r="H538" s="3">
        <v>0.13134259259259259</v>
      </c>
      <c r="I538" s="1" t="s">
        <v>442</v>
      </c>
      <c r="J538" s="1" t="s">
        <v>8</v>
      </c>
      <c r="K538">
        <v>8</v>
      </c>
      <c r="L538" t="str">
        <f>IF(tblOrders[[#This Row],[Quantity]]&lt;=0,"Check","OK")</f>
        <v>OK</v>
      </c>
      <c r="M538" s="1" t="str">
        <f>IF(tblOrders[[#This Row],[Delivery_Date]]&lt;tblOrders[[#This Row],[Order_Date]],"Error","OK")</f>
        <v>OK</v>
      </c>
    </row>
    <row r="539" spans="1:13" x14ac:dyDescent="0.25">
      <c r="A539" s="1">
        <v>538</v>
      </c>
      <c r="B539" s="1" t="s">
        <v>180</v>
      </c>
      <c r="C539">
        <v>24</v>
      </c>
      <c r="D539">
        <v>5</v>
      </c>
      <c r="E539" s="2">
        <v>45064</v>
      </c>
      <c r="F539" s="3">
        <v>0.54798611111111106</v>
      </c>
      <c r="G539" s="2">
        <v>45065</v>
      </c>
      <c r="H539" s="3">
        <v>0.94185185185185183</v>
      </c>
      <c r="I539" s="1" t="s">
        <v>485</v>
      </c>
      <c r="J539" s="1" t="s">
        <v>36</v>
      </c>
      <c r="K539">
        <v>1</v>
      </c>
      <c r="L539" t="str">
        <f>IF(tblOrders[[#This Row],[Quantity]]&lt;=0,"Check","OK")</f>
        <v>OK</v>
      </c>
      <c r="M539" s="1" t="str">
        <f>IF(tblOrders[[#This Row],[Delivery_Date]]&lt;tblOrders[[#This Row],[Order_Date]],"Error","OK")</f>
        <v>OK</v>
      </c>
    </row>
    <row r="540" spans="1:13" x14ac:dyDescent="0.25">
      <c r="A540" s="1">
        <v>539</v>
      </c>
      <c r="B540" s="1" t="s">
        <v>195</v>
      </c>
      <c r="C540">
        <v>20</v>
      </c>
      <c r="D540">
        <v>3</v>
      </c>
      <c r="E540" s="2">
        <v>45086</v>
      </c>
      <c r="F540" s="3">
        <v>0.65229166666666671</v>
      </c>
      <c r="G540" s="2">
        <v>45093</v>
      </c>
      <c r="H540" s="3">
        <v>0.5951967592592593</v>
      </c>
      <c r="I540" s="1" t="s">
        <v>524</v>
      </c>
      <c r="J540" s="1" t="s">
        <v>30</v>
      </c>
      <c r="K540">
        <v>7</v>
      </c>
      <c r="L540" t="str">
        <f>IF(tblOrders[[#This Row],[Quantity]]&lt;=0,"Check","OK")</f>
        <v>OK</v>
      </c>
      <c r="M540" s="1" t="str">
        <f>IF(tblOrders[[#This Row],[Delivery_Date]]&lt;tblOrders[[#This Row],[Order_Date]],"Error","OK")</f>
        <v>OK</v>
      </c>
    </row>
    <row r="541" spans="1:13" x14ac:dyDescent="0.25">
      <c r="A541" s="1">
        <v>540</v>
      </c>
      <c r="B541" s="1" t="s">
        <v>316</v>
      </c>
      <c r="C541">
        <v>22</v>
      </c>
      <c r="D541">
        <v>4</v>
      </c>
      <c r="E541" s="2">
        <v>45175</v>
      </c>
      <c r="F541" s="3">
        <v>0.79693287037037042</v>
      </c>
      <c r="G541" s="2">
        <v>45178</v>
      </c>
      <c r="H541" s="3">
        <v>5.9722222222222225E-2</v>
      </c>
      <c r="I541" s="1" t="s">
        <v>525</v>
      </c>
      <c r="J541" s="1" t="s">
        <v>8</v>
      </c>
      <c r="K541">
        <v>3</v>
      </c>
      <c r="L541" t="str">
        <f>IF(tblOrders[[#This Row],[Quantity]]&lt;=0,"Check","OK")</f>
        <v>OK</v>
      </c>
      <c r="M541" s="1" t="str">
        <f>IF(tblOrders[[#This Row],[Delivery_Date]]&lt;tblOrders[[#This Row],[Order_Date]],"Error","OK")</f>
        <v>OK</v>
      </c>
    </row>
    <row r="542" spans="1:13" x14ac:dyDescent="0.25">
      <c r="A542" s="1">
        <v>541</v>
      </c>
      <c r="B542" s="1" t="s">
        <v>369</v>
      </c>
      <c r="C542">
        <v>24</v>
      </c>
      <c r="D542">
        <v>3</v>
      </c>
      <c r="E542" s="2">
        <v>45243</v>
      </c>
      <c r="F542" s="3">
        <v>0.24385416666666668</v>
      </c>
      <c r="G542" s="2">
        <v>45246</v>
      </c>
      <c r="H542" s="3">
        <v>0.95594907407407403</v>
      </c>
      <c r="I542" s="1" t="s">
        <v>432</v>
      </c>
      <c r="J542" s="1" t="s">
        <v>36</v>
      </c>
      <c r="K542">
        <v>3</v>
      </c>
      <c r="L542" t="str">
        <f>IF(tblOrders[[#This Row],[Quantity]]&lt;=0,"Check","OK")</f>
        <v>OK</v>
      </c>
      <c r="M542" s="1" t="str">
        <f>IF(tblOrders[[#This Row],[Delivery_Date]]&lt;tblOrders[[#This Row],[Order_Date]],"Error","OK")</f>
        <v>OK</v>
      </c>
    </row>
    <row r="543" spans="1:13" x14ac:dyDescent="0.25">
      <c r="A543" s="1">
        <v>542</v>
      </c>
      <c r="B543" s="1" t="s">
        <v>341</v>
      </c>
      <c r="C543">
        <v>54</v>
      </c>
      <c r="D543">
        <v>5</v>
      </c>
      <c r="E543" s="2">
        <v>45114</v>
      </c>
      <c r="F543" s="3">
        <v>0.82037037037037042</v>
      </c>
      <c r="G543" s="2">
        <v>45119</v>
      </c>
      <c r="H543" s="3">
        <v>0.41125</v>
      </c>
      <c r="I543" s="1" t="s">
        <v>344</v>
      </c>
      <c r="J543" s="1" t="s">
        <v>30</v>
      </c>
      <c r="K543">
        <v>5</v>
      </c>
      <c r="L543" t="str">
        <f>IF(tblOrders[[#This Row],[Quantity]]&lt;=0,"Check","OK")</f>
        <v>OK</v>
      </c>
      <c r="M543" s="1" t="str">
        <f>IF(tblOrders[[#This Row],[Delivery_Date]]&lt;tblOrders[[#This Row],[Order_Date]],"Error","OK")</f>
        <v>OK</v>
      </c>
    </row>
    <row r="544" spans="1:13" x14ac:dyDescent="0.25">
      <c r="A544" s="1">
        <v>543</v>
      </c>
      <c r="B544" s="1" t="s">
        <v>252</v>
      </c>
      <c r="C544">
        <v>51</v>
      </c>
      <c r="D544">
        <v>4</v>
      </c>
      <c r="E544" s="2">
        <v>44969</v>
      </c>
      <c r="F544" s="3">
        <v>0.91053240740740737</v>
      </c>
      <c r="G544" s="2">
        <v>44974</v>
      </c>
      <c r="H544" s="3">
        <v>0.49524305555555553</v>
      </c>
      <c r="I544" s="1" t="s">
        <v>494</v>
      </c>
      <c r="J544" s="1" t="s">
        <v>8</v>
      </c>
      <c r="K544">
        <v>5</v>
      </c>
      <c r="L544" t="str">
        <f>IF(tblOrders[[#This Row],[Quantity]]&lt;=0,"Check","OK")</f>
        <v>OK</v>
      </c>
      <c r="M544" s="1" t="str">
        <f>IF(tblOrders[[#This Row],[Delivery_Date]]&lt;tblOrders[[#This Row],[Order_Date]],"Error","OK")</f>
        <v>OK</v>
      </c>
    </row>
    <row r="545" spans="1:13" x14ac:dyDescent="0.25">
      <c r="A545" s="1">
        <v>544</v>
      </c>
      <c r="B545" s="1" t="s">
        <v>337</v>
      </c>
      <c r="C545">
        <v>29</v>
      </c>
      <c r="D545">
        <v>2</v>
      </c>
      <c r="E545" s="2">
        <v>44986</v>
      </c>
      <c r="F545" s="3">
        <v>0.10548611111111111</v>
      </c>
      <c r="G545" s="2">
        <v>44996</v>
      </c>
      <c r="H545" s="3">
        <v>0.39851851851851849</v>
      </c>
      <c r="I545" s="1" t="s">
        <v>186</v>
      </c>
      <c r="J545" s="1" t="s">
        <v>25</v>
      </c>
      <c r="K545">
        <v>10</v>
      </c>
      <c r="L545" t="str">
        <f>IF(tblOrders[[#This Row],[Quantity]]&lt;=0,"Check","OK")</f>
        <v>OK</v>
      </c>
      <c r="M545" s="1" t="str">
        <f>IF(tblOrders[[#This Row],[Delivery_Date]]&lt;tblOrders[[#This Row],[Order_Date]],"Error","OK")</f>
        <v>OK</v>
      </c>
    </row>
    <row r="546" spans="1:13" x14ac:dyDescent="0.25">
      <c r="A546" s="1">
        <v>545</v>
      </c>
      <c r="B546" s="1" t="s">
        <v>333</v>
      </c>
      <c r="C546">
        <v>9</v>
      </c>
      <c r="D546">
        <v>5</v>
      </c>
      <c r="E546" s="2">
        <v>45158</v>
      </c>
      <c r="F546" s="3">
        <v>7.9768518518518516E-2</v>
      </c>
      <c r="G546" s="2">
        <v>45164</v>
      </c>
      <c r="H546" s="3">
        <v>0.33841435185185187</v>
      </c>
      <c r="I546" s="1" t="s">
        <v>256</v>
      </c>
      <c r="J546" s="1" t="s">
        <v>33</v>
      </c>
      <c r="K546">
        <v>6</v>
      </c>
      <c r="L546" t="str">
        <f>IF(tblOrders[[#This Row],[Quantity]]&lt;=0,"Check","OK")</f>
        <v>OK</v>
      </c>
      <c r="M546" s="1" t="str">
        <f>IF(tblOrders[[#This Row],[Delivery_Date]]&lt;tblOrders[[#This Row],[Order_Date]],"Error","OK")</f>
        <v>OK</v>
      </c>
    </row>
    <row r="547" spans="1:13" x14ac:dyDescent="0.25">
      <c r="A547" s="1">
        <v>546</v>
      </c>
      <c r="B547" s="1" t="s">
        <v>216</v>
      </c>
      <c r="C547">
        <v>25</v>
      </c>
      <c r="D547">
        <v>3</v>
      </c>
      <c r="E547" s="2">
        <v>44959</v>
      </c>
      <c r="F547" s="3">
        <v>0.92005787037037035</v>
      </c>
      <c r="G547" s="2">
        <v>44968</v>
      </c>
      <c r="H547" s="3">
        <v>0.41674768518518518</v>
      </c>
      <c r="I547" s="1" t="s">
        <v>526</v>
      </c>
      <c r="J547" s="1" t="s">
        <v>30</v>
      </c>
      <c r="K547">
        <v>9</v>
      </c>
      <c r="L547" t="str">
        <f>IF(tblOrders[[#This Row],[Quantity]]&lt;=0,"Check","OK")</f>
        <v>OK</v>
      </c>
      <c r="M547" s="1" t="str">
        <f>IF(tblOrders[[#This Row],[Delivery_Date]]&lt;tblOrders[[#This Row],[Order_Date]],"Error","OK")</f>
        <v>OK</v>
      </c>
    </row>
    <row r="548" spans="1:13" x14ac:dyDescent="0.25">
      <c r="A548" s="1">
        <v>547</v>
      </c>
      <c r="B548" s="1" t="s">
        <v>215</v>
      </c>
      <c r="C548">
        <v>30</v>
      </c>
      <c r="D548">
        <v>5</v>
      </c>
      <c r="E548" s="2">
        <v>44936</v>
      </c>
      <c r="F548" s="3">
        <v>0.10430555555555555</v>
      </c>
      <c r="G548" s="2">
        <v>44945</v>
      </c>
      <c r="H548" s="3">
        <v>0.58103009259259264</v>
      </c>
      <c r="I548" s="1" t="s">
        <v>260</v>
      </c>
      <c r="J548" s="1" t="s">
        <v>30</v>
      </c>
      <c r="K548">
        <v>9</v>
      </c>
      <c r="L548" t="str">
        <f>IF(tblOrders[[#This Row],[Quantity]]&lt;=0,"Check","OK")</f>
        <v>OK</v>
      </c>
      <c r="M548" s="1" t="str">
        <f>IF(tblOrders[[#This Row],[Delivery_Date]]&lt;tblOrders[[#This Row],[Order_Date]],"Error","OK")</f>
        <v>OK</v>
      </c>
    </row>
    <row r="549" spans="1:13" x14ac:dyDescent="0.25">
      <c r="A549" s="1">
        <v>548</v>
      </c>
      <c r="B549" s="1" t="s">
        <v>172</v>
      </c>
      <c r="C549">
        <v>25</v>
      </c>
      <c r="D549">
        <v>2</v>
      </c>
      <c r="E549" s="2">
        <v>44978</v>
      </c>
      <c r="F549" s="3">
        <v>0.52280092592592597</v>
      </c>
      <c r="G549" s="2">
        <v>44979</v>
      </c>
      <c r="H549" s="3">
        <v>0.82481481481481478</v>
      </c>
      <c r="I549" s="1" t="s">
        <v>319</v>
      </c>
      <c r="J549" s="1" t="s">
        <v>30</v>
      </c>
      <c r="K549">
        <v>1</v>
      </c>
      <c r="L549" t="str">
        <f>IF(tblOrders[[#This Row],[Quantity]]&lt;=0,"Check","OK")</f>
        <v>OK</v>
      </c>
      <c r="M549" s="1" t="str">
        <f>IF(tblOrders[[#This Row],[Delivery_Date]]&lt;tblOrders[[#This Row],[Order_Date]],"Error","OK")</f>
        <v>OK</v>
      </c>
    </row>
    <row r="550" spans="1:13" x14ac:dyDescent="0.25">
      <c r="A550" s="1">
        <v>549</v>
      </c>
      <c r="B550" s="1" t="s">
        <v>503</v>
      </c>
      <c r="C550">
        <v>64</v>
      </c>
      <c r="D550">
        <v>1</v>
      </c>
      <c r="E550" s="2">
        <v>45160</v>
      </c>
      <c r="F550" s="3">
        <v>0.81230324074074078</v>
      </c>
      <c r="G550" s="2">
        <v>45170</v>
      </c>
      <c r="H550" s="3">
        <v>0.10358796296296297</v>
      </c>
      <c r="I550" s="1" t="s">
        <v>453</v>
      </c>
      <c r="J550" s="1" t="s">
        <v>33</v>
      </c>
      <c r="K550">
        <v>10</v>
      </c>
      <c r="L550" t="str">
        <f>IF(tblOrders[[#This Row],[Quantity]]&lt;=0,"Check","OK")</f>
        <v>OK</v>
      </c>
      <c r="M550" s="1" t="str">
        <f>IF(tblOrders[[#This Row],[Delivery_Date]]&lt;tblOrders[[#This Row],[Order_Date]],"Error","OK")</f>
        <v>OK</v>
      </c>
    </row>
    <row r="551" spans="1:13" x14ac:dyDescent="0.25">
      <c r="A551" s="1">
        <v>550</v>
      </c>
      <c r="B551" s="1" t="s">
        <v>252</v>
      </c>
      <c r="C551">
        <v>29</v>
      </c>
      <c r="D551">
        <v>5</v>
      </c>
      <c r="E551" s="2">
        <v>44984</v>
      </c>
      <c r="F551" s="3">
        <v>0.81125000000000003</v>
      </c>
      <c r="G551" s="2">
        <v>44990</v>
      </c>
      <c r="H551" s="3">
        <v>0.71086805555555554</v>
      </c>
      <c r="I551" s="1" t="s">
        <v>527</v>
      </c>
      <c r="J551" s="1" t="s">
        <v>25</v>
      </c>
      <c r="K551">
        <v>6</v>
      </c>
      <c r="L551" t="str">
        <f>IF(tblOrders[[#This Row],[Quantity]]&lt;=0,"Check","OK")</f>
        <v>OK</v>
      </c>
      <c r="M551" s="1" t="str">
        <f>IF(tblOrders[[#This Row],[Delivery_Date]]&lt;tblOrders[[#This Row],[Order_Date]],"Error","OK")</f>
        <v>OK</v>
      </c>
    </row>
    <row r="552" spans="1:13" x14ac:dyDescent="0.25">
      <c r="A552" s="1">
        <v>551</v>
      </c>
      <c r="B552" s="1" t="s">
        <v>215</v>
      </c>
      <c r="C552">
        <v>67</v>
      </c>
      <c r="D552">
        <v>1</v>
      </c>
      <c r="E552" s="2">
        <v>45035</v>
      </c>
      <c r="F552" s="3">
        <v>0.86368055555555556</v>
      </c>
      <c r="G552" s="2">
        <v>45039</v>
      </c>
      <c r="H552" s="3">
        <v>0.64240740740740743</v>
      </c>
      <c r="I552" s="1" t="s">
        <v>502</v>
      </c>
      <c r="J552" s="1" t="s">
        <v>30</v>
      </c>
      <c r="K552">
        <v>4</v>
      </c>
      <c r="L552" t="str">
        <f>IF(tblOrders[[#This Row],[Quantity]]&lt;=0,"Check","OK")</f>
        <v>OK</v>
      </c>
      <c r="M552" s="1" t="str">
        <f>IF(tblOrders[[#This Row],[Delivery_Date]]&lt;tblOrders[[#This Row],[Order_Date]],"Error","OK")</f>
        <v>OK</v>
      </c>
    </row>
    <row r="553" spans="1:13" x14ac:dyDescent="0.25">
      <c r="A553" s="1">
        <v>552</v>
      </c>
      <c r="B553" s="1" t="s">
        <v>216</v>
      </c>
      <c r="C553">
        <v>31</v>
      </c>
      <c r="D553">
        <v>3</v>
      </c>
      <c r="E553" s="2">
        <v>45056</v>
      </c>
      <c r="F553" s="3">
        <v>0.7913310185185185</v>
      </c>
      <c r="G553" s="2">
        <v>45057</v>
      </c>
      <c r="H553" s="3">
        <v>0.71466435185185184</v>
      </c>
      <c r="I553" s="1" t="s">
        <v>457</v>
      </c>
      <c r="J553" s="1" t="s">
        <v>8</v>
      </c>
      <c r="K553">
        <v>1</v>
      </c>
      <c r="L553" t="str">
        <f>IF(tblOrders[[#This Row],[Quantity]]&lt;=0,"Check","OK")</f>
        <v>OK</v>
      </c>
      <c r="M553" s="1" t="str">
        <f>IF(tblOrders[[#This Row],[Delivery_Date]]&lt;tblOrders[[#This Row],[Order_Date]],"Error","OK")</f>
        <v>OK</v>
      </c>
    </row>
    <row r="554" spans="1:13" x14ac:dyDescent="0.25">
      <c r="A554" s="1">
        <v>553</v>
      </c>
      <c r="B554" s="1" t="s">
        <v>364</v>
      </c>
      <c r="C554">
        <v>39</v>
      </c>
      <c r="D554">
        <v>2</v>
      </c>
      <c r="E554" s="2">
        <v>45160</v>
      </c>
      <c r="F554" s="3">
        <v>5.7418981481481481E-2</v>
      </c>
      <c r="G554" s="2">
        <v>45164</v>
      </c>
      <c r="H554" s="3">
        <v>0.32184027777777779</v>
      </c>
      <c r="I554" s="1" t="s">
        <v>439</v>
      </c>
      <c r="J554" s="1" t="s">
        <v>8</v>
      </c>
      <c r="K554">
        <v>4</v>
      </c>
      <c r="L554" t="str">
        <f>IF(tblOrders[[#This Row],[Quantity]]&lt;=0,"Check","OK")</f>
        <v>OK</v>
      </c>
      <c r="M554" s="1" t="str">
        <f>IF(tblOrders[[#This Row],[Delivery_Date]]&lt;tblOrders[[#This Row],[Order_Date]],"Error","OK")</f>
        <v>OK</v>
      </c>
    </row>
    <row r="555" spans="1:13" x14ac:dyDescent="0.25">
      <c r="A555" s="1">
        <v>554</v>
      </c>
      <c r="B555" s="1" t="s">
        <v>254</v>
      </c>
      <c r="C555">
        <v>29</v>
      </c>
      <c r="D555">
        <v>4</v>
      </c>
      <c r="E555" s="2">
        <v>44985</v>
      </c>
      <c r="F555" s="3">
        <v>0.85077546296296291</v>
      </c>
      <c r="G555" s="2">
        <v>44988</v>
      </c>
      <c r="H555" s="3">
        <v>0.70070601851851855</v>
      </c>
      <c r="I555" s="1" t="s">
        <v>528</v>
      </c>
      <c r="J555" s="1" t="s">
        <v>25</v>
      </c>
      <c r="K555">
        <v>3</v>
      </c>
      <c r="L555" t="str">
        <f>IF(tblOrders[[#This Row],[Quantity]]&lt;=0,"Check","OK")</f>
        <v>OK</v>
      </c>
      <c r="M555" s="1" t="str">
        <f>IF(tblOrders[[#This Row],[Delivery_Date]]&lt;tblOrders[[#This Row],[Order_Date]],"Error","OK")</f>
        <v>OK</v>
      </c>
    </row>
    <row r="556" spans="1:13" x14ac:dyDescent="0.25">
      <c r="A556" s="1">
        <v>555</v>
      </c>
      <c r="B556" s="1" t="s">
        <v>304</v>
      </c>
      <c r="C556">
        <v>56</v>
      </c>
      <c r="D556">
        <v>4</v>
      </c>
      <c r="E556" s="2">
        <v>45105</v>
      </c>
      <c r="F556" s="3">
        <v>0.50396990740740744</v>
      </c>
      <c r="G556" s="2">
        <v>45107</v>
      </c>
      <c r="H556" s="3">
        <v>0.74875000000000003</v>
      </c>
      <c r="I556" s="1" t="s">
        <v>256</v>
      </c>
      <c r="J556" s="1" t="s">
        <v>30</v>
      </c>
      <c r="K556">
        <v>2</v>
      </c>
      <c r="L556" t="str">
        <f>IF(tblOrders[[#This Row],[Quantity]]&lt;=0,"Check","OK")</f>
        <v>OK</v>
      </c>
      <c r="M556" s="1" t="str">
        <f>IF(tblOrders[[#This Row],[Delivery_Date]]&lt;tblOrders[[#This Row],[Order_Date]],"Error","OK")</f>
        <v>OK</v>
      </c>
    </row>
    <row r="557" spans="1:13" x14ac:dyDescent="0.25">
      <c r="A557" s="1">
        <v>556</v>
      </c>
      <c r="B557" s="1" t="s">
        <v>471</v>
      </c>
      <c r="C557">
        <v>17</v>
      </c>
      <c r="D557">
        <v>1</v>
      </c>
      <c r="E557" s="2">
        <v>45273</v>
      </c>
      <c r="F557" s="3">
        <v>0.64886574074074077</v>
      </c>
      <c r="G557" s="2">
        <v>45281</v>
      </c>
      <c r="H557" s="3">
        <v>0.6595833333333333</v>
      </c>
      <c r="I557" s="1" t="s">
        <v>529</v>
      </c>
      <c r="J557" s="1" t="s">
        <v>30</v>
      </c>
      <c r="K557">
        <v>8</v>
      </c>
      <c r="L557" t="str">
        <f>IF(tblOrders[[#This Row],[Quantity]]&lt;=0,"Check","OK")</f>
        <v>OK</v>
      </c>
      <c r="M557" s="1" t="str">
        <f>IF(tblOrders[[#This Row],[Delivery_Date]]&lt;tblOrders[[#This Row],[Order_Date]],"Error","OK")</f>
        <v>OK</v>
      </c>
    </row>
    <row r="558" spans="1:13" x14ac:dyDescent="0.25">
      <c r="A558" s="1">
        <v>557</v>
      </c>
      <c r="B558" s="1" t="s">
        <v>308</v>
      </c>
      <c r="C558">
        <v>47</v>
      </c>
      <c r="D558">
        <v>3</v>
      </c>
      <c r="E558" s="2">
        <v>44986</v>
      </c>
      <c r="F558" s="3">
        <v>0.1254861111111111</v>
      </c>
      <c r="G558" s="2">
        <v>44993</v>
      </c>
      <c r="H558" s="3">
        <v>9.0729166666666666E-2</v>
      </c>
      <c r="I558" s="1" t="s">
        <v>482</v>
      </c>
      <c r="J558" s="1" t="s">
        <v>25</v>
      </c>
      <c r="K558">
        <v>7</v>
      </c>
      <c r="L558" t="str">
        <f>IF(tblOrders[[#This Row],[Quantity]]&lt;=0,"Check","OK")</f>
        <v>OK</v>
      </c>
      <c r="M558" s="1" t="str">
        <f>IF(tblOrders[[#This Row],[Delivery_Date]]&lt;tblOrders[[#This Row],[Order_Date]],"Error","OK")</f>
        <v>OK</v>
      </c>
    </row>
    <row r="559" spans="1:13" x14ac:dyDescent="0.25">
      <c r="A559" s="1">
        <v>558</v>
      </c>
      <c r="B559" s="1" t="s">
        <v>210</v>
      </c>
      <c r="C559">
        <v>64</v>
      </c>
      <c r="D559">
        <v>3</v>
      </c>
      <c r="E559" s="2">
        <v>45160</v>
      </c>
      <c r="F559" s="3">
        <v>2.9837962962962962E-2</v>
      </c>
      <c r="G559" s="2">
        <v>45163</v>
      </c>
      <c r="H559" s="3">
        <v>1.726851851851852E-2</v>
      </c>
      <c r="I559" s="1" t="s">
        <v>451</v>
      </c>
      <c r="J559" s="1" t="s">
        <v>33</v>
      </c>
      <c r="K559">
        <v>3</v>
      </c>
      <c r="L559" t="str">
        <f>IF(tblOrders[[#This Row],[Quantity]]&lt;=0,"Check","OK")</f>
        <v>OK</v>
      </c>
      <c r="M559" s="1" t="str">
        <f>IF(tblOrders[[#This Row],[Delivery_Date]]&lt;tblOrders[[#This Row],[Order_Date]],"Error","OK")</f>
        <v>OK</v>
      </c>
    </row>
    <row r="560" spans="1:13" x14ac:dyDescent="0.25">
      <c r="A560" s="1">
        <v>559</v>
      </c>
      <c r="B560" s="1" t="s">
        <v>364</v>
      </c>
      <c r="C560">
        <v>45</v>
      </c>
      <c r="D560">
        <v>1</v>
      </c>
      <c r="E560" s="2">
        <v>45279</v>
      </c>
      <c r="F560" s="3">
        <v>0.69248842592592597</v>
      </c>
      <c r="G560" s="2">
        <v>45286</v>
      </c>
      <c r="H560" s="3">
        <v>0.7748032407407407</v>
      </c>
      <c r="I560" s="1" t="s">
        <v>530</v>
      </c>
      <c r="J560" s="1" t="s">
        <v>36</v>
      </c>
      <c r="K560">
        <v>7</v>
      </c>
      <c r="L560" t="str">
        <f>IF(tblOrders[[#This Row],[Quantity]]&lt;=0,"Check","OK")</f>
        <v>OK</v>
      </c>
      <c r="M560" s="1" t="str">
        <f>IF(tblOrders[[#This Row],[Delivery_Date]]&lt;tblOrders[[#This Row],[Order_Date]],"Error","OK")</f>
        <v>OK</v>
      </c>
    </row>
    <row r="561" spans="1:13" x14ac:dyDescent="0.25">
      <c r="A561" s="1">
        <v>560</v>
      </c>
      <c r="B561" s="1" t="s">
        <v>168</v>
      </c>
      <c r="C561">
        <v>39</v>
      </c>
      <c r="D561">
        <v>2</v>
      </c>
      <c r="E561" s="2">
        <v>45142</v>
      </c>
      <c r="F561" s="3">
        <v>0.53634259259259254</v>
      </c>
      <c r="G561" s="2">
        <v>45147</v>
      </c>
      <c r="H561" s="3">
        <v>0.41033564814814816</v>
      </c>
      <c r="I561" s="1" t="s">
        <v>298</v>
      </c>
      <c r="J561" s="1" t="s">
        <v>8</v>
      </c>
      <c r="K561">
        <v>5</v>
      </c>
      <c r="L561" t="str">
        <f>IF(tblOrders[[#This Row],[Quantity]]&lt;=0,"Check","OK")</f>
        <v>OK</v>
      </c>
      <c r="M561" s="1" t="str">
        <f>IF(tblOrders[[#This Row],[Delivery_Date]]&lt;tblOrders[[#This Row],[Order_Date]],"Error","OK")</f>
        <v>OK</v>
      </c>
    </row>
    <row r="562" spans="1:13" x14ac:dyDescent="0.25">
      <c r="A562" s="1">
        <v>561</v>
      </c>
      <c r="B562" s="1" t="s">
        <v>183</v>
      </c>
      <c r="C562">
        <v>49</v>
      </c>
      <c r="D562">
        <v>5</v>
      </c>
      <c r="E562" s="2">
        <v>44969</v>
      </c>
      <c r="F562" s="3">
        <v>0.5170717592592593</v>
      </c>
      <c r="G562" s="2">
        <v>44978</v>
      </c>
      <c r="H562" s="3">
        <v>0.72469907407407408</v>
      </c>
      <c r="I562" s="1" t="s">
        <v>485</v>
      </c>
      <c r="J562" s="1" t="s">
        <v>12</v>
      </c>
      <c r="K562">
        <v>9</v>
      </c>
      <c r="L562" t="str">
        <f>IF(tblOrders[[#This Row],[Quantity]]&lt;=0,"Check","OK")</f>
        <v>OK</v>
      </c>
      <c r="M562" s="1" t="str">
        <f>IF(tblOrders[[#This Row],[Delivery_Date]]&lt;tblOrders[[#This Row],[Order_Date]],"Error","OK")</f>
        <v>OK</v>
      </c>
    </row>
    <row r="563" spans="1:13" x14ac:dyDescent="0.25">
      <c r="A563" s="1">
        <v>562</v>
      </c>
      <c r="B563" s="1" t="s">
        <v>232</v>
      </c>
      <c r="C563">
        <v>24</v>
      </c>
      <c r="D563">
        <v>4</v>
      </c>
      <c r="E563" s="2">
        <v>45147</v>
      </c>
      <c r="F563" s="3">
        <v>0.38773148148148145</v>
      </c>
      <c r="G563" s="2">
        <v>45154</v>
      </c>
      <c r="H563" s="3">
        <v>6.535879629629629E-2</v>
      </c>
      <c r="I563" s="1" t="s">
        <v>450</v>
      </c>
      <c r="J563" s="1" t="s">
        <v>36</v>
      </c>
      <c r="K563">
        <v>7</v>
      </c>
      <c r="L563" t="str">
        <f>IF(tblOrders[[#This Row],[Quantity]]&lt;=0,"Check","OK")</f>
        <v>OK</v>
      </c>
      <c r="M563" s="1" t="str">
        <f>IF(tblOrders[[#This Row],[Delivery_Date]]&lt;tblOrders[[#This Row],[Order_Date]],"Error","OK")</f>
        <v>OK</v>
      </c>
    </row>
    <row r="564" spans="1:13" x14ac:dyDescent="0.25">
      <c r="A564" s="1">
        <v>563</v>
      </c>
      <c r="B564" s="1" t="s">
        <v>261</v>
      </c>
      <c r="C564">
        <v>58</v>
      </c>
      <c r="D564">
        <v>5</v>
      </c>
      <c r="E564" s="2">
        <v>44968</v>
      </c>
      <c r="F564" s="3">
        <v>0.4884027777777778</v>
      </c>
      <c r="G564" s="2">
        <v>44976</v>
      </c>
      <c r="H564" s="3">
        <v>0.21144675925925926</v>
      </c>
      <c r="I564" s="1" t="s">
        <v>268</v>
      </c>
      <c r="J564" s="1" t="s">
        <v>12</v>
      </c>
      <c r="K564">
        <v>8</v>
      </c>
      <c r="L564" t="str">
        <f>IF(tblOrders[[#This Row],[Quantity]]&lt;=0,"Check","OK")</f>
        <v>OK</v>
      </c>
      <c r="M564" s="1" t="str">
        <f>IF(tblOrders[[#This Row],[Delivery_Date]]&lt;tblOrders[[#This Row],[Order_Date]],"Error","OK")</f>
        <v>OK</v>
      </c>
    </row>
    <row r="565" spans="1:13" x14ac:dyDescent="0.25">
      <c r="A565" s="1">
        <v>564</v>
      </c>
      <c r="B565" s="1" t="s">
        <v>369</v>
      </c>
      <c r="C565">
        <v>40</v>
      </c>
      <c r="D565">
        <v>1</v>
      </c>
      <c r="E565" s="2">
        <v>45023</v>
      </c>
      <c r="F565" s="3">
        <v>2.8009259259259258E-2</v>
      </c>
      <c r="G565" s="2">
        <v>45031</v>
      </c>
      <c r="H565" s="3">
        <v>0.25482638888888887</v>
      </c>
      <c r="I565" s="1" t="s">
        <v>531</v>
      </c>
      <c r="J565" s="1" t="s">
        <v>30</v>
      </c>
      <c r="K565">
        <v>8</v>
      </c>
      <c r="L565" t="str">
        <f>IF(tblOrders[[#This Row],[Quantity]]&lt;=0,"Check","OK")</f>
        <v>OK</v>
      </c>
      <c r="M565" s="1" t="str">
        <f>IF(tblOrders[[#This Row],[Delivery_Date]]&lt;tblOrders[[#This Row],[Order_Date]],"Error","OK")</f>
        <v>OK</v>
      </c>
    </row>
    <row r="566" spans="1:13" x14ac:dyDescent="0.25">
      <c r="A566" s="1">
        <v>565</v>
      </c>
      <c r="B566" s="1" t="s">
        <v>200</v>
      </c>
      <c r="C566">
        <v>50</v>
      </c>
      <c r="D566">
        <v>3</v>
      </c>
      <c r="E566" s="2">
        <v>44991</v>
      </c>
      <c r="F566" s="3">
        <v>0.72796296296296292</v>
      </c>
      <c r="G566" s="2">
        <v>44999</v>
      </c>
      <c r="H566" s="3">
        <v>0.55054398148148154</v>
      </c>
      <c r="I566" s="1" t="s">
        <v>426</v>
      </c>
      <c r="J566" s="1" t="s">
        <v>25</v>
      </c>
      <c r="K566">
        <v>8</v>
      </c>
      <c r="L566" t="str">
        <f>IF(tblOrders[[#This Row],[Quantity]]&lt;=0,"Check","OK")</f>
        <v>OK</v>
      </c>
      <c r="M566" s="1" t="str">
        <f>IF(tblOrders[[#This Row],[Delivery_Date]]&lt;tblOrders[[#This Row],[Order_Date]],"Error","OK")</f>
        <v>OK</v>
      </c>
    </row>
    <row r="567" spans="1:13" x14ac:dyDescent="0.25">
      <c r="A567" s="1">
        <v>566</v>
      </c>
      <c r="B567" s="1" t="s">
        <v>204</v>
      </c>
      <c r="C567">
        <v>42</v>
      </c>
      <c r="D567">
        <v>4</v>
      </c>
      <c r="E567" s="2">
        <v>45058</v>
      </c>
      <c r="F567" s="3">
        <v>0.53336805555555555</v>
      </c>
      <c r="G567" s="2">
        <v>45060</v>
      </c>
      <c r="H567" s="3">
        <v>0.85870370370370375</v>
      </c>
      <c r="I567" s="1" t="s">
        <v>449</v>
      </c>
      <c r="J567" s="1" t="s">
        <v>8</v>
      </c>
      <c r="K567">
        <v>2</v>
      </c>
      <c r="L567" t="str">
        <f>IF(tblOrders[[#This Row],[Quantity]]&lt;=0,"Check","OK")</f>
        <v>OK</v>
      </c>
      <c r="M567" s="1" t="str">
        <f>IF(tblOrders[[#This Row],[Delivery_Date]]&lt;tblOrders[[#This Row],[Order_Date]],"Error","OK")</f>
        <v>OK</v>
      </c>
    </row>
    <row r="568" spans="1:13" x14ac:dyDescent="0.25">
      <c r="A568" s="1">
        <v>567</v>
      </c>
      <c r="B568" s="1" t="s">
        <v>202</v>
      </c>
      <c r="C568">
        <v>66</v>
      </c>
      <c r="D568">
        <v>1</v>
      </c>
      <c r="E568" s="2">
        <v>44991</v>
      </c>
      <c r="F568" s="3">
        <v>0.25832175925925926</v>
      </c>
      <c r="G568" s="2">
        <v>45000</v>
      </c>
      <c r="H568" s="3">
        <v>0.78962962962962968</v>
      </c>
      <c r="I568" s="1" t="s">
        <v>521</v>
      </c>
      <c r="J568" s="1" t="s">
        <v>25</v>
      </c>
      <c r="K568">
        <v>9</v>
      </c>
      <c r="L568" t="str">
        <f>IF(tblOrders[[#This Row],[Quantity]]&lt;=0,"Check","OK")</f>
        <v>OK</v>
      </c>
      <c r="M568" s="1" t="str">
        <f>IF(tblOrders[[#This Row],[Delivery_Date]]&lt;tblOrders[[#This Row],[Order_Date]],"Error","OK")</f>
        <v>OK</v>
      </c>
    </row>
    <row r="569" spans="1:13" x14ac:dyDescent="0.25">
      <c r="A569" s="1">
        <v>568</v>
      </c>
      <c r="B569" s="1" t="s">
        <v>195</v>
      </c>
      <c r="C569">
        <v>10</v>
      </c>
      <c r="D569">
        <v>1</v>
      </c>
      <c r="E569" s="2">
        <v>45106</v>
      </c>
      <c r="F569" s="3">
        <v>0.87197916666666664</v>
      </c>
      <c r="G569" s="2">
        <v>45115</v>
      </c>
      <c r="H569" s="3">
        <v>0.5529398148148148</v>
      </c>
      <c r="I569" s="1" t="s">
        <v>515</v>
      </c>
      <c r="J569" s="1" t="s">
        <v>36</v>
      </c>
      <c r="K569">
        <v>9</v>
      </c>
      <c r="L569" t="str">
        <f>IF(tblOrders[[#This Row],[Quantity]]&lt;=0,"Check","OK")</f>
        <v>OK</v>
      </c>
      <c r="M569" s="1" t="str">
        <f>IF(tblOrders[[#This Row],[Delivery_Date]]&lt;tblOrders[[#This Row],[Order_Date]],"Error","OK")</f>
        <v>OK</v>
      </c>
    </row>
    <row r="570" spans="1:13" x14ac:dyDescent="0.25">
      <c r="A570" s="1">
        <v>569</v>
      </c>
      <c r="B570" s="1" t="s">
        <v>387</v>
      </c>
      <c r="C570">
        <v>53</v>
      </c>
      <c r="D570">
        <v>2</v>
      </c>
      <c r="E570" s="2">
        <v>45166</v>
      </c>
      <c r="F570" s="3">
        <v>0.58383101851851849</v>
      </c>
      <c r="G570" s="2">
        <v>45173</v>
      </c>
      <c r="H570" s="3">
        <v>0.74747685185185186</v>
      </c>
      <c r="I570" s="1" t="s">
        <v>307</v>
      </c>
      <c r="J570" s="1" t="s">
        <v>33</v>
      </c>
      <c r="K570">
        <v>7</v>
      </c>
      <c r="L570" t="str">
        <f>IF(tblOrders[[#This Row],[Quantity]]&lt;=0,"Check","OK")</f>
        <v>OK</v>
      </c>
      <c r="M570" s="1" t="str">
        <f>IF(tblOrders[[#This Row],[Delivery_Date]]&lt;tblOrders[[#This Row],[Order_Date]],"Error","OK")</f>
        <v>OK</v>
      </c>
    </row>
    <row r="571" spans="1:13" x14ac:dyDescent="0.25">
      <c r="A571" s="1">
        <v>570</v>
      </c>
      <c r="B571" s="1" t="s">
        <v>195</v>
      </c>
      <c r="C571">
        <v>69</v>
      </c>
      <c r="D571">
        <v>3</v>
      </c>
      <c r="E571" s="2">
        <v>44985</v>
      </c>
      <c r="F571" s="3">
        <v>0.47574074074074074</v>
      </c>
      <c r="G571" s="2">
        <v>44994</v>
      </c>
      <c r="H571" s="3">
        <v>3.7442129629629631E-2</v>
      </c>
      <c r="I571" s="1" t="s">
        <v>532</v>
      </c>
      <c r="J571" s="1" t="s">
        <v>25</v>
      </c>
      <c r="K571">
        <v>9</v>
      </c>
      <c r="L571" t="str">
        <f>IF(tblOrders[[#This Row],[Quantity]]&lt;=0,"Check","OK")</f>
        <v>OK</v>
      </c>
      <c r="M571" s="1" t="str">
        <f>IF(tblOrders[[#This Row],[Delivery_Date]]&lt;tblOrders[[#This Row],[Order_Date]],"Error","OK")</f>
        <v>OK</v>
      </c>
    </row>
    <row r="572" spans="1:13" x14ac:dyDescent="0.25">
      <c r="A572" s="1">
        <v>571</v>
      </c>
      <c r="B572" s="1" t="s">
        <v>237</v>
      </c>
      <c r="C572">
        <v>6</v>
      </c>
      <c r="D572">
        <v>1</v>
      </c>
      <c r="E572" s="2">
        <v>44985</v>
      </c>
      <c r="F572" s="3">
        <v>0.40167824074074077</v>
      </c>
      <c r="G572" s="2">
        <v>44994</v>
      </c>
      <c r="H572" s="3">
        <v>0.1847337962962963</v>
      </c>
      <c r="I572" s="1" t="s">
        <v>414</v>
      </c>
      <c r="J572" s="1" t="s">
        <v>25</v>
      </c>
      <c r="K572">
        <v>9</v>
      </c>
      <c r="L572" t="str">
        <f>IF(tblOrders[[#This Row],[Quantity]]&lt;=0,"Check","OK")</f>
        <v>OK</v>
      </c>
      <c r="M572" s="1" t="str">
        <f>IF(tblOrders[[#This Row],[Delivery_Date]]&lt;tblOrders[[#This Row],[Order_Date]],"Error","OK")</f>
        <v>OK</v>
      </c>
    </row>
    <row r="573" spans="1:13" x14ac:dyDescent="0.25">
      <c r="A573" s="1">
        <v>572</v>
      </c>
      <c r="B573" s="1" t="s">
        <v>299</v>
      </c>
      <c r="C573">
        <v>25</v>
      </c>
      <c r="D573">
        <v>5</v>
      </c>
      <c r="E573" s="2">
        <v>45081</v>
      </c>
      <c r="F573" s="3">
        <v>0.6587615740740741</v>
      </c>
      <c r="G573" s="2">
        <v>45087</v>
      </c>
      <c r="H573" s="3">
        <v>0.42486111111111113</v>
      </c>
      <c r="I573" s="1" t="s">
        <v>377</v>
      </c>
      <c r="J573" s="1" t="s">
        <v>30</v>
      </c>
      <c r="K573">
        <v>6</v>
      </c>
      <c r="L573" t="str">
        <f>IF(tblOrders[[#This Row],[Quantity]]&lt;=0,"Check","OK")</f>
        <v>OK</v>
      </c>
      <c r="M573" s="1" t="str">
        <f>IF(tblOrders[[#This Row],[Delivery_Date]]&lt;tblOrders[[#This Row],[Order_Date]],"Error","OK")</f>
        <v>OK</v>
      </c>
    </row>
    <row r="574" spans="1:13" x14ac:dyDescent="0.25">
      <c r="A574" s="1">
        <v>573</v>
      </c>
      <c r="B574" s="1" t="s">
        <v>176</v>
      </c>
      <c r="C574">
        <v>3</v>
      </c>
      <c r="D574">
        <v>5</v>
      </c>
      <c r="E574" s="2">
        <v>44965</v>
      </c>
      <c r="F574" s="3">
        <v>0.11951388888888889</v>
      </c>
      <c r="G574" s="2">
        <v>44971</v>
      </c>
      <c r="H574" s="3">
        <v>0.12298611111111112</v>
      </c>
      <c r="I574" s="1" t="s">
        <v>465</v>
      </c>
      <c r="J574" s="1" t="s">
        <v>12</v>
      </c>
      <c r="K574">
        <v>6</v>
      </c>
      <c r="L574" t="str">
        <f>IF(tblOrders[[#This Row],[Quantity]]&lt;=0,"Check","OK")</f>
        <v>OK</v>
      </c>
      <c r="M574" s="1" t="str">
        <f>IF(tblOrders[[#This Row],[Delivery_Date]]&lt;tblOrders[[#This Row],[Order_Date]],"Error","OK")</f>
        <v>OK</v>
      </c>
    </row>
    <row r="575" spans="1:13" x14ac:dyDescent="0.25">
      <c r="A575" s="1">
        <v>574</v>
      </c>
      <c r="B575" s="1" t="s">
        <v>216</v>
      </c>
      <c r="C575">
        <v>29</v>
      </c>
      <c r="D575">
        <v>3</v>
      </c>
      <c r="E575" s="2">
        <v>44987</v>
      </c>
      <c r="F575" s="3">
        <v>0.99798611111111113</v>
      </c>
      <c r="G575" s="2">
        <v>44991</v>
      </c>
      <c r="H575" s="3">
        <v>0.90638888888888891</v>
      </c>
      <c r="I575" s="1" t="s">
        <v>255</v>
      </c>
      <c r="J575" s="1" t="s">
        <v>25</v>
      </c>
      <c r="K575">
        <v>4</v>
      </c>
      <c r="L575" t="str">
        <f>IF(tblOrders[[#This Row],[Quantity]]&lt;=0,"Check","OK")</f>
        <v>OK</v>
      </c>
      <c r="M575" s="1" t="str">
        <f>IF(tblOrders[[#This Row],[Delivery_Date]]&lt;tblOrders[[#This Row],[Order_Date]],"Error","OK")</f>
        <v>OK</v>
      </c>
    </row>
    <row r="576" spans="1:13" x14ac:dyDescent="0.25">
      <c r="A576" s="1">
        <v>575</v>
      </c>
      <c r="B576" s="1" t="s">
        <v>417</v>
      </c>
      <c r="C576">
        <v>49</v>
      </c>
      <c r="D576">
        <v>2</v>
      </c>
      <c r="E576" s="2">
        <v>44963</v>
      </c>
      <c r="F576" s="3">
        <v>0.5587037037037037</v>
      </c>
      <c r="G576" s="2">
        <v>44966</v>
      </c>
      <c r="H576" s="3">
        <v>0.62162037037037032</v>
      </c>
      <c r="I576" s="1" t="s">
        <v>196</v>
      </c>
      <c r="J576" s="1" t="s">
        <v>12</v>
      </c>
      <c r="K576">
        <v>3</v>
      </c>
      <c r="L576" t="str">
        <f>IF(tblOrders[[#This Row],[Quantity]]&lt;=0,"Check","OK")</f>
        <v>OK</v>
      </c>
      <c r="M576" s="1" t="str">
        <f>IF(tblOrders[[#This Row],[Delivery_Date]]&lt;tblOrders[[#This Row],[Order_Date]],"Error","OK")</f>
        <v>OK</v>
      </c>
    </row>
    <row r="577" spans="1:13" x14ac:dyDescent="0.25">
      <c r="A577" s="1">
        <v>576</v>
      </c>
      <c r="B577" s="1" t="s">
        <v>267</v>
      </c>
      <c r="C577">
        <v>53</v>
      </c>
      <c r="D577">
        <v>4</v>
      </c>
      <c r="E577" s="2">
        <v>45158</v>
      </c>
      <c r="F577" s="3">
        <v>0.29487268518518517</v>
      </c>
      <c r="G577" s="2">
        <v>45164</v>
      </c>
      <c r="H577" s="3">
        <v>0.33471064814814816</v>
      </c>
      <c r="I577" s="1" t="s">
        <v>300</v>
      </c>
      <c r="J577" s="1" t="s">
        <v>33</v>
      </c>
      <c r="K577">
        <v>6</v>
      </c>
      <c r="L577" t="str">
        <f>IF(tblOrders[[#This Row],[Quantity]]&lt;=0,"Check","OK")</f>
        <v>OK</v>
      </c>
      <c r="M577" s="1" t="str">
        <f>IF(tblOrders[[#This Row],[Delivery_Date]]&lt;tblOrders[[#This Row],[Order_Date]],"Error","OK")</f>
        <v>OK</v>
      </c>
    </row>
    <row r="578" spans="1:13" x14ac:dyDescent="0.25">
      <c r="A578" s="1">
        <v>577</v>
      </c>
      <c r="B578" s="1" t="s">
        <v>289</v>
      </c>
      <c r="C578">
        <v>20</v>
      </c>
      <c r="D578">
        <v>4</v>
      </c>
      <c r="E578" s="2">
        <v>45227</v>
      </c>
      <c r="F578" s="3">
        <v>0.61905092592592592</v>
      </c>
      <c r="G578" s="2">
        <v>45235</v>
      </c>
      <c r="H578" s="3">
        <v>0.78524305555555551</v>
      </c>
      <c r="I578" s="1" t="s">
        <v>506</v>
      </c>
      <c r="J578" s="1" t="s">
        <v>30</v>
      </c>
      <c r="K578">
        <v>8</v>
      </c>
      <c r="L578" t="str">
        <f>IF(tblOrders[[#This Row],[Quantity]]&lt;=0,"Check","OK")</f>
        <v>OK</v>
      </c>
      <c r="M578" s="1" t="str">
        <f>IF(tblOrders[[#This Row],[Delivery_Date]]&lt;tblOrders[[#This Row],[Order_Date]],"Error","OK")</f>
        <v>OK</v>
      </c>
    </row>
    <row r="579" spans="1:13" x14ac:dyDescent="0.25">
      <c r="A579" s="1">
        <v>578</v>
      </c>
      <c r="B579" s="1" t="s">
        <v>289</v>
      </c>
      <c r="C579">
        <v>18</v>
      </c>
      <c r="D579">
        <v>4</v>
      </c>
      <c r="E579" s="2">
        <v>45138</v>
      </c>
      <c r="F579" s="3">
        <v>0.76921296296296293</v>
      </c>
      <c r="G579" s="2">
        <v>45144</v>
      </c>
      <c r="H579" s="3">
        <v>0.69681712962962961</v>
      </c>
      <c r="I579" s="1" t="s">
        <v>306</v>
      </c>
      <c r="J579" s="1" t="s">
        <v>36</v>
      </c>
      <c r="K579">
        <v>6</v>
      </c>
      <c r="L579" t="str">
        <f>IF(tblOrders[[#This Row],[Quantity]]&lt;=0,"Check","OK")</f>
        <v>OK</v>
      </c>
      <c r="M579" s="1" t="str">
        <f>IF(tblOrders[[#This Row],[Delivery_Date]]&lt;tblOrders[[#This Row],[Order_Date]],"Error","OK")</f>
        <v>OK</v>
      </c>
    </row>
    <row r="580" spans="1:13" x14ac:dyDescent="0.25">
      <c r="A580" s="1">
        <v>579</v>
      </c>
      <c r="B580" s="1" t="s">
        <v>361</v>
      </c>
      <c r="C580">
        <v>29</v>
      </c>
      <c r="D580">
        <v>2</v>
      </c>
      <c r="E580" s="2">
        <v>44992</v>
      </c>
      <c r="F580" s="3">
        <v>0.9018518518518519</v>
      </c>
      <c r="G580" s="2">
        <v>44999</v>
      </c>
      <c r="H580" s="3">
        <v>0.44798611111111108</v>
      </c>
      <c r="I580" s="1" t="s">
        <v>474</v>
      </c>
      <c r="J580" s="1" t="s">
        <v>25</v>
      </c>
      <c r="K580">
        <v>7</v>
      </c>
      <c r="L580" t="str">
        <f>IF(tblOrders[[#This Row],[Quantity]]&lt;=0,"Check","OK")</f>
        <v>OK</v>
      </c>
      <c r="M580" s="1" t="str">
        <f>IF(tblOrders[[#This Row],[Delivery_Date]]&lt;tblOrders[[#This Row],[Order_Date]],"Error","OK")</f>
        <v>OK</v>
      </c>
    </row>
    <row r="581" spans="1:13" x14ac:dyDescent="0.25">
      <c r="A581" s="1">
        <v>580</v>
      </c>
      <c r="B581" s="1" t="s">
        <v>398</v>
      </c>
      <c r="C581">
        <v>24</v>
      </c>
      <c r="D581">
        <v>4</v>
      </c>
      <c r="E581" s="2">
        <v>45093</v>
      </c>
      <c r="F581" s="3">
        <v>0.91888888888888887</v>
      </c>
      <c r="G581" s="2">
        <v>45097</v>
      </c>
      <c r="H581" s="3">
        <v>0.51784722222222224</v>
      </c>
      <c r="I581" s="1" t="s">
        <v>414</v>
      </c>
      <c r="J581" s="1" t="s">
        <v>36</v>
      </c>
      <c r="K581">
        <v>4</v>
      </c>
      <c r="L581" t="str">
        <f>IF(tblOrders[[#This Row],[Quantity]]&lt;=0,"Check","OK")</f>
        <v>OK</v>
      </c>
      <c r="M581" s="1" t="str">
        <f>IF(tblOrders[[#This Row],[Delivery_Date]]&lt;tblOrders[[#This Row],[Order_Date]],"Error","OK")</f>
        <v>OK</v>
      </c>
    </row>
    <row r="582" spans="1:13" x14ac:dyDescent="0.25">
      <c r="A582" s="1">
        <v>581</v>
      </c>
      <c r="B582" s="1" t="s">
        <v>316</v>
      </c>
      <c r="C582">
        <v>18</v>
      </c>
      <c r="D582">
        <v>2</v>
      </c>
      <c r="E582" s="2">
        <v>45109</v>
      </c>
      <c r="F582" s="3">
        <v>8.9155092592592591E-2</v>
      </c>
      <c r="G582" s="2">
        <v>45118</v>
      </c>
      <c r="H582" s="3">
        <v>0.62290509259259264</v>
      </c>
      <c r="I582" s="1" t="s">
        <v>282</v>
      </c>
      <c r="J582" s="1" t="s">
        <v>36</v>
      </c>
      <c r="K582">
        <v>9</v>
      </c>
      <c r="L582" t="str">
        <f>IF(tblOrders[[#This Row],[Quantity]]&lt;=0,"Check","OK")</f>
        <v>OK</v>
      </c>
      <c r="M582" s="1" t="str">
        <f>IF(tblOrders[[#This Row],[Delivery_Date]]&lt;tblOrders[[#This Row],[Order_Date]],"Error","OK")</f>
        <v>OK</v>
      </c>
    </row>
    <row r="583" spans="1:13" x14ac:dyDescent="0.25">
      <c r="A583" s="1">
        <v>582</v>
      </c>
      <c r="B583" s="1" t="s">
        <v>168</v>
      </c>
      <c r="C583">
        <v>3</v>
      </c>
      <c r="D583">
        <v>4</v>
      </c>
      <c r="E583" s="2">
        <v>44961</v>
      </c>
      <c r="F583" s="3">
        <v>0.77119212962962957</v>
      </c>
      <c r="G583" s="2">
        <v>44962</v>
      </c>
      <c r="H583" s="3">
        <v>0.80325231481481485</v>
      </c>
      <c r="I583" s="1" t="s">
        <v>310</v>
      </c>
      <c r="J583" s="1" t="s">
        <v>12</v>
      </c>
      <c r="K583">
        <v>1</v>
      </c>
      <c r="L583" t="str">
        <f>IF(tblOrders[[#This Row],[Quantity]]&lt;=0,"Check","OK")</f>
        <v>OK</v>
      </c>
      <c r="M583" s="1" t="str">
        <f>IF(tblOrders[[#This Row],[Delivery_Date]]&lt;tblOrders[[#This Row],[Order_Date]],"Error","OK")</f>
        <v>OK</v>
      </c>
    </row>
    <row r="584" spans="1:13" x14ac:dyDescent="0.25">
      <c r="A584" s="1">
        <v>583</v>
      </c>
      <c r="B584" s="1" t="s">
        <v>492</v>
      </c>
      <c r="C584">
        <v>56</v>
      </c>
      <c r="D584">
        <v>4</v>
      </c>
      <c r="E584" s="2">
        <v>45187</v>
      </c>
      <c r="F584" s="3">
        <v>0.69959490740740737</v>
      </c>
      <c r="G584" s="2">
        <v>45191</v>
      </c>
      <c r="H584" s="3">
        <v>0.83232638888888888</v>
      </c>
      <c r="I584" s="1" t="s">
        <v>467</v>
      </c>
      <c r="J584" s="1" t="s">
        <v>30</v>
      </c>
      <c r="K584">
        <v>4</v>
      </c>
      <c r="L584" t="str">
        <f>IF(tblOrders[[#This Row],[Quantity]]&lt;=0,"Check","OK")</f>
        <v>OK</v>
      </c>
      <c r="M584" s="1" t="str">
        <f>IF(tblOrders[[#This Row],[Delivery_Date]]&lt;tblOrders[[#This Row],[Order_Date]],"Error","OK")</f>
        <v>OK</v>
      </c>
    </row>
    <row r="585" spans="1:13" x14ac:dyDescent="0.25">
      <c r="A585" s="1">
        <v>584</v>
      </c>
      <c r="B585" s="1" t="s">
        <v>402</v>
      </c>
      <c r="C585">
        <v>34</v>
      </c>
      <c r="D585">
        <v>2</v>
      </c>
      <c r="E585" s="2">
        <v>45161</v>
      </c>
      <c r="F585" s="3">
        <v>0.3190972222222222</v>
      </c>
      <c r="G585" s="2">
        <v>45165</v>
      </c>
      <c r="H585" s="3">
        <v>0.67393518518518514</v>
      </c>
      <c r="I585" s="1" t="s">
        <v>496</v>
      </c>
      <c r="J585" s="1" t="s">
        <v>33</v>
      </c>
      <c r="K585">
        <v>4</v>
      </c>
      <c r="L585" t="str">
        <f>IF(tblOrders[[#This Row],[Quantity]]&lt;=0,"Check","OK")</f>
        <v>OK</v>
      </c>
      <c r="M585" s="1" t="str">
        <f>IF(tblOrders[[#This Row],[Delivery_Date]]&lt;tblOrders[[#This Row],[Order_Date]],"Error","OK")</f>
        <v>OK</v>
      </c>
    </row>
    <row r="586" spans="1:13" x14ac:dyDescent="0.25">
      <c r="A586" s="1">
        <v>585</v>
      </c>
      <c r="B586" s="1" t="s">
        <v>193</v>
      </c>
      <c r="C586">
        <v>63</v>
      </c>
      <c r="D586">
        <v>5</v>
      </c>
      <c r="E586" s="2">
        <v>45042</v>
      </c>
      <c r="F586" s="3">
        <v>0.77269675925925929</v>
      </c>
      <c r="G586" s="2">
        <v>45047</v>
      </c>
      <c r="H586" s="3">
        <v>7.784722222222222E-2</v>
      </c>
      <c r="I586" s="1" t="s">
        <v>515</v>
      </c>
      <c r="J586" s="1" t="s">
        <v>8</v>
      </c>
      <c r="K586">
        <v>5</v>
      </c>
      <c r="L586" t="str">
        <f>IF(tblOrders[[#This Row],[Quantity]]&lt;=0,"Check","OK")</f>
        <v>OK</v>
      </c>
      <c r="M586" s="1" t="str">
        <f>IF(tblOrders[[#This Row],[Delivery_Date]]&lt;tblOrders[[#This Row],[Order_Date]],"Error","OK")</f>
        <v>OK</v>
      </c>
    </row>
    <row r="587" spans="1:13" x14ac:dyDescent="0.25">
      <c r="A587" s="1">
        <v>586</v>
      </c>
      <c r="B587" s="1" t="s">
        <v>388</v>
      </c>
      <c r="C587">
        <v>64</v>
      </c>
      <c r="D587">
        <v>5</v>
      </c>
      <c r="E587" s="2">
        <v>45165</v>
      </c>
      <c r="F587" s="3">
        <v>0.87821759259259258</v>
      </c>
      <c r="G587" s="2">
        <v>45173</v>
      </c>
      <c r="H587" s="3">
        <v>0.68795138888888885</v>
      </c>
      <c r="I587" s="1" t="s">
        <v>171</v>
      </c>
      <c r="J587" s="1" t="s">
        <v>33</v>
      </c>
      <c r="K587">
        <v>8</v>
      </c>
      <c r="L587" t="str">
        <f>IF(tblOrders[[#This Row],[Quantity]]&lt;=0,"Check","OK")</f>
        <v>OK</v>
      </c>
      <c r="M587" s="1" t="str">
        <f>IF(tblOrders[[#This Row],[Delivery_Date]]&lt;tblOrders[[#This Row],[Order_Date]],"Error","OK")</f>
        <v>OK</v>
      </c>
    </row>
    <row r="588" spans="1:13" x14ac:dyDescent="0.25">
      <c r="A588" s="1">
        <v>587</v>
      </c>
      <c r="B588" s="1" t="s">
        <v>208</v>
      </c>
      <c r="C588">
        <v>43</v>
      </c>
      <c r="D588">
        <v>1</v>
      </c>
      <c r="E588" s="2">
        <v>45232</v>
      </c>
      <c r="F588" s="3">
        <v>3.5694444444444445E-2</v>
      </c>
      <c r="G588" s="2">
        <v>45233</v>
      </c>
      <c r="H588" s="3">
        <v>0.44520833333333332</v>
      </c>
      <c r="I588" s="1" t="s">
        <v>473</v>
      </c>
      <c r="J588" s="1" t="s">
        <v>19</v>
      </c>
      <c r="K588">
        <v>1</v>
      </c>
      <c r="L588" t="str">
        <f>IF(tblOrders[[#This Row],[Quantity]]&lt;=0,"Check","OK")</f>
        <v>OK</v>
      </c>
      <c r="M588" s="1" t="str">
        <f>IF(tblOrders[[#This Row],[Delivery_Date]]&lt;tblOrders[[#This Row],[Order_Date]],"Error","OK")</f>
        <v>OK</v>
      </c>
    </row>
    <row r="589" spans="1:13" x14ac:dyDescent="0.25">
      <c r="A589" s="1">
        <v>588</v>
      </c>
      <c r="B589" s="1" t="s">
        <v>195</v>
      </c>
      <c r="C589">
        <v>49</v>
      </c>
      <c r="D589">
        <v>5</v>
      </c>
      <c r="E589" s="2">
        <v>44961</v>
      </c>
      <c r="F589" s="3">
        <v>0.27569444444444446</v>
      </c>
      <c r="G589" s="2">
        <v>44962</v>
      </c>
      <c r="H589" s="3">
        <v>0.89024305555555561</v>
      </c>
      <c r="I589" s="1" t="s">
        <v>322</v>
      </c>
      <c r="J589" s="1" t="s">
        <v>12</v>
      </c>
      <c r="K589">
        <v>1</v>
      </c>
      <c r="L589" t="str">
        <f>IF(tblOrders[[#This Row],[Quantity]]&lt;=0,"Check","OK")</f>
        <v>OK</v>
      </c>
      <c r="M589" s="1" t="str">
        <f>IF(tblOrders[[#This Row],[Delivery_Date]]&lt;tblOrders[[#This Row],[Order_Date]],"Error","OK")</f>
        <v>OK</v>
      </c>
    </row>
    <row r="590" spans="1:13" x14ac:dyDescent="0.25">
      <c r="A590" s="1">
        <v>589</v>
      </c>
      <c r="B590" s="1" t="s">
        <v>398</v>
      </c>
      <c r="C590">
        <v>40</v>
      </c>
      <c r="D590">
        <v>3</v>
      </c>
      <c r="E590" s="2">
        <v>45269</v>
      </c>
      <c r="F590" s="3">
        <v>0.89116898148148149</v>
      </c>
      <c r="G590" s="2">
        <v>45279</v>
      </c>
      <c r="H590" s="3">
        <v>5.6643518518518517E-2</v>
      </c>
      <c r="I590" s="1" t="s">
        <v>375</v>
      </c>
      <c r="J590" s="1" t="s">
        <v>30</v>
      </c>
      <c r="K590">
        <v>10</v>
      </c>
      <c r="L590" t="str">
        <f>IF(tblOrders[[#This Row],[Quantity]]&lt;=0,"Check","OK")</f>
        <v>OK</v>
      </c>
      <c r="M590" s="1" t="str">
        <f>IF(tblOrders[[#This Row],[Delivery_Date]]&lt;tblOrders[[#This Row],[Order_Date]],"Error","OK")</f>
        <v>OK</v>
      </c>
    </row>
    <row r="591" spans="1:13" x14ac:dyDescent="0.25">
      <c r="A591" s="1">
        <v>590</v>
      </c>
      <c r="B591" s="1" t="s">
        <v>239</v>
      </c>
      <c r="C591">
        <v>23</v>
      </c>
      <c r="D591">
        <v>2</v>
      </c>
      <c r="E591" s="2">
        <v>44945</v>
      </c>
      <c r="F591" s="3">
        <v>0.9002430555555555</v>
      </c>
      <c r="G591" s="2">
        <v>44949</v>
      </c>
      <c r="H591" s="3">
        <v>0.2457175925925926</v>
      </c>
      <c r="I591" s="1" t="s">
        <v>209</v>
      </c>
      <c r="J591" s="1" t="s">
        <v>30</v>
      </c>
      <c r="K591">
        <v>4</v>
      </c>
      <c r="L591" t="str">
        <f>IF(tblOrders[[#This Row],[Quantity]]&lt;=0,"Check","OK")</f>
        <v>OK</v>
      </c>
      <c r="M591" s="1" t="str">
        <f>IF(tblOrders[[#This Row],[Delivery_Date]]&lt;tblOrders[[#This Row],[Order_Date]],"Error","OK")</f>
        <v>OK</v>
      </c>
    </row>
    <row r="592" spans="1:13" x14ac:dyDescent="0.25">
      <c r="A592" s="1">
        <v>591</v>
      </c>
      <c r="B592" s="1" t="s">
        <v>488</v>
      </c>
      <c r="C592">
        <v>31</v>
      </c>
      <c r="D592">
        <v>3</v>
      </c>
      <c r="E592" s="2">
        <v>45113</v>
      </c>
      <c r="F592" s="3">
        <v>0.53888888888888886</v>
      </c>
      <c r="G592" s="2">
        <v>45121</v>
      </c>
      <c r="H592" s="3">
        <v>5.9027777777777778E-4</v>
      </c>
      <c r="I592" s="1" t="s">
        <v>422</v>
      </c>
      <c r="J592" s="1" t="s">
        <v>8</v>
      </c>
      <c r="K592">
        <v>8</v>
      </c>
      <c r="L592" t="str">
        <f>IF(tblOrders[[#This Row],[Quantity]]&lt;=0,"Check","OK")</f>
        <v>OK</v>
      </c>
      <c r="M592" s="1" t="str">
        <f>IF(tblOrders[[#This Row],[Delivery_Date]]&lt;tblOrders[[#This Row],[Order_Date]],"Error","OK")</f>
        <v>OK</v>
      </c>
    </row>
    <row r="593" spans="1:13" x14ac:dyDescent="0.25">
      <c r="A593" s="1">
        <v>592</v>
      </c>
      <c r="B593" s="1" t="s">
        <v>369</v>
      </c>
      <c r="C593">
        <v>47</v>
      </c>
      <c r="D593">
        <v>5</v>
      </c>
      <c r="E593" s="2">
        <v>44992</v>
      </c>
      <c r="F593" s="3">
        <v>0.14378472222222222</v>
      </c>
      <c r="G593" s="2">
        <v>44996</v>
      </c>
      <c r="H593" s="3">
        <v>0.9037384259259259</v>
      </c>
      <c r="I593" s="1" t="s">
        <v>533</v>
      </c>
      <c r="J593" s="1" t="s">
        <v>25</v>
      </c>
      <c r="K593">
        <v>4</v>
      </c>
      <c r="L593" t="str">
        <f>IF(tblOrders[[#This Row],[Quantity]]&lt;=0,"Check","OK")</f>
        <v>OK</v>
      </c>
      <c r="M593" s="1" t="str">
        <f>IF(tblOrders[[#This Row],[Delivery_Date]]&lt;tblOrders[[#This Row],[Order_Date]],"Error","OK")</f>
        <v>OK</v>
      </c>
    </row>
    <row r="594" spans="1:13" x14ac:dyDescent="0.25">
      <c r="A594" s="1">
        <v>593</v>
      </c>
      <c r="B594" s="1" t="s">
        <v>392</v>
      </c>
      <c r="C594">
        <v>58</v>
      </c>
      <c r="D594">
        <v>3</v>
      </c>
      <c r="E594" s="2">
        <v>44962</v>
      </c>
      <c r="F594" s="3">
        <v>0.72962962962962963</v>
      </c>
      <c r="G594" s="2">
        <v>44969</v>
      </c>
      <c r="H594" s="3">
        <v>0.39864583333333331</v>
      </c>
      <c r="I594" s="1" t="s">
        <v>383</v>
      </c>
      <c r="J594" s="1" t="s">
        <v>12</v>
      </c>
      <c r="K594">
        <v>7</v>
      </c>
      <c r="L594" t="str">
        <f>IF(tblOrders[[#This Row],[Quantity]]&lt;=0,"Check","OK")</f>
        <v>OK</v>
      </c>
      <c r="M594" s="1" t="str">
        <f>IF(tblOrders[[#This Row],[Delivery_Date]]&lt;tblOrders[[#This Row],[Order_Date]],"Error","OK")</f>
        <v>OK</v>
      </c>
    </row>
    <row r="595" spans="1:13" x14ac:dyDescent="0.25">
      <c r="A595" s="1">
        <v>594</v>
      </c>
      <c r="B595" s="1" t="s">
        <v>299</v>
      </c>
      <c r="C595">
        <v>20</v>
      </c>
      <c r="D595">
        <v>2</v>
      </c>
      <c r="E595" s="2">
        <v>45072</v>
      </c>
      <c r="F595" s="3">
        <v>0.89309027777777783</v>
      </c>
      <c r="G595" s="2">
        <v>45078</v>
      </c>
      <c r="H595" s="3">
        <v>0.20796296296296296</v>
      </c>
      <c r="I595" s="1" t="s">
        <v>288</v>
      </c>
      <c r="J595" s="1" t="s">
        <v>30</v>
      </c>
      <c r="K595">
        <v>6</v>
      </c>
      <c r="L595" t="str">
        <f>IF(tblOrders[[#This Row],[Quantity]]&lt;=0,"Check","OK")</f>
        <v>OK</v>
      </c>
      <c r="M595" s="1" t="str">
        <f>IF(tblOrders[[#This Row],[Delivery_Date]]&lt;tblOrders[[#This Row],[Order_Date]],"Error","OK")</f>
        <v>OK</v>
      </c>
    </row>
    <row r="596" spans="1:13" x14ac:dyDescent="0.25">
      <c r="A596" s="1">
        <v>595</v>
      </c>
      <c r="B596" s="1" t="s">
        <v>349</v>
      </c>
      <c r="C596">
        <v>51</v>
      </c>
      <c r="D596">
        <v>4</v>
      </c>
      <c r="E596" s="2">
        <v>45238</v>
      </c>
      <c r="F596" s="3">
        <v>0.5759143518518518</v>
      </c>
      <c r="G596" s="2">
        <v>45245</v>
      </c>
      <c r="H596" s="3">
        <v>0.17119212962962962</v>
      </c>
      <c r="I596" s="1" t="s">
        <v>342</v>
      </c>
      <c r="J596" s="1" t="s">
        <v>8</v>
      </c>
      <c r="K596">
        <v>7</v>
      </c>
      <c r="L596" t="str">
        <f>IF(tblOrders[[#This Row],[Quantity]]&lt;=0,"Check","OK")</f>
        <v>OK</v>
      </c>
      <c r="M596" s="1" t="str">
        <f>IF(tblOrders[[#This Row],[Delivery_Date]]&lt;tblOrders[[#This Row],[Order_Date]],"Error","OK")</f>
        <v>OK</v>
      </c>
    </row>
    <row r="597" spans="1:13" x14ac:dyDescent="0.25">
      <c r="A597" s="1">
        <v>596</v>
      </c>
      <c r="B597" s="1" t="s">
        <v>237</v>
      </c>
      <c r="C597">
        <v>50</v>
      </c>
      <c r="D597">
        <v>1</v>
      </c>
      <c r="E597" s="2">
        <v>44990</v>
      </c>
      <c r="F597" s="3">
        <v>0.62339120370370371</v>
      </c>
      <c r="G597" s="2">
        <v>44999</v>
      </c>
      <c r="H597" s="3">
        <v>0.74912037037037038</v>
      </c>
      <c r="I597" s="1" t="s">
        <v>346</v>
      </c>
      <c r="J597" s="1" t="s">
        <v>25</v>
      </c>
      <c r="K597">
        <v>9</v>
      </c>
      <c r="L597" t="str">
        <f>IF(tblOrders[[#This Row],[Quantity]]&lt;=0,"Check","OK")</f>
        <v>OK</v>
      </c>
      <c r="M597" s="1" t="str">
        <f>IF(tblOrders[[#This Row],[Delivery_Date]]&lt;tblOrders[[#This Row],[Order_Date]],"Error","OK")</f>
        <v>OK</v>
      </c>
    </row>
    <row r="598" spans="1:13" x14ac:dyDescent="0.25">
      <c r="A598" s="1">
        <v>597</v>
      </c>
      <c r="B598" s="1" t="s">
        <v>267</v>
      </c>
      <c r="C598">
        <v>16</v>
      </c>
      <c r="D598">
        <v>1</v>
      </c>
      <c r="E598" s="2">
        <v>44986</v>
      </c>
      <c r="F598" s="3">
        <v>4.5752314814814815E-2</v>
      </c>
      <c r="G598" s="2">
        <v>44991</v>
      </c>
      <c r="H598" s="3">
        <v>0.11787037037037038</v>
      </c>
      <c r="I598" s="1" t="s">
        <v>516</v>
      </c>
      <c r="J598" s="1" t="s">
        <v>25</v>
      </c>
      <c r="K598">
        <v>5</v>
      </c>
      <c r="L598" t="str">
        <f>IF(tblOrders[[#This Row],[Quantity]]&lt;=0,"Check","OK")</f>
        <v>OK</v>
      </c>
      <c r="M598" s="1" t="str">
        <f>IF(tblOrders[[#This Row],[Delivery_Date]]&lt;tblOrders[[#This Row],[Order_Date]],"Error","OK")</f>
        <v>OK</v>
      </c>
    </row>
    <row r="599" spans="1:13" x14ac:dyDescent="0.25">
      <c r="A599" s="1">
        <v>598</v>
      </c>
      <c r="B599" s="1" t="s">
        <v>204</v>
      </c>
      <c r="C599">
        <v>37</v>
      </c>
      <c r="D599">
        <v>3</v>
      </c>
      <c r="E599" s="2">
        <v>45241</v>
      </c>
      <c r="F599" s="3">
        <v>0.11901620370370371</v>
      </c>
      <c r="G599" s="2">
        <v>45248</v>
      </c>
      <c r="H599" s="3">
        <v>0.91211805555555558</v>
      </c>
      <c r="I599" s="1" t="s">
        <v>256</v>
      </c>
      <c r="J599" s="1" t="s">
        <v>19</v>
      </c>
      <c r="K599">
        <v>7</v>
      </c>
      <c r="L599" t="str">
        <f>IF(tblOrders[[#This Row],[Quantity]]&lt;=0,"Check","OK")</f>
        <v>OK</v>
      </c>
      <c r="M599" s="1" t="str">
        <f>IF(tblOrders[[#This Row],[Delivery_Date]]&lt;tblOrders[[#This Row],[Order_Date]],"Error","OK")</f>
        <v>OK</v>
      </c>
    </row>
    <row r="600" spans="1:13" x14ac:dyDescent="0.25">
      <c r="A600" s="1">
        <v>599</v>
      </c>
      <c r="B600" s="1" t="s">
        <v>400</v>
      </c>
      <c r="C600">
        <v>34</v>
      </c>
      <c r="D600">
        <v>1</v>
      </c>
      <c r="E600" s="2">
        <v>45159</v>
      </c>
      <c r="F600" s="3">
        <v>0.81416666666666671</v>
      </c>
      <c r="G600" s="2">
        <v>45162</v>
      </c>
      <c r="H600" s="3">
        <v>0.50962962962962965</v>
      </c>
      <c r="I600" s="1" t="s">
        <v>418</v>
      </c>
      <c r="J600" s="1" t="s">
        <v>33</v>
      </c>
      <c r="K600">
        <v>3</v>
      </c>
      <c r="L600" t="str">
        <f>IF(tblOrders[[#This Row],[Quantity]]&lt;=0,"Check","OK")</f>
        <v>OK</v>
      </c>
      <c r="M600" s="1" t="str">
        <f>IF(tblOrders[[#This Row],[Delivery_Date]]&lt;tblOrders[[#This Row],[Order_Date]],"Error","OK")</f>
        <v>OK</v>
      </c>
    </row>
    <row r="601" spans="1:13" x14ac:dyDescent="0.25">
      <c r="A601" s="1">
        <v>600</v>
      </c>
      <c r="B601" s="1" t="s">
        <v>258</v>
      </c>
      <c r="C601">
        <v>47</v>
      </c>
      <c r="D601">
        <v>4</v>
      </c>
      <c r="E601" s="2">
        <v>44992</v>
      </c>
      <c r="F601" s="3">
        <v>0.89211805555555557</v>
      </c>
      <c r="G601" s="2">
        <v>44994</v>
      </c>
      <c r="H601" s="3">
        <v>0.63702546296296292</v>
      </c>
      <c r="I601" s="1" t="s">
        <v>534</v>
      </c>
      <c r="J601" s="1" t="s">
        <v>25</v>
      </c>
      <c r="K601">
        <v>2</v>
      </c>
      <c r="L601" t="str">
        <f>IF(tblOrders[[#This Row],[Quantity]]&lt;=0,"Check","OK")</f>
        <v>OK</v>
      </c>
      <c r="M601" s="1" t="str">
        <f>IF(tblOrders[[#This Row],[Delivery_Date]]&lt;tblOrders[[#This Row],[Order_Date]],"Error","OK")</f>
        <v>OK</v>
      </c>
    </row>
    <row r="602" spans="1:13" x14ac:dyDescent="0.25">
      <c r="A602" s="1">
        <v>601</v>
      </c>
      <c r="B602" s="1" t="s">
        <v>337</v>
      </c>
      <c r="C602">
        <v>1</v>
      </c>
      <c r="D602">
        <v>4</v>
      </c>
      <c r="E602" s="2">
        <v>44999</v>
      </c>
      <c r="F602" s="3">
        <v>0.10957175925925926</v>
      </c>
      <c r="G602" s="2">
        <v>45003</v>
      </c>
      <c r="H602" s="3">
        <v>0.15083333333333335</v>
      </c>
      <c r="I602" s="1" t="s">
        <v>389</v>
      </c>
      <c r="J602" s="1" t="s">
        <v>8</v>
      </c>
      <c r="K602">
        <v>4</v>
      </c>
      <c r="L602" t="str">
        <f>IF(tblOrders[[#This Row],[Quantity]]&lt;=0,"Check","OK")</f>
        <v>OK</v>
      </c>
      <c r="M602" s="1" t="str">
        <f>IF(tblOrders[[#This Row],[Delivery_Date]]&lt;tblOrders[[#This Row],[Order_Date]],"Error","OK")</f>
        <v>OK</v>
      </c>
    </row>
    <row r="603" spans="1:13" x14ac:dyDescent="0.25">
      <c r="A603" s="1">
        <v>602</v>
      </c>
      <c r="B603" s="1" t="s">
        <v>190</v>
      </c>
      <c r="C603">
        <v>43</v>
      </c>
      <c r="D603">
        <v>5</v>
      </c>
      <c r="E603" s="2">
        <v>45232</v>
      </c>
      <c r="F603" s="3">
        <v>0.42876157407407406</v>
      </c>
      <c r="G603" s="2">
        <v>45241</v>
      </c>
      <c r="H603" s="3">
        <v>0.25138888888888888</v>
      </c>
      <c r="I603" s="1" t="s">
        <v>507</v>
      </c>
      <c r="J603" s="1" t="s">
        <v>19</v>
      </c>
      <c r="K603">
        <v>9</v>
      </c>
      <c r="L603" t="str">
        <f>IF(tblOrders[[#This Row],[Quantity]]&lt;=0,"Check","OK")</f>
        <v>OK</v>
      </c>
      <c r="M603" s="1" t="str">
        <f>IF(tblOrders[[#This Row],[Delivery_Date]]&lt;tblOrders[[#This Row],[Order_Date]],"Error","OK")</f>
        <v>OK</v>
      </c>
    </row>
    <row r="604" spans="1:13" x14ac:dyDescent="0.25">
      <c r="A604" s="1">
        <v>603</v>
      </c>
      <c r="B604" s="1" t="s">
        <v>424</v>
      </c>
      <c r="C604">
        <v>8</v>
      </c>
      <c r="D604">
        <v>3</v>
      </c>
      <c r="E604" s="2">
        <v>45075</v>
      </c>
      <c r="F604" s="3">
        <v>0.22496527777777778</v>
      </c>
      <c r="G604" s="2">
        <v>45084</v>
      </c>
      <c r="H604" s="3">
        <v>0.6352430555555556</v>
      </c>
      <c r="I604" s="1" t="s">
        <v>378</v>
      </c>
      <c r="J604" s="1" t="s">
        <v>30</v>
      </c>
      <c r="K604">
        <v>9</v>
      </c>
      <c r="L604" t="str">
        <f>IF(tblOrders[[#This Row],[Quantity]]&lt;=0,"Check","OK")</f>
        <v>OK</v>
      </c>
      <c r="M604" s="1" t="str">
        <f>IF(tblOrders[[#This Row],[Delivery_Date]]&lt;tblOrders[[#This Row],[Order_Date]],"Error","OK")</f>
        <v>OK</v>
      </c>
    </row>
    <row r="605" spans="1:13" x14ac:dyDescent="0.25">
      <c r="A605" s="1">
        <v>604</v>
      </c>
      <c r="B605" s="1" t="s">
        <v>191</v>
      </c>
      <c r="C605">
        <v>39</v>
      </c>
      <c r="D605">
        <v>3</v>
      </c>
      <c r="E605" s="2">
        <v>44957</v>
      </c>
      <c r="F605" s="3">
        <v>0.82981481481481478</v>
      </c>
      <c r="G605" s="2">
        <v>44960</v>
      </c>
      <c r="H605" s="3">
        <v>0.89210648148148153</v>
      </c>
      <c r="I605" s="1" t="s">
        <v>535</v>
      </c>
      <c r="J605" s="1" t="s">
        <v>8</v>
      </c>
      <c r="K605">
        <v>3</v>
      </c>
      <c r="L605" t="str">
        <f>IF(tblOrders[[#This Row],[Quantity]]&lt;=0,"Check","OK")</f>
        <v>OK</v>
      </c>
      <c r="M605" s="1" t="str">
        <f>IF(tblOrders[[#This Row],[Delivery_Date]]&lt;tblOrders[[#This Row],[Order_Date]],"Error","OK")</f>
        <v>OK</v>
      </c>
    </row>
    <row r="606" spans="1:13" x14ac:dyDescent="0.25">
      <c r="A606" s="1">
        <v>605</v>
      </c>
      <c r="B606" s="1" t="s">
        <v>388</v>
      </c>
      <c r="C606">
        <v>45</v>
      </c>
      <c r="D606">
        <v>2</v>
      </c>
      <c r="E606" s="2">
        <v>45281</v>
      </c>
      <c r="F606" s="3">
        <v>0.93131944444444448</v>
      </c>
      <c r="G606" s="2">
        <v>45285</v>
      </c>
      <c r="H606" s="3">
        <v>0.86774305555555553</v>
      </c>
      <c r="I606" s="1" t="s">
        <v>536</v>
      </c>
      <c r="J606" s="1" t="s">
        <v>36</v>
      </c>
      <c r="K606">
        <v>4</v>
      </c>
      <c r="L606" t="str">
        <f>IF(tblOrders[[#This Row],[Quantity]]&lt;=0,"Check","OK")</f>
        <v>OK</v>
      </c>
      <c r="M606" s="1" t="str">
        <f>IF(tblOrders[[#This Row],[Delivery_Date]]&lt;tblOrders[[#This Row],[Order_Date]],"Error","OK")</f>
        <v>OK</v>
      </c>
    </row>
    <row r="607" spans="1:13" x14ac:dyDescent="0.25">
      <c r="A607" s="1">
        <v>606</v>
      </c>
      <c r="B607" s="1" t="s">
        <v>221</v>
      </c>
      <c r="C607">
        <v>3</v>
      </c>
      <c r="D607">
        <v>5</v>
      </c>
      <c r="E607" s="2">
        <v>44965</v>
      </c>
      <c r="F607" s="3">
        <v>9.2511574074074079E-2</v>
      </c>
      <c r="G607" s="2">
        <v>44974</v>
      </c>
      <c r="H607" s="3">
        <v>0.3135648148148148</v>
      </c>
      <c r="I607" s="1" t="s">
        <v>238</v>
      </c>
      <c r="J607" s="1" t="s">
        <v>12</v>
      </c>
      <c r="K607">
        <v>9</v>
      </c>
      <c r="L607" t="str">
        <f>IF(tblOrders[[#This Row],[Quantity]]&lt;=0,"Check","OK")</f>
        <v>OK</v>
      </c>
      <c r="M607" s="1" t="str">
        <f>IF(tblOrders[[#This Row],[Delivery_Date]]&lt;tblOrders[[#This Row],[Order_Date]],"Error","OK")</f>
        <v>OK</v>
      </c>
    </row>
    <row r="608" spans="1:13" x14ac:dyDescent="0.25">
      <c r="A608" s="1">
        <v>607</v>
      </c>
      <c r="B608" s="1" t="s">
        <v>283</v>
      </c>
      <c r="C608">
        <v>50</v>
      </c>
      <c r="D608">
        <v>3</v>
      </c>
      <c r="E608" s="2">
        <v>44988</v>
      </c>
      <c r="F608" s="3">
        <v>7.6678240740740741E-2</v>
      </c>
      <c r="G608" s="2">
        <v>44990</v>
      </c>
      <c r="H608" s="3">
        <v>0.41175925925925927</v>
      </c>
      <c r="I608" s="1" t="s">
        <v>487</v>
      </c>
      <c r="J608" s="1" t="s">
        <v>25</v>
      </c>
      <c r="K608">
        <v>2</v>
      </c>
      <c r="L608" t="str">
        <f>IF(tblOrders[[#This Row],[Quantity]]&lt;=0,"Check","OK")</f>
        <v>OK</v>
      </c>
      <c r="M608" s="1" t="str">
        <f>IF(tblOrders[[#This Row],[Delivery_Date]]&lt;tblOrders[[#This Row],[Order_Date]],"Error","OK")</f>
        <v>OK</v>
      </c>
    </row>
    <row r="609" spans="1:13" x14ac:dyDescent="0.25">
      <c r="A609" s="1">
        <v>608</v>
      </c>
      <c r="B609" s="1" t="s">
        <v>337</v>
      </c>
      <c r="C609">
        <v>55</v>
      </c>
      <c r="D609">
        <v>5</v>
      </c>
      <c r="E609" s="2">
        <v>45166</v>
      </c>
      <c r="F609" s="3">
        <v>0.85434027777777777</v>
      </c>
      <c r="G609" s="2">
        <v>45170</v>
      </c>
      <c r="H609" s="3">
        <v>0.30162037037037037</v>
      </c>
      <c r="I609" s="1" t="s">
        <v>394</v>
      </c>
      <c r="J609" s="1" t="s">
        <v>33</v>
      </c>
      <c r="K609">
        <v>4</v>
      </c>
      <c r="L609" t="str">
        <f>IF(tblOrders[[#This Row],[Quantity]]&lt;=0,"Check","OK")</f>
        <v>OK</v>
      </c>
      <c r="M609" s="1" t="str">
        <f>IF(tblOrders[[#This Row],[Delivery_Date]]&lt;tblOrders[[#This Row],[Order_Date]],"Error","OK")</f>
        <v>OK</v>
      </c>
    </row>
    <row r="610" spans="1:13" x14ac:dyDescent="0.25">
      <c r="A610" s="1">
        <v>609</v>
      </c>
      <c r="B610" s="1" t="s">
        <v>188</v>
      </c>
      <c r="C610">
        <v>25</v>
      </c>
      <c r="D610">
        <v>5</v>
      </c>
      <c r="E610" s="2">
        <v>45226</v>
      </c>
      <c r="F610" s="3">
        <v>0.46453703703703703</v>
      </c>
      <c r="G610" s="2">
        <v>45227</v>
      </c>
      <c r="H610" s="3">
        <v>0.99091435185185184</v>
      </c>
      <c r="I610" s="1" t="s">
        <v>506</v>
      </c>
      <c r="J610" s="1" t="s">
        <v>30</v>
      </c>
      <c r="K610">
        <v>1</v>
      </c>
      <c r="L610" t="str">
        <f>IF(tblOrders[[#This Row],[Quantity]]&lt;=0,"Check","OK")</f>
        <v>OK</v>
      </c>
      <c r="M610" s="1" t="str">
        <f>IF(tblOrders[[#This Row],[Delivery_Date]]&lt;tblOrders[[#This Row],[Order_Date]],"Error","OK")</f>
        <v>OK</v>
      </c>
    </row>
    <row r="611" spans="1:13" x14ac:dyDescent="0.25">
      <c r="A611" s="1">
        <v>610</v>
      </c>
      <c r="B611" s="1" t="s">
        <v>388</v>
      </c>
      <c r="C611">
        <v>5</v>
      </c>
      <c r="D611">
        <v>3</v>
      </c>
      <c r="E611" s="2">
        <v>44929</v>
      </c>
      <c r="F611" s="3">
        <v>0.72616898148148146</v>
      </c>
      <c r="G611" s="2">
        <v>44931</v>
      </c>
      <c r="H611" s="3">
        <v>8.0555555555555554E-3</v>
      </c>
      <c r="I611" s="1" t="s">
        <v>177</v>
      </c>
      <c r="J611" s="1" t="s">
        <v>8</v>
      </c>
      <c r="K611">
        <v>2</v>
      </c>
      <c r="L611" t="str">
        <f>IF(tblOrders[[#This Row],[Quantity]]&lt;=0,"Check","OK")</f>
        <v>OK</v>
      </c>
      <c r="M611" s="1" t="str">
        <f>IF(tblOrders[[#This Row],[Delivery_Date]]&lt;tblOrders[[#This Row],[Order_Date]],"Error","OK")</f>
        <v>OK</v>
      </c>
    </row>
    <row r="612" spans="1:13" x14ac:dyDescent="0.25">
      <c r="A612" s="1">
        <v>611</v>
      </c>
      <c r="B612" s="1" t="s">
        <v>195</v>
      </c>
      <c r="C612">
        <v>28</v>
      </c>
      <c r="D612">
        <v>2</v>
      </c>
      <c r="E612" s="2">
        <v>45160</v>
      </c>
      <c r="F612" s="3">
        <v>0.88738425925925923</v>
      </c>
      <c r="G612" s="2">
        <v>45166</v>
      </c>
      <c r="H612" s="3">
        <v>0.14409722222222221</v>
      </c>
      <c r="I612" s="1" t="s">
        <v>310</v>
      </c>
      <c r="J612" s="1" t="s">
        <v>33</v>
      </c>
      <c r="K612">
        <v>6</v>
      </c>
      <c r="L612" t="str">
        <f>IF(tblOrders[[#This Row],[Quantity]]&lt;=0,"Check","OK")</f>
        <v>OK</v>
      </c>
      <c r="M612" s="1" t="str">
        <f>IF(tblOrders[[#This Row],[Delivery_Date]]&lt;tblOrders[[#This Row],[Order_Date]],"Error","OK")</f>
        <v>OK</v>
      </c>
    </row>
    <row r="613" spans="1:13" x14ac:dyDescent="0.25">
      <c r="A613" s="1">
        <v>612</v>
      </c>
      <c r="B613" s="1" t="s">
        <v>321</v>
      </c>
      <c r="C613">
        <v>26</v>
      </c>
      <c r="D613">
        <v>1</v>
      </c>
      <c r="E613" s="2">
        <v>44987</v>
      </c>
      <c r="F613" s="3">
        <v>0.43223379629629627</v>
      </c>
      <c r="G613" s="2">
        <v>44993</v>
      </c>
      <c r="H613" s="3">
        <v>0.52766203703703707</v>
      </c>
      <c r="I613" s="1" t="s">
        <v>281</v>
      </c>
      <c r="J613" s="1" t="s">
        <v>25</v>
      </c>
      <c r="K613">
        <v>6</v>
      </c>
      <c r="L613" t="str">
        <f>IF(tblOrders[[#This Row],[Quantity]]&lt;=0,"Check","OK")</f>
        <v>OK</v>
      </c>
      <c r="M613" s="1" t="str">
        <f>IF(tblOrders[[#This Row],[Delivery_Date]]&lt;tblOrders[[#This Row],[Order_Date]],"Error","OK")</f>
        <v>OK</v>
      </c>
    </row>
    <row r="614" spans="1:13" x14ac:dyDescent="0.25">
      <c r="A614" s="1">
        <v>613</v>
      </c>
      <c r="B614" s="1" t="s">
        <v>213</v>
      </c>
      <c r="C614">
        <v>4</v>
      </c>
      <c r="D614">
        <v>5</v>
      </c>
      <c r="E614" s="2">
        <v>45240</v>
      </c>
      <c r="F614" s="3">
        <v>0.74622685185185189</v>
      </c>
      <c r="G614" s="2">
        <v>45244</v>
      </c>
      <c r="H614" s="3">
        <v>0.80447916666666663</v>
      </c>
      <c r="I614" s="1" t="s">
        <v>294</v>
      </c>
      <c r="J614" s="1" t="s">
        <v>19</v>
      </c>
      <c r="K614">
        <v>4</v>
      </c>
      <c r="L614" t="str">
        <f>IF(tblOrders[[#This Row],[Quantity]]&lt;=0,"Check","OK")</f>
        <v>OK</v>
      </c>
      <c r="M614" s="1" t="str">
        <f>IF(tblOrders[[#This Row],[Delivery_Date]]&lt;tblOrders[[#This Row],[Order_Date]],"Error","OK")</f>
        <v>OK</v>
      </c>
    </row>
    <row r="615" spans="1:13" x14ac:dyDescent="0.25">
      <c r="A615" s="1">
        <v>614</v>
      </c>
      <c r="B615" s="1" t="s">
        <v>402</v>
      </c>
      <c r="C615">
        <v>26</v>
      </c>
      <c r="D615">
        <v>1</v>
      </c>
      <c r="E615" s="2">
        <v>44988</v>
      </c>
      <c r="F615" s="3">
        <v>0.65015046296296297</v>
      </c>
      <c r="G615" s="2">
        <v>44992</v>
      </c>
      <c r="H615" s="3">
        <v>0.78589120370370369</v>
      </c>
      <c r="I615" s="1" t="s">
        <v>537</v>
      </c>
      <c r="J615" s="1" t="s">
        <v>25</v>
      </c>
      <c r="K615">
        <v>4</v>
      </c>
      <c r="L615" t="str">
        <f>IF(tblOrders[[#This Row],[Quantity]]&lt;=0,"Check","OK")</f>
        <v>OK</v>
      </c>
      <c r="M615" s="1" t="str">
        <f>IF(tblOrders[[#This Row],[Delivery_Date]]&lt;tblOrders[[#This Row],[Order_Date]],"Error","OK")</f>
        <v>OK</v>
      </c>
    </row>
    <row r="616" spans="1:13" x14ac:dyDescent="0.25">
      <c r="A616" s="1">
        <v>615</v>
      </c>
      <c r="B616" s="1" t="s">
        <v>246</v>
      </c>
      <c r="C616">
        <v>28</v>
      </c>
      <c r="D616">
        <v>3</v>
      </c>
      <c r="E616" s="2">
        <v>45163</v>
      </c>
      <c r="F616" s="3">
        <v>0.88274305555555554</v>
      </c>
      <c r="G616" s="2">
        <v>45170</v>
      </c>
      <c r="H616" s="3">
        <v>0.25712962962962965</v>
      </c>
      <c r="I616" s="1" t="s">
        <v>353</v>
      </c>
      <c r="J616" s="1" t="s">
        <v>33</v>
      </c>
      <c r="K616">
        <v>7</v>
      </c>
      <c r="L616" t="str">
        <f>IF(tblOrders[[#This Row],[Quantity]]&lt;=0,"Check","OK")</f>
        <v>OK</v>
      </c>
      <c r="M616" s="1" t="str">
        <f>IF(tblOrders[[#This Row],[Delivery_Date]]&lt;tblOrders[[#This Row],[Order_Date]],"Error","OK")</f>
        <v>OK</v>
      </c>
    </row>
    <row r="617" spans="1:13" x14ac:dyDescent="0.25">
      <c r="A617" s="1">
        <v>616</v>
      </c>
      <c r="B617" s="1" t="s">
        <v>239</v>
      </c>
      <c r="C617">
        <v>44</v>
      </c>
      <c r="D617">
        <v>5</v>
      </c>
      <c r="E617" s="2">
        <v>45238</v>
      </c>
      <c r="F617" s="3">
        <v>0.99857638888888889</v>
      </c>
      <c r="G617" s="2">
        <v>45242</v>
      </c>
      <c r="H617" s="3">
        <v>0.80623842592592587</v>
      </c>
      <c r="I617" s="1" t="s">
        <v>397</v>
      </c>
      <c r="J617" s="1" t="s">
        <v>19</v>
      </c>
      <c r="K617">
        <v>4</v>
      </c>
      <c r="L617" t="str">
        <f>IF(tblOrders[[#This Row],[Quantity]]&lt;=0,"Check","OK")</f>
        <v>OK</v>
      </c>
      <c r="M617" s="1" t="str">
        <f>IF(tblOrders[[#This Row],[Delivery_Date]]&lt;tblOrders[[#This Row],[Order_Date]],"Error","OK")</f>
        <v>OK</v>
      </c>
    </row>
    <row r="618" spans="1:13" x14ac:dyDescent="0.25">
      <c r="A618" s="1">
        <v>617</v>
      </c>
      <c r="B618" s="1" t="s">
        <v>333</v>
      </c>
      <c r="C618">
        <v>22</v>
      </c>
      <c r="D618">
        <v>1</v>
      </c>
      <c r="E618" s="2">
        <v>44976</v>
      </c>
      <c r="F618" s="3">
        <v>0.120625</v>
      </c>
      <c r="G618" s="2">
        <v>44985</v>
      </c>
      <c r="H618" s="3">
        <v>0.70942129629629624</v>
      </c>
      <c r="I618" s="1" t="s">
        <v>501</v>
      </c>
      <c r="J618" s="1" t="s">
        <v>8</v>
      </c>
      <c r="K618">
        <v>9</v>
      </c>
      <c r="L618" t="str">
        <f>IF(tblOrders[[#This Row],[Quantity]]&lt;=0,"Check","OK")</f>
        <v>OK</v>
      </c>
      <c r="M618" s="1" t="str">
        <f>IF(tblOrders[[#This Row],[Delivery_Date]]&lt;tblOrders[[#This Row],[Order_Date]],"Error","OK")</f>
        <v>OK</v>
      </c>
    </row>
    <row r="619" spans="1:13" x14ac:dyDescent="0.25">
      <c r="A619" s="1">
        <v>618</v>
      </c>
      <c r="B619" s="1" t="s">
        <v>471</v>
      </c>
      <c r="C619">
        <v>60</v>
      </c>
      <c r="D619">
        <v>4</v>
      </c>
      <c r="E619" s="2">
        <v>45235</v>
      </c>
      <c r="F619" s="3">
        <v>0.67306712962962967</v>
      </c>
      <c r="G619" s="2">
        <v>45245</v>
      </c>
      <c r="H619" s="3">
        <v>0.72333333333333338</v>
      </c>
      <c r="I619" s="1" t="s">
        <v>375</v>
      </c>
      <c r="J619" s="1" t="s">
        <v>19</v>
      </c>
      <c r="K619">
        <v>10</v>
      </c>
      <c r="L619" t="str">
        <f>IF(tblOrders[[#This Row],[Quantity]]&lt;=0,"Check","OK")</f>
        <v>OK</v>
      </c>
      <c r="M619" s="1" t="str">
        <f>IF(tblOrders[[#This Row],[Delivery_Date]]&lt;tblOrders[[#This Row],[Order_Date]],"Error","OK")</f>
        <v>OK</v>
      </c>
    </row>
    <row r="620" spans="1:13" x14ac:dyDescent="0.25">
      <c r="A620" s="1">
        <v>619</v>
      </c>
      <c r="B620" s="1" t="s">
        <v>210</v>
      </c>
      <c r="C620">
        <v>35</v>
      </c>
      <c r="D620">
        <v>1</v>
      </c>
      <c r="E620" s="2">
        <v>44991</v>
      </c>
      <c r="F620" s="3">
        <v>0.30469907407407409</v>
      </c>
      <c r="G620" s="2">
        <v>45001</v>
      </c>
      <c r="H620" s="3">
        <v>0.13718749999999999</v>
      </c>
      <c r="I620" s="1" t="s">
        <v>379</v>
      </c>
      <c r="J620" s="1" t="s">
        <v>25</v>
      </c>
      <c r="K620">
        <v>10</v>
      </c>
      <c r="L620" t="str">
        <f>IF(tblOrders[[#This Row],[Quantity]]&lt;=0,"Check","OK")</f>
        <v>OK</v>
      </c>
      <c r="M620" s="1" t="str">
        <f>IF(tblOrders[[#This Row],[Delivery_Date]]&lt;tblOrders[[#This Row],[Order_Date]],"Error","OK")</f>
        <v>OK</v>
      </c>
    </row>
    <row r="621" spans="1:13" x14ac:dyDescent="0.25">
      <c r="A621" s="1">
        <v>620</v>
      </c>
      <c r="B621" s="1" t="s">
        <v>267</v>
      </c>
      <c r="C621">
        <v>67</v>
      </c>
      <c r="D621">
        <v>3</v>
      </c>
      <c r="E621" s="2">
        <v>45118</v>
      </c>
      <c r="F621" s="3">
        <v>0.93265046296296295</v>
      </c>
      <c r="G621" s="2">
        <v>45125</v>
      </c>
      <c r="H621" s="3">
        <v>5.8912037037037034E-2</v>
      </c>
      <c r="I621" s="1" t="s">
        <v>491</v>
      </c>
      <c r="J621" s="1" t="s">
        <v>30</v>
      </c>
      <c r="K621">
        <v>7</v>
      </c>
      <c r="L621" t="str">
        <f>IF(tblOrders[[#This Row],[Quantity]]&lt;=0,"Check","OK")</f>
        <v>OK</v>
      </c>
      <c r="M621" s="1" t="str">
        <f>IF(tblOrders[[#This Row],[Delivery_Date]]&lt;tblOrders[[#This Row],[Order_Date]],"Error","OK")</f>
        <v>OK</v>
      </c>
    </row>
    <row r="622" spans="1:13" x14ac:dyDescent="0.25">
      <c r="A622" s="1">
        <v>621</v>
      </c>
      <c r="B622" s="1" t="s">
        <v>343</v>
      </c>
      <c r="C622">
        <v>64</v>
      </c>
      <c r="D622">
        <v>3</v>
      </c>
      <c r="E622" s="2">
        <v>45158</v>
      </c>
      <c r="F622" s="3">
        <v>0.30350694444444443</v>
      </c>
      <c r="G622" s="2">
        <v>45166</v>
      </c>
      <c r="H622" s="3">
        <v>6.4456018518518524E-2</v>
      </c>
      <c r="I622" s="1" t="s">
        <v>260</v>
      </c>
      <c r="J622" s="1" t="s">
        <v>33</v>
      </c>
      <c r="K622">
        <v>8</v>
      </c>
      <c r="L622" t="str">
        <f>IF(tblOrders[[#This Row],[Quantity]]&lt;=0,"Check","OK")</f>
        <v>OK</v>
      </c>
      <c r="M622" s="1" t="str">
        <f>IF(tblOrders[[#This Row],[Delivery_Date]]&lt;tblOrders[[#This Row],[Order_Date]],"Error","OK")</f>
        <v>OK</v>
      </c>
    </row>
    <row r="623" spans="1:13" x14ac:dyDescent="0.25">
      <c r="A623" s="1">
        <v>622</v>
      </c>
      <c r="B623" s="1" t="s">
        <v>364</v>
      </c>
      <c r="C623">
        <v>4</v>
      </c>
      <c r="D623">
        <v>4</v>
      </c>
      <c r="E623" s="2">
        <v>45238</v>
      </c>
      <c r="F623" s="3">
        <v>0.59273148148148147</v>
      </c>
      <c r="G623" s="2">
        <v>45239</v>
      </c>
      <c r="H623" s="3">
        <v>0.66599537037037038</v>
      </c>
      <c r="I623" s="1" t="s">
        <v>514</v>
      </c>
      <c r="J623" s="1" t="s">
        <v>19</v>
      </c>
      <c r="K623">
        <v>1</v>
      </c>
      <c r="L623" t="str">
        <f>IF(tblOrders[[#This Row],[Quantity]]&lt;=0,"Check","OK")</f>
        <v>OK</v>
      </c>
      <c r="M623" s="1" t="str">
        <f>IF(tblOrders[[#This Row],[Delivery_Date]]&lt;tblOrders[[#This Row],[Order_Date]],"Error","OK")</f>
        <v>OK</v>
      </c>
    </row>
    <row r="624" spans="1:13" x14ac:dyDescent="0.25">
      <c r="A624" s="1">
        <v>623</v>
      </c>
      <c r="B624" s="1" t="s">
        <v>254</v>
      </c>
      <c r="C624">
        <v>37</v>
      </c>
      <c r="D624">
        <v>2</v>
      </c>
      <c r="E624" s="2">
        <v>45238</v>
      </c>
      <c r="F624" s="3">
        <v>0.56793981481481481</v>
      </c>
      <c r="G624" s="2">
        <v>45248</v>
      </c>
      <c r="H624" s="3">
        <v>0.60114583333333338</v>
      </c>
      <c r="I624" s="1" t="s">
        <v>375</v>
      </c>
      <c r="J624" s="1" t="s">
        <v>19</v>
      </c>
      <c r="K624">
        <v>10</v>
      </c>
      <c r="L624" t="str">
        <f>IF(tblOrders[[#This Row],[Quantity]]&lt;=0,"Check","OK")</f>
        <v>OK</v>
      </c>
      <c r="M624" s="1" t="str">
        <f>IF(tblOrders[[#This Row],[Delivery_Date]]&lt;tblOrders[[#This Row],[Order_Date]],"Error","OK")</f>
        <v>OK</v>
      </c>
    </row>
    <row r="625" spans="1:13" x14ac:dyDescent="0.25">
      <c r="A625" s="1">
        <v>624</v>
      </c>
      <c r="B625" s="1" t="s">
        <v>188</v>
      </c>
      <c r="C625">
        <v>53</v>
      </c>
      <c r="D625">
        <v>5</v>
      </c>
      <c r="E625" s="2">
        <v>45167</v>
      </c>
      <c r="F625" s="3">
        <v>0.3888773148148148</v>
      </c>
      <c r="G625" s="2">
        <v>45170</v>
      </c>
      <c r="H625" s="3">
        <v>0.35409722222222223</v>
      </c>
      <c r="I625" s="1" t="s">
        <v>184</v>
      </c>
      <c r="J625" s="1" t="s">
        <v>33</v>
      </c>
      <c r="K625">
        <v>3</v>
      </c>
      <c r="L625" t="str">
        <f>IF(tblOrders[[#This Row],[Quantity]]&lt;=0,"Check","OK")</f>
        <v>OK</v>
      </c>
      <c r="M625" s="1" t="str">
        <f>IF(tblOrders[[#This Row],[Delivery_Date]]&lt;tblOrders[[#This Row],[Order_Date]],"Error","OK")</f>
        <v>OK</v>
      </c>
    </row>
    <row r="626" spans="1:13" x14ac:dyDescent="0.25">
      <c r="A626" s="1">
        <v>625</v>
      </c>
      <c r="B626" s="1" t="s">
        <v>402</v>
      </c>
      <c r="C626">
        <v>63</v>
      </c>
      <c r="D626">
        <v>5</v>
      </c>
      <c r="E626" s="2">
        <v>44980</v>
      </c>
      <c r="F626" s="3">
        <v>0.88590277777777782</v>
      </c>
      <c r="G626" s="2">
        <v>44989</v>
      </c>
      <c r="H626" s="3">
        <v>0.11534722222222223</v>
      </c>
      <c r="I626" s="1" t="s">
        <v>186</v>
      </c>
      <c r="J626" s="1" t="s">
        <v>8</v>
      </c>
      <c r="K626">
        <v>9</v>
      </c>
      <c r="L626" t="str">
        <f>IF(tblOrders[[#This Row],[Quantity]]&lt;=0,"Check","OK")</f>
        <v>OK</v>
      </c>
      <c r="M626" s="1" t="str">
        <f>IF(tblOrders[[#This Row],[Delivery_Date]]&lt;tblOrders[[#This Row],[Order_Date]],"Error","OK")</f>
        <v>OK</v>
      </c>
    </row>
    <row r="627" spans="1:13" x14ac:dyDescent="0.25">
      <c r="A627" s="1">
        <v>626</v>
      </c>
      <c r="B627" s="1" t="s">
        <v>188</v>
      </c>
      <c r="C627">
        <v>40</v>
      </c>
      <c r="D627">
        <v>5</v>
      </c>
      <c r="E627" s="2">
        <v>45192</v>
      </c>
      <c r="F627" s="3">
        <v>0.63400462962962967</v>
      </c>
      <c r="G627" s="2">
        <v>45196</v>
      </c>
      <c r="H627" s="3">
        <v>0.34331018518518519</v>
      </c>
      <c r="I627" s="1" t="s">
        <v>462</v>
      </c>
      <c r="J627" s="1" t="s">
        <v>30</v>
      </c>
      <c r="K627">
        <v>4</v>
      </c>
      <c r="L627" t="str">
        <f>IF(tblOrders[[#This Row],[Quantity]]&lt;=0,"Check","OK")</f>
        <v>OK</v>
      </c>
      <c r="M627" s="1" t="str">
        <f>IF(tblOrders[[#This Row],[Delivery_Date]]&lt;tblOrders[[#This Row],[Order_Date]],"Error","OK")</f>
        <v>OK</v>
      </c>
    </row>
    <row r="628" spans="1:13" x14ac:dyDescent="0.25">
      <c r="A628" s="1">
        <v>627</v>
      </c>
      <c r="B628" s="1" t="s">
        <v>188</v>
      </c>
      <c r="C628">
        <v>51</v>
      </c>
      <c r="D628">
        <v>4</v>
      </c>
      <c r="E628" s="2">
        <v>44962</v>
      </c>
      <c r="F628" s="3">
        <v>0.18778935185185186</v>
      </c>
      <c r="G628" s="2">
        <v>44965</v>
      </c>
      <c r="H628" s="3">
        <v>0.98486111111111108</v>
      </c>
      <c r="I628" s="1" t="s">
        <v>177</v>
      </c>
      <c r="J628" s="1" t="s">
        <v>8</v>
      </c>
      <c r="K628">
        <v>3</v>
      </c>
      <c r="L628" t="str">
        <f>IF(tblOrders[[#This Row],[Quantity]]&lt;=0,"Check","OK")</f>
        <v>OK</v>
      </c>
      <c r="M628" s="1" t="str">
        <f>IF(tblOrders[[#This Row],[Delivery_Date]]&lt;tblOrders[[#This Row],[Order_Date]],"Error","OK")</f>
        <v>OK</v>
      </c>
    </row>
    <row r="629" spans="1:13" x14ac:dyDescent="0.25">
      <c r="A629" s="1">
        <v>628</v>
      </c>
      <c r="B629" s="1" t="s">
        <v>302</v>
      </c>
      <c r="C629">
        <v>11</v>
      </c>
      <c r="D629">
        <v>5</v>
      </c>
      <c r="E629" s="2">
        <v>44967</v>
      </c>
      <c r="F629" s="3">
        <v>0.91003472222222226</v>
      </c>
      <c r="G629" s="2">
        <v>44970</v>
      </c>
      <c r="H629" s="3">
        <v>0.88039351851851855</v>
      </c>
      <c r="I629" s="1" t="s">
        <v>478</v>
      </c>
      <c r="J629" s="1" t="s">
        <v>12</v>
      </c>
      <c r="K629">
        <v>3</v>
      </c>
      <c r="L629" t="str">
        <f>IF(tblOrders[[#This Row],[Quantity]]&lt;=0,"Check","OK")</f>
        <v>OK</v>
      </c>
      <c r="M629" s="1" t="str">
        <f>IF(tblOrders[[#This Row],[Delivery_Date]]&lt;tblOrders[[#This Row],[Order_Date]],"Error","OK")</f>
        <v>OK</v>
      </c>
    </row>
    <row r="630" spans="1:13" x14ac:dyDescent="0.25">
      <c r="A630" s="1">
        <v>629</v>
      </c>
      <c r="B630" s="1" t="s">
        <v>295</v>
      </c>
      <c r="C630">
        <v>28</v>
      </c>
      <c r="D630">
        <v>5</v>
      </c>
      <c r="E630" s="2">
        <v>45165</v>
      </c>
      <c r="F630" s="3">
        <v>0.38126157407407407</v>
      </c>
      <c r="G630" s="2">
        <v>45173</v>
      </c>
      <c r="H630" s="3">
        <v>0.64679398148148148</v>
      </c>
      <c r="I630" s="1" t="s">
        <v>528</v>
      </c>
      <c r="J630" s="1" t="s">
        <v>33</v>
      </c>
      <c r="K630">
        <v>8</v>
      </c>
      <c r="L630" t="str">
        <f>IF(tblOrders[[#This Row],[Quantity]]&lt;=0,"Check","OK")</f>
        <v>OK</v>
      </c>
      <c r="M630" s="1" t="str">
        <f>IF(tblOrders[[#This Row],[Delivery_Date]]&lt;tblOrders[[#This Row],[Order_Date]],"Error","OK")</f>
        <v>OK</v>
      </c>
    </row>
    <row r="631" spans="1:13" x14ac:dyDescent="0.25">
      <c r="A631" s="1">
        <v>630</v>
      </c>
      <c r="B631" s="1" t="s">
        <v>222</v>
      </c>
      <c r="C631">
        <v>67</v>
      </c>
      <c r="D631">
        <v>3</v>
      </c>
      <c r="E631" s="2">
        <v>44978</v>
      </c>
      <c r="F631" s="3">
        <v>0.90123842592592596</v>
      </c>
      <c r="G631" s="2">
        <v>44986</v>
      </c>
      <c r="H631" s="3">
        <v>0.78689814814814818</v>
      </c>
      <c r="I631" s="1" t="s">
        <v>495</v>
      </c>
      <c r="J631" s="1" t="s">
        <v>30</v>
      </c>
      <c r="K631">
        <v>8</v>
      </c>
      <c r="L631" t="str">
        <f>IF(tblOrders[[#This Row],[Quantity]]&lt;=0,"Check","OK")</f>
        <v>OK</v>
      </c>
      <c r="M631" s="1" t="str">
        <f>IF(tblOrders[[#This Row],[Delivery_Date]]&lt;tblOrders[[#This Row],[Order_Date]],"Error","OK")</f>
        <v>OK</v>
      </c>
    </row>
    <row r="632" spans="1:13" x14ac:dyDescent="0.25">
      <c r="A632" s="1">
        <v>631</v>
      </c>
      <c r="B632" s="1" t="s">
        <v>182</v>
      </c>
      <c r="C632">
        <v>32</v>
      </c>
      <c r="D632">
        <v>4</v>
      </c>
      <c r="E632" s="2">
        <v>45029</v>
      </c>
      <c r="F632" s="3">
        <v>0.90405092592592595</v>
      </c>
      <c r="G632" s="2">
        <v>45033</v>
      </c>
      <c r="H632" s="3">
        <v>0.15628472222222223</v>
      </c>
      <c r="I632" s="1" t="s">
        <v>359</v>
      </c>
      <c r="J632" s="1" t="s">
        <v>36</v>
      </c>
      <c r="K632">
        <v>4</v>
      </c>
      <c r="L632" t="str">
        <f>IF(tblOrders[[#This Row],[Quantity]]&lt;=0,"Check","OK")</f>
        <v>OK</v>
      </c>
      <c r="M632" s="1" t="str">
        <f>IF(tblOrders[[#This Row],[Delivery_Date]]&lt;tblOrders[[#This Row],[Order_Date]],"Error","OK")</f>
        <v>OK</v>
      </c>
    </row>
    <row r="633" spans="1:13" x14ac:dyDescent="0.25">
      <c r="A633" s="1">
        <v>632</v>
      </c>
      <c r="B633" s="1" t="s">
        <v>321</v>
      </c>
      <c r="C633">
        <v>51</v>
      </c>
      <c r="D633">
        <v>1</v>
      </c>
      <c r="E633" s="2">
        <v>45118</v>
      </c>
      <c r="F633" s="3">
        <v>0.94098379629629625</v>
      </c>
      <c r="G633" s="2">
        <v>45119</v>
      </c>
      <c r="H633" s="3">
        <v>0.48113425925925923</v>
      </c>
      <c r="I633" s="1" t="s">
        <v>538</v>
      </c>
      <c r="J633" s="1" t="s">
        <v>8</v>
      </c>
      <c r="K633">
        <v>1</v>
      </c>
      <c r="L633" t="str">
        <f>IF(tblOrders[[#This Row],[Quantity]]&lt;=0,"Check","OK")</f>
        <v>OK</v>
      </c>
      <c r="M633" s="1" t="str">
        <f>IF(tblOrders[[#This Row],[Delivery_Date]]&lt;tblOrders[[#This Row],[Order_Date]],"Error","OK")</f>
        <v>OK</v>
      </c>
    </row>
    <row r="634" spans="1:13" x14ac:dyDescent="0.25">
      <c r="A634" s="1">
        <v>633</v>
      </c>
      <c r="B634" s="1" t="s">
        <v>244</v>
      </c>
      <c r="C634">
        <v>52</v>
      </c>
      <c r="D634">
        <v>5</v>
      </c>
      <c r="E634" s="2">
        <v>44967</v>
      </c>
      <c r="F634" s="3">
        <v>0.614375</v>
      </c>
      <c r="G634" s="2">
        <v>44972</v>
      </c>
      <c r="H634" s="3">
        <v>0.21719907407407407</v>
      </c>
      <c r="I634" s="1" t="s">
        <v>422</v>
      </c>
      <c r="J634" s="1" t="s">
        <v>12</v>
      </c>
      <c r="K634">
        <v>5</v>
      </c>
      <c r="L634" t="str">
        <f>IF(tblOrders[[#This Row],[Quantity]]&lt;=0,"Check","OK")</f>
        <v>OK</v>
      </c>
      <c r="M634" s="1" t="str">
        <f>IF(tblOrders[[#This Row],[Delivery_Date]]&lt;tblOrders[[#This Row],[Order_Date]],"Error","OK")</f>
        <v>OK</v>
      </c>
    </row>
    <row r="635" spans="1:13" x14ac:dyDescent="0.25">
      <c r="A635" s="1">
        <v>634</v>
      </c>
      <c r="B635" s="1" t="s">
        <v>293</v>
      </c>
      <c r="C635">
        <v>57</v>
      </c>
      <c r="D635">
        <v>3</v>
      </c>
      <c r="E635" s="2">
        <v>45053</v>
      </c>
      <c r="F635" s="3">
        <v>0.2751851851851852</v>
      </c>
      <c r="G635" s="2">
        <v>45057</v>
      </c>
      <c r="H635" s="3">
        <v>0.57209490740740743</v>
      </c>
      <c r="I635" s="1" t="s">
        <v>330</v>
      </c>
      <c r="J635" s="1" t="s">
        <v>36</v>
      </c>
      <c r="K635">
        <v>4</v>
      </c>
      <c r="L635" t="str">
        <f>IF(tblOrders[[#This Row],[Quantity]]&lt;=0,"Check","OK")</f>
        <v>OK</v>
      </c>
      <c r="M635" s="1" t="str">
        <f>IF(tblOrders[[#This Row],[Delivery_Date]]&lt;tblOrders[[#This Row],[Order_Date]],"Error","OK")</f>
        <v>OK</v>
      </c>
    </row>
    <row r="636" spans="1:13" x14ac:dyDescent="0.25">
      <c r="A636" s="1">
        <v>635</v>
      </c>
      <c r="B636" s="1" t="s">
        <v>258</v>
      </c>
      <c r="C636">
        <v>67</v>
      </c>
      <c r="D636">
        <v>1</v>
      </c>
      <c r="E636" s="2">
        <v>45242</v>
      </c>
      <c r="F636" s="3">
        <v>0.77582175925925922</v>
      </c>
      <c r="G636" s="2">
        <v>45252</v>
      </c>
      <c r="H636" s="3">
        <v>0.30800925925925926</v>
      </c>
      <c r="I636" s="1" t="s">
        <v>381</v>
      </c>
      <c r="J636" s="1" t="s">
        <v>30</v>
      </c>
      <c r="K636">
        <v>10</v>
      </c>
      <c r="L636" t="str">
        <f>IF(tblOrders[[#This Row],[Quantity]]&lt;=0,"Check","OK")</f>
        <v>OK</v>
      </c>
      <c r="M636" s="1" t="str">
        <f>IF(tblOrders[[#This Row],[Delivery_Date]]&lt;tblOrders[[#This Row],[Order_Date]],"Error","OK")</f>
        <v>OK</v>
      </c>
    </row>
    <row r="637" spans="1:13" x14ac:dyDescent="0.25">
      <c r="A637" s="1">
        <v>636</v>
      </c>
      <c r="B637" s="1" t="s">
        <v>229</v>
      </c>
      <c r="C637">
        <v>53</v>
      </c>
      <c r="D637">
        <v>2</v>
      </c>
      <c r="E637" s="2">
        <v>45163</v>
      </c>
      <c r="F637" s="3">
        <v>0.3044675925925926</v>
      </c>
      <c r="G637" s="2">
        <v>45171</v>
      </c>
      <c r="H637" s="3">
        <v>0.1484375</v>
      </c>
      <c r="I637" s="1" t="s">
        <v>211</v>
      </c>
      <c r="J637" s="1" t="s">
        <v>33</v>
      </c>
      <c r="K637">
        <v>8</v>
      </c>
      <c r="L637" t="str">
        <f>IF(tblOrders[[#This Row],[Quantity]]&lt;=0,"Check","OK")</f>
        <v>OK</v>
      </c>
      <c r="M637" s="1" t="str">
        <f>IF(tblOrders[[#This Row],[Delivery_Date]]&lt;tblOrders[[#This Row],[Order_Date]],"Error","OK")</f>
        <v>OK</v>
      </c>
    </row>
    <row r="638" spans="1:13" x14ac:dyDescent="0.25">
      <c r="A638" s="1">
        <v>637</v>
      </c>
      <c r="B638" s="1" t="s">
        <v>195</v>
      </c>
      <c r="C638">
        <v>51</v>
      </c>
      <c r="D638">
        <v>3</v>
      </c>
      <c r="E638" s="2">
        <v>44997</v>
      </c>
      <c r="F638" s="3">
        <v>0.81210648148148146</v>
      </c>
      <c r="G638" s="2">
        <v>45005</v>
      </c>
      <c r="H638" s="3">
        <v>0.94043981481481487</v>
      </c>
      <c r="I638" s="1" t="s">
        <v>264</v>
      </c>
      <c r="J638" s="1" t="s">
        <v>8</v>
      </c>
      <c r="K638">
        <v>8</v>
      </c>
      <c r="L638" t="str">
        <f>IF(tblOrders[[#This Row],[Quantity]]&lt;=0,"Check","OK")</f>
        <v>OK</v>
      </c>
      <c r="M638" s="1" t="str">
        <f>IF(tblOrders[[#This Row],[Delivery_Date]]&lt;tblOrders[[#This Row],[Order_Date]],"Error","OK")</f>
        <v>OK</v>
      </c>
    </row>
    <row r="639" spans="1:13" x14ac:dyDescent="0.25">
      <c r="A639" s="1">
        <v>638</v>
      </c>
      <c r="B639" s="1" t="s">
        <v>299</v>
      </c>
      <c r="C639">
        <v>39</v>
      </c>
      <c r="D639">
        <v>1</v>
      </c>
      <c r="E639" s="2">
        <v>45039</v>
      </c>
      <c r="F639" s="3">
        <v>9.2743055555555551E-2</v>
      </c>
      <c r="G639" s="2">
        <v>45043</v>
      </c>
      <c r="H639" s="3">
        <v>0.11898148148148148</v>
      </c>
      <c r="I639" s="1" t="s">
        <v>500</v>
      </c>
      <c r="J639" s="1" t="s">
        <v>8</v>
      </c>
      <c r="K639">
        <v>4</v>
      </c>
      <c r="L639" t="str">
        <f>IF(tblOrders[[#This Row],[Quantity]]&lt;=0,"Check","OK")</f>
        <v>OK</v>
      </c>
      <c r="M639" s="1" t="str">
        <f>IF(tblOrders[[#This Row],[Delivery_Date]]&lt;tblOrders[[#This Row],[Order_Date]],"Error","OK")</f>
        <v>OK</v>
      </c>
    </row>
    <row r="640" spans="1:13" x14ac:dyDescent="0.25">
      <c r="A640" s="1">
        <v>639</v>
      </c>
      <c r="B640" s="1" t="s">
        <v>413</v>
      </c>
      <c r="C640">
        <v>24</v>
      </c>
      <c r="D640">
        <v>1</v>
      </c>
      <c r="E640" s="2">
        <v>45072</v>
      </c>
      <c r="F640" s="3">
        <v>0.10869212962962962</v>
      </c>
      <c r="G640" s="2">
        <v>45077</v>
      </c>
      <c r="H640" s="3">
        <v>0.13778935185185184</v>
      </c>
      <c r="I640" s="1" t="s">
        <v>539</v>
      </c>
      <c r="J640" s="1" t="s">
        <v>36</v>
      </c>
      <c r="K640">
        <v>5</v>
      </c>
      <c r="L640" t="str">
        <f>IF(tblOrders[[#This Row],[Quantity]]&lt;=0,"Check","OK")</f>
        <v>OK</v>
      </c>
      <c r="M640" s="1" t="str">
        <f>IF(tblOrders[[#This Row],[Delivery_Date]]&lt;tblOrders[[#This Row],[Order_Date]],"Error","OK")</f>
        <v>OK</v>
      </c>
    </row>
    <row r="641" spans="1:13" x14ac:dyDescent="0.25">
      <c r="A641" s="1">
        <v>640</v>
      </c>
      <c r="B641" s="1" t="s">
        <v>402</v>
      </c>
      <c r="C641">
        <v>59</v>
      </c>
      <c r="D641">
        <v>3</v>
      </c>
      <c r="E641" s="2">
        <v>45161</v>
      </c>
      <c r="F641" s="3">
        <v>0.26170138888888889</v>
      </c>
      <c r="G641" s="2">
        <v>45169</v>
      </c>
      <c r="H641" s="3">
        <v>0.79677083333333332</v>
      </c>
      <c r="I641" s="1" t="s">
        <v>203</v>
      </c>
      <c r="J641" s="1" t="s">
        <v>33</v>
      </c>
      <c r="K641">
        <v>8</v>
      </c>
      <c r="L641" t="str">
        <f>IF(tblOrders[[#This Row],[Quantity]]&lt;=0,"Check","OK")</f>
        <v>OK</v>
      </c>
      <c r="M641" s="1" t="str">
        <f>IF(tblOrders[[#This Row],[Delivery_Date]]&lt;tblOrders[[#This Row],[Order_Date]],"Error","OK")</f>
        <v>OK</v>
      </c>
    </row>
    <row r="642" spans="1:13" x14ac:dyDescent="0.25">
      <c r="A642" s="1">
        <v>641</v>
      </c>
      <c r="B642" s="1" t="s">
        <v>213</v>
      </c>
      <c r="C642">
        <v>15</v>
      </c>
      <c r="D642">
        <v>4</v>
      </c>
      <c r="E642" s="2">
        <v>45064</v>
      </c>
      <c r="F642" s="3">
        <v>0.99995370370370373</v>
      </c>
      <c r="G642" s="2">
        <v>45072</v>
      </c>
      <c r="H642" s="3">
        <v>0.80202546296296295</v>
      </c>
      <c r="I642" s="1" t="s">
        <v>476</v>
      </c>
      <c r="J642" s="1" t="s">
        <v>30</v>
      </c>
      <c r="K642">
        <v>8</v>
      </c>
      <c r="L642" t="str">
        <f>IF(tblOrders[[#This Row],[Quantity]]&lt;=0,"Check","OK")</f>
        <v>OK</v>
      </c>
      <c r="M642" s="1" t="str">
        <f>IF(tblOrders[[#This Row],[Delivery_Date]]&lt;tblOrders[[#This Row],[Order_Date]],"Error","OK")</f>
        <v>OK</v>
      </c>
    </row>
    <row r="643" spans="1:13" x14ac:dyDescent="0.25">
      <c r="A643" s="1">
        <v>642</v>
      </c>
      <c r="B643" s="1" t="s">
        <v>503</v>
      </c>
      <c r="C643">
        <v>44</v>
      </c>
      <c r="D643">
        <v>5</v>
      </c>
      <c r="E643" s="2">
        <v>45232</v>
      </c>
      <c r="F643" s="3">
        <v>0.22643518518518518</v>
      </c>
      <c r="G643" s="2">
        <v>45237</v>
      </c>
      <c r="H643" s="3">
        <v>2.0729166666666667E-2</v>
      </c>
      <c r="I643" s="1" t="s">
        <v>255</v>
      </c>
      <c r="J643" s="1" t="s">
        <v>19</v>
      </c>
      <c r="K643">
        <v>5</v>
      </c>
      <c r="L643" t="str">
        <f>IF(tblOrders[[#This Row],[Quantity]]&lt;=0,"Check","OK")</f>
        <v>OK</v>
      </c>
      <c r="M643" s="1" t="str">
        <f>IF(tblOrders[[#This Row],[Delivery_Date]]&lt;tblOrders[[#This Row],[Order_Date]],"Error","OK")</f>
        <v>OK</v>
      </c>
    </row>
    <row r="644" spans="1:13" x14ac:dyDescent="0.25">
      <c r="A644" s="1">
        <v>643</v>
      </c>
      <c r="B644" s="1" t="s">
        <v>213</v>
      </c>
      <c r="C644">
        <v>35</v>
      </c>
      <c r="D644">
        <v>2</v>
      </c>
      <c r="E644" s="2">
        <v>44983</v>
      </c>
      <c r="F644" s="3">
        <v>0.54888888888888887</v>
      </c>
      <c r="G644" s="2">
        <v>44991</v>
      </c>
      <c r="H644" s="3">
        <v>0.8501157407407407</v>
      </c>
      <c r="I644" s="1" t="s">
        <v>297</v>
      </c>
      <c r="J644" s="1" t="s">
        <v>25</v>
      </c>
      <c r="K644">
        <v>8</v>
      </c>
      <c r="L644" t="str">
        <f>IF(tblOrders[[#This Row],[Quantity]]&lt;=0,"Check","OK")</f>
        <v>OK</v>
      </c>
      <c r="M644" s="1" t="str">
        <f>IF(tblOrders[[#This Row],[Delivery_Date]]&lt;tblOrders[[#This Row],[Order_Date]],"Error","OK")</f>
        <v>OK</v>
      </c>
    </row>
    <row r="645" spans="1:13" x14ac:dyDescent="0.25">
      <c r="A645" s="1">
        <v>644</v>
      </c>
      <c r="B645" s="1" t="s">
        <v>276</v>
      </c>
      <c r="C645">
        <v>67</v>
      </c>
      <c r="D645">
        <v>1</v>
      </c>
      <c r="E645" s="2">
        <v>45170</v>
      </c>
      <c r="F645" s="3">
        <v>0.62124999999999997</v>
      </c>
      <c r="G645" s="2">
        <v>45180</v>
      </c>
      <c r="H645" s="3">
        <v>0.47312500000000002</v>
      </c>
      <c r="I645" s="1" t="s">
        <v>479</v>
      </c>
      <c r="J645" s="1" t="s">
        <v>30</v>
      </c>
      <c r="K645">
        <v>10</v>
      </c>
      <c r="L645" t="str">
        <f>IF(tblOrders[[#This Row],[Quantity]]&lt;=0,"Check","OK")</f>
        <v>OK</v>
      </c>
      <c r="M645" s="1" t="str">
        <f>IF(tblOrders[[#This Row],[Delivery_Date]]&lt;tblOrders[[#This Row],[Order_Date]],"Error","OK")</f>
        <v>OK</v>
      </c>
    </row>
    <row r="646" spans="1:13" x14ac:dyDescent="0.25">
      <c r="A646" s="1">
        <v>645</v>
      </c>
      <c r="B646" s="1" t="s">
        <v>272</v>
      </c>
      <c r="C646">
        <v>50</v>
      </c>
      <c r="D646">
        <v>3</v>
      </c>
      <c r="E646" s="2">
        <v>44984</v>
      </c>
      <c r="F646" s="3">
        <v>7.4062500000000003E-2</v>
      </c>
      <c r="G646" s="2">
        <v>44985</v>
      </c>
      <c r="H646" s="3">
        <v>8.8321759259259253E-2</v>
      </c>
      <c r="I646" s="1" t="s">
        <v>259</v>
      </c>
      <c r="J646" s="1" t="s">
        <v>25</v>
      </c>
      <c r="K646">
        <v>1</v>
      </c>
      <c r="L646" t="str">
        <f>IF(tblOrders[[#This Row],[Quantity]]&lt;=0,"Check","OK")</f>
        <v>OK</v>
      </c>
      <c r="M646" s="1" t="str">
        <f>IF(tblOrders[[#This Row],[Delivery_Date]]&lt;tblOrders[[#This Row],[Order_Date]],"Error","OK")</f>
        <v>OK</v>
      </c>
    </row>
    <row r="647" spans="1:13" x14ac:dyDescent="0.25">
      <c r="A647" s="1">
        <v>646</v>
      </c>
      <c r="B647" s="1" t="s">
        <v>270</v>
      </c>
      <c r="C647">
        <v>38</v>
      </c>
      <c r="D647">
        <v>5</v>
      </c>
      <c r="E647" s="2">
        <v>45059</v>
      </c>
      <c r="F647" s="3">
        <v>0.68761574074074072</v>
      </c>
      <c r="G647" s="2">
        <v>45069</v>
      </c>
      <c r="H647" s="3">
        <v>0.38678240740740738</v>
      </c>
      <c r="I647" s="1" t="s">
        <v>525</v>
      </c>
      <c r="J647" s="1" t="s">
        <v>36</v>
      </c>
      <c r="K647">
        <v>10</v>
      </c>
      <c r="L647" t="str">
        <f>IF(tblOrders[[#This Row],[Quantity]]&lt;=0,"Check","OK")</f>
        <v>OK</v>
      </c>
      <c r="M647" s="1" t="str">
        <f>IF(tblOrders[[#This Row],[Delivery_Date]]&lt;tblOrders[[#This Row],[Order_Date]],"Error","OK")</f>
        <v>OK</v>
      </c>
    </row>
    <row r="648" spans="1:13" x14ac:dyDescent="0.25">
      <c r="A648" s="1">
        <v>647</v>
      </c>
      <c r="B648" s="1" t="s">
        <v>191</v>
      </c>
      <c r="C648">
        <v>21</v>
      </c>
      <c r="D648">
        <v>5</v>
      </c>
      <c r="E648" s="2">
        <v>45163</v>
      </c>
      <c r="F648" s="3">
        <v>0.70862268518518523</v>
      </c>
      <c r="G648" s="2">
        <v>45164</v>
      </c>
      <c r="H648" s="3">
        <v>6.1851851851851852E-2</v>
      </c>
      <c r="I648" s="1" t="s">
        <v>540</v>
      </c>
      <c r="J648" s="1" t="s">
        <v>33</v>
      </c>
      <c r="K648">
        <v>1</v>
      </c>
      <c r="L648" t="str">
        <f>IF(tblOrders[[#This Row],[Quantity]]&lt;=0,"Check","OK")</f>
        <v>OK</v>
      </c>
      <c r="M648" s="1" t="str">
        <f>IF(tblOrders[[#This Row],[Delivery_Date]]&lt;tblOrders[[#This Row],[Order_Date]],"Error","OK")</f>
        <v>OK</v>
      </c>
    </row>
    <row r="649" spans="1:13" x14ac:dyDescent="0.25">
      <c r="A649" s="1">
        <v>648</v>
      </c>
      <c r="B649" s="1" t="s">
        <v>176</v>
      </c>
      <c r="C649">
        <v>41</v>
      </c>
      <c r="D649">
        <v>3</v>
      </c>
      <c r="E649" s="2">
        <v>45235</v>
      </c>
      <c r="F649" s="3">
        <v>0.79601851851851857</v>
      </c>
      <c r="G649" s="2">
        <v>45239</v>
      </c>
      <c r="H649" s="3">
        <v>0.35069444444444442</v>
      </c>
      <c r="I649" s="1" t="s">
        <v>271</v>
      </c>
      <c r="J649" s="1" t="s">
        <v>19</v>
      </c>
      <c r="K649">
        <v>4</v>
      </c>
      <c r="L649" t="str">
        <f>IF(tblOrders[[#This Row],[Quantity]]&lt;=0,"Check","OK")</f>
        <v>OK</v>
      </c>
      <c r="M649" s="1" t="str">
        <f>IF(tblOrders[[#This Row],[Delivery_Date]]&lt;tblOrders[[#This Row],[Order_Date]],"Error","OK")</f>
        <v>OK</v>
      </c>
    </row>
    <row r="650" spans="1:13" x14ac:dyDescent="0.25">
      <c r="A650" s="1">
        <v>649</v>
      </c>
      <c r="B650" s="1" t="s">
        <v>291</v>
      </c>
      <c r="C650">
        <v>43</v>
      </c>
      <c r="D650">
        <v>3</v>
      </c>
      <c r="E650" s="2">
        <v>45232</v>
      </c>
      <c r="F650" s="3">
        <v>0.12894675925925925</v>
      </c>
      <c r="G650" s="2">
        <v>45241</v>
      </c>
      <c r="H650" s="3">
        <v>0.37170138888888887</v>
      </c>
      <c r="I650" s="1" t="s">
        <v>418</v>
      </c>
      <c r="J650" s="1" t="s">
        <v>19</v>
      </c>
      <c r="K650">
        <v>9</v>
      </c>
      <c r="L650" t="str">
        <f>IF(tblOrders[[#This Row],[Quantity]]&lt;=0,"Check","OK")</f>
        <v>OK</v>
      </c>
      <c r="M650" s="1" t="str">
        <f>IF(tblOrders[[#This Row],[Delivery_Date]]&lt;tblOrders[[#This Row],[Order_Date]],"Error","OK")</f>
        <v>OK</v>
      </c>
    </row>
    <row r="651" spans="1:13" x14ac:dyDescent="0.25">
      <c r="A651" s="1">
        <v>650</v>
      </c>
      <c r="B651" s="1" t="s">
        <v>261</v>
      </c>
      <c r="C651">
        <v>32</v>
      </c>
      <c r="D651">
        <v>3</v>
      </c>
      <c r="E651" s="2">
        <v>44980</v>
      </c>
      <c r="F651" s="3">
        <v>7.9664351851851847E-2</v>
      </c>
      <c r="G651" s="2">
        <v>44987</v>
      </c>
      <c r="H651" s="3">
        <v>0.13166666666666665</v>
      </c>
      <c r="I651" s="1" t="s">
        <v>173</v>
      </c>
      <c r="J651" s="1" t="s">
        <v>36</v>
      </c>
      <c r="K651">
        <v>7</v>
      </c>
      <c r="L651" t="str">
        <f>IF(tblOrders[[#This Row],[Quantity]]&lt;=0,"Check","OK")</f>
        <v>OK</v>
      </c>
      <c r="M651" s="1" t="str">
        <f>IF(tblOrders[[#This Row],[Delivery_Date]]&lt;tblOrders[[#This Row],[Order_Date]],"Error","OK")</f>
        <v>OK</v>
      </c>
    </row>
    <row r="652" spans="1:13" x14ac:dyDescent="0.25">
      <c r="A652" s="1">
        <v>651</v>
      </c>
      <c r="B652" s="1" t="s">
        <v>274</v>
      </c>
      <c r="C652">
        <v>11</v>
      </c>
      <c r="D652">
        <v>4</v>
      </c>
      <c r="E652" s="2">
        <v>44970</v>
      </c>
      <c r="F652" s="3">
        <v>9.4768518518518516E-2</v>
      </c>
      <c r="G652" s="2">
        <v>44976</v>
      </c>
      <c r="H652" s="3">
        <v>0.49715277777777778</v>
      </c>
      <c r="I652" s="1" t="s">
        <v>266</v>
      </c>
      <c r="J652" s="1" t="s">
        <v>12</v>
      </c>
      <c r="K652">
        <v>6</v>
      </c>
      <c r="L652" t="str">
        <f>IF(tblOrders[[#This Row],[Quantity]]&lt;=0,"Check","OK")</f>
        <v>OK</v>
      </c>
      <c r="M652" s="1" t="str">
        <f>IF(tblOrders[[#This Row],[Delivery_Date]]&lt;tblOrders[[#This Row],[Order_Date]],"Error","OK")</f>
        <v>OK</v>
      </c>
    </row>
    <row r="653" spans="1:13" x14ac:dyDescent="0.25">
      <c r="A653" s="1">
        <v>652</v>
      </c>
      <c r="B653" s="1" t="s">
        <v>295</v>
      </c>
      <c r="C653">
        <v>21</v>
      </c>
      <c r="D653">
        <v>2</v>
      </c>
      <c r="E653" s="2">
        <v>45166</v>
      </c>
      <c r="F653" s="3">
        <v>0.82024305555555554</v>
      </c>
      <c r="G653" s="2">
        <v>45172</v>
      </c>
      <c r="H653" s="3">
        <v>1.0532407407407407E-3</v>
      </c>
      <c r="I653" s="1" t="s">
        <v>397</v>
      </c>
      <c r="J653" s="1" t="s">
        <v>33</v>
      </c>
      <c r="K653">
        <v>6</v>
      </c>
      <c r="L653" t="str">
        <f>IF(tblOrders[[#This Row],[Quantity]]&lt;=0,"Check","OK")</f>
        <v>OK</v>
      </c>
      <c r="M653" s="1" t="str">
        <f>IF(tblOrders[[#This Row],[Delivery_Date]]&lt;tblOrders[[#This Row],[Order_Date]],"Error","OK")</f>
        <v>OK</v>
      </c>
    </row>
    <row r="654" spans="1:13" x14ac:dyDescent="0.25">
      <c r="A654" s="1">
        <v>653</v>
      </c>
      <c r="B654" s="1" t="s">
        <v>417</v>
      </c>
      <c r="C654">
        <v>17</v>
      </c>
      <c r="D654">
        <v>4</v>
      </c>
      <c r="E654" s="2">
        <v>45259</v>
      </c>
      <c r="F654" s="3">
        <v>0.56813657407407403</v>
      </c>
      <c r="G654" s="2">
        <v>45261</v>
      </c>
      <c r="H654" s="3">
        <v>0.24457175925925925</v>
      </c>
      <c r="I654" s="1" t="s">
        <v>338</v>
      </c>
      <c r="J654" s="1" t="s">
        <v>30</v>
      </c>
      <c r="K654">
        <v>2</v>
      </c>
      <c r="L654" t="str">
        <f>IF(tblOrders[[#This Row],[Quantity]]&lt;=0,"Check","OK")</f>
        <v>OK</v>
      </c>
      <c r="M654" s="1" t="str">
        <f>IF(tblOrders[[#This Row],[Delivery_Date]]&lt;tblOrders[[#This Row],[Order_Date]],"Error","OK")</f>
        <v>OK</v>
      </c>
    </row>
    <row r="655" spans="1:13" x14ac:dyDescent="0.25">
      <c r="A655" s="1">
        <v>654</v>
      </c>
      <c r="B655" s="1" t="s">
        <v>168</v>
      </c>
      <c r="C655">
        <v>64</v>
      </c>
      <c r="D655">
        <v>2</v>
      </c>
      <c r="E655" s="2">
        <v>45167</v>
      </c>
      <c r="F655" s="3">
        <v>0.20364583333333333</v>
      </c>
      <c r="G655" s="2">
        <v>45171</v>
      </c>
      <c r="H655" s="3">
        <v>2.8622685185185185E-2</v>
      </c>
      <c r="I655" s="1" t="s">
        <v>326</v>
      </c>
      <c r="J655" s="1" t="s">
        <v>33</v>
      </c>
      <c r="K655">
        <v>4</v>
      </c>
      <c r="L655" t="str">
        <f>IF(tblOrders[[#This Row],[Quantity]]&lt;=0,"Check","OK")</f>
        <v>OK</v>
      </c>
      <c r="M655" s="1" t="str">
        <f>IF(tblOrders[[#This Row],[Delivery_Date]]&lt;tblOrders[[#This Row],[Order_Date]],"Error","OK")</f>
        <v>OK</v>
      </c>
    </row>
    <row r="656" spans="1:13" x14ac:dyDescent="0.25">
      <c r="A656" s="1">
        <v>655</v>
      </c>
      <c r="B656" s="1" t="s">
        <v>270</v>
      </c>
      <c r="C656">
        <v>17</v>
      </c>
      <c r="D656">
        <v>1</v>
      </c>
      <c r="E656" s="2">
        <v>45238</v>
      </c>
      <c r="F656" s="3">
        <v>0.88824074074074078</v>
      </c>
      <c r="G656" s="2">
        <v>45247</v>
      </c>
      <c r="H656" s="3">
        <v>0.79001157407407407</v>
      </c>
      <c r="I656" s="1" t="s">
        <v>363</v>
      </c>
      <c r="J656" s="1" t="s">
        <v>30</v>
      </c>
      <c r="K656">
        <v>9</v>
      </c>
      <c r="L656" t="str">
        <f>IF(tblOrders[[#This Row],[Quantity]]&lt;=0,"Check","OK")</f>
        <v>OK</v>
      </c>
      <c r="M656" s="1" t="str">
        <f>IF(tblOrders[[#This Row],[Delivery_Date]]&lt;tblOrders[[#This Row],[Order_Date]],"Error","OK")</f>
        <v>OK</v>
      </c>
    </row>
    <row r="657" spans="1:13" x14ac:dyDescent="0.25">
      <c r="A657" s="1">
        <v>656</v>
      </c>
      <c r="B657" s="1" t="s">
        <v>295</v>
      </c>
      <c r="C657">
        <v>68</v>
      </c>
      <c r="D657">
        <v>2</v>
      </c>
      <c r="E657" s="2">
        <v>44962</v>
      </c>
      <c r="F657" s="3">
        <v>0.77408564814814818</v>
      </c>
      <c r="G657" s="2">
        <v>44963</v>
      </c>
      <c r="H657" s="3">
        <v>0.1986111111111111</v>
      </c>
      <c r="I657" s="1" t="s">
        <v>519</v>
      </c>
      <c r="J657" s="1" t="s">
        <v>12</v>
      </c>
      <c r="K657">
        <v>1</v>
      </c>
      <c r="L657" t="str">
        <f>IF(tblOrders[[#This Row],[Quantity]]&lt;=0,"Check","OK")</f>
        <v>OK</v>
      </c>
      <c r="M657" s="1" t="str">
        <f>IF(tblOrders[[#This Row],[Delivery_Date]]&lt;tblOrders[[#This Row],[Order_Date]],"Error","OK")</f>
        <v>OK</v>
      </c>
    </row>
    <row r="658" spans="1:13" x14ac:dyDescent="0.25">
      <c r="A658" s="1">
        <v>657</v>
      </c>
      <c r="B658" s="1" t="s">
        <v>224</v>
      </c>
      <c r="C658">
        <v>13</v>
      </c>
      <c r="D658">
        <v>3</v>
      </c>
      <c r="E658" s="2">
        <v>44988</v>
      </c>
      <c r="F658" s="3">
        <v>0.40130787037037036</v>
      </c>
      <c r="G658" s="2">
        <v>44993</v>
      </c>
      <c r="H658" s="3">
        <v>0.61707175925925928</v>
      </c>
      <c r="I658" s="1" t="s">
        <v>324</v>
      </c>
      <c r="J658" s="1" t="s">
        <v>25</v>
      </c>
      <c r="K658">
        <v>5</v>
      </c>
      <c r="L658" t="str">
        <f>IF(tblOrders[[#This Row],[Quantity]]&lt;=0,"Check","OK")</f>
        <v>OK</v>
      </c>
      <c r="M658" s="1" t="str">
        <f>IF(tblOrders[[#This Row],[Delivery_Date]]&lt;tblOrders[[#This Row],[Order_Date]],"Error","OK")</f>
        <v>OK</v>
      </c>
    </row>
    <row r="659" spans="1:13" x14ac:dyDescent="0.25">
      <c r="A659" s="1">
        <v>658</v>
      </c>
      <c r="B659" s="1" t="s">
        <v>302</v>
      </c>
      <c r="C659">
        <v>21</v>
      </c>
      <c r="D659">
        <v>3</v>
      </c>
      <c r="E659" s="2">
        <v>45160</v>
      </c>
      <c r="F659" s="3">
        <v>0.87148148148148152</v>
      </c>
      <c r="G659" s="2">
        <v>45169</v>
      </c>
      <c r="H659" s="3">
        <v>0.3709027777777778</v>
      </c>
      <c r="I659" s="1" t="s">
        <v>393</v>
      </c>
      <c r="J659" s="1" t="s">
        <v>33</v>
      </c>
      <c r="K659">
        <v>9</v>
      </c>
      <c r="L659" t="str">
        <f>IF(tblOrders[[#This Row],[Quantity]]&lt;=0,"Check","OK")</f>
        <v>OK</v>
      </c>
      <c r="M659" s="1" t="str">
        <f>IF(tblOrders[[#This Row],[Delivery_Date]]&lt;tblOrders[[#This Row],[Order_Date]],"Error","OK")</f>
        <v>OK</v>
      </c>
    </row>
    <row r="660" spans="1:13" x14ac:dyDescent="0.25">
      <c r="A660" s="1">
        <v>659</v>
      </c>
      <c r="B660" s="1" t="s">
        <v>331</v>
      </c>
      <c r="C660">
        <v>19</v>
      </c>
      <c r="D660">
        <v>5</v>
      </c>
      <c r="E660" s="2">
        <v>44962</v>
      </c>
      <c r="F660" s="3">
        <v>0.73953703703703699</v>
      </c>
      <c r="G660" s="2">
        <v>44969</v>
      </c>
      <c r="H660" s="3">
        <v>0.94285879629629632</v>
      </c>
      <c r="I660" s="1" t="s">
        <v>541</v>
      </c>
      <c r="J660" s="1" t="s">
        <v>12</v>
      </c>
      <c r="K660">
        <v>7</v>
      </c>
      <c r="L660" t="str">
        <f>IF(tblOrders[[#This Row],[Quantity]]&lt;=0,"Check","OK")</f>
        <v>OK</v>
      </c>
      <c r="M660" s="1" t="str">
        <f>IF(tblOrders[[#This Row],[Delivery_Date]]&lt;tblOrders[[#This Row],[Order_Date]],"Error","OK")</f>
        <v>OK</v>
      </c>
    </row>
    <row r="661" spans="1:13" x14ac:dyDescent="0.25">
      <c r="A661" s="1">
        <v>660</v>
      </c>
      <c r="B661" s="1" t="s">
        <v>291</v>
      </c>
      <c r="C661">
        <v>58</v>
      </c>
      <c r="D661">
        <v>3</v>
      </c>
      <c r="E661" s="2">
        <v>44968</v>
      </c>
      <c r="F661" s="3">
        <v>0.25608796296296299</v>
      </c>
      <c r="G661" s="2">
        <v>44978</v>
      </c>
      <c r="H661" s="3">
        <v>0.86707175925925928</v>
      </c>
      <c r="I661" s="1" t="s">
        <v>262</v>
      </c>
      <c r="J661" s="1" t="s">
        <v>12</v>
      </c>
      <c r="K661">
        <v>10</v>
      </c>
      <c r="L661" t="str">
        <f>IF(tblOrders[[#This Row],[Quantity]]&lt;=0,"Check","OK")</f>
        <v>OK</v>
      </c>
      <c r="M661" s="1" t="str">
        <f>IF(tblOrders[[#This Row],[Delivery_Date]]&lt;tblOrders[[#This Row],[Order_Date]],"Error","OK")</f>
        <v>OK</v>
      </c>
    </row>
    <row r="662" spans="1:13" x14ac:dyDescent="0.25">
      <c r="A662" s="1">
        <v>661</v>
      </c>
      <c r="B662" s="1" t="s">
        <v>208</v>
      </c>
      <c r="C662">
        <v>22</v>
      </c>
      <c r="D662">
        <v>2</v>
      </c>
      <c r="E662" s="2">
        <v>44940</v>
      </c>
      <c r="F662" s="3">
        <v>0.99406249999999996</v>
      </c>
      <c r="G662" s="2">
        <v>44945</v>
      </c>
      <c r="H662" s="3">
        <v>0.41025462962962961</v>
      </c>
      <c r="I662" s="1" t="s">
        <v>173</v>
      </c>
      <c r="J662" s="1" t="s">
        <v>8</v>
      </c>
      <c r="K662">
        <v>5</v>
      </c>
      <c r="L662" t="str">
        <f>IF(tblOrders[[#This Row],[Quantity]]&lt;=0,"Check","OK")</f>
        <v>OK</v>
      </c>
      <c r="M662" s="1" t="str">
        <f>IF(tblOrders[[#This Row],[Delivery_Date]]&lt;tblOrders[[#This Row],[Order_Date]],"Error","OK")</f>
        <v>OK</v>
      </c>
    </row>
    <row r="663" spans="1:13" x14ac:dyDescent="0.25">
      <c r="A663" s="1">
        <v>662</v>
      </c>
      <c r="B663" s="1" t="s">
        <v>388</v>
      </c>
      <c r="C663">
        <v>20</v>
      </c>
      <c r="D663">
        <v>3</v>
      </c>
      <c r="E663" s="2">
        <v>44966</v>
      </c>
      <c r="F663" s="3">
        <v>0.77074074074074073</v>
      </c>
      <c r="G663" s="2">
        <v>44975</v>
      </c>
      <c r="H663" s="3">
        <v>0.35269675925925925</v>
      </c>
      <c r="I663" s="1" t="s">
        <v>506</v>
      </c>
      <c r="J663" s="1" t="s">
        <v>30</v>
      </c>
      <c r="K663">
        <v>9</v>
      </c>
      <c r="L663" t="str">
        <f>IF(tblOrders[[#This Row],[Quantity]]&lt;=0,"Check","OK")</f>
        <v>OK</v>
      </c>
      <c r="M663" s="1" t="str">
        <f>IF(tblOrders[[#This Row],[Delivery_Date]]&lt;tblOrders[[#This Row],[Order_Date]],"Error","OK")</f>
        <v>OK</v>
      </c>
    </row>
    <row r="664" spans="1:13" x14ac:dyDescent="0.25">
      <c r="A664" s="1">
        <v>663</v>
      </c>
      <c r="B664" s="1" t="s">
        <v>365</v>
      </c>
      <c r="C664">
        <v>15</v>
      </c>
      <c r="D664">
        <v>2</v>
      </c>
      <c r="E664" s="2">
        <v>45210</v>
      </c>
      <c r="F664" s="3">
        <v>0.61606481481481479</v>
      </c>
      <c r="G664" s="2">
        <v>45211</v>
      </c>
      <c r="H664" s="3">
        <v>0.9389467592592593</v>
      </c>
      <c r="I664" s="1" t="s">
        <v>467</v>
      </c>
      <c r="J664" s="1" t="s">
        <v>30</v>
      </c>
      <c r="K664">
        <v>1</v>
      </c>
      <c r="L664" t="str">
        <f>IF(tblOrders[[#This Row],[Quantity]]&lt;=0,"Check","OK")</f>
        <v>OK</v>
      </c>
      <c r="M664" s="1" t="str">
        <f>IF(tblOrders[[#This Row],[Delivery_Date]]&lt;tblOrders[[#This Row],[Order_Date]],"Error","OK")</f>
        <v>OK</v>
      </c>
    </row>
    <row r="665" spans="1:13" x14ac:dyDescent="0.25">
      <c r="A665" s="1">
        <v>664</v>
      </c>
      <c r="B665" s="1" t="s">
        <v>252</v>
      </c>
      <c r="C665">
        <v>24</v>
      </c>
      <c r="D665">
        <v>2</v>
      </c>
      <c r="E665" s="2">
        <v>44944</v>
      </c>
      <c r="F665" s="3">
        <v>0.49622685185185184</v>
      </c>
      <c r="G665" s="2">
        <v>44954</v>
      </c>
      <c r="H665" s="3">
        <v>0.84870370370370374</v>
      </c>
      <c r="I665" s="1" t="s">
        <v>407</v>
      </c>
      <c r="J665" s="1" t="s">
        <v>36</v>
      </c>
      <c r="K665">
        <v>10</v>
      </c>
      <c r="L665" t="str">
        <f>IF(tblOrders[[#This Row],[Quantity]]&lt;=0,"Check","OK")</f>
        <v>OK</v>
      </c>
      <c r="M665" s="1" t="str">
        <f>IF(tblOrders[[#This Row],[Delivery_Date]]&lt;tblOrders[[#This Row],[Order_Date]],"Error","OK")</f>
        <v>OK</v>
      </c>
    </row>
    <row r="666" spans="1:13" x14ac:dyDescent="0.25">
      <c r="A666" s="1">
        <v>665</v>
      </c>
      <c r="B666" s="1" t="s">
        <v>299</v>
      </c>
      <c r="C666">
        <v>62</v>
      </c>
      <c r="D666">
        <v>5</v>
      </c>
      <c r="E666" s="2">
        <v>44990</v>
      </c>
      <c r="F666" s="3">
        <v>0.59956018518518517</v>
      </c>
      <c r="G666" s="2">
        <v>45000</v>
      </c>
      <c r="H666" s="3">
        <v>0.66253472222222221</v>
      </c>
      <c r="I666" s="1" t="s">
        <v>464</v>
      </c>
      <c r="J666" s="1" t="s">
        <v>25</v>
      </c>
      <c r="K666">
        <v>10</v>
      </c>
      <c r="L666" t="str">
        <f>IF(tblOrders[[#This Row],[Quantity]]&lt;=0,"Check","OK")</f>
        <v>OK</v>
      </c>
      <c r="M666" s="1" t="str">
        <f>IF(tblOrders[[#This Row],[Delivery_Date]]&lt;tblOrders[[#This Row],[Order_Date]],"Error","OK")</f>
        <v>OK</v>
      </c>
    </row>
    <row r="667" spans="1:13" x14ac:dyDescent="0.25">
      <c r="A667" s="1">
        <v>666</v>
      </c>
      <c r="B667" s="1" t="s">
        <v>295</v>
      </c>
      <c r="C667">
        <v>26</v>
      </c>
      <c r="D667">
        <v>5</v>
      </c>
      <c r="E667" s="2">
        <v>44987</v>
      </c>
      <c r="F667" s="3">
        <v>0.40354166666666669</v>
      </c>
      <c r="G667" s="2">
        <v>44993</v>
      </c>
      <c r="H667" s="3">
        <v>0.81128472222222225</v>
      </c>
      <c r="I667" s="1" t="s">
        <v>433</v>
      </c>
      <c r="J667" s="1" t="s">
        <v>25</v>
      </c>
      <c r="K667">
        <v>6</v>
      </c>
      <c r="L667" t="str">
        <f>IF(tblOrders[[#This Row],[Quantity]]&lt;=0,"Check","OK")</f>
        <v>OK</v>
      </c>
      <c r="M667" s="1" t="str">
        <f>IF(tblOrders[[#This Row],[Delivery_Date]]&lt;tblOrders[[#This Row],[Order_Date]],"Error","OK")</f>
        <v>OK</v>
      </c>
    </row>
    <row r="668" spans="1:13" x14ac:dyDescent="0.25">
      <c r="A668" s="1">
        <v>667</v>
      </c>
      <c r="B668" s="1" t="s">
        <v>437</v>
      </c>
      <c r="C668">
        <v>44</v>
      </c>
      <c r="D668">
        <v>3</v>
      </c>
      <c r="E668" s="2">
        <v>45234</v>
      </c>
      <c r="F668" s="3">
        <v>0.35206018518518517</v>
      </c>
      <c r="G668" s="2">
        <v>45237</v>
      </c>
      <c r="H668" s="3">
        <v>0.43818287037037035</v>
      </c>
      <c r="I668" s="1" t="s">
        <v>439</v>
      </c>
      <c r="J668" s="1" t="s">
        <v>19</v>
      </c>
      <c r="K668">
        <v>3</v>
      </c>
      <c r="L668" t="str">
        <f>IF(tblOrders[[#This Row],[Quantity]]&lt;=0,"Check","OK")</f>
        <v>OK</v>
      </c>
      <c r="M668" s="1" t="str">
        <f>IF(tblOrders[[#This Row],[Delivery_Date]]&lt;tblOrders[[#This Row],[Order_Date]],"Error","OK")</f>
        <v>OK</v>
      </c>
    </row>
    <row r="669" spans="1:13" x14ac:dyDescent="0.25">
      <c r="A669" s="1">
        <v>668</v>
      </c>
      <c r="B669" s="1" t="s">
        <v>178</v>
      </c>
      <c r="C669">
        <v>55</v>
      </c>
      <c r="D669">
        <v>2</v>
      </c>
      <c r="E669" s="2">
        <v>45159</v>
      </c>
      <c r="F669" s="3">
        <v>0.42353009259259261</v>
      </c>
      <c r="G669" s="2">
        <v>45168</v>
      </c>
      <c r="H669" s="3">
        <v>0.68945601851851857</v>
      </c>
      <c r="I669" s="1" t="s">
        <v>542</v>
      </c>
      <c r="J669" s="1" t="s">
        <v>33</v>
      </c>
      <c r="K669">
        <v>9</v>
      </c>
      <c r="L669" t="str">
        <f>IF(tblOrders[[#This Row],[Quantity]]&lt;=0,"Check","OK")</f>
        <v>OK</v>
      </c>
      <c r="M669" s="1" t="str">
        <f>IF(tblOrders[[#This Row],[Delivery_Date]]&lt;tblOrders[[#This Row],[Order_Date]],"Error","OK")</f>
        <v>OK</v>
      </c>
    </row>
    <row r="670" spans="1:13" x14ac:dyDescent="0.25">
      <c r="A670" s="1">
        <v>669</v>
      </c>
      <c r="B670" s="1" t="s">
        <v>329</v>
      </c>
      <c r="C670">
        <v>68</v>
      </c>
      <c r="D670">
        <v>5</v>
      </c>
      <c r="E670" s="2">
        <v>44967</v>
      </c>
      <c r="F670" s="3">
        <v>0.29988425925925927</v>
      </c>
      <c r="G670" s="2">
        <v>44974</v>
      </c>
      <c r="H670" s="3">
        <v>0.41437499999999999</v>
      </c>
      <c r="I670" s="1" t="s">
        <v>207</v>
      </c>
      <c r="J670" s="1" t="s">
        <v>12</v>
      </c>
      <c r="K670">
        <v>7</v>
      </c>
      <c r="L670" t="str">
        <f>IF(tblOrders[[#This Row],[Quantity]]&lt;=0,"Check","OK")</f>
        <v>OK</v>
      </c>
      <c r="M670" s="1" t="str">
        <f>IF(tblOrders[[#This Row],[Delivery_Date]]&lt;tblOrders[[#This Row],[Order_Date]],"Error","OK")</f>
        <v>OK</v>
      </c>
    </row>
    <row r="671" spans="1:13" x14ac:dyDescent="0.25">
      <c r="A671" s="1">
        <v>670</v>
      </c>
      <c r="B671" s="1" t="s">
        <v>279</v>
      </c>
      <c r="C671">
        <v>23</v>
      </c>
      <c r="D671">
        <v>5</v>
      </c>
      <c r="E671" s="2">
        <v>45078</v>
      </c>
      <c r="F671" s="3">
        <v>0.2416550925925926</v>
      </c>
      <c r="G671" s="2">
        <v>45087</v>
      </c>
      <c r="H671" s="3">
        <v>0.21458333333333332</v>
      </c>
      <c r="I671" s="1" t="s">
        <v>543</v>
      </c>
      <c r="J671" s="1" t="s">
        <v>30</v>
      </c>
      <c r="K671">
        <v>9</v>
      </c>
      <c r="L671" t="str">
        <f>IF(tblOrders[[#This Row],[Quantity]]&lt;=0,"Check","OK")</f>
        <v>OK</v>
      </c>
      <c r="M671" s="1" t="str">
        <f>IF(tblOrders[[#This Row],[Delivery_Date]]&lt;tblOrders[[#This Row],[Order_Date]],"Error","OK")</f>
        <v>OK</v>
      </c>
    </row>
    <row r="672" spans="1:13" x14ac:dyDescent="0.25">
      <c r="A672" s="1">
        <v>671</v>
      </c>
      <c r="B672" s="1" t="s">
        <v>242</v>
      </c>
      <c r="C672">
        <v>31</v>
      </c>
      <c r="D672">
        <v>4</v>
      </c>
      <c r="E672" s="2">
        <v>45263</v>
      </c>
      <c r="F672" s="3">
        <v>0.28770833333333334</v>
      </c>
      <c r="G672" s="2">
        <v>45267</v>
      </c>
      <c r="H672" s="3">
        <v>0.96966435185185185</v>
      </c>
      <c r="I672" s="1" t="s">
        <v>187</v>
      </c>
      <c r="J672" s="1" t="s">
        <v>8</v>
      </c>
      <c r="K672">
        <v>4</v>
      </c>
      <c r="L672" t="str">
        <f>IF(tblOrders[[#This Row],[Quantity]]&lt;=0,"Check","OK")</f>
        <v>OK</v>
      </c>
      <c r="M672" s="1" t="str">
        <f>IF(tblOrders[[#This Row],[Delivery_Date]]&lt;tblOrders[[#This Row],[Order_Date]],"Error","OK")</f>
        <v>OK</v>
      </c>
    </row>
    <row r="673" spans="1:13" x14ac:dyDescent="0.25">
      <c r="A673" s="1">
        <v>672</v>
      </c>
      <c r="B673" s="1" t="s">
        <v>367</v>
      </c>
      <c r="C673">
        <v>44</v>
      </c>
      <c r="D673">
        <v>5</v>
      </c>
      <c r="E673" s="2">
        <v>45237</v>
      </c>
      <c r="F673" s="3">
        <v>0.58767361111111116</v>
      </c>
      <c r="G673" s="2">
        <v>45239</v>
      </c>
      <c r="H673" s="3">
        <v>0.28237268518518521</v>
      </c>
      <c r="I673" s="1" t="s">
        <v>494</v>
      </c>
      <c r="J673" s="1" t="s">
        <v>19</v>
      </c>
      <c r="K673">
        <v>2</v>
      </c>
      <c r="L673" t="str">
        <f>IF(tblOrders[[#This Row],[Quantity]]&lt;=0,"Check","OK")</f>
        <v>OK</v>
      </c>
      <c r="M673" s="1" t="str">
        <f>IF(tblOrders[[#This Row],[Delivery_Date]]&lt;tblOrders[[#This Row],[Order_Date]],"Error","OK")</f>
        <v>OK</v>
      </c>
    </row>
    <row r="674" spans="1:13" x14ac:dyDescent="0.25">
      <c r="A674" s="1">
        <v>673</v>
      </c>
      <c r="B674" s="1" t="s">
        <v>289</v>
      </c>
      <c r="C674">
        <v>33</v>
      </c>
      <c r="D674">
        <v>3</v>
      </c>
      <c r="E674" s="2">
        <v>44961</v>
      </c>
      <c r="F674" s="3">
        <v>0.24640046296296297</v>
      </c>
      <c r="G674" s="2">
        <v>44964</v>
      </c>
      <c r="H674" s="3">
        <v>0.1844675925925926</v>
      </c>
      <c r="I674" s="1" t="s">
        <v>522</v>
      </c>
      <c r="J674" s="1" t="s">
        <v>12</v>
      </c>
      <c r="K674">
        <v>3</v>
      </c>
      <c r="L674" t="str">
        <f>IF(tblOrders[[#This Row],[Quantity]]&lt;=0,"Check","OK")</f>
        <v>OK</v>
      </c>
      <c r="M674" s="1" t="str">
        <f>IF(tblOrders[[#This Row],[Delivery_Date]]&lt;tblOrders[[#This Row],[Order_Date]],"Error","OK")</f>
        <v>OK</v>
      </c>
    </row>
    <row r="675" spans="1:13" x14ac:dyDescent="0.25">
      <c r="A675" s="1">
        <v>674</v>
      </c>
      <c r="B675" s="1" t="s">
        <v>185</v>
      </c>
      <c r="C675">
        <v>68</v>
      </c>
      <c r="D675">
        <v>2</v>
      </c>
      <c r="E675" s="2">
        <v>44964</v>
      </c>
      <c r="F675" s="3">
        <v>0.40376157407407409</v>
      </c>
      <c r="G675" s="2">
        <v>44973</v>
      </c>
      <c r="H675" s="3">
        <v>0.98640046296296291</v>
      </c>
      <c r="I675" s="1" t="s">
        <v>385</v>
      </c>
      <c r="J675" s="1" t="s">
        <v>12</v>
      </c>
      <c r="K675">
        <v>9</v>
      </c>
      <c r="L675" t="str">
        <f>IF(tblOrders[[#This Row],[Quantity]]&lt;=0,"Check","OK")</f>
        <v>OK</v>
      </c>
      <c r="M675" s="1" t="str">
        <f>IF(tblOrders[[#This Row],[Delivery_Date]]&lt;tblOrders[[#This Row],[Order_Date]],"Error","OK")</f>
        <v>OK</v>
      </c>
    </row>
    <row r="676" spans="1:13" x14ac:dyDescent="0.25">
      <c r="A676" s="1">
        <v>675</v>
      </c>
      <c r="B676" s="1" t="s">
        <v>437</v>
      </c>
      <c r="C676">
        <v>13</v>
      </c>
      <c r="D676">
        <v>4</v>
      </c>
      <c r="E676" s="2">
        <v>44985</v>
      </c>
      <c r="F676" s="3">
        <v>0.33664351851851854</v>
      </c>
      <c r="G676" s="2">
        <v>44994</v>
      </c>
      <c r="H676" s="3">
        <v>0.99458333333333337</v>
      </c>
      <c r="I676" s="1" t="s">
        <v>544</v>
      </c>
      <c r="J676" s="1" t="s">
        <v>25</v>
      </c>
      <c r="K676">
        <v>9</v>
      </c>
      <c r="L676" t="str">
        <f>IF(tblOrders[[#This Row],[Quantity]]&lt;=0,"Check","OK")</f>
        <v>OK</v>
      </c>
      <c r="M676" s="1" t="str">
        <f>IF(tblOrders[[#This Row],[Delivery_Date]]&lt;tblOrders[[#This Row],[Order_Date]],"Error","OK")</f>
        <v>OK</v>
      </c>
    </row>
    <row r="677" spans="1:13" x14ac:dyDescent="0.25">
      <c r="A677" s="1">
        <v>676</v>
      </c>
      <c r="B677" s="1" t="s">
        <v>293</v>
      </c>
      <c r="C677">
        <v>46</v>
      </c>
      <c r="D677">
        <v>4</v>
      </c>
      <c r="E677" s="2">
        <v>44975</v>
      </c>
      <c r="F677" s="3">
        <v>0.5294444444444445</v>
      </c>
      <c r="G677" s="2">
        <v>44977</v>
      </c>
      <c r="H677" s="3">
        <v>0.86981481481481482</v>
      </c>
      <c r="I677" s="1" t="s">
        <v>284</v>
      </c>
      <c r="J677" s="1" t="s">
        <v>30</v>
      </c>
      <c r="K677">
        <v>2</v>
      </c>
      <c r="L677" t="str">
        <f>IF(tblOrders[[#This Row],[Quantity]]&lt;=0,"Check","OK")</f>
        <v>OK</v>
      </c>
      <c r="M677" s="1" t="str">
        <f>IF(tblOrders[[#This Row],[Delivery_Date]]&lt;tblOrders[[#This Row],[Order_Date]],"Error","OK")</f>
        <v>OK</v>
      </c>
    </row>
    <row r="678" spans="1:13" x14ac:dyDescent="0.25">
      <c r="A678" s="1">
        <v>677</v>
      </c>
      <c r="B678" s="1" t="s">
        <v>254</v>
      </c>
      <c r="C678">
        <v>37</v>
      </c>
      <c r="D678">
        <v>5</v>
      </c>
      <c r="E678" s="2">
        <v>45234</v>
      </c>
      <c r="F678" s="3">
        <v>0.32917824074074076</v>
      </c>
      <c r="G678" s="2">
        <v>45244</v>
      </c>
      <c r="H678" s="3">
        <v>0.23096064814814815</v>
      </c>
      <c r="I678" s="1" t="s">
        <v>266</v>
      </c>
      <c r="J678" s="1" t="s">
        <v>19</v>
      </c>
      <c r="K678">
        <v>10</v>
      </c>
      <c r="L678" t="str">
        <f>IF(tblOrders[[#This Row],[Quantity]]&lt;=0,"Check","OK")</f>
        <v>OK</v>
      </c>
      <c r="M678" s="1" t="str">
        <f>IF(tblOrders[[#This Row],[Delivery_Date]]&lt;tblOrders[[#This Row],[Order_Date]],"Error","OK")</f>
        <v>OK</v>
      </c>
    </row>
    <row r="679" spans="1:13" x14ac:dyDescent="0.25">
      <c r="A679" s="1">
        <v>678</v>
      </c>
      <c r="B679" s="1" t="s">
        <v>246</v>
      </c>
      <c r="C679">
        <v>31</v>
      </c>
      <c r="D679">
        <v>5</v>
      </c>
      <c r="E679" s="2">
        <v>45179</v>
      </c>
      <c r="F679" s="3">
        <v>0.59998842592592594</v>
      </c>
      <c r="G679" s="2">
        <v>45189</v>
      </c>
      <c r="H679" s="3">
        <v>0.42577546296296298</v>
      </c>
      <c r="I679" s="1" t="s">
        <v>363</v>
      </c>
      <c r="J679" s="1" t="s">
        <v>8</v>
      </c>
      <c r="K679">
        <v>10</v>
      </c>
      <c r="L679" t="str">
        <f>IF(tblOrders[[#This Row],[Quantity]]&lt;=0,"Check","OK")</f>
        <v>OK</v>
      </c>
      <c r="M679" s="1" t="str">
        <f>IF(tblOrders[[#This Row],[Delivery_Date]]&lt;tblOrders[[#This Row],[Order_Date]],"Error","OK")</f>
        <v>OK</v>
      </c>
    </row>
    <row r="680" spans="1:13" x14ac:dyDescent="0.25">
      <c r="A680" s="1">
        <v>679</v>
      </c>
      <c r="B680" s="1" t="s">
        <v>168</v>
      </c>
      <c r="C680">
        <v>56</v>
      </c>
      <c r="D680">
        <v>2</v>
      </c>
      <c r="E680" s="2">
        <v>45204</v>
      </c>
      <c r="F680" s="3">
        <v>0.72869212962962959</v>
      </c>
      <c r="G680" s="2">
        <v>45213</v>
      </c>
      <c r="H680" s="3">
        <v>0.5403472222222222</v>
      </c>
      <c r="I680" s="1" t="s">
        <v>209</v>
      </c>
      <c r="J680" s="1" t="s">
        <v>30</v>
      </c>
      <c r="K680">
        <v>9</v>
      </c>
      <c r="L680" t="str">
        <f>IF(tblOrders[[#This Row],[Quantity]]&lt;=0,"Check","OK")</f>
        <v>OK</v>
      </c>
      <c r="M680" s="1" t="str">
        <f>IF(tblOrders[[#This Row],[Delivery_Date]]&lt;tblOrders[[#This Row],[Order_Date]],"Error","OK")</f>
        <v>OK</v>
      </c>
    </row>
    <row r="681" spans="1:13" x14ac:dyDescent="0.25">
      <c r="A681" s="1">
        <v>680</v>
      </c>
      <c r="B681" s="1" t="s">
        <v>208</v>
      </c>
      <c r="C681">
        <v>56</v>
      </c>
      <c r="D681">
        <v>1</v>
      </c>
      <c r="E681" s="2">
        <v>45262</v>
      </c>
      <c r="F681" s="3">
        <v>0.9309143518518519</v>
      </c>
      <c r="G681" s="2">
        <v>45268</v>
      </c>
      <c r="H681" s="3">
        <v>0.10636574074074075</v>
      </c>
      <c r="I681" s="1" t="s">
        <v>298</v>
      </c>
      <c r="J681" s="1" t="s">
        <v>30</v>
      </c>
      <c r="K681">
        <v>6</v>
      </c>
      <c r="L681" t="str">
        <f>IF(tblOrders[[#This Row],[Quantity]]&lt;=0,"Check","OK")</f>
        <v>OK</v>
      </c>
      <c r="M681" s="1" t="str">
        <f>IF(tblOrders[[#This Row],[Delivery_Date]]&lt;tblOrders[[#This Row],[Order_Date]],"Error","OK")</f>
        <v>OK</v>
      </c>
    </row>
    <row r="682" spans="1:13" x14ac:dyDescent="0.25">
      <c r="A682" s="1">
        <v>681</v>
      </c>
      <c r="B682" s="1" t="s">
        <v>413</v>
      </c>
      <c r="C682">
        <v>23</v>
      </c>
      <c r="D682">
        <v>5</v>
      </c>
      <c r="E682" s="2">
        <v>44955</v>
      </c>
      <c r="F682" s="3">
        <v>0.42229166666666668</v>
      </c>
      <c r="G682" s="2">
        <v>44962</v>
      </c>
      <c r="H682" s="3">
        <v>0.50101851851851853</v>
      </c>
      <c r="I682" s="1" t="s">
        <v>475</v>
      </c>
      <c r="J682" s="1" t="s">
        <v>30</v>
      </c>
      <c r="K682">
        <v>7</v>
      </c>
      <c r="L682" t="str">
        <f>IF(tblOrders[[#This Row],[Quantity]]&lt;=0,"Check","OK")</f>
        <v>OK</v>
      </c>
      <c r="M682" s="1" t="str">
        <f>IF(tblOrders[[#This Row],[Delivery_Date]]&lt;tblOrders[[#This Row],[Order_Date]],"Error","OK")</f>
        <v>OK</v>
      </c>
    </row>
    <row r="683" spans="1:13" x14ac:dyDescent="0.25">
      <c r="A683" s="1">
        <v>682</v>
      </c>
      <c r="B683" s="1" t="s">
        <v>204</v>
      </c>
      <c r="C683">
        <v>50</v>
      </c>
      <c r="D683">
        <v>5</v>
      </c>
      <c r="E683" s="2">
        <v>44983</v>
      </c>
      <c r="F683" s="3">
        <v>0.31337962962962962</v>
      </c>
      <c r="G683" s="2">
        <v>44990</v>
      </c>
      <c r="H683" s="3">
        <v>0.48093750000000002</v>
      </c>
      <c r="I683" s="1" t="s">
        <v>277</v>
      </c>
      <c r="J683" s="1" t="s">
        <v>25</v>
      </c>
      <c r="K683">
        <v>7</v>
      </c>
      <c r="L683" t="str">
        <f>IF(tblOrders[[#This Row],[Quantity]]&lt;=0,"Check","OK")</f>
        <v>OK</v>
      </c>
      <c r="M683" s="1" t="str">
        <f>IF(tblOrders[[#This Row],[Delivery_Date]]&lt;tblOrders[[#This Row],[Order_Date]],"Error","OK")</f>
        <v>OK</v>
      </c>
    </row>
    <row r="684" spans="1:13" x14ac:dyDescent="0.25">
      <c r="A684" s="1">
        <v>683</v>
      </c>
      <c r="B684" s="1" t="s">
        <v>188</v>
      </c>
      <c r="C684">
        <v>27</v>
      </c>
      <c r="D684">
        <v>3</v>
      </c>
      <c r="E684" s="2">
        <v>45161</v>
      </c>
      <c r="F684" s="3">
        <v>0.89372685185185186</v>
      </c>
      <c r="G684" s="2">
        <v>45168</v>
      </c>
      <c r="H684" s="3">
        <v>0.80912037037037032</v>
      </c>
      <c r="I684" s="1" t="s">
        <v>493</v>
      </c>
      <c r="J684" s="1" t="s">
        <v>33</v>
      </c>
      <c r="K684">
        <v>7</v>
      </c>
      <c r="L684" t="str">
        <f>IF(tblOrders[[#This Row],[Quantity]]&lt;=0,"Check","OK")</f>
        <v>OK</v>
      </c>
      <c r="M684" s="1" t="str">
        <f>IF(tblOrders[[#This Row],[Delivery_Date]]&lt;tblOrders[[#This Row],[Order_Date]],"Error","OK")</f>
        <v>OK</v>
      </c>
    </row>
    <row r="685" spans="1:13" x14ac:dyDescent="0.25">
      <c r="A685" s="1">
        <v>684</v>
      </c>
      <c r="B685" s="1" t="s">
        <v>170</v>
      </c>
      <c r="C685">
        <v>70</v>
      </c>
      <c r="D685">
        <v>3</v>
      </c>
      <c r="E685" s="2">
        <v>45186</v>
      </c>
      <c r="F685" s="3">
        <v>6.5162037037037032E-2</v>
      </c>
      <c r="G685" s="2">
        <v>45194</v>
      </c>
      <c r="H685" s="3">
        <v>0.11434027777777778</v>
      </c>
      <c r="I685" s="1" t="s">
        <v>545</v>
      </c>
      <c r="J685" s="1" t="s">
        <v>36</v>
      </c>
      <c r="K685">
        <v>8</v>
      </c>
      <c r="L685" t="str">
        <f>IF(tblOrders[[#This Row],[Quantity]]&lt;=0,"Check","OK")</f>
        <v>OK</v>
      </c>
      <c r="M685" s="1" t="str">
        <f>IF(tblOrders[[#This Row],[Delivery_Date]]&lt;tblOrders[[#This Row],[Order_Date]],"Error","OK")</f>
        <v>OK</v>
      </c>
    </row>
    <row r="686" spans="1:13" x14ac:dyDescent="0.25">
      <c r="A686" s="1">
        <v>685</v>
      </c>
      <c r="B686" s="1" t="s">
        <v>204</v>
      </c>
      <c r="C686">
        <v>22</v>
      </c>
      <c r="D686">
        <v>1</v>
      </c>
      <c r="E686" s="2">
        <v>45170</v>
      </c>
      <c r="F686" s="3">
        <v>0.87824074074074077</v>
      </c>
      <c r="G686" s="2">
        <v>45180</v>
      </c>
      <c r="H686" s="3">
        <v>0.35468749999999999</v>
      </c>
      <c r="I686" s="1" t="s">
        <v>546</v>
      </c>
      <c r="J686" s="1" t="s">
        <v>8</v>
      </c>
      <c r="K686">
        <v>10</v>
      </c>
      <c r="L686" t="str">
        <f>IF(tblOrders[[#This Row],[Quantity]]&lt;=0,"Check","OK")</f>
        <v>OK</v>
      </c>
      <c r="M686" s="1" t="str">
        <f>IF(tblOrders[[#This Row],[Delivery_Date]]&lt;tblOrders[[#This Row],[Order_Date]],"Error","OK")</f>
        <v>OK</v>
      </c>
    </row>
    <row r="687" spans="1:13" x14ac:dyDescent="0.25">
      <c r="A687" s="1">
        <v>686</v>
      </c>
      <c r="B687" s="1" t="s">
        <v>335</v>
      </c>
      <c r="C687">
        <v>50</v>
      </c>
      <c r="D687">
        <v>1</v>
      </c>
      <c r="E687" s="2">
        <v>44986</v>
      </c>
      <c r="F687" s="3">
        <v>0.68724537037037037</v>
      </c>
      <c r="G687" s="2">
        <v>44996</v>
      </c>
      <c r="H687" s="3">
        <v>0.90137731481481487</v>
      </c>
      <c r="I687" s="1" t="s">
        <v>167</v>
      </c>
      <c r="J687" s="1" t="s">
        <v>25</v>
      </c>
      <c r="K687">
        <v>10</v>
      </c>
      <c r="L687" t="str">
        <f>IF(tblOrders[[#This Row],[Quantity]]&lt;=0,"Check","OK")</f>
        <v>OK</v>
      </c>
      <c r="M687" s="1" t="str">
        <f>IF(tblOrders[[#This Row],[Delivery_Date]]&lt;tblOrders[[#This Row],[Order_Date]],"Error","OK")</f>
        <v>OK</v>
      </c>
    </row>
    <row r="688" spans="1:13" x14ac:dyDescent="0.25">
      <c r="A688" s="1">
        <v>687</v>
      </c>
      <c r="B688" s="1" t="s">
        <v>413</v>
      </c>
      <c r="C688">
        <v>8</v>
      </c>
      <c r="D688">
        <v>5</v>
      </c>
      <c r="E688" s="2">
        <v>45000</v>
      </c>
      <c r="F688" s="3">
        <v>0.74809027777777781</v>
      </c>
      <c r="G688" s="2">
        <v>45004</v>
      </c>
      <c r="H688" s="3">
        <v>0.20201388888888888</v>
      </c>
      <c r="I688" s="1" t="s">
        <v>547</v>
      </c>
      <c r="J688" s="1" t="s">
        <v>30</v>
      </c>
      <c r="K688">
        <v>4</v>
      </c>
      <c r="L688" t="str">
        <f>IF(tblOrders[[#This Row],[Quantity]]&lt;=0,"Check","OK")</f>
        <v>OK</v>
      </c>
      <c r="M688" s="1" t="str">
        <f>IF(tblOrders[[#This Row],[Delivery_Date]]&lt;tblOrders[[#This Row],[Order_Date]],"Error","OK")</f>
        <v>OK</v>
      </c>
    </row>
    <row r="689" spans="1:13" x14ac:dyDescent="0.25">
      <c r="A689" s="1">
        <v>688</v>
      </c>
      <c r="B689" s="1" t="s">
        <v>270</v>
      </c>
      <c r="C689">
        <v>54</v>
      </c>
      <c r="D689">
        <v>2</v>
      </c>
      <c r="E689" s="2">
        <v>44954</v>
      </c>
      <c r="F689" s="3">
        <v>0.79313657407407412</v>
      </c>
      <c r="G689" s="2">
        <v>44956</v>
      </c>
      <c r="H689" s="3">
        <v>0.57733796296296291</v>
      </c>
      <c r="I689" s="1" t="s">
        <v>375</v>
      </c>
      <c r="J689" s="1" t="s">
        <v>30</v>
      </c>
      <c r="K689">
        <v>2</v>
      </c>
      <c r="L689" t="str">
        <f>IF(tblOrders[[#This Row],[Quantity]]&lt;=0,"Check","OK")</f>
        <v>OK</v>
      </c>
      <c r="M689" s="1" t="str">
        <f>IF(tblOrders[[#This Row],[Delivery_Date]]&lt;tblOrders[[#This Row],[Order_Date]],"Error","OK")</f>
        <v>OK</v>
      </c>
    </row>
    <row r="690" spans="1:13" x14ac:dyDescent="0.25">
      <c r="A690" s="1">
        <v>689</v>
      </c>
      <c r="B690" s="1" t="s">
        <v>237</v>
      </c>
      <c r="C690">
        <v>66</v>
      </c>
      <c r="D690">
        <v>4</v>
      </c>
      <c r="E690" s="2">
        <v>44987</v>
      </c>
      <c r="F690" s="3">
        <v>0.24493055555555557</v>
      </c>
      <c r="G690" s="2">
        <v>44992</v>
      </c>
      <c r="H690" s="3">
        <v>0.45864583333333331</v>
      </c>
      <c r="I690" s="1" t="s">
        <v>541</v>
      </c>
      <c r="J690" s="1" t="s">
        <v>25</v>
      </c>
      <c r="K690">
        <v>5</v>
      </c>
      <c r="L690" t="str">
        <f>IF(tblOrders[[#This Row],[Quantity]]&lt;=0,"Check","OK")</f>
        <v>OK</v>
      </c>
      <c r="M690" s="1" t="str">
        <f>IF(tblOrders[[#This Row],[Delivery_Date]]&lt;tblOrders[[#This Row],[Order_Date]],"Error","OK")</f>
        <v>OK</v>
      </c>
    </row>
    <row r="691" spans="1:13" x14ac:dyDescent="0.25">
      <c r="A691" s="1">
        <v>690</v>
      </c>
      <c r="B691" s="1" t="s">
        <v>333</v>
      </c>
      <c r="C691">
        <v>48</v>
      </c>
      <c r="D691">
        <v>2</v>
      </c>
      <c r="E691" s="2">
        <v>45232</v>
      </c>
      <c r="F691" s="3">
        <v>0.88431712962962961</v>
      </c>
      <c r="G691" s="2">
        <v>45235</v>
      </c>
      <c r="H691" s="3">
        <v>0.89777777777777779</v>
      </c>
      <c r="I691" s="1" t="s">
        <v>548</v>
      </c>
      <c r="J691" s="1" t="s">
        <v>19</v>
      </c>
      <c r="K691">
        <v>3</v>
      </c>
      <c r="L691" t="str">
        <f>IF(tblOrders[[#This Row],[Quantity]]&lt;=0,"Check","OK")</f>
        <v>OK</v>
      </c>
      <c r="M691" s="1" t="str">
        <f>IF(tblOrders[[#This Row],[Delivery_Date]]&lt;tblOrders[[#This Row],[Order_Date]],"Error","OK")</f>
        <v>OK</v>
      </c>
    </row>
    <row r="692" spans="1:13" x14ac:dyDescent="0.25">
      <c r="A692" s="1">
        <v>691</v>
      </c>
      <c r="B692" s="1" t="s">
        <v>488</v>
      </c>
      <c r="C692">
        <v>48</v>
      </c>
      <c r="D692">
        <v>5</v>
      </c>
      <c r="E692" s="2">
        <v>45236</v>
      </c>
      <c r="F692" s="3">
        <v>0.22410879629629629</v>
      </c>
      <c r="G692" s="2">
        <v>45240</v>
      </c>
      <c r="H692" s="3">
        <v>0.46418981481481481</v>
      </c>
      <c r="I692" s="1" t="s">
        <v>418</v>
      </c>
      <c r="J692" s="1" t="s">
        <v>19</v>
      </c>
      <c r="K692">
        <v>4</v>
      </c>
      <c r="L692" t="str">
        <f>IF(tblOrders[[#This Row],[Quantity]]&lt;=0,"Check","OK")</f>
        <v>OK</v>
      </c>
      <c r="M692" s="1" t="str">
        <f>IF(tblOrders[[#This Row],[Delivery_Date]]&lt;tblOrders[[#This Row],[Order_Date]],"Error","OK")</f>
        <v>OK</v>
      </c>
    </row>
    <row r="693" spans="1:13" x14ac:dyDescent="0.25">
      <c r="A693" s="1">
        <v>692</v>
      </c>
      <c r="B693" s="1" t="s">
        <v>329</v>
      </c>
      <c r="C693">
        <v>15</v>
      </c>
      <c r="D693">
        <v>2</v>
      </c>
      <c r="E693" s="2">
        <v>45149</v>
      </c>
      <c r="F693" s="3">
        <v>0.29508101851851853</v>
      </c>
      <c r="G693" s="2">
        <v>45156</v>
      </c>
      <c r="H693" s="3">
        <v>0.28098379629629627</v>
      </c>
      <c r="I693" s="1" t="s">
        <v>346</v>
      </c>
      <c r="J693" s="1" t="s">
        <v>30</v>
      </c>
      <c r="K693">
        <v>7</v>
      </c>
      <c r="L693" t="str">
        <f>IF(tblOrders[[#This Row],[Quantity]]&lt;=0,"Check","OK")</f>
        <v>OK</v>
      </c>
      <c r="M693" s="1" t="str">
        <f>IF(tblOrders[[#This Row],[Delivery_Date]]&lt;tblOrders[[#This Row],[Order_Date]],"Error","OK")</f>
        <v>OK</v>
      </c>
    </row>
    <row r="694" spans="1:13" x14ac:dyDescent="0.25">
      <c r="A694" s="1">
        <v>693</v>
      </c>
      <c r="B694" s="1" t="s">
        <v>206</v>
      </c>
      <c r="C694">
        <v>4</v>
      </c>
      <c r="D694">
        <v>5</v>
      </c>
      <c r="E694" s="2">
        <v>45234</v>
      </c>
      <c r="F694" s="3">
        <v>0.99230324074074072</v>
      </c>
      <c r="G694" s="2">
        <v>45237</v>
      </c>
      <c r="H694" s="3">
        <v>0.23017361111111112</v>
      </c>
      <c r="I694" s="1" t="s">
        <v>485</v>
      </c>
      <c r="J694" s="1" t="s">
        <v>19</v>
      </c>
      <c r="K694">
        <v>3</v>
      </c>
      <c r="L694" t="str">
        <f>IF(tblOrders[[#This Row],[Quantity]]&lt;=0,"Check","OK")</f>
        <v>OK</v>
      </c>
      <c r="M694" s="1" t="str">
        <f>IF(tblOrders[[#This Row],[Delivery_Date]]&lt;tblOrders[[#This Row],[Order_Date]],"Error","OK")</f>
        <v>OK</v>
      </c>
    </row>
    <row r="695" spans="1:13" x14ac:dyDescent="0.25">
      <c r="A695" s="1">
        <v>694</v>
      </c>
      <c r="B695" s="1" t="s">
        <v>208</v>
      </c>
      <c r="C695">
        <v>23</v>
      </c>
      <c r="D695">
        <v>2</v>
      </c>
      <c r="E695" s="2">
        <v>45031</v>
      </c>
      <c r="F695" s="3">
        <v>0.81003472222222217</v>
      </c>
      <c r="G695" s="2">
        <v>45037</v>
      </c>
      <c r="H695" s="3">
        <v>0.70753472222222225</v>
      </c>
      <c r="I695" s="1" t="s">
        <v>255</v>
      </c>
      <c r="J695" s="1" t="s">
        <v>30</v>
      </c>
      <c r="K695">
        <v>6</v>
      </c>
      <c r="L695" t="str">
        <f>IF(tblOrders[[#This Row],[Quantity]]&lt;=0,"Check","OK")</f>
        <v>OK</v>
      </c>
      <c r="M695" s="1" t="str">
        <f>IF(tblOrders[[#This Row],[Delivery_Date]]&lt;tblOrders[[#This Row],[Order_Date]],"Error","OK")</f>
        <v>OK</v>
      </c>
    </row>
    <row r="696" spans="1:13" x14ac:dyDescent="0.25">
      <c r="A696" s="1">
        <v>695</v>
      </c>
      <c r="B696" s="1" t="s">
        <v>237</v>
      </c>
      <c r="C696">
        <v>23</v>
      </c>
      <c r="D696">
        <v>4</v>
      </c>
      <c r="E696" s="2">
        <v>44990</v>
      </c>
      <c r="F696" s="3">
        <v>0.69226851851851856</v>
      </c>
      <c r="G696" s="2">
        <v>44999</v>
      </c>
      <c r="H696" s="3">
        <v>0.70953703703703708</v>
      </c>
      <c r="I696" s="1" t="s">
        <v>456</v>
      </c>
      <c r="J696" s="1" t="s">
        <v>30</v>
      </c>
      <c r="K696">
        <v>9</v>
      </c>
      <c r="L696" t="str">
        <f>IF(tblOrders[[#This Row],[Quantity]]&lt;=0,"Check","OK")</f>
        <v>OK</v>
      </c>
      <c r="M696" s="1" t="str">
        <f>IF(tblOrders[[#This Row],[Delivery_Date]]&lt;tblOrders[[#This Row],[Order_Date]],"Error","OK")</f>
        <v>OK</v>
      </c>
    </row>
    <row r="697" spans="1:13" x14ac:dyDescent="0.25">
      <c r="A697" s="1">
        <v>696</v>
      </c>
      <c r="B697" s="1" t="s">
        <v>237</v>
      </c>
      <c r="C697">
        <v>13</v>
      </c>
      <c r="D697">
        <v>3</v>
      </c>
      <c r="E697" s="2">
        <v>44992</v>
      </c>
      <c r="F697" s="3">
        <v>0.11274305555555555</v>
      </c>
      <c r="G697" s="2">
        <v>44999</v>
      </c>
      <c r="H697" s="3">
        <v>0.63107638888888884</v>
      </c>
      <c r="I697" s="1" t="s">
        <v>549</v>
      </c>
      <c r="J697" s="1" t="s">
        <v>25</v>
      </c>
      <c r="K697">
        <v>7</v>
      </c>
      <c r="L697" t="str">
        <f>IF(tblOrders[[#This Row],[Quantity]]&lt;=0,"Check","OK")</f>
        <v>OK</v>
      </c>
      <c r="M697" s="1" t="str">
        <f>IF(tblOrders[[#This Row],[Delivery_Date]]&lt;tblOrders[[#This Row],[Order_Date]],"Error","OK")</f>
        <v>OK</v>
      </c>
    </row>
    <row r="698" spans="1:13" x14ac:dyDescent="0.25">
      <c r="A698" s="1">
        <v>697</v>
      </c>
      <c r="B698" s="1" t="s">
        <v>335</v>
      </c>
      <c r="C698">
        <v>66</v>
      </c>
      <c r="D698">
        <v>1</v>
      </c>
      <c r="E698" s="2">
        <v>44988</v>
      </c>
      <c r="F698" s="3">
        <v>0.59751157407407407</v>
      </c>
      <c r="G698" s="2">
        <v>44992</v>
      </c>
      <c r="H698" s="3">
        <v>0.63495370370370374</v>
      </c>
      <c r="I698" s="1" t="s">
        <v>315</v>
      </c>
      <c r="J698" s="1" t="s">
        <v>25</v>
      </c>
      <c r="K698">
        <v>4</v>
      </c>
      <c r="L698" t="str">
        <f>IF(tblOrders[[#This Row],[Quantity]]&lt;=0,"Check","OK")</f>
        <v>OK</v>
      </c>
      <c r="M698" s="1" t="str">
        <f>IF(tblOrders[[#This Row],[Delivery_Date]]&lt;tblOrders[[#This Row],[Order_Date]],"Error","OK")</f>
        <v>OK</v>
      </c>
    </row>
    <row r="699" spans="1:13" x14ac:dyDescent="0.25">
      <c r="A699" s="1">
        <v>698</v>
      </c>
      <c r="B699" s="1" t="s">
        <v>299</v>
      </c>
      <c r="C699">
        <v>64</v>
      </c>
      <c r="D699">
        <v>3</v>
      </c>
      <c r="E699" s="2">
        <v>45167</v>
      </c>
      <c r="F699" s="3">
        <v>0.86401620370370369</v>
      </c>
      <c r="G699" s="2">
        <v>45175</v>
      </c>
      <c r="H699" s="3">
        <v>0.62515046296296295</v>
      </c>
      <c r="I699" s="1" t="s">
        <v>314</v>
      </c>
      <c r="J699" s="1" t="s">
        <v>33</v>
      </c>
      <c r="K699">
        <v>8</v>
      </c>
      <c r="L699" t="str">
        <f>IF(tblOrders[[#This Row],[Quantity]]&lt;=0,"Check","OK")</f>
        <v>OK</v>
      </c>
      <c r="M699" s="1" t="str">
        <f>IF(tblOrders[[#This Row],[Delivery_Date]]&lt;tblOrders[[#This Row],[Order_Date]],"Error","OK")</f>
        <v>OK</v>
      </c>
    </row>
    <row r="700" spans="1:13" x14ac:dyDescent="0.25">
      <c r="A700" s="1">
        <v>699</v>
      </c>
      <c r="B700" s="1" t="s">
        <v>200</v>
      </c>
      <c r="C700">
        <v>1</v>
      </c>
      <c r="D700">
        <v>4</v>
      </c>
      <c r="E700" s="2">
        <v>45079</v>
      </c>
      <c r="F700" s="3">
        <v>0.51023148148148145</v>
      </c>
      <c r="G700" s="2">
        <v>45086</v>
      </c>
      <c r="H700" s="3">
        <v>0.96461805555555558</v>
      </c>
      <c r="I700" s="1" t="s">
        <v>271</v>
      </c>
      <c r="J700" s="1" t="s">
        <v>8</v>
      </c>
      <c r="K700">
        <v>7</v>
      </c>
      <c r="L700" t="str">
        <f>IF(tblOrders[[#This Row],[Quantity]]&lt;=0,"Check","OK")</f>
        <v>OK</v>
      </c>
      <c r="M700" s="1" t="str">
        <f>IF(tblOrders[[#This Row],[Delivery_Date]]&lt;tblOrders[[#This Row],[Order_Date]],"Error","OK")</f>
        <v>OK</v>
      </c>
    </row>
    <row r="701" spans="1:13" x14ac:dyDescent="0.25">
      <c r="A701" s="1">
        <v>700</v>
      </c>
      <c r="B701" s="1" t="s">
        <v>239</v>
      </c>
      <c r="C701">
        <v>6</v>
      </c>
      <c r="D701">
        <v>1</v>
      </c>
      <c r="E701" s="2">
        <v>44989</v>
      </c>
      <c r="F701" s="3">
        <v>0.76246527777777773</v>
      </c>
      <c r="G701" s="2">
        <v>44994</v>
      </c>
      <c r="H701" s="3">
        <v>0.57160879629629635</v>
      </c>
      <c r="I701" s="1" t="s">
        <v>294</v>
      </c>
      <c r="J701" s="1" t="s">
        <v>25</v>
      </c>
      <c r="K701">
        <v>5</v>
      </c>
      <c r="L701" t="str">
        <f>IF(tblOrders[[#This Row],[Quantity]]&lt;=0,"Check","OK")</f>
        <v>OK</v>
      </c>
      <c r="M701" s="1" t="str">
        <f>IF(tblOrders[[#This Row],[Delivery_Date]]&lt;tblOrders[[#This Row],[Order_Date]],"Error","OK")</f>
        <v>OK</v>
      </c>
    </row>
    <row r="702" spans="1:13" x14ac:dyDescent="0.25">
      <c r="A702" s="1">
        <v>701</v>
      </c>
      <c r="B702" s="1" t="s">
        <v>235</v>
      </c>
      <c r="C702">
        <v>41</v>
      </c>
      <c r="D702">
        <v>5</v>
      </c>
      <c r="E702" s="2">
        <v>45237</v>
      </c>
      <c r="F702" s="3">
        <v>0.45664351851851853</v>
      </c>
      <c r="G702" s="2">
        <v>45241</v>
      </c>
      <c r="H702" s="3">
        <v>0.20585648148148147</v>
      </c>
      <c r="I702" s="1" t="s">
        <v>457</v>
      </c>
      <c r="J702" s="1" t="s">
        <v>19</v>
      </c>
      <c r="K702">
        <v>4</v>
      </c>
      <c r="L702" t="str">
        <f>IF(tblOrders[[#This Row],[Quantity]]&lt;=0,"Check","OK")</f>
        <v>OK</v>
      </c>
      <c r="M702" s="1" t="str">
        <f>IF(tblOrders[[#This Row],[Delivery_Date]]&lt;tblOrders[[#This Row],[Order_Date]],"Error","OK")</f>
        <v>OK</v>
      </c>
    </row>
    <row r="703" spans="1:13" x14ac:dyDescent="0.25">
      <c r="A703" s="1">
        <v>702</v>
      </c>
      <c r="B703" s="1" t="s">
        <v>229</v>
      </c>
      <c r="C703">
        <v>60</v>
      </c>
      <c r="D703">
        <v>1</v>
      </c>
      <c r="E703" s="2">
        <v>45240</v>
      </c>
      <c r="F703" s="3">
        <v>0.36416666666666669</v>
      </c>
      <c r="G703" s="2">
        <v>45248</v>
      </c>
      <c r="H703" s="3">
        <v>0.26817129629629627</v>
      </c>
      <c r="I703" s="1" t="s">
        <v>509</v>
      </c>
      <c r="J703" s="1" t="s">
        <v>19</v>
      </c>
      <c r="K703">
        <v>8</v>
      </c>
      <c r="L703" t="str">
        <f>IF(tblOrders[[#This Row],[Quantity]]&lt;=0,"Check","OK")</f>
        <v>OK</v>
      </c>
      <c r="M703" s="1" t="str">
        <f>IF(tblOrders[[#This Row],[Delivery_Date]]&lt;tblOrders[[#This Row],[Order_Date]],"Error","OK")</f>
        <v>OK</v>
      </c>
    </row>
    <row r="704" spans="1:13" x14ac:dyDescent="0.25">
      <c r="A704" s="1">
        <v>703</v>
      </c>
      <c r="B704" s="1" t="s">
        <v>343</v>
      </c>
      <c r="C704">
        <v>53</v>
      </c>
      <c r="D704">
        <v>4</v>
      </c>
      <c r="E704" s="2">
        <v>45161</v>
      </c>
      <c r="F704" s="3">
        <v>0.68031249999999999</v>
      </c>
      <c r="G704" s="2">
        <v>45170</v>
      </c>
      <c r="H704" s="3">
        <v>0.25839120370370372</v>
      </c>
      <c r="I704" s="1" t="s">
        <v>194</v>
      </c>
      <c r="J704" s="1" t="s">
        <v>33</v>
      </c>
      <c r="K704">
        <v>9</v>
      </c>
      <c r="L704" t="str">
        <f>IF(tblOrders[[#This Row],[Quantity]]&lt;=0,"Check","OK")</f>
        <v>OK</v>
      </c>
      <c r="M704" s="1" t="str">
        <f>IF(tblOrders[[#This Row],[Delivery_Date]]&lt;tblOrders[[#This Row],[Order_Date]],"Error","OK")</f>
        <v>OK</v>
      </c>
    </row>
    <row r="705" spans="1:13" x14ac:dyDescent="0.25">
      <c r="A705" s="1">
        <v>704</v>
      </c>
      <c r="B705" s="1" t="s">
        <v>302</v>
      </c>
      <c r="C705">
        <v>55</v>
      </c>
      <c r="D705">
        <v>4</v>
      </c>
      <c r="E705" s="2">
        <v>45167</v>
      </c>
      <c r="F705" s="3">
        <v>0.10219907407407407</v>
      </c>
      <c r="G705" s="2">
        <v>45168</v>
      </c>
      <c r="H705" s="3">
        <v>0.56706018518518519</v>
      </c>
      <c r="I705" s="1" t="s">
        <v>511</v>
      </c>
      <c r="J705" s="1" t="s">
        <v>33</v>
      </c>
      <c r="K705">
        <v>1</v>
      </c>
      <c r="L705" t="str">
        <f>IF(tblOrders[[#This Row],[Quantity]]&lt;=0,"Check","OK")</f>
        <v>OK</v>
      </c>
      <c r="M705" s="1" t="str">
        <f>IF(tblOrders[[#This Row],[Delivery_Date]]&lt;tblOrders[[#This Row],[Order_Date]],"Error","OK")</f>
        <v>OK</v>
      </c>
    </row>
    <row r="706" spans="1:13" x14ac:dyDescent="0.25">
      <c r="A706" s="1">
        <v>705</v>
      </c>
      <c r="B706" s="1" t="s">
        <v>400</v>
      </c>
      <c r="C706">
        <v>7</v>
      </c>
      <c r="D706">
        <v>1</v>
      </c>
      <c r="E706" s="2">
        <v>44990</v>
      </c>
      <c r="F706" s="3">
        <v>0.76251157407407411</v>
      </c>
      <c r="G706" s="2">
        <v>44999</v>
      </c>
      <c r="H706" s="3">
        <v>0.74802083333333336</v>
      </c>
      <c r="I706" s="1" t="s">
        <v>516</v>
      </c>
      <c r="J706" s="1" t="s">
        <v>25</v>
      </c>
      <c r="K706">
        <v>9</v>
      </c>
      <c r="L706" t="str">
        <f>IF(tblOrders[[#This Row],[Quantity]]&lt;=0,"Check","OK")</f>
        <v>OK</v>
      </c>
      <c r="M706" s="1" t="str">
        <f>IF(tblOrders[[#This Row],[Delivery_Date]]&lt;tblOrders[[#This Row],[Order_Date]],"Error","OK")</f>
        <v>OK</v>
      </c>
    </row>
    <row r="707" spans="1:13" x14ac:dyDescent="0.25">
      <c r="A707" s="1">
        <v>706</v>
      </c>
      <c r="B707" s="1" t="s">
        <v>210</v>
      </c>
      <c r="C707">
        <v>67</v>
      </c>
      <c r="D707">
        <v>2</v>
      </c>
      <c r="E707" s="2">
        <v>45042</v>
      </c>
      <c r="F707" s="3">
        <v>0.23276620370370371</v>
      </c>
      <c r="G707" s="2">
        <v>45050</v>
      </c>
      <c r="H707" s="3">
        <v>0.55081018518518521</v>
      </c>
      <c r="I707" s="1" t="s">
        <v>201</v>
      </c>
      <c r="J707" s="1" t="s">
        <v>30</v>
      </c>
      <c r="K707">
        <v>8</v>
      </c>
      <c r="L707" t="str">
        <f>IF(tblOrders[[#This Row],[Quantity]]&lt;=0,"Check","OK")</f>
        <v>OK</v>
      </c>
      <c r="M707" s="1" t="str">
        <f>IF(tblOrders[[#This Row],[Delivery_Date]]&lt;tblOrders[[#This Row],[Order_Date]],"Error","OK")</f>
        <v>OK</v>
      </c>
    </row>
    <row r="708" spans="1:13" x14ac:dyDescent="0.25">
      <c r="A708" s="1">
        <v>707</v>
      </c>
      <c r="B708" s="1" t="s">
        <v>250</v>
      </c>
      <c r="C708">
        <v>70</v>
      </c>
      <c r="D708">
        <v>4</v>
      </c>
      <c r="E708" s="2">
        <v>44960</v>
      </c>
      <c r="F708" s="3">
        <v>0.26210648148148147</v>
      </c>
      <c r="G708" s="2">
        <v>44969</v>
      </c>
      <c r="H708" s="3">
        <v>4.4664351851851851E-2</v>
      </c>
      <c r="I708" s="1" t="s">
        <v>445</v>
      </c>
      <c r="J708" s="1" t="s">
        <v>36</v>
      </c>
      <c r="K708">
        <v>9</v>
      </c>
      <c r="L708" t="str">
        <f>IF(tblOrders[[#This Row],[Quantity]]&lt;=0,"Check","OK")</f>
        <v>OK</v>
      </c>
      <c r="M708" s="1" t="str">
        <f>IF(tblOrders[[#This Row],[Delivery_Date]]&lt;tblOrders[[#This Row],[Order_Date]],"Error","OK")</f>
        <v>OK</v>
      </c>
    </row>
    <row r="709" spans="1:13" x14ac:dyDescent="0.25">
      <c r="A709" s="1">
        <v>708</v>
      </c>
      <c r="B709" s="1" t="s">
        <v>488</v>
      </c>
      <c r="C709">
        <v>62</v>
      </c>
      <c r="D709">
        <v>3</v>
      </c>
      <c r="E709" s="2">
        <v>44988</v>
      </c>
      <c r="F709" s="3">
        <v>0.45781250000000001</v>
      </c>
      <c r="G709" s="2">
        <v>44997</v>
      </c>
      <c r="H709" s="3">
        <v>0.21221064814814813</v>
      </c>
      <c r="I709" s="1" t="s">
        <v>314</v>
      </c>
      <c r="J709" s="1" t="s">
        <v>25</v>
      </c>
      <c r="K709">
        <v>9</v>
      </c>
      <c r="L709" t="str">
        <f>IF(tblOrders[[#This Row],[Quantity]]&lt;=0,"Check","OK")</f>
        <v>OK</v>
      </c>
      <c r="M709" s="1" t="str">
        <f>IF(tblOrders[[#This Row],[Delivery_Date]]&lt;tblOrders[[#This Row],[Order_Date]],"Error","OK")</f>
        <v>OK</v>
      </c>
    </row>
    <row r="710" spans="1:13" x14ac:dyDescent="0.25">
      <c r="A710" s="1">
        <v>709</v>
      </c>
      <c r="B710" s="1" t="s">
        <v>392</v>
      </c>
      <c r="C710">
        <v>53</v>
      </c>
      <c r="D710">
        <v>5</v>
      </c>
      <c r="E710" s="2">
        <v>45167</v>
      </c>
      <c r="F710" s="3">
        <v>0.19311342592592592</v>
      </c>
      <c r="G710" s="2">
        <v>45176</v>
      </c>
      <c r="H710" s="3">
        <v>0.72864583333333333</v>
      </c>
      <c r="I710" s="1" t="s">
        <v>339</v>
      </c>
      <c r="J710" s="1" t="s">
        <v>33</v>
      </c>
      <c r="K710">
        <v>9</v>
      </c>
      <c r="L710" t="str">
        <f>IF(tblOrders[[#This Row],[Quantity]]&lt;=0,"Check","OK")</f>
        <v>OK</v>
      </c>
      <c r="M710" s="1" t="str">
        <f>IF(tblOrders[[#This Row],[Delivery_Date]]&lt;tblOrders[[#This Row],[Order_Date]],"Error","OK")</f>
        <v>OK</v>
      </c>
    </row>
    <row r="711" spans="1:13" x14ac:dyDescent="0.25">
      <c r="A711" s="1">
        <v>710</v>
      </c>
      <c r="B711" s="1" t="s">
        <v>347</v>
      </c>
      <c r="C711">
        <v>54</v>
      </c>
      <c r="D711">
        <v>5</v>
      </c>
      <c r="E711" s="2">
        <v>45068</v>
      </c>
      <c r="F711" s="3">
        <v>6.4618055555555554E-2</v>
      </c>
      <c r="G711" s="2">
        <v>45075</v>
      </c>
      <c r="H711" s="3">
        <v>7.2129629629629627E-2</v>
      </c>
      <c r="I711" s="1" t="s">
        <v>363</v>
      </c>
      <c r="J711" s="1" t="s">
        <v>30</v>
      </c>
      <c r="K711">
        <v>7</v>
      </c>
      <c r="L711" t="str">
        <f>IF(tblOrders[[#This Row],[Quantity]]&lt;=0,"Check","OK")</f>
        <v>OK</v>
      </c>
      <c r="M711" s="1" t="str">
        <f>IF(tblOrders[[#This Row],[Delivery_Date]]&lt;tblOrders[[#This Row],[Order_Date]],"Error","OK")</f>
        <v>OK</v>
      </c>
    </row>
    <row r="712" spans="1:13" x14ac:dyDescent="0.25">
      <c r="A712" s="1">
        <v>711</v>
      </c>
      <c r="B712" s="1" t="s">
        <v>398</v>
      </c>
      <c r="C712">
        <v>68</v>
      </c>
      <c r="D712">
        <v>3</v>
      </c>
      <c r="E712" s="2">
        <v>44961</v>
      </c>
      <c r="F712" s="3">
        <v>0.71907407407407409</v>
      </c>
      <c r="G712" s="2">
        <v>44963</v>
      </c>
      <c r="H712" s="3">
        <v>0.61866898148148153</v>
      </c>
      <c r="I712" s="1" t="s">
        <v>346</v>
      </c>
      <c r="J712" s="1" t="s">
        <v>12</v>
      </c>
      <c r="K712">
        <v>2</v>
      </c>
      <c r="L712" t="str">
        <f>IF(tblOrders[[#This Row],[Quantity]]&lt;=0,"Check","OK")</f>
        <v>OK</v>
      </c>
      <c r="M712" s="1" t="str">
        <f>IF(tblOrders[[#This Row],[Delivery_Date]]&lt;tblOrders[[#This Row],[Order_Date]],"Error","OK")</f>
        <v>OK</v>
      </c>
    </row>
    <row r="713" spans="1:13" x14ac:dyDescent="0.25">
      <c r="A713" s="1">
        <v>712</v>
      </c>
      <c r="B713" s="1" t="s">
        <v>279</v>
      </c>
      <c r="C713">
        <v>65</v>
      </c>
      <c r="D713">
        <v>5</v>
      </c>
      <c r="E713" s="2">
        <v>45118</v>
      </c>
      <c r="F713" s="3">
        <v>0.54180555555555554</v>
      </c>
      <c r="G713" s="2">
        <v>45120</v>
      </c>
      <c r="H713" s="3">
        <v>0.27427083333333335</v>
      </c>
      <c r="I713" s="1" t="s">
        <v>506</v>
      </c>
      <c r="J713" s="1" t="s">
        <v>8</v>
      </c>
      <c r="K713">
        <v>2</v>
      </c>
      <c r="L713" t="str">
        <f>IF(tblOrders[[#This Row],[Quantity]]&lt;=0,"Check","OK")</f>
        <v>OK</v>
      </c>
      <c r="M713" s="1" t="str">
        <f>IF(tblOrders[[#This Row],[Delivery_Date]]&lt;tblOrders[[#This Row],[Order_Date]],"Error","OK")</f>
        <v>OK</v>
      </c>
    </row>
    <row r="714" spans="1:13" x14ac:dyDescent="0.25">
      <c r="A714" s="1">
        <v>713</v>
      </c>
      <c r="B714" s="1" t="s">
        <v>313</v>
      </c>
      <c r="C714">
        <v>37</v>
      </c>
      <c r="D714">
        <v>3</v>
      </c>
      <c r="E714" s="2">
        <v>45238</v>
      </c>
      <c r="F714" s="3">
        <v>0.97525462962962961</v>
      </c>
      <c r="G714" s="2">
        <v>45245</v>
      </c>
      <c r="H714" s="3">
        <v>0.95232638888888888</v>
      </c>
      <c r="I714" s="1" t="s">
        <v>346</v>
      </c>
      <c r="J714" s="1" t="s">
        <v>19</v>
      </c>
      <c r="K714">
        <v>7</v>
      </c>
      <c r="L714" t="str">
        <f>IF(tblOrders[[#This Row],[Quantity]]&lt;=0,"Check","OK")</f>
        <v>OK</v>
      </c>
      <c r="M714" s="1" t="str">
        <f>IF(tblOrders[[#This Row],[Delivery_Date]]&lt;tblOrders[[#This Row],[Order_Date]],"Error","OK")</f>
        <v>OK</v>
      </c>
    </row>
    <row r="715" spans="1:13" x14ac:dyDescent="0.25">
      <c r="A715" s="1">
        <v>714</v>
      </c>
      <c r="B715" s="1" t="s">
        <v>291</v>
      </c>
      <c r="C715">
        <v>63</v>
      </c>
      <c r="D715">
        <v>2</v>
      </c>
      <c r="E715" s="2">
        <v>45078</v>
      </c>
      <c r="F715" s="3">
        <v>0.8112152777777778</v>
      </c>
      <c r="G715" s="2">
        <v>45080</v>
      </c>
      <c r="H715" s="3">
        <v>0.32917824074074076</v>
      </c>
      <c r="I715" s="1" t="s">
        <v>550</v>
      </c>
      <c r="J715" s="1" t="s">
        <v>8</v>
      </c>
      <c r="K715">
        <v>2</v>
      </c>
      <c r="L715" t="str">
        <f>IF(tblOrders[[#This Row],[Quantity]]&lt;=0,"Check","OK")</f>
        <v>OK</v>
      </c>
      <c r="M715" s="1" t="str">
        <f>IF(tblOrders[[#This Row],[Delivery_Date]]&lt;tblOrders[[#This Row],[Order_Date]],"Error","OK")</f>
        <v>OK</v>
      </c>
    </row>
    <row r="716" spans="1:13" x14ac:dyDescent="0.25">
      <c r="A716" s="1">
        <v>715</v>
      </c>
      <c r="B716" s="1" t="s">
        <v>191</v>
      </c>
      <c r="C716">
        <v>38</v>
      </c>
      <c r="D716">
        <v>4</v>
      </c>
      <c r="E716" s="2">
        <v>45030</v>
      </c>
      <c r="F716" s="3">
        <v>0.21994212962962964</v>
      </c>
      <c r="G716" s="2">
        <v>45037</v>
      </c>
      <c r="H716" s="3">
        <v>0.69410879629629629</v>
      </c>
      <c r="I716" s="1" t="s">
        <v>205</v>
      </c>
      <c r="J716" s="1" t="s">
        <v>36</v>
      </c>
      <c r="K716">
        <v>7</v>
      </c>
      <c r="L716" t="str">
        <f>IF(tblOrders[[#This Row],[Quantity]]&lt;=0,"Check","OK")</f>
        <v>OK</v>
      </c>
      <c r="M716" s="1" t="str">
        <f>IF(tblOrders[[#This Row],[Delivery_Date]]&lt;tblOrders[[#This Row],[Order_Date]],"Error","OK")</f>
        <v>OK</v>
      </c>
    </row>
    <row r="717" spans="1:13" x14ac:dyDescent="0.25">
      <c r="A717" s="1">
        <v>716</v>
      </c>
      <c r="B717" s="1" t="s">
        <v>417</v>
      </c>
      <c r="C717">
        <v>40</v>
      </c>
      <c r="D717">
        <v>3</v>
      </c>
      <c r="E717" s="2">
        <v>45157</v>
      </c>
      <c r="F717" s="3">
        <v>0.97097222222222224</v>
      </c>
      <c r="G717" s="2">
        <v>45164</v>
      </c>
      <c r="H717" s="3">
        <v>6.94212962962963E-2</v>
      </c>
      <c r="I717" s="1" t="s">
        <v>320</v>
      </c>
      <c r="J717" s="1" t="s">
        <v>30</v>
      </c>
      <c r="K717">
        <v>7</v>
      </c>
      <c r="L717" t="str">
        <f>IF(tblOrders[[#This Row],[Quantity]]&lt;=0,"Check","OK")</f>
        <v>OK</v>
      </c>
      <c r="M717" s="1" t="str">
        <f>IF(tblOrders[[#This Row],[Delivery_Date]]&lt;tblOrders[[#This Row],[Order_Date]],"Error","OK")</f>
        <v>OK</v>
      </c>
    </row>
    <row r="718" spans="1:13" x14ac:dyDescent="0.25">
      <c r="A718" s="1">
        <v>717</v>
      </c>
      <c r="B718" s="1" t="s">
        <v>242</v>
      </c>
      <c r="C718">
        <v>67</v>
      </c>
      <c r="D718">
        <v>5</v>
      </c>
      <c r="E718" s="2">
        <v>45102</v>
      </c>
      <c r="F718" s="3">
        <v>0.26287037037037037</v>
      </c>
      <c r="G718" s="2">
        <v>45103</v>
      </c>
      <c r="H718" s="3">
        <v>0.97277777777777774</v>
      </c>
      <c r="I718" s="1" t="s">
        <v>551</v>
      </c>
      <c r="J718" s="1" t="s">
        <v>30</v>
      </c>
      <c r="K718">
        <v>1</v>
      </c>
      <c r="L718" t="str">
        <f>IF(tblOrders[[#This Row],[Quantity]]&lt;=0,"Check","OK")</f>
        <v>OK</v>
      </c>
      <c r="M718" s="1" t="str">
        <f>IF(tblOrders[[#This Row],[Delivery_Date]]&lt;tblOrders[[#This Row],[Order_Date]],"Error","OK")</f>
        <v>OK</v>
      </c>
    </row>
    <row r="719" spans="1:13" x14ac:dyDescent="0.25">
      <c r="A719" s="1">
        <v>718</v>
      </c>
      <c r="B719" s="1" t="s">
        <v>283</v>
      </c>
      <c r="C719">
        <v>49</v>
      </c>
      <c r="D719">
        <v>1</v>
      </c>
      <c r="E719" s="2">
        <v>44966</v>
      </c>
      <c r="F719" s="3">
        <v>0.2177662037037037</v>
      </c>
      <c r="G719" s="2">
        <v>44970</v>
      </c>
      <c r="H719" s="3">
        <v>0.26533564814814814</v>
      </c>
      <c r="I719" s="1" t="s">
        <v>552</v>
      </c>
      <c r="J719" s="1" t="s">
        <v>12</v>
      </c>
      <c r="K719">
        <v>4</v>
      </c>
      <c r="L719" t="str">
        <f>IF(tblOrders[[#This Row],[Quantity]]&lt;=0,"Check","OK")</f>
        <v>OK</v>
      </c>
      <c r="M719" s="1" t="str">
        <f>IF(tblOrders[[#This Row],[Delivery_Date]]&lt;tblOrders[[#This Row],[Order_Date]],"Error","OK")</f>
        <v>OK</v>
      </c>
    </row>
    <row r="720" spans="1:13" x14ac:dyDescent="0.25">
      <c r="A720" s="1">
        <v>719</v>
      </c>
      <c r="B720" s="1" t="s">
        <v>361</v>
      </c>
      <c r="C720">
        <v>57</v>
      </c>
      <c r="D720">
        <v>3</v>
      </c>
      <c r="E720" s="2">
        <v>45119</v>
      </c>
      <c r="F720" s="3">
        <v>0.3228125</v>
      </c>
      <c r="G720" s="2">
        <v>45126</v>
      </c>
      <c r="H720" s="3">
        <v>7.7361111111111117E-2</v>
      </c>
      <c r="I720" s="1" t="s">
        <v>397</v>
      </c>
      <c r="J720" s="1" t="s">
        <v>36</v>
      </c>
      <c r="K720">
        <v>7</v>
      </c>
      <c r="L720" t="str">
        <f>IF(tblOrders[[#This Row],[Quantity]]&lt;=0,"Check","OK")</f>
        <v>OK</v>
      </c>
      <c r="M720" s="1" t="str">
        <f>IF(tblOrders[[#This Row],[Delivery_Date]]&lt;tblOrders[[#This Row],[Order_Date]],"Error","OK")</f>
        <v>OK</v>
      </c>
    </row>
    <row r="721" spans="1:13" x14ac:dyDescent="0.25">
      <c r="A721" s="1">
        <v>720</v>
      </c>
      <c r="B721" s="1" t="s">
        <v>254</v>
      </c>
      <c r="C721">
        <v>22</v>
      </c>
      <c r="D721">
        <v>5</v>
      </c>
      <c r="E721" s="2">
        <v>45275</v>
      </c>
      <c r="F721" s="3">
        <v>0.61297453703703708</v>
      </c>
      <c r="G721" s="2">
        <v>45280</v>
      </c>
      <c r="H721" s="3">
        <v>0.25495370370370368</v>
      </c>
      <c r="I721" s="1" t="s">
        <v>231</v>
      </c>
      <c r="J721" s="1" t="s">
        <v>8</v>
      </c>
      <c r="K721">
        <v>5</v>
      </c>
      <c r="L721" t="str">
        <f>IF(tblOrders[[#This Row],[Quantity]]&lt;=0,"Check","OK")</f>
        <v>OK</v>
      </c>
      <c r="M721" s="1" t="str">
        <f>IF(tblOrders[[#This Row],[Delivery_Date]]&lt;tblOrders[[#This Row],[Order_Date]],"Error","OK")</f>
        <v>OK</v>
      </c>
    </row>
    <row r="722" spans="1:13" x14ac:dyDescent="0.25">
      <c r="A722" s="1">
        <v>721</v>
      </c>
      <c r="B722" s="1" t="s">
        <v>349</v>
      </c>
      <c r="C722">
        <v>3</v>
      </c>
      <c r="D722">
        <v>5</v>
      </c>
      <c r="E722" s="2">
        <v>44964</v>
      </c>
      <c r="F722" s="3">
        <v>0.1446875</v>
      </c>
      <c r="G722" s="2">
        <v>44974</v>
      </c>
      <c r="H722" s="3">
        <v>0.76946759259259256</v>
      </c>
      <c r="I722" s="1" t="s">
        <v>553</v>
      </c>
      <c r="J722" s="1" t="s">
        <v>12</v>
      </c>
      <c r="K722">
        <v>10</v>
      </c>
      <c r="L722" t="str">
        <f>IF(tblOrders[[#This Row],[Quantity]]&lt;=0,"Check","OK")</f>
        <v>OK</v>
      </c>
      <c r="M722" s="1" t="str">
        <f>IF(tblOrders[[#This Row],[Delivery_Date]]&lt;tblOrders[[#This Row],[Order_Date]],"Error","OK")</f>
        <v>OK</v>
      </c>
    </row>
    <row r="723" spans="1:13" x14ac:dyDescent="0.25">
      <c r="A723" s="1">
        <v>722</v>
      </c>
      <c r="B723" s="1" t="s">
        <v>182</v>
      </c>
      <c r="C723">
        <v>13</v>
      </c>
      <c r="D723">
        <v>5</v>
      </c>
      <c r="E723" s="2">
        <v>44987</v>
      </c>
      <c r="F723" s="3">
        <v>0.72945601851851849</v>
      </c>
      <c r="G723" s="2">
        <v>44993</v>
      </c>
      <c r="H723" s="3">
        <v>0.33817129629629628</v>
      </c>
      <c r="I723" s="1" t="s">
        <v>554</v>
      </c>
      <c r="J723" s="1" t="s">
        <v>25</v>
      </c>
      <c r="K723">
        <v>6</v>
      </c>
      <c r="L723" t="str">
        <f>IF(tblOrders[[#This Row],[Quantity]]&lt;=0,"Check","OK")</f>
        <v>OK</v>
      </c>
      <c r="M723" s="1" t="str">
        <f>IF(tblOrders[[#This Row],[Delivery_Date]]&lt;tblOrders[[#This Row],[Order_Date]],"Error","OK")</f>
        <v>OK</v>
      </c>
    </row>
    <row r="724" spans="1:13" x14ac:dyDescent="0.25">
      <c r="A724" s="1">
        <v>723</v>
      </c>
      <c r="B724" s="1" t="s">
        <v>254</v>
      </c>
      <c r="C724">
        <v>14</v>
      </c>
      <c r="D724">
        <v>3</v>
      </c>
      <c r="E724" s="2">
        <v>44961</v>
      </c>
      <c r="F724" s="3">
        <v>0.75065972222222221</v>
      </c>
      <c r="G724" s="2">
        <v>44962</v>
      </c>
      <c r="H724" s="3">
        <v>3.9907407407407405E-2</v>
      </c>
      <c r="I724" s="1" t="s">
        <v>530</v>
      </c>
      <c r="J724" s="1" t="s">
        <v>36</v>
      </c>
      <c r="K724">
        <v>1</v>
      </c>
      <c r="L724" t="str">
        <f>IF(tblOrders[[#This Row],[Quantity]]&lt;=0,"Check","OK")</f>
        <v>OK</v>
      </c>
      <c r="M724" s="1" t="str">
        <f>IF(tblOrders[[#This Row],[Delivery_Date]]&lt;tblOrders[[#This Row],[Order_Date]],"Error","OK")</f>
        <v>OK</v>
      </c>
    </row>
    <row r="725" spans="1:13" x14ac:dyDescent="0.25">
      <c r="A725" s="1">
        <v>724</v>
      </c>
      <c r="B725" s="1" t="s">
        <v>242</v>
      </c>
      <c r="C725">
        <v>51</v>
      </c>
      <c r="D725">
        <v>1</v>
      </c>
      <c r="E725" s="2">
        <v>45024</v>
      </c>
      <c r="F725" s="3">
        <v>0.95993055555555551</v>
      </c>
      <c r="G725" s="2">
        <v>45032</v>
      </c>
      <c r="H725" s="3">
        <v>0.33355324074074072</v>
      </c>
      <c r="I725" s="1" t="s">
        <v>286</v>
      </c>
      <c r="J725" s="1" t="s">
        <v>8</v>
      </c>
      <c r="K725">
        <v>8</v>
      </c>
      <c r="L725" t="str">
        <f>IF(tblOrders[[#This Row],[Quantity]]&lt;=0,"Check","OK")</f>
        <v>OK</v>
      </c>
      <c r="M725" s="1" t="str">
        <f>IF(tblOrders[[#This Row],[Delivery_Date]]&lt;tblOrders[[#This Row],[Order_Date]],"Error","OK")</f>
        <v>OK</v>
      </c>
    </row>
    <row r="726" spans="1:13" x14ac:dyDescent="0.25">
      <c r="A726" s="1">
        <v>725</v>
      </c>
      <c r="B726" s="1" t="s">
        <v>329</v>
      </c>
      <c r="C726">
        <v>35</v>
      </c>
      <c r="D726">
        <v>3</v>
      </c>
      <c r="E726" s="2">
        <v>44991</v>
      </c>
      <c r="F726" s="3">
        <v>0.9745138888888889</v>
      </c>
      <c r="G726" s="2">
        <v>44996</v>
      </c>
      <c r="H726" s="3">
        <v>0.83596064814814819</v>
      </c>
      <c r="I726" s="1" t="s">
        <v>322</v>
      </c>
      <c r="J726" s="1" t="s">
        <v>25</v>
      </c>
      <c r="K726">
        <v>5</v>
      </c>
      <c r="L726" t="str">
        <f>IF(tblOrders[[#This Row],[Quantity]]&lt;=0,"Check","OK")</f>
        <v>OK</v>
      </c>
      <c r="M726" s="1" t="str">
        <f>IF(tblOrders[[#This Row],[Delivery_Date]]&lt;tblOrders[[#This Row],[Order_Date]],"Error","OK")</f>
        <v>OK</v>
      </c>
    </row>
    <row r="727" spans="1:13" x14ac:dyDescent="0.25">
      <c r="A727" s="1">
        <v>726</v>
      </c>
      <c r="B727" s="1" t="s">
        <v>182</v>
      </c>
      <c r="C727">
        <v>34</v>
      </c>
      <c r="D727">
        <v>2</v>
      </c>
      <c r="E727" s="2">
        <v>45159</v>
      </c>
      <c r="F727" s="3">
        <v>0.79896990740740736</v>
      </c>
      <c r="G727" s="2">
        <v>45169</v>
      </c>
      <c r="H727" s="3">
        <v>0.78782407407407407</v>
      </c>
      <c r="I727" s="1" t="s">
        <v>486</v>
      </c>
      <c r="J727" s="1" t="s">
        <v>33</v>
      </c>
      <c r="K727">
        <v>10</v>
      </c>
      <c r="L727" t="str">
        <f>IF(tblOrders[[#This Row],[Quantity]]&lt;=0,"Check","OK")</f>
        <v>OK</v>
      </c>
      <c r="M727" s="1" t="str">
        <f>IF(tblOrders[[#This Row],[Delivery_Date]]&lt;tblOrders[[#This Row],[Order_Date]],"Error","OK")</f>
        <v>OK</v>
      </c>
    </row>
    <row r="728" spans="1:13" x14ac:dyDescent="0.25">
      <c r="A728" s="1">
        <v>727</v>
      </c>
      <c r="B728" s="1" t="s">
        <v>302</v>
      </c>
      <c r="C728">
        <v>12</v>
      </c>
      <c r="D728">
        <v>5</v>
      </c>
      <c r="E728" s="2">
        <v>45248</v>
      </c>
      <c r="F728" s="3">
        <v>6.7395833333333335E-2</v>
      </c>
      <c r="G728" s="2">
        <v>45252</v>
      </c>
      <c r="H728" s="3">
        <v>0.68231481481481482</v>
      </c>
      <c r="I728" s="1" t="s">
        <v>282</v>
      </c>
      <c r="J728" s="1" t="s">
        <v>30</v>
      </c>
      <c r="K728">
        <v>4</v>
      </c>
      <c r="L728" t="str">
        <f>IF(tblOrders[[#This Row],[Quantity]]&lt;=0,"Check","OK")</f>
        <v>OK</v>
      </c>
      <c r="M728" s="1" t="str">
        <f>IF(tblOrders[[#This Row],[Delivery_Date]]&lt;tblOrders[[#This Row],[Order_Date]],"Error","OK")</f>
        <v>OK</v>
      </c>
    </row>
    <row r="729" spans="1:13" x14ac:dyDescent="0.25">
      <c r="A729" s="1">
        <v>728</v>
      </c>
      <c r="B729" s="1" t="s">
        <v>471</v>
      </c>
      <c r="C729">
        <v>52</v>
      </c>
      <c r="D729">
        <v>2</v>
      </c>
      <c r="E729" s="2">
        <v>44965</v>
      </c>
      <c r="F729" s="3">
        <v>0.57344907407407408</v>
      </c>
      <c r="G729" s="2">
        <v>44968</v>
      </c>
      <c r="H729" s="3">
        <v>0.67171296296296301</v>
      </c>
      <c r="I729" s="1" t="s">
        <v>473</v>
      </c>
      <c r="J729" s="1" t="s">
        <v>12</v>
      </c>
      <c r="K729">
        <v>3</v>
      </c>
      <c r="L729" t="str">
        <f>IF(tblOrders[[#This Row],[Quantity]]&lt;=0,"Check","OK")</f>
        <v>OK</v>
      </c>
      <c r="M729" s="1" t="str">
        <f>IF(tblOrders[[#This Row],[Delivery_Date]]&lt;tblOrders[[#This Row],[Order_Date]],"Error","OK")</f>
        <v>OK</v>
      </c>
    </row>
    <row r="730" spans="1:13" x14ac:dyDescent="0.25">
      <c r="A730" s="1">
        <v>729</v>
      </c>
      <c r="B730" s="1" t="s">
        <v>337</v>
      </c>
      <c r="C730">
        <v>17</v>
      </c>
      <c r="D730">
        <v>1</v>
      </c>
      <c r="E730" s="2">
        <v>44980</v>
      </c>
      <c r="F730" s="3">
        <v>0.76380787037037035</v>
      </c>
      <c r="G730" s="2">
        <v>44982</v>
      </c>
      <c r="H730" s="3">
        <v>0.49396990740740743</v>
      </c>
      <c r="I730" s="1" t="s">
        <v>217</v>
      </c>
      <c r="J730" s="1" t="s">
        <v>30</v>
      </c>
      <c r="K730">
        <v>2</v>
      </c>
      <c r="L730" t="str">
        <f>IF(tblOrders[[#This Row],[Quantity]]&lt;=0,"Check","OK")</f>
        <v>OK</v>
      </c>
      <c r="M730" s="1" t="str">
        <f>IF(tblOrders[[#This Row],[Delivery_Date]]&lt;tblOrders[[#This Row],[Order_Date]],"Error","OK")</f>
        <v>OK</v>
      </c>
    </row>
    <row r="731" spans="1:13" x14ac:dyDescent="0.25">
      <c r="A731" s="1">
        <v>730</v>
      </c>
      <c r="B731" s="1" t="s">
        <v>180</v>
      </c>
      <c r="C731">
        <v>59</v>
      </c>
      <c r="D731">
        <v>1</v>
      </c>
      <c r="E731" s="2">
        <v>45160</v>
      </c>
      <c r="F731" s="3">
        <v>8.6145833333333338E-2</v>
      </c>
      <c r="G731" s="2">
        <v>45163</v>
      </c>
      <c r="H731" s="3">
        <v>0.94409722222222225</v>
      </c>
      <c r="I731" s="1" t="s">
        <v>528</v>
      </c>
      <c r="J731" s="1" t="s">
        <v>33</v>
      </c>
      <c r="K731">
        <v>3</v>
      </c>
      <c r="L731" t="str">
        <f>IF(tblOrders[[#This Row],[Quantity]]&lt;=0,"Check","OK")</f>
        <v>OK</v>
      </c>
      <c r="M731" s="1" t="str">
        <f>IF(tblOrders[[#This Row],[Delivery_Date]]&lt;tblOrders[[#This Row],[Order_Date]],"Error","OK")</f>
        <v>OK</v>
      </c>
    </row>
    <row r="732" spans="1:13" x14ac:dyDescent="0.25">
      <c r="A732" s="1">
        <v>731</v>
      </c>
      <c r="B732" s="1" t="s">
        <v>333</v>
      </c>
      <c r="C732">
        <v>59</v>
      </c>
      <c r="D732">
        <v>5</v>
      </c>
      <c r="E732" s="2">
        <v>45163</v>
      </c>
      <c r="F732" s="3">
        <v>0.50092592592592589</v>
      </c>
      <c r="G732" s="2">
        <v>45171</v>
      </c>
      <c r="H732" s="3">
        <v>0.46008101851851851</v>
      </c>
      <c r="I732" s="1" t="s">
        <v>218</v>
      </c>
      <c r="J732" s="1" t="s">
        <v>33</v>
      </c>
      <c r="K732">
        <v>8</v>
      </c>
      <c r="L732" t="str">
        <f>IF(tblOrders[[#This Row],[Quantity]]&lt;=0,"Check","OK")</f>
        <v>OK</v>
      </c>
      <c r="M732" s="1" t="str">
        <f>IF(tblOrders[[#This Row],[Delivery_Date]]&lt;tblOrders[[#This Row],[Order_Date]],"Error","OK")</f>
        <v>OK</v>
      </c>
    </row>
    <row r="733" spans="1:13" x14ac:dyDescent="0.25">
      <c r="A733" s="1">
        <v>732</v>
      </c>
      <c r="B733" s="1" t="s">
        <v>347</v>
      </c>
      <c r="C733">
        <v>1</v>
      </c>
      <c r="D733">
        <v>2</v>
      </c>
      <c r="E733" s="2">
        <v>45215</v>
      </c>
      <c r="F733" s="3">
        <v>0.69944444444444442</v>
      </c>
      <c r="G733" s="2">
        <v>45220</v>
      </c>
      <c r="H733" s="3">
        <v>0.7890625</v>
      </c>
      <c r="I733" s="1" t="s">
        <v>518</v>
      </c>
      <c r="J733" s="1" t="s">
        <v>8</v>
      </c>
      <c r="K733">
        <v>5</v>
      </c>
      <c r="L733" t="str">
        <f>IF(tblOrders[[#This Row],[Quantity]]&lt;=0,"Check","OK")</f>
        <v>OK</v>
      </c>
      <c r="M733" s="1" t="str">
        <f>IF(tblOrders[[#This Row],[Delivery_Date]]&lt;tblOrders[[#This Row],[Order_Date]],"Error","OK")</f>
        <v>OK</v>
      </c>
    </row>
    <row r="734" spans="1:13" x14ac:dyDescent="0.25">
      <c r="A734" s="1">
        <v>733</v>
      </c>
      <c r="B734" s="1" t="s">
        <v>299</v>
      </c>
      <c r="C734">
        <v>32</v>
      </c>
      <c r="D734">
        <v>3</v>
      </c>
      <c r="E734" s="2">
        <v>45017</v>
      </c>
      <c r="F734" s="3">
        <v>3.5844907407407409E-2</v>
      </c>
      <c r="G734" s="2">
        <v>45019</v>
      </c>
      <c r="H734" s="3">
        <v>0.10188657407407407</v>
      </c>
      <c r="I734" s="1" t="s">
        <v>207</v>
      </c>
      <c r="J734" s="1" t="s">
        <v>36</v>
      </c>
      <c r="K734">
        <v>2</v>
      </c>
      <c r="L734" t="str">
        <f>IF(tblOrders[[#This Row],[Quantity]]&lt;=0,"Check","OK")</f>
        <v>OK</v>
      </c>
      <c r="M734" s="1" t="str">
        <f>IF(tblOrders[[#This Row],[Delivery_Date]]&lt;tblOrders[[#This Row],[Order_Date]],"Error","OK")</f>
        <v>OK</v>
      </c>
    </row>
    <row r="735" spans="1:13" x14ac:dyDescent="0.25">
      <c r="A735" s="1">
        <v>734</v>
      </c>
      <c r="B735" s="1" t="s">
        <v>289</v>
      </c>
      <c r="C735">
        <v>49</v>
      </c>
      <c r="D735">
        <v>3</v>
      </c>
      <c r="E735" s="2">
        <v>44968</v>
      </c>
      <c r="F735" s="3">
        <v>0.48931712962962964</v>
      </c>
      <c r="G735" s="2">
        <v>44971</v>
      </c>
      <c r="H735" s="3">
        <v>0.37923611111111111</v>
      </c>
      <c r="I735" s="1" t="s">
        <v>181</v>
      </c>
      <c r="J735" s="1" t="s">
        <v>12</v>
      </c>
      <c r="K735">
        <v>3</v>
      </c>
      <c r="L735" t="str">
        <f>IF(tblOrders[[#This Row],[Quantity]]&lt;=0,"Check","OK")</f>
        <v>OK</v>
      </c>
      <c r="M735" s="1" t="str">
        <f>IF(tblOrders[[#This Row],[Delivery_Date]]&lt;tblOrders[[#This Row],[Order_Date]],"Error","OK")</f>
        <v>OK</v>
      </c>
    </row>
    <row r="736" spans="1:13" x14ac:dyDescent="0.25">
      <c r="A736" s="1">
        <v>735</v>
      </c>
      <c r="B736" s="1" t="s">
        <v>166</v>
      </c>
      <c r="C736">
        <v>56</v>
      </c>
      <c r="D736">
        <v>1</v>
      </c>
      <c r="E736" s="2">
        <v>44959</v>
      </c>
      <c r="F736" s="3">
        <v>0.30724537037037036</v>
      </c>
      <c r="G736" s="2">
        <v>44961</v>
      </c>
      <c r="H736" s="3">
        <v>0.24858796296296296</v>
      </c>
      <c r="I736" s="1" t="s">
        <v>219</v>
      </c>
      <c r="J736" s="1" t="s">
        <v>30</v>
      </c>
      <c r="K736">
        <v>2</v>
      </c>
      <c r="L736" t="str">
        <f>IF(tblOrders[[#This Row],[Quantity]]&lt;=0,"Check","OK")</f>
        <v>OK</v>
      </c>
      <c r="M736" s="1" t="str">
        <f>IF(tblOrders[[#This Row],[Delivery_Date]]&lt;tblOrders[[#This Row],[Order_Date]],"Error","OK")</f>
        <v>OK</v>
      </c>
    </row>
    <row r="737" spans="1:13" x14ac:dyDescent="0.25">
      <c r="A737" s="1">
        <v>736</v>
      </c>
      <c r="B737" s="1" t="s">
        <v>289</v>
      </c>
      <c r="C737">
        <v>70</v>
      </c>
      <c r="D737">
        <v>5</v>
      </c>
      <c r="E737" s="2">
        <v>45048</v>
      </c>
      <c r="F737" s="3">
        <v>0.15768518518518518</v>
      </c>
      <c r="G737" s="2">
        <v>45057</v>
      </c>
      <c r="H737" s="3">
        <v>0.19356481481481483</v>
      </c>
      <c r="I737" s="1" t="s">
        <v>485</v>
      </c>
      <c r="J737" s="1" t="s">
        <v>36</v>
      </c>
      <c r="K737">
        <v>9</v>
      </c>
      <c r="L737" t="str">
        <f>IF(tblOrders[[#This Row],[Quantity]]&lt;=0,"Check","OK")</f>
        <v>OK</v>
      </c>
      <c r="M737" s="1" t="str">
        <f>IF(tblOrders[[#This Row],[Delivery_Date]]&lt;tblOrders[[#This Row],[Order_Date]],"Error","OK")</f>
        <v>OK</v>
      </c>
    </row>
    <row r="738" spans="1:13" x14ac:dyDescent="0.25">
      <c r="A738" s="1">
        <v>737</v>
      </c>
      <c r="B738" s="1" t="s">
        <v>388</v>
      </c>
      <c r="C738">
        <v>46</v>
      </c>
      <c r="D738">
        <v>5</v>
      </c>
      <c r="E738" s="2">
        <v>45183</v>
      </c>
      <c r="F738" s="3">
        <v>0.31655092592592593</v>
      </c>
      <c r="G738" s="2">
        <v>45186</v>
      </c>
      <c r="H738" s="3">
        <v>0.56741898148148151</v>
      </c>
      <c r="I738" s="1" t="s">
        <v>338</v>
      </c>
      <c r="J738" s="1" t="s">
        <v>30</v>
      </c>
      <c r="K738">
        <v>3</v>
      </c>
      <c r="L738" t="str">
        <f>IF(tblOrders[[#This Row],[Quantity]]&lt;=0,"Check","OK")</f>
        <v>OK</v>
      </c>
      <c r="M738" s="1" t="str">
        <f>IF(tblOrders[[#This Row],[Delivery_Date]]&lt;tblOrders[[#This Row],[Order_Date]],"Error","OK")</f>
        <v>OK</v>
      </c>
    </row>
    <row r="739" spans="1:13" x14ac:dyDescent="0.25">
      <c r="A739" s="1">
        <v>738</v>
      </c>
      <c r="B739" s="1" t="s">
        <v>413</v>
      </c>
      <c r="C739">
        <v>16</v>
      </c>
      <c r="D739">
        <v>5</v>
      </c>
      <c r="E739" s="2">
        <v>44988</v>
      </c>
      <c r="F739" s="3">
        <v>0.68307870370370372</v>
      </c>
      <c r="G739" s="2">
        <v>44994</v>
      </c>
      <c r="H739" s="3">
        <v>6.7037037037037034E-2</v>
      </c>
      <c r="I739" s="1" t="s">
        <v>474</v>
      </c>
      <c r="J739" s="1" t="s">
        <v>25</v>
      </c>
      <c r="K739">
        <v>6</v>
      </c>
      <c r="L739" t="str">
        <f>IF(tblOrders[[#This Row],[Quantity]]&lt;=0,"Check","OK")</f>
        <v>OK</v>
      </c>
      <c r="M739" s="1" t="str">
        <f>IF(tblOrders[[#This Row],[Delivery_Date]]&lt;tblOrders[[#This Row],[Order_Date]],"Error","OK")</f>
        <v>OK</v>
      </c>
    </row>
    <row r="740" spans="1:13" x14ac:dyDescent="0.25">
      <c r="A740" s="1">
        <v>739</v>
      </c>
      <c r="B740" s="1" t="s">
        <v>365</v>
      </c>
      <c r="C740">
        <v>24</v>
      </c>
      <c r="D740">
        <v>5</v>
      </c>
      <c r="E740" s="2">
        <v>44956</v>
      </c>
      <c r="F740" s="3">
        <v>0.40543981481481484</v>
      </c>
      <c r="G740" s="2">
        <v>44960</v>
      </c>
      <c r="H740" s="3">
        <v>0.43996527777777777</v>
      </c>
      <c r="I740" s="1" t="s">
        <v>273</v>
      </c>
      <c r="J740" s="1" t="s">
        <v>36</v>
      </c>
      <c r="K740">
        <v>4</v>
      </c>
      <c r="L740" t="str">
        <f>IF(tblOrders[[#This Row],[Quantity]]&lt;=0,"Check","OK")</f>
        <v>OK</v>
      </c>
      <c r="M740" s="1" t="str">
        <f>IF(tblOrders[[#This Row],[Delivery_Date]]&lt;tblOrders[[#This Row],[Order_Date]],"Error","OK")</f>
        <v>OK</v>
      </c>
    </row>
    <row r="741" spans="1:13" x14ac:dyDescent="0.25">
      <c r="A741" s="1">
        <v>740</v>
      </c>
      <c r="B741" s="1" t="s">
        <v>400</v>
      </c>
      <c r="C741">
        <v>56</v>
      </c>
      <c r="D741">
        <v>4</v>
      </c>
      <c r="E741" s="2">
        <v>45237</v>
      </c>
      <c r="F741" s="3">
        <v>0.67497685185185186</v>
      </c>
      <c r="G741" s="2">
        <v>45242</v>
      </c>
      <c r="H741" s="3">
        <v>0.42211805555555554</v>
      </c>
      <c r="I741" s="1" t="s">
        <v>541</v>
      </c>
      <c r="J741" s="1" t="s">
        <v>30</v>
      </c>
      <c r="K741">
        <v>5</v>
      </c>
      <c r="L741" t="str">
        <f>IF(tblOrders[[#This Row],[Quantity]]&lt;=0,"Check","OK")</f>
        <v>OK</v>
      </c>
      <c r="M741" s="1" t="str">
        <f>IF(tblOrders[[#This Row],[Delivery_Date]]&lt;tblOrders[[#This Row],[Order_Date]],"Error","OK")</f>
        <v>OK</v>
      </c>
    </row>
    <row r="742" spans="1:13" x14ac:dyDescent="0.25">
      <c r="A742" s="1">
        <v>741</v>
      </c>
      <c r="B742" s="1" t="s">
        <v>197</v>
      </c>
      <c r="C742">
        <v>53</v>
      </c>
      <c r="D742">
        <v>5</v>
      </c>
      <c r="E742" s="2">
        <v>45161</v>
      </c>
      <c r="F742" s="3">
        <v>0.53274305555555557</v>
      </c>
      <c r="G742" s="2">
        <v>45170</v>
      </c>
      <c r="H742" s="3">
        <v>0.90091435185185187</v>
      </c>
      <c r="I742" s="1" t="s">
        <v>434</v>
      </c>
      <c r="J742" s="1" t="s">
        <v>33</v>
      </c>
      <c r="K742">
        <v>9</v>
      </c>
      <c r="L742" t="str">
        <f>IF(tblOrders[[#This Row],[Quantity]]&lt;=0,"Check","OK")</f>
        <v>OK</v>
      </c>
      <c r="M742" s="1" t="str">
        <f>IF(tblOrders[[#This Row],[Delivery_Date]]&lt;tblOrders[[#This Row],[Order_Date]],"Error","OK")</f>
        <v>OK</v>
      </c>
    </row>
    <row r="743" spans="1:13" x14ac:dyDescent="0.25">
      <c r="A743" s="1">
        <v>742</v>
      </c>
      <c r="B743" s="1" t="s">
        <v>402</v>
      </c>
      <c r="C743">
        <v>53</v>
      </c>
      <c r="D743">
        <v>5</v>
      </c>
      <c r="E743" s="2">
        <v>45162</v>
      </c>
      <c r="F743" s="3">
        <v>0.82646990740740744</v>
      </c>
      <c r="G743" s="2">
        <v>45164</v>
      </c>
      <c r="H743" s="3">
        <v>0.6653472222222222</v>
      </c>
      <c r="I743" s="1" t="s">
        <v>473</v>
      </c>
      <c r="J743" s="1" t="s">
        <v>33</v>
      </c>
      <c r="K743">
        <v>2</v>
      </c>
      <c r="L743" t="str">
        <f>IF(tblOrders[[#This Row],[Quantity]]&lt;=0,"Check","OK")</f>
        <v>OK</v>
      </c>
      <c r="M743" s="1" t="str">
        <f>IF(tblOrders[[#This Row],[Delivery_Date]]&lt;tblOrders[[#This Row],[Order_Date]],"Error","OK")</f>
        <v>OK</v>
      </c>
    </row>
    <row r="744" spans="1:13" x14ac:dyDescent="0.25">
      <c r="A744" s="1">
        <v>743</v>
      </c>
      <c r="B744" s="1" t="s">
        <v>254</v>
      </c>
      <c r="C744">
        <v>4</v>
      </c>
      <c r="D744">
        <v>2</v>
      </c>
      <c r="E744" s="2">
        <v>45239</v>
      </c>
      <c r="F744" s="3">
        <v>0.56119212962962961</v>
      </c>
      <c r="G744" s="2">
        <v>45243</v>
      </c>
      <c r="H744" s="3">
        <v>5.3055555555555557E-2</v>
      </c>
      <c r="I744" s="1" t="s">
        <v>346</v>
      </c>
      <c r="J744" s="1" t="s">
        <v>19</v>
      </c>
      <c r="K744">
        <v>4</v>
      </c>
      <c r="L744" t="str">
        <f>IF(tblOrders[[#This Row],[Quantity]]&lt;=0,"Check","OK")</f>
        <v>OK</v>
      </c>
      <c r="M744" s="1" t="str">
        <f>IF(tblOrders[[#This Row],[Delivery_Date]]&lt;tblOrders[[#This Row],[Order_Date]],"Error","OK")</f>
        <v>OK</v>
      </c>
    </row>
    <row r="745" spans="1:13" x14ac:dyDescent="0.25">
      <c r="A745" s="1">
        <v>744</v>
      </c>
      <c r="B745" s="1" t="s">
        <v>252</v>
      </c>
      <c r="C745">
        <v>45</v>
      </c>
      <c r="D745">
        <v>4</v>
      </c>
      <c r="E745" s="2">
        <v>45212</v>
      </c>
      <c r="F745" s="3">
        <v>0.7453819444444445</v>
      </c>
      <c r="G745" s="2">
        <v>45213</v>
      </c>
      <c r="H745" s="3">
        <v>0.33478009259259262</v>
      </c>
      <c r="I745" s="1" t="s">
        <v>425</v>
      </c>
      <c r="J745" s="1" t="s">
        <v>36</v>
      </c>
      <c r="K745">
        <v>1</v>
      </c>
      <c r="L745" t="str">
        <f>IF(tblOrders[[#This Row],[Quantity]]&lt;=0,"Check","OK")</f>
        <v>OK</v>
      </c>
      <c r="M745" s="1" t="str">
        <f>IF(tblOrders[[#This Row],[Delivery_Date]]&lt;tblOrders[[#This Row],[Order_Date]],"Error","OK")</f>
        <v>OK</v>
      </c>
    </row>
    <row r="746" spans="1:13" x14ac:dyDescent="0.25">
      <c r="A746" s="1">
        <v>745</v>
      </c>
      <c r="B746" s="1" t="s">
        <v>437</v>
      </c>
      <c r="C746">
        <v>44</v>
      </c>
      <c r="D746">
        <v>1</v>
      </c>
      <c r="E746" s="2">
        <v>45237</v>
      </c>
      <c r="F746" s="3">
        <v>0.38363425925925926</v>
      </c>
      <c r="G746" s="2">
        <v>45239</v>
      </c>
      <c r="H746" s="3">
        <v>2.087962962962963E-2</v>
      </c>
      <c r="I746" s="1" t="s">
        <v>339</v>
      </c>
      <c r="J746" s="1" t="s">
        <v>19</v>
      </c>
      <c r="K746">
        <v>2</v>
      </c>
      <c r="L746" t="str">
        <f>IF(tblOrders[[#This Row],[Quantity]]&lt;=0,"Check","OK")</f>
        <v>OK</v>
      </c>
      <c r="M746" s="1" t="str">
        <f>IF(tblOrders[[#This Row],[Delivery_Date]]&lt;tblOrders[[#This Row],[Order_Date]],"Error","OK")</f>
        <v>OK</v>
      </c>
    </row>
    <row r="747" spans="1:13" x14ac:dyDescent="0.25">
      <c r="A747" s="1">
        <v>746</v>
      </c>
      <c r="B747" s="1" t="s">
        <v>341</v>
      </c>
      <c r="C747">
        <v>35</v>
      </c>
      <c r="D747">
        <v>2</v>
      </c>
      <c r="E747" s="2">
        <v>44987</v>
      </c>
      <c r="F747" s="3">
        <v>0.22464120370370369</v>
      </c>
      <c r="G747" s="2">
        <v>44991</v>
      </c>
      <c r="H747" s="3">
        <v>0.2671412037037037</v>
      </c>
      <c r="I747" s="1" t="s">
        <v>479</v>
      </c>
      <c r="J747" s="1" t="s">
        <v>25</v>
      </c>
      <c r="K747">
        <v>4</v>
      </c>
      <c r="L747" t="str">
        <f>IF(tblOrders[[#This Row],[Quantity]]&lt;=0,"Check","OK")</f>
        <v>OK</v>
      </c>
      <c r="M747" s="1" t="str">
        <f>IF(tblOrders[[#This Row],[Delivery_Date]]&lt;tblOrders[[#This Row],[Order_Date]],"Error","OK")</f>
        <v>OK</v>
      </c>
    </row>
    <row r="748" spans="1:13" x14ac:dyDescent="0.25">
      <c r="A748" s="1">
        <v>747</v>
      </c>
      <c r="B748" s="1" t="s">
        <v>178</v>
      </c>
      <c r="C748">
        <v>6</v>
      </c>
      <c r="D748">
        <v>4</v>
      </c>
      <c r="E748" s="2">
        <v>44991</v>
      </c>
      <c r="F748" s="3">
        <v>0.15513888888888888</v>
      </c>
      <c r="G748" s="2">
        <v>44996</v>
      </c>
      <c r="H748" s="3">
        <v>0.69346064814814812</v>
      </c>
      <c r="I748" s="1" t="s">
        <v>342</v>
      </c>
      <c r="J748" s="1" t="s">
        <v>25</v>
      </c>
      <c r="K748">
        <v>5</v>
      </c>
      <c r="L748" t="str">
        <f>IF(tblOrders[[#This Row],[Quantity]]&lt;=0,"Check","OK")</f>
        <v>OK</v>
      </c>
      <c r="M748" s="1" t="str">
        <f>IF(tblOrders[[#This Row],[Delivery_Date]]&lt;tblOrders[[#This Row],[Order_Date]],"Error","OK")</f>
        <v>OK</v>
      </c>
    </row>
    <row r="749" spans="1:13" x14ac:dyDescent="0.25">
      <c r="A749" s="1">
        <v>748</v>
      </c>
      <c r="B749" s="1" t="s">
        <v>424</v>
      </c>
      <c r="C749">
        <v>26</v>
      </c>
      <c r="D749">
        <v>1</v>
      </c>
      <c r="E749" s="2">
        <v>44991</v>
      </c>
      <c r="F749" s="3">
        <v>0.46796296296296297</v>
      </c>
      <c r="G749" s="2">
        <v>44992</v>
      </c>
      <c r="H749" s="3">
        <v>0.85185185185185186</v>
      </c>
      <c r="I749" s="1" t="s">
        <v>205</v>
      </c>
      <c r="J749" s="1" t="s">
        <v>25</v>
      </c>
      <c r="K749">
        <v>1</v>
      </c>
      <c r="L749" t="str">
        <f>IF(tblOrders[[#This Row],[Quantity]]&lt;=0,"Check","OK")</f>
        <v>OK</v>
      </c>
      <c r="M749" s="1" t="str">
        <f>IF(tblOrders[[#This Row],[Delivery_Date]]&lt;tblOrders[[#This Row],[Order_Date]],"Error","OK")</f>
        <v>OK</v>
      </c>
    </row>
    <row r="750" spans="1:13" x14ac:dyDescent="0.25">
      <c r="A750" s="1">
        <v>749</v>
      </c>
      <c r="B750" s="1" t="s">
        <v>183</v>
      </c>
      <c r="C750">
        <v>12</v>
      </c>
      <c r="D750">
        <v>2</v>
      </c>
      <c r="E750" s="2">
        <v>45096</v>
      </c>
      <c r="F750" s="3">
        <v>0.5508912037037037</v>
      </c>
      <c r="G750" s="2">
        <v>45101</v>
      </c>
      <c r="H750" s="3">
        <v>0.15084490740740741</v>
      </c>
      <c r="I750" s="1" t="s">
        <v>179</v>
      </c>
      <c r="J750" s="1" t="s">
        <v>30</v>
      </c>
      <c r="K750">
        <v>5</v>
      </c>
      <c r="L750" t="str">
        <f>IF(tblOrders[[#This Row],[Quantity]]&lt;=0,"Check","OK")</f>
        <v>OK</v>
      </c>
      <c r="M750" s="1" t="str">
        <f>IF(tblOrders[[#This Row],[Delivery_Date]]&lt;tblOrders[[#This Row],[Order_Date]],"Error","OK")</f>
        <v>OK</v>
      </c>
    </row>
    <row r="751" spans="1:13" x14ac:dyDescent="0.25">
      <c r="A751" s="1">
        <v>750</v>
      </c>
      <c r="B751" s="1" t="s">
        <v>349</v>
      </c>
      <c r="C751">
        <v>19</v>
      </c>
      <c r="D751">
        <v>3</v>
      </c>
      <c r="E751" s="2">
        <v>44965</v>
      </c>
      <c r="F751" s="3">
        <v>0.39075231481481482</v>
      </c>
      <c r="G751" s="2">
        <v>44971</v>
      </c>
      <c r="H751" s="3">
        <v>0.93381944444444442</v>
      </c>
      <c r="I751" s="1" t="s">
        <v>491</v>
      </c>
      <c r="J751" s="1" t="s">
        <v>12</v>
      </c>
      <c r="K751">
        <v>6</v>
      </c>
      <c r="L751" t="str">
        <f>IF(tblOrders[[#This Row],[Quantity]]&lt;=0,"Check","OK")</f>
        <v>OK</v>
      </c>
      <c r="M751" s="1" t="str">
        <f>IF(tblOrders[[#This Row],[Delivery_Date]]&lt;tblOrders[[#This Row],[Order_Date]],"Error","OK")</f>
        <v>OK</v>
      </c>
    </row>
    <row r="752" spans="1:13" x14ac:dyDescent="0.25">
      <c r="A752" s="1">
        <v>751</v>
      </c>
      <c r="B752" s="1" t="s">
        <v>364</v>
      </c>
      <c r="C752">
        <v>23</v>
      </c>
      <c r="D752">
        <v>5</v>
      </c>
      <c r="E752" s="2">
        <v>45026</v>
      </c>
      <c r="F752" s="3">
        <v>0.30039351851851853</v>
      </c>
      <c r="G752" s="2">
        <v>45031</v>
      </c>
      <c r="H752" s="3">
        <v>7.8171296296296294E-2</v>
      </c>
      <c r="I752" s="1" t="s">
        <v>189</v>
      </c>
      <c r="J752" s="1" t="s">
        <v>30</v>
      </c>
      <c r="K752">
        <v>5</v>
      </c>
      <c r="L752" t="str">
        <f>IF(tblOrders[[#This Row],[Quantity]]&lt;=0,"Check","OK")</f>
        <v>OK</v>
      </c>
      <c r="M752" s="1" t="str">
        <f>IF(tblOrders[[#This Row],[Delivery_Date]]&lt;tblOrders[[#This Row],[Order_Date]],"Error","OK")</f>
        <v>OK</v>
      </c>
    </row>
    <row r="753" spans="1:13" x14ac:dyDescent="0.25">
      <c r="A753" s="1">
        <v>752</v>
      </c>
      <c r="B753" s="1" t="s">
        <v>480</v>
      </c>
      <c r="C753">
        <v>3</v>
      </c>
      <c r="D753">
        <v>5</v>
      </c>
      <c r="E753" s="2">
        <v>44967</v>
      </c>
      <c r="F753" s="3">
        <v>0.48473379629629632</v>
      </c>
      <c r="G753" s="2">
        <v>44969</v>
      </c>
      <c r="H753" s="3">
        <v>0.44164351851851852</v>
      </c>
      <c r="I753" s="1" t="s">
        <v>278</v>
      </c>
      <c r="J753" s="1" t="s">
        <v>12</v>
      </c>
      <c r="K753">
        <v>2</v>
      </c>
      <c r="L753" t="str">
        <f>IF(tblOrders[[#This Row],[Quantity]]&lt;=0,"Check","OK")</f>
        <v>OK</v>
      </c>
      <c r="M753" s="1" t="str">
        <f>IF(tblOrders[[#This Row],[Delivery_Date]]&lt;tblOrders[[#This Row],[Order_Date]],"Error","OK")</f>
        <v>OK</v>
      </c>
    </row>
    <row r="754" spans="1:13" x14ac:dyDescent="0.25">
      <c r="A754" s="1">
        <v>753</v>
      </c>
      <c r="B754" s="1" t="s">
        <v>254</v>
      </c>
      <c r="C754">
        <v>60</v>
      </c>
      <c r="D754">
        <v>1</v>
      </c>
      <c r="E754" s="2">
        <v>45236</v>
      </c>
      <c r="F754" s="3">
        <v>0.28863425925925928</v>
      </c>
      <c r="G754" s="2">
        <v>45242</v>
      </c>
      <c r="H754" s="3">
        <v>0.20070601851851852</v>
      </c>
      <c r="I754" s="1" t="s">
        <v>460</v>
      </c>
      <c r="J754" s="1" t="s">
        <v>19</v>
      </c>
      <c r="K754">
        <v>6</v>
      </c>
      <c r="L754" t="str">
        <f>IF(tblOrders[[#This Row],[Quantity]]&lt;=0,"Check","OK")</f>
        <v>OK</v>
      </c>
      <c r="M754" s="1" t="str">
        <f>IF(tblOrders[[#This Row],[Delivery_Date]]&lt;tblOrders[[#This Row],[Order_Date]],"Error","OK")</f>
        <v>OK</v>
      </c>
    </row>
    <row r="755" spans="1:13" x14ac:dyDescent="0.25">
      <c r="A755" s="1">
        <v>754</v>
      </c>
      <c r="B755" s="1" t="s">
        <v>333</v>
      </c>
      <c r="C755">
        <v>51</v>
      </c>
      <c r="D755">
        <v>2</v>
      </c>
      <c r="E755" s="2">
        <v>45231</v>
      </c>
      <c r="F755" s="3">
        <v>0.86149305555555555</v>
      </c>
      <c r="G755" s="2">
        <v>45238</v>
      </c>
      <c r="H755" s="3">
        <v>0.92584490740740744</v>
      </c>
      <c r="I755" s="1" t="s">
        <v>516</v>
      </c>
      <c r="J755" s="1" t="s">
        <v>8</v>
      </c>
      <c r="K755">
        <v>7</v>
      </c>
      <c r="L755" t="str">
        <f>IF(tblOrders[[#This Row],[Quantity]]&lt;=0,"Check","OK")</f>
        <v>OK</v>
      </c>
      <c r="M755" s="1" t="str">
        <f>IF(tblOrders[[#This Row],[Delivery_Date]]&lt;tblOrders[[#This Row],[Order_Date]],"Error","OK")</f>
        <v>OK</v>
      </c>
    </row>
    <row r="756" spans="1:13" x14ac:dyDescent="0.25">
      <c r="A756" s="1">
        <v>755</v>
      </c>
      <c r="B756" s="1" t="s">
        <v>166</v>
      </c>
      <c r="C756">
        <v>6</v>
      </c>
      <c r="D756">
        <v>5</v>
      </c>
      <c r="E756" s="2">
        <v>44984</v>
      </c>
      <c r="F756" s="3">
        <v>0.68988425925925922</v>
      </c>
      <c r="G756" s="2">
        <v>44991</v>
      </c>
      <c r="H756" s="3">
        <v>9.5046296296296295E-2</v>
      </c>
      <c r="I756" s="1" t="s">
        <v>300</v>
      </c>
      <c r="J756" s="1" t="s">
        <v>25</v>
      </c>
      <c r="K756">
        <v>7</v>
      </c>
      <c r="L756" t="str">
        <f>IF(tblOrders[[#This Row],[Quantity]]&lt;=0,"Check","OK")</f>
        <v>OK</v>
      </c>
      <c r="M756" s="1" t="str">
        <f>IF(tblOrders[[#This Row],[Delivery_Date]]&lt;tblOrders[[#This Row],[Order_Date]],"Error","OK")</f>
        <v>OK</v>
      </c>
    </row>
    <row r="757" spans="1:13" x14ac:dyDescent="0.25">
      <c r="A757" s="1">
        <v>756</v>
      </c>
      <c r="B757" s="1" t="s">
        <v>480</v>
      </c>
      <c r="C757">
        <v>51</v>
      </c>
      <c r="D757">
        <v>4</v>
      </c>
      <c r="E757" s="2">
        <v>45136</v>
      </c>
      <c r="F757" s="3">
        <v>0.7676736111111111</v>
      </c>
      <c r="G757" s="2">
        <v>45141</v>
      </c>
      <c r="H757" s="3">
        <v>0.41391203703703705</v>
      </c>
      <c r="I757" s="1" t="s">
        <v>507</v>
      </c>
      <c r="J757" s="1" t="s">
        <v>8</v>
      </c>
      <c r="K757">
        <v>5</v>
      </c>
      <c r="L757" t="str">
        <f>IF(tblOrders[[#This Row],[Quantity]]&lt;=0,"Check","OK")</f>
        <v>OK</v>
      </c>
      <c r="M757" s="1" t="str">
        <f>IF(tblOrders[[#This Row],[Delivery_Date]]&lt;tblOrders[[#This Row],[Order_Date]],"Error","OK")</f>
        <v>OK</v>
      </c>
    </row>
    <row r="758" spans="1:13" x14ac:dyDescent="0.25">
      <c r="A758" s="1">
        <v>757</v>
      </c>
      <c r="B758" s="1" t="s">
        <v>405</v>
      </c>
      <c r="C758">
        <v>2</v>
      </c>
      <c r="D758">
        <v>3</v>
      </c>
      <c r="E758" s="2">
        <v>44969</v>
      </c>
      <c r="F758" s="3">
        <v>0.4332523148148148</v>
      </c>
      <c r="G758" s="2">
        <v>44977</v>
      </c>
      <c r="H758" s="3">
        <v>0.19476851851851851</v>
      </c>
      <c r="I758" s="1" t="s">
        <v>281</v>
      </c>
      <c r="J758" s="1" t="s">
        <v>12</v>
      </c>
      <c r="K758">
        <v>8</v>
      </c>
      <c r="L758" t="str">
        <f>IF(tblOrders[[#This Row],[Quantity]]&lt;=0,"Check","OK")</f>
        <v>OK</v>
      </c>
      <c r="M758" s="1" t="str">
        <f>IF(tblOrders[[#This Row],[Delivery_Date]]&lt;tblOrders[[#This Row],[Order_Date]],"Error","OK")</f>
        <v>OK</v>
      </c>
    </row>
    <row r="759" spans="1:13" x14ac:dyDescent="0.25">
      <c r="A759" s="1">
        <v>758</v>
      </c>
      <c r="B759" s="1" t="s">
        <v>409</v>
      </c>
      <c r="C759">
        <v>40</v>
      </c>
      <c r="D759">
        <v>5</v>
      </c>
      <c r="E759" s="2">
        <v>45215</v>
      </c>
      <c r="F759" s="3">
        <v>0.38363425925925926</v>
      </c>
      <c r="G759" s="2">
        <v>45219</v>
      </c>
      <c r="H759" s="3">
        <v>0.15761574074074075</v>
      </c>
      <c r="I759" s="1" t="s">
        <v>542</v>
      </c>
      <c r="J759" s="1" t="s">
        <v>30</v>
      </c>
      <c r="K759">
        <v>4</v>
      </c>
      <c r="L759" t="str">
        <f>IF(tblOrders[[#This Row],[Quantity]]&lt;=0,"Check","OK")</f>
        <v>OK</v>
      </c>
      <c r="M759" s="1" t="str">
        <f>IF(tblOrders[[#This Row],[Delivery_Date]]&lt;tblOrders[[#This Row],[Order_Date]],"Error","OK")</f>
        <v>OK</v>
      </c>
    </row>
    <row r="760" spans="1:13" x14ac:dyDescent="0.25">
      <c r="A760" s="1">
        <v>759</v>
      </c>
      <c r="B760" s="1" t="s">
        <v>364</v>
      </c>
      <c r="C760">
        <v>48</v>
      </c>
      <c r="D760">
        <v>5</v>
      </c>
      <c r="E760" s="2">
        <v>45232</v>
      </c>
      <c r="F760" s="3">
        <v>0.25849537037037035</v>
      </c>
      <c r="G760" s="2">
        <v>45241</v>
      </c>
      <c r="H760" s="3">
        <v>0.25481481481481483</v>
      </c>
      <c r="I760" s="1" t="s">
        <v>203</v>
      </c>
      <c r="J760" s="1" t="s">
        <v>19</v>
      </c>
      <c r="K760">
        <v>9</v>
      </c>
      <c r="L760" t="str">
        <f>IF(tblOrders[[#This Row],[Quantity]]&lt;=0,"Check","OK")</f>
        <v>OK</v>
      </c>
      <c r="M760" s="1" t="str">
        <f>IF(tblOrders[[#This Row],[Delivery_Date]]&lt;tblOrders[[#This Row],[Order_Date]],"Error","OK")</f>
        <v>OK</v>
      </c>
    </row>
    <row r="761" spans="1:13" x14ac:dyDescent="0.25">
      <c r="A761" s="1">
        <v>760</v>
      </c>
      <c r="B761" s="1" t="s">
        <v>409</v>
      </c>
      <c r="C761">
        <v>18</v>
      </c>
      <c r="D761">
        <v>1</v>
      </c>
      <c r="E761" s="2">
        <v>45188</v>
      </c>
      <c r="F761" s="3">
        <v>0.10283564814814815</v>
      </c>
      <c r="G761" s="2">
        <v>45190</v>
      </c>
      <c r="H761" s="3">
        <v>0.56224537037037037</v>
      </c>
      <c r="I761" s="1" t="s">
        <v>485</v>
      </c>
      <c r="J761" s="1" t="s">
        <v>36</v>
      </c>
      <c r="K761">
        <v>2</v>
      </c>
      <c r="L761" t="str">
        <f>IF(tblOrders[[#This Row],[Quantity]]&lt;=0,"Check","OK")</f>
        <v>OK</v>
      </c>
      <c r="M761" s="1" t="str">
        <f>IF(tblOrders[[#This Row],[Delivery_Date]]&lt;tblOrders[[#This Row],[Order_Date]],"Error","OK")</f>
        <v>OK</v>
      </c>
    </row>
    <row r="762" spans="1:13" x14ac:dyDescent="0.25">
      <c r="A762" s="1">
        <v>761</v>
      </c>
      <c r="B762" s="1" t="s">
        <v>289</v>
      </c>
      <c r="C762">
        <v>24</v>
      </c>
      <c r="D762">
        <v>5</v>
      </c>
      <c r="E762" s="2">
        <v>45034</v>
      </c>
      <c r="F762" s="3">
        <v>0.14251157407407408</v>
      </c>
      <c r="G762" s="2">
        <v>45041</v>
      </c>
      <c r="H762" s="3">
        <v>0.4956712962962963</v>
      </c>
      <c r="I762" s="1" t="s">
        <v>184</v>
      </c>
      <c r="J762" s="1" t="s">
        <v>36</v>
      </c>
      <c r="K762">
        <v>7</v>
      </c>
      <c r="L762" t="str">
        <f>IF(tblOrders[[#This Row],[Quantity]]&lt;=0,"Check","OK")</f>
        <v>OK</v>
      </c>
      <c r="M762" s="1" t="str">
        <f>IF(tblOrders[[#This Row],[Delivery_Date]]&lt;tblOrders[[#This Row],[Order_Date]],"Error","OK")</f>
        <v>OK</v>
      </c>
    </row>
    <row r="763" spans="1:13" x14ac:dyDescent="0.25">
      <c r="A763" s="1">
        <v>762</v>
      </c>
      <c r="B763" s="1" t="s">
        <v>216</v>
      </c>
      <c r="C763">
        <v>50</v>
      </c>
      <c r="D763">
        <v>1</v>
      </c>
      <c r="E763" s="2">
        <v>44983</v>
      </c>
      <c r="F763" s="3">
        <v>0.42452546296296295</v>
      </c>
      <c r="G763" s="2">
        <v>44986</v>
      </c>
      <c r="H763" s="3">
        <v>0.16412037037037036</v>
      </c>
      <c r="I763" s="1" t="s">
        <v>444</v>
      </c>
      <c r="J763" s="1" t="s">
        <v>25</v>
      </c>
      <c r="K763">
        <v>3</v>
      </c>
      <c r="L763" t="str">
        <f>IF(tblOrders[[#This Row],[Quantity]]&lt;=0,"Check","OK")</f>
        <v>OK</v>
      </c>
      <c r="M763" s="1" t="str">
        <f>IF(tblOrders[[#This Row],[Delivery_Date]]&lt;tblOrders[[#This Row],[Order_Date]],"Error","OK")</f>
        <v>OK</v>
      </c>
    </row>
    <row r="764" spans="1:13" x14ac:dyDescent="0.25">
      <c r="A764" s="1">
        <v>763</v>
      </c>
      <c r="B764" s="1" t="s">
        <v>343</v>
      </c>
      <c r="C764">
        <v>29</v>
      </c>
      <c r="D764">
        <v>4</v>
      </c>
      <c r="E764" s="2">
        <v>44987</v>
      </c>
      <c r="F764" s="3">
        <v>0.64038194444444441</v>
      </c>
      <c r="G764" s="2">
        <v>44989</v>
      </c>
      <c r="H764" s="3">
        <v>0.18758101851851852</v>
      </c>
      <c r="I764" s="1" t="s">
        <v>384</v>
      </c>
      <c r="J764" s="1" t="s">
        <v>25</v>
      </c>
      <c r="K764">
        <v>2</v>
      </c>
      <c r="L764" t="str">
        <f>IF(tblOrders[[#This Row],[Quantity]]&lt;=0,"Check","OK")</f>
        <v>OK</v>
      </c>
      <c r="M764" s="1" t="str">
        <f>IF(tblOrders[[#This Row],[Delivery_Date]]&lt;tblOrders[[#This Row],[Order_Date]],"Error","OK")</f>
        <v>OK</v>
      </c>
    </row>
    <row r="765" spans="1:13" x14ac:dyDescent="0.25">
      <c r="A765" s="1">
        <v>764</v>
      </c>
      <c r="B765" s="1" t="s">
        <v>308</v>
      </c>
      <c r="C765">
        <v>65</v>
      </c>
      <c r="D765">
        <v>3</v>
      </c>
      <c r="E765" s="2">
        <v>45139</v>
      </c>
      <c r="F765" s="3">
        <v>0.83305555555555555</v>
      </c>
      <c r="G765" s="2">
        <v>45143</v>
      </c>
      <c r="H765" s="3">
        <v>0.39208333333333334</v>
      </c>
      <c r="I765" s="1" t="s">
        <v>273</v>
      </c>
      <c r="J765" s="1" t="s">
        <v>8</v>
      </c>
      <c r="K765">
        <v>4</v>
      </c>
      <c r="L765" t="str">
        <f>IF(tblOrders[[#This Row],[Quantity]]&lt;=0,"Check","OK")</f>
        <v>OK</v>
      </c>
      <c r="M765" s="1" t="str">
        <f>IF(tblOrders[[#This Row],[Delivery_Date]]&lt;tblOrders[[#This Row],[Order_Date]],"Error","OK")</f>
        <v>OK</v>
      </c>
    </row>
    <row r="766" spans="1:13" x14ac:dyDescent="0.25">
      <c r="A766" s="1">
        <v>765</v>
      </c>
      <c r="B766" s="1" t="s">
        <v>224</v>
      </c>
      <c r="C766">
        <v>41</v>
      </c>
      <c r="D766">
        <v>2</v>
      </c>
      <c r="E766" s="2">
        <v>45233</v>
      </c>
      <c r="F766" s="3">
        <v>0.10949074074074074</v>
      </c>
      <c r="G766" s="2">
        <v>45236</v>
      </c>
      <c r="H766" s="3">
        <v>0.16142361111111111</v>
      </c>
      <c r="I766" s="1" t="s">
        <v>184</v>
      </c>
      <c r="J766" s="1" t="s">
        <v>19</v>
      </c>
      <c r="K766">
        <v>3</v>
      </c>
      <c r="L766" t="str">
        <f>IF(tblOrders[[#This Row],[Quantity]]&lt;=0,"Check","OK")</f>
        <v>OK</v>
      </c>
      <c r="M766" s="1" t="str">
        <f>IF(tblOrders[[#This Row],[Delivery_Date]]&lt;tblOrders[[#This Row],[Order_Date]],"Error","OK")</f>
        <v>OK</v>
      </c>
    </row>
    <row r="767" spans="1:13" x14ac:dyDescent="0.25">
      <c r="A767" s="1">
        <v>766</v>
      </c>
      <c r="B767" s="1" t="s">
        <v>261</v>
      </c>
      <c r="C767">
        <v>1</v>
      </c>
      <c r="D767">
        <v>4</v>
      </c>
      <c r="E767" s="2">
        <v>45109</v>
      </c>
      <c r="F767" s="3">
        <v>0.68672453703703706</v>
      </c>
      <c r="G767" s="2">
        <v>45114</v>
      </c>
      <c r="H767" s="3">
        <v>1.3703703703703704E-2</v>
      </c>
      <c r="I767" s="1" t="s">
        <v>253</v>
      </c>
      <c r="J767" s="1" t="s">
        <v>8</v>
      </c>
      <c r="K767">
        <v>5</v>
      </c>
      <c r="L767" t="str">
        <f>IF(tblOrders[[#This Row],[Quantity]]&lt;=0,"Check","OK")</f>
        <v>OK</v>
      </c>
      <c r="M767" s="1" t="str">
        <f>IF(tblOrders[[#This Row],[Delivery_Date]]&lt;tblOrders[[#This Row],[Order_Date]],"Error","OK")</f>
        <v>OK</v>
      </c>
    </row>
    <row r="768" spans="1:13" x14ac:dyDescent="0.25">
      <c r="A768" s="1">
        <v>767</v>
      </c>
      <c r="B768" s="1" t="s">
        <v>261</v>
      </c>
      <c r="C768">
        <v>13</v>
      </c>
      <c r="D768">
        <v>2</v>
      </c>
      <c r="E768" s="2">
        <v>44988</v>
      </c>
      <c r="F768" s="3">
        <v>9.8067129629629629E-2</v>
      </c>
      <c r="G768" s="2">
        <v>44989</v>
      </c>
      <c r="H768" s="3">
        <v>1.0335648148148148E-2</v>
      </c>
      <c r="I768" s="1" t="s">
        <v>305</v>
      </c>
      <c r="J768" s="1" t="s">
        <v>25</v>
      </c>
      <c r="K768">
        <v>1</v>
      </c>
      <c r="L768" t="str">
        <f>IF(tblOrders[[#This Row],[Quantity]]&lt;=0,"Check","OK")</f>
        <v>OK</v>
      </c>
      <c r="M768" s="1" t="str">
        <f>IF(tblOrders[[#This Row],[Delivery_Date]]&lt;tblOrders[[#This Row],[Order_Date]],"Error","OK")</f>
        <v>OK</v>
      </c>
    </row>
    <row r="769" spans="1:13" x14ac:dyDescent="0.25">
      <c r="A769" s="1">
        <v>768</v>
      </c>
      <c r="B769" s="1" t="s">
        <v>347</v>
      </c>
      <c r="C769">
        <v>1</v>
      </c>
      <c r="D769">
        <v>1</v>
      </c>
      <c r="E769" s="2">
        <v>45241</v>
      </c>
      <c r="F769" s="3">
        <v>0.7761689814814815</v>
      </c>
      <c r="G769" s="2">
        <v>45246</v>
      </c>
      <c r="H769" s="3">
        <v>0.51368055555555558</v>
      </c>
      <c r="I769" s="1" t="s">
        <v>327</v>
      </c>
      <c r="J769" s="1" t="s">
        <v>8</v>
      </c>
      <c r="K769">
        <v>5</v>
      </c>
      <c r="L769" t="str">
        <f>IF(tblOrders[[#This Row],[Quantity]]&lt;=0,"Check","OK")</f>
        <v>OK</v>
      </c>
      <c r="M769" s="1" t="str">
        <f>IF(tblOrders[[#This Row],[Delivery_Date]]&lt;tblOrders[[#This Row],[Order_Date]],"Error","OK")</f>
        <v>OK</v>
      </c>
    </row>
    <row r="770" spans="1:13" x14ac:dyDescent="0.25">
      <c r="A770" s="1">
        <v>769</v>
      </c>
      <c r="B770" s="1" t="s">
        <v>170</v>
      </c>
      <c r="C770">
        <v>28</v>
      </c>
      <c r="D770">
        <v>2</v>
      </c>
      <c r="E770" s="2">
        <v>45163</v>
      </c>
      <c r="F770" s="3">
        <v>0.40114583333333331</v>
      </c>
      <c r="G770" s="2">
        <v>45171</v>
      </c>
      <c r="H770" s="3">
        <v>0.84050925925925923</v>
      </c>
      <c r="I770" s="1" t="s">
        <v>478</v>
      </c>
      <c r="J770" s="1" t="s">
        <v>33</v>
      </c>
      <c r="K770">
        <v>8</v>
      </c>
      <c r="L770" t="str">
        <f>IF(tblOrders[[#This Row],[Quantity]]&lt;=0,"Check","OK")</f>
        <v>OK</v>
      </c>
      <c r="M770" s="1" t="str">
        <f>IF(tblOrders[[#This Row],[Delivery_Date]]&lt;tblOrders[[#This Row],[Order_Date]],"Error","OK")</f>
        <v>OK</v>
      </c>
    </row>
    <row r="771" spans="1:13" x14ac:dyDescent="0.25">
      <c r="A771" s="1">
        <v>770</v>
      </c>
      <c r="B771" s="1" t="s">
        <v>235</v>
      </c>
      <c r="C771">
        <v>25</v>
      </c>
      <c r="D771">
        <v>3</v>
      </c>
      <c r="E771" s="2">
        <v>45075</v>
      </c>
      <c r="F771" s="3">
        <v>1.4548611111111111E-2</v>
      </c>
      <c r="G771" s="2">
        <v>45084</v>
      </c>
      <c r="H771" s="3">
        <v>0.4022222222222222</v>
      </c>
      <c r="I771" s="1" t="s">
        <v>286</v>
      </c>
      <c r="J771" s="1" t="s">
        <v>30</v>
      </c>
      <c r="K771">
        <v>9</v>
      </c>
      <c r="L771" t="str">
        <f>IF(tblOrders[[#This Row],[Quantity]]&lt;=0,"Check","OK")</f>
        <v>OK</v>
      </c>
      <c r="M771" s="1" t="str">
        <f>IF(tblOrders[[#This Row],[Delivery_Date]]&lt;tblOrders[[#This Row],[Order_Date]],"Error","OK")</f>
        <v>OK</v>
      </c>
    </row>
    <row r="772" spans="1:13" x14ac:dyDescent="0.25">
      <c r="A772" s="1">
        <v>771</v>
      </c>
      <c r="B772" s="1" t="s">
        <v>195</v>
      </c>
      <c r="C772">
        <v>9</v>
      </c>
      <c r="D772">
        <v>2</v>
      </c>
      <c r="E772" s="2">
        <v>45164</v>
      </c>
      <c r="F772" s="3">
        <v>0.70841435185185186</v>
      </c>
      <c r="G772" s="2">
        <v>45170</v>
      </c>
      <c r="H772" s="3">
        <v>0.45435185185185184</v>
      </c>
      <c r="I772" s="1" t="s">
        <v>199</v>
      </c>
      <c r="J772" s="1" t="s">
        <v>33</v>
      </c>
      <c r="K772">
        <v>6</v>
      </c>
      <c r="L772" t="str">
        <f>IF(tblOrders[[#This Row],[Quantity]]&lt;=0,"Check","OK")</f>
        <v>OK</v>
      </c>
      <c r="M772" s="1" t="str">
        <f>IF(tblOrders[[#This Row],[Delivery_Date]]&lt;tblOrders[[#This Row],[Order_Date]],"Error","OK")</f>
        <v>OK</v>
      </c>
    </row>
    <row r="773" spans="1:13" x14ac:dyDescent="0.25">
      <c r="A773" s="1">
        <v>772</v>
      </c>
      <c r="B773" s="1" t="s">
        <v>382</v>
      </c>
      <c r="C773">
        <v>35</v>
      </c>
      <c r="D773">
        <v>5</v>
      </c>
      <c r="E773" s="2">
        <v>44986</v>
      </c>
      <c r="F773" s="3">
        <v>0.21048611111111112</v>
      </c>
      <c r="G773" s="2">
        <v>44989</v>
      </c>
      <c r="H773" s="3">
        <v>0.34728009259259257</v>
      </c>
      <c r="I773" s="1" t="s">
        <v>555</v>
      </c>
      <c r="J773" s="1" t="s">
        <v>25</v>
      </c>
      <c r="K773">
        <v>3</v>
      </c>
      <c r="L773" t="str">
        <f>IF(tblOrders[[#This Row],[Quantity]]&lt;=0,"Check","OK")</f>
        <v>OK</v>
      </c>
      <c r="M773" s="1" t="str">
        <f>IF(tblOrders[[#This Row],[Delivery_Date]]&lt;tblOrders[[#This Row],[Order_Date]],"Error","OK")</f>
        <v>OK</v>
      </c>
    </row>
    <row r="774" spans="1:13" x14ac:dyDescent="0.25">
      <c r="A774" s="1">
        <v>773</v>
      </c>
      <c r="B774" s="1" t="s">
        <v>244</v>
      </c>
      <c r="C774">
        <v>39</v>
      </c>
      <c r="D774">
        <v>4</v>
      </c>
      <c r="E774" s="2">
        <v>44933</v>
      </c>
      <c r="F774" s="3">
        <v>9.1249999999999998E-2</v>
      </c>
      <c r="G774" s="2">
        <v>44939</v>
      </c>
      <c r="H774" s="3">
        <v>0.99159722222222224</v>
      </c>
      <c r="I774" s="1" t="s">
        <v>372</v>
      </c>
      <c r="J774" s="1" t="s">
        <v>8</v>
      </c>
      <c r="K774">
        <v>6</v>
      </c>
      <c r="L774" t="str">
        <f>IF(tblOrders[[#This Row],[Quantity]]&lt;=0,"Check","OK")</f>
        <v>OK</v>
      </c>
      <c r="M774" s="1" t="str">
        <f>IF(tblOrders[[#This Row],[Delivery_Date]]&lt;tblOrders[[#This Row],[Order_Date]],"Error","OK")</f>
        <v>OK</v>
      </c>
    </row>
    <row r="775" spans="1:13" x14ac:dyDescent="0.25">
      <c r="A775" s="1">
        <v>774</v>
      </c>
      <c r="B775" s="1" t="s">
        <v>341</v>
      </c>
      <c r="C775">
        <v>65</v>
      </c>
      <c r="D775">
        <v>5</v>
      </c>
      <c r="E775" s="2">
        <v>45094</v>
      </c>
      <c r="F775" s="3">
        <v>0.89468749999999997</v>
      </c>
      <c r="G775" s="2">
        <v>45104</v>
      </c>
      <c r="H775" s="3">
        <v>0.12592592592592591</v>
      </c>
      <c r="I775" s="1" t="s">
        <v>396</v>
      </c>
      <c r="J775" s="1" t="s">
        <v>8</v>
      </c>
      <c r="K775">
        <v>10</v>
      </c>
      <c r="L775" t="str">
        <f>IF(tblOrders[[#This Row],[Quantity]]&lt;=0,"Check","OK")</f>
        <v>OK</v>
      </c>
      <c r="M775" s="1" t="str">
        <f>IF(tblOrders[[#This Row],[Delivery_Date]]&lt;tblOrders[[#This Row],[Order_Date]],"Error","OK")</f>
        <v>OK</v>
      </c>
    </row>
    <row r="776" spans="1:13" x14ac:dyDescent="0.25">
      <c r="A776" s="1">
        <v>775</v>
      </c>
      <c r="B776" s="1" t="s">
        <v>261</v>
      </c>
      <c r="C776">
        <v>45</v>
      </c>
      <c r="D776">
        <v>1</v>
      </c>
      <c r="E776" s="2">
        <v>44976</v>
      </c>
      <c r="F776" s="3">
        <v>0.15844907407407408</v>
      </c>
      <c r="G776" s="2">
        <v>44981</v>
      </c>
      <c r="H776" s="3">
        <v>0.98040509259259256</v>
      </c>
      <c r="I776" s="1" t="s">
        <v>282</v>
      </c>
      <c r="J776" s="1" t="s">
        <v>36</v>
      </c>
      <c r="K776">
        <v>5</v>
      </c>
      <c r="L776" t="str">
        <f>IF(tblOrders[[#This Row],[Quantity]]&lt;=0,"Check","OK")</f>
        <v>OK</v>
      </c>
      <c r="M776" s="1" t="str">
        <f>IF(tblOrders[[#This Row],[Delivery_Date]]&lt;tblOrders[[#This Row],[Order_Date]],"Error","OK")</f>
        <v>OK</v>
      </c>
    </row>
    <row r="777" spans="1:13" x14ac:dyDescent="0.25">
      <c r="A777" s="1">
        <v>776</v>
      </c>
      <c r="B777" s="1" t="s">
        <v>341</v>
      </c>
      <c r="C777">
        <v>43</v>
      </c>
      <c r="D777">
        <v>1</v>
      </c>
      <c r="E777" s="2">
        <v>45239</v>
      </c>
      <c r="F777" s="3">
        <v>0.3117361111111111</v>
      </c>
      <c r="G777" s="2">
        <v>45242</v>
      </c>
      <c r="H777" s="3">
        <v>0.90212962962962961</v>
      </c>
      <c r="I777" s="1" t="s">
        <v>439</v>
      </c>
      <c r="J777" s="1" t="s">
        <v>19</v>
      </c>
      <c r="K777">
        <v>3</v>
      </c>
      <c r="L777" t="str">
        <f>IF(tblOrders[[#This Row],[Quantity]]&lt;=0,"Check","OK")</f>
        <v>OK</v>
      </c>
      <c r="M777" s="1" t="str">
        <f>IF(tblOrders[[#This Row],[Delivery_Date]]&lt;tblOrders[[#This Row],[Order_Date]],"Error","OK")</f>
        <v>OK</v>
      </c>
    </row>
    <row r="778" spans="1:13" x14ac:dyDescent="0.25">
      <c r="A778" s="1">
        <v>777</v>
      </c>
      <c r="B778" s="1" t="s">
        <v>392</v>
      </c>
      <c r="C778">
        <v>70</v>
      </c>
      <c r="D778">
        <v>3</v>
      </c>
      <c r="E778" s="2">
        <v>44981</v>
      </c>
      <c r="F778" s="3">
        <v>0.64857638888888891</v>
      </c>
      <c r="G778" s="2">
        <v>44984</v>
      </c>
      <c r="H778" s="3">
        <v>0.47892361111111109</v>
      </c>
      <c r="I778" s="1" t="s">
        <v>517</v>
      </c>
      <c r="J778" s="1" t="s">
        <v>36</v>
      </c>
      <c r="K778">
        <v>3</v>
      </c>
      <c r="L778" t="str">
        <f>IF(tblOrders[[#This Row],[Quantity]]&lt;=0,"Check","OK")</f>
        <v>OK</v>
      </c>
      <c r="M778" s="1" t="str">
        <f>IF(tblOrders[[#This Row],[Delivery_Date]]&lt;tblOrders[[#This Row],[Order_Date]],"Error","OK")</f>
        <v>OK</v>
      </c>
    </row>
    <row r="779" spans="1:13" x14ac:dyDescent="0.25">
      <c r="A779" s="1">
        <v>778</v>
      </c>
      <c r="B779" s="1" t="s">
        <v>272</v>
      </c>
      <c r="C779">
        <v>61</v>
      </c>
      <c r="D779">
        <v>4</v>
      </c>
      <c r="E779" s="2">
        <v>45056</v>
      </c>
      <c r="F779" s="3">
        <v>0.16574074074074074</v>
      </c>
      <c r="G779" s="2">
        <v>45059</v>
      </c>
      <c r="H779" s="3">
        <v>0.49811342592592595</v>
      </c>
      <c r="I779" s="1" t="s">
        <v>448</v>
      </c>
      <c r="J779" s="1" t="s">
        <v>30</v>
      </c>
      <c r="K779">
        <v>3</v>
      </c>
      <c r="L779" t="str">
        <f>IF(tblOrders[[#This Row],[Quantity]]&lt;=0,"Check","OK")</f>
        <v>OK</v>
      </c>
      <c r="M779" s="1" t="str">
        <f>IF(tblOrders[[#This Row],[Delivery_Date]]&lt;tblOrders[[#This Row],[Order_Date]],"Error","OK")</f>
        <v>OK</v>
      </c>
    </row>
    <row r="780" spans="1:13" x14ac:dyDescent="0.25">
      <c r="A780" s="1">
        <v>779</v>
      </c>
      <c r="B780" s="1" t="s">
        <v>437</v>
      </c>
      <c r="C780">
        <v>3</v>
      </c>
      <c r="D780">
        <v>1</v>
      </c>
      <c r="E780" s="2">
        <v>44963</v>
      </c>
      <c r="F780" s="3">
        <v>0.26848379629629632</v>
      </c>
      <c r="G780" s="2">
        <v>44965</v>
      </c>
      <c r="H780" s="3">
        <v>0.11934027777777778</v>
      </c>
      <c r="I780" s="1" t="s">
        <v>412</v>
      </c>
      <c r="J780" s="1" t="s">
        <v>12</v>
      </c>
      <c r="K780">
        <v>2</v>
      </c>
      <c r="L780" t="str">
        <f>IF(tblOrders[[#This Row],[Quantity]]&lt;=0,"Check","OK")</f>
        <v>OK</v>
      </c>
      <c r="M780" s="1" t="str">
        <f>IF(tblOrders[[#This Row],[Delivery_Date]]&lt;tblOrders[[#This Row],[Order_Date]],"Error","OK")</f>
        <v>OK</v>
      </c>
    </row>
    <row r="781" spans="1:13" x14ac:dyDescent="0.25">
      <c r="A781" s="1">
        <v>780</v>
      </c>
      <c r="B781" s="1" t="s">
        <v>343</v>
      </c>
      <c r="C781">
        <v>33</v>
      </c>
      <c r="D781">
        <v>2</v>
      </c>
      <c r="E781" s="2">
        <v>44967</v>
      </c>
      <c r="F781" s="3">
        <v>0.47975694444444444</v>
      </c>
      <c r="G781" s="2">
        <v>44970</v>
      </c>
      <c r="H781" s="3">
        <v>0.18640046296296298</v>
      </c>
      <c r="I781" s="1" t="s">
        <v>468</v>
      </c>
      <c r="J781" s="1" t="s">
        <v>12</v>
      </c>
      <c r="K781">
        <v>3</v>
      </c>
      <c r="L781" t="str">
        <f>IF(tblOrders[[#This Row],[Quantity]]&lt;=0,"Check","OK")</f>
        <v>OK</v>
      </c>
      <c r="M781" s="1" t="str">
        <f>IF(tblOrders[[#This Row],[Delivery_Date]]&lt;tblOrders[[#This Row],[Order_Date]],"Error","OK")</f>
        <v>OK</v>
      </c>
    </row>
    <row r="782" spans="1:13" x14ac:dyDescent="0.25">
      <c r="A782" s="1">
        <v>781</v>
      </c>
      <c r="B782" s="1" t="s">
        <v>364</v>
      </c>
      <c r="C782">
        <v>40</v>
      </c>
      <c r="D782">
        <v>2</v>
      </c>
      <c r="E782" s="2">
        <v>45196</v>
      </c>
      <c r="F782" s="3">
        <v>0.64372685185185186</v>
      </c>
      <c r="G782" s="2">
        <v>45204</v>
      </c>
      <c r="H782" s="3">
        <v>0.81907407407407407</v>
      </c>
      <c r="I782" s="1" t="s">
        <v>455</v>
      </c>
      <c r="J782" s="1" t="s">
        <v>30</v>
      </c>
      <c r="K782">
        <v>8</v>
      </c>
      <c r="L782" t="str">
        <f>IF(tblOrders[[#This Row],[Quantity]]&lt;=0,"Check","OK")</f>
        <v>OK</v>
      </c>
      <c r="M782" s="1" t="str">
        <f>IF(tblOrders[[#This Row],[Delivery_Date]]&lt;tblOrders[[#This Row],[Order_Date]],"Error","OK")</f>
        <v>OK</v>
      </c>
    </row>
    <row r="783" spans="1:13" x14ac:dyDescent="0.25">
      <c r="A783" s="1">
        <v>782</v>
      </c>
      <c r="B783" s="1" t="s">
        <v>347</v>
      </c>
      <c r="C783">
        <v>22</v>
      </c>
      <c r="D783">
        <v>4</v>
      </c>
      <c r="E783" s="2">
        <v>45034</v>
      </c>
      <c r="F783" s="3">
        <v>0.23703703703703705</v>
      </c>
      <c r="G783" s="2">
        <v>45042</v>
      </c>
      <c r="H783" s="3">
        <v>0.80936342592592592</v>
      </c>
      <c r="I783" s="1" t="s">
        <v>481</v>
      </c>
      <c r="J783" s="1" t="s">
        <v>8</v>
      </c>
      <c r="K783">
        <v>8</v>
      </c>
      <c r="L783" t="str">
        <f>IF(tblOrders[[#This Row],[Quantity]]&lt;=0,"Check","OK")</f>
        <v>OK</v>
      </c>
      <c r="M783" s="1" t="str">
        <f>IF(tblOrders[[#This Row],[Delivery_Date]]&lt;tblOrders[[#This Row],[Order_Date]],"Error","OK")</f>
        <v>OK</v>
      </c>
    </row>
    <row r="784" spans="1:13" x14ac:dyDescent="0.25">
      <c r="A784" s="1">
        <v>783</v>
      </c>
      <c r="B784" s="1" t="s">
        <v>188</v>
      </c>
      <c r="C784">
        <v>55</v>
      </c>
      <c r="D784">
        <v>5</v>
      </c>
      <c r="E784" s="2">
        <v>45166</v>
      </c>
      <c r="F784" s="3">
        <v>0.18850694444444444</v>
      </c>
      <c r="G784" s="2">
        <v>45167</v>
      </c>
      <c r="H784" s="3">
        <v>0.21586805555555555</v>
      </c>
      <c r="I784" s="1" t="s">
        <v>556</v>
      </c>
      <c r="J784" s="1" t="s">
        <v>33</v>
      </c>
      <c r="K784">
        <v>1</v>
      </c>
      <c r="L784" t="str">
        <f>IF(tblOrders[[#This Row],[Quantity]]&lt;=0,"Check","OK")</f>
        <v>OK</v>
      </c>
      <c r="M784" s="1" t="str">
        <f>IF(tblOrders[[#This Row],[Delivery_Date]]&lt;tblOrders[[#This Row],[Order_Date]],"Error","OK")</f>
        <v>OK</v>
      </c>
    </row>
    <row r="785" spans="1:13" x14ac:dyDescent="0.25">
      <c r="A785" s="1">
        <v>784</v>
      </c>
      <c r="B785" s="1" t="s">
        <v>190</v>
      </c>
      <c r="C785">
        <v>56</v>
      </c>
      <c r="D785">
        <v>2</v>
      </c>
      <c r="E785" s="2">
        <v>45079</v>
      </c>
      <c r="F785" s="3">
        <v>0.35129629629629627</v>
      </c>
      <c r="G785" s="2">
        <v>45084</v>
      </c>
      <c r="H785" s="3">
        <v>0.26133101851851853</v>
      </c>
      <c r="I785" s="1" t="s">
        <v>419</v>
      </c>
      <c r="J785" s="1" t="s">
        <v>30</v>
      </c>
      <c r="K785">
        <v>5</v>
      </c>
      <c r="L785" t="str">
        <f>IF(tblOrders[[#This Row],[Quantity]]&lt;=0,"Check","OK")</f>
        <v>OK</v>
      </c>
      <c r="M785" s="1" t="str">
        <f>IF(tblOrders[[#This Row],[Delivery_Date]]&lt;tblOrders[[#This Row],[Order_Date]],"Error","OK")</f>
        <v>OK</v>
      </c>
    </row>
    <row r="786" spans="1:13" x14ac:dyDescent="0.25">
      <c r="A786" s="1">
        <v>785</v>
      </c>
      <c r="B786" s="1" t="s">
        <v>437</v>
      </c>
      <c r="C786">
        <v>47</v>
      </c>
      <c r="D786">
        <v>5</v>
      </c>
      <c r="E786" s="2">
        <v>44983</v>
      </c>
      <c r="F786" s="3">
        <v>0.73719907407407403</v>
      </c>
      <c r="G786" s="2">
        <v>44986</v>
      </c>
      <c r="H786" s="3">
        <v>0.54818287037037039</v>
      </c>
      <c r="I786" s="1" t="s">
        <v>358</v>
      </c>
      <c r="J786" s="1" t="s">
        <v>25</v>
      </c>
      <c r="K786">
        <v>3</v>
      </c>
      <c r="L786" t="str">
        <f>IF(tblOrders[[#This Row],[Quantity]]&lt;=0,"Check","OK")</f>
        <v>OK</v>
      </c>
      <c r="M786" s="1" t="str">
        <f>IF(tblOrders[[#This Row],[Delivery_Date]]&lt;tblOrders[[#This Row],[Order_Date]],"Error","OK")</f>
        <v>OK</v>
      </c>
    </row>
    <row r="787" spans="1:13" x14ac:dyDescent="0.25">
      <c r="A787" s="1">
        <v>786</v>
      </c>
      <c r="B787" s="1" t="s">
        <v>440</v>
      </c>
      <c r="C787">
        <v>47</v>
      </c>
      <c r="D787">
        <v>1</v>
      </c>
      <c r="E787" s="2">
        <v>44990</v>
      </c>
      <c r="F787" s="3">
        <v>0.94936342592592593</v>
      </c>
      <c r="G787" s="2">
        <v>44992</v>
      </c>
      <c r="H787" s="3">
        <v>0.3033912037037037</v>
      </c>
      <c r="I787" s="1" t="s">
        <v>325</v>
      </c>
      <c r="J787" s="1" t="s">
        <v>25</v>
      </c>
      <c r="K787">
        <v>2</v>
      </c>
      <c r="L787" t="str">
        <f>IF(tblOrders[[#This Row],[Quantity]]&lt;=0,"Check","OK")</f>
        <v>OK</v>
      </c>
      <c r="M787" s="1" t="str">
        <f>IF(tblOrders[[#This Row],[Delivery_Date]]&lt;tblOrders[[#This Row],[Order_Date]],"Error","OK")</f>
        <v>OK</v>
      </c>
    </row>
    <row r="788" spans="1:13" x14ac:dyDescent="0.25">
      <c r="A788" s="1">
        <v>787</v>
      </c>
      <c r="B788" s="1" t="s">
        <v>191</v>
      </c>
      <c r="C788">
        <v>9</v>
      </c>
      <c r="D788">
        <v>1</v>
      </c>
      <c r="E788" s="2">
        <v>45163</v>
      </c>
      <c r="F788" s="3">
        <v>0.90430555555555558</v>
      </c>
      <c r="G788" s="2">
        <v>45165</v>
      </c>
      <c r="H788" s="3">
        <v>0.59096064814814819</v>
      </c>
      <c r="I788" s="1" t="s">
        <v>512</v>
      </c>
      <c r="J788" s="1" t="s">
        <v>33</v>
      </c>
      <c r="K788">
        <v>2</v>
      </c>
      <c r="L788" t="str">
        <f>IF(tblOrders[[#This Row],[Quantity]]&lt;=0,"Check","OK")</f>
        <v>OK</v>
      </c>
      <c r="M788" s="1" t="str">
        <f>IF(tblOrders[[#This Row],[Delivery_Date]]&lt;tblOrders[[#This Row],[Order_Date]],"Error","OK")</f>
        <v>OK</v>
      </c>
    </row>
    <row r="789" spans="1:13" x14ac:dyDescent="0.25">
      <c r="A789" s="1">
        <v>788</v>
      </c>
      <c r="B789" s="1" t="s">
        <v>183</v>
      </c>
      <c r="C789">
        <v>53</v>
      </c>
      <c r="D789">
        <v>3</v>
      </c>
      <c r="E789" s="2">
        <v>45162</v>
      </c>
      <c r="F789" s="3">
        <v>0.20761574074074074</v>
      </c>
      <c r="G789" s="2">
        <v>45165</v>
      </c>
      <c r="H789" s="3">
        <v>0.37282407407407409</v>
      </c>
      <c r="I789" s="1" t="s">
        <v>412</v>
      </c>
      <c r="J789" s="1" t="s">
        <v>33</v>
      </c>
      <c r="K789">
        <v>3</v>
      </c>
      <c r="L789" t="str">
        <f>IF(tblOrders[[#This Row],[Quantity]]&lt;=0,"Check","OK")</f>
        <v>OK</v>
      </c>
      <c r="M789" s="1" t="str">
        <f>IF(tblOrders[[#This Row],[Delivery_Date]]&lt;tblOrders[[#This Row],[Order_Date]],"Error","OK")</f>
        <v>OK</v>
      </c>
    </row>
    <row r="790" spans="1:13" x14ac:dyDescent="0.25">
      <c r="A790" s="1">
        <v>789</v>
      </c>
      <c r="B790" s="1" t="s">
        <v>331</v>
      </c>
      <c r="C790">
        <v>58</v>
      </c>
      <c r="D790">
        <v>4</v>
      </c>
      <c r="E790" s="2">
        <v>44965</v>
      </c>
      <c r="F790" s="3">
        <v>0.76361111111111113</v>
      </c>
      <c r="G790" s="2">
        <v>44972</v>
      </c>
      <c r="H790" s="3">
        <v>0.33369212962962963</v>
      </c>
      <c r="I790" s="1" t="s">
        <v>278</v>
      </c>
      <c r="J790" s="1" t="s">
        <v>12</v>
      </c>
      <c r="K790">
        <v>7</v>
      </c>
      <c r="L790" t="str">
        <f>IF(tblOrders[[#This Row],[Quantity]]&lt;=0,"Check","OK")</f>
        <v>OK</v>
      </c>
      <c r="M790" s="1" t="str">
        <f>IF(tblOrders[[#This Row],[Delivery_Date]]&lt;tblOrders[[#This Row],[Order_Date]],"Error","OK")</f>
        <v>OK</v>
      </c>
    </row>
    <row r="791" spans="1:13" x14ac:dyDescent="0.25">
      <c r="A791" s="1">
        <v>790</v>
      </c>
      <c r="B791" s="1" t="s">
        <v>237</v>
      </c>
      <c r="C791">
        <v>26</v>
      </c>
      <c r="D791">
        <v>2</v>
      </c>
      <c r="E791" s="2">
        <v>44985</v>
      </c>
      <c r="F791" s="3">
        <v>0.25241898148148151</v>
      </c>
      <c r="G791" s="2">
        <v>44993</v>
      </c>
      <c r="H791" s="3">
        <v>0.18099537037037036</v>
      </c>
      <c r="I791" s="1" t="s">
        <v>385</v>
      </c>
      <c r="J791" s="1" t="s">
        <v>25</v>
      </c>
      <c r="K791">
        <v>8</v>
      </c>
      <c r="L791" t="str">
        <f>IF(tblOrders[[#This Row],[Quantity]]&lt;=0,"Check","OK")</f>
        <v>OK</v>
      </c>
      <c r="M791" s="1" t="str">
        <f>IF(tblOrders[[#This Row],[Delivery_Date]]&lt;tblOrders[[#This Row],[Order_Date]],"Error","OK")</f>
        <v>OK</v>
      </c>
    </row>
    <row r="792" spans="1:13" x14ac:dyDescent="0.25">
      <c r="A792" s="1">
        <v>791</v>
      </c>
      <c r="B792" s="1" t="s">
        <v>398</v>
      </c>
      <c r="C792">
        <v>51</v>
      </c>
      <c r="D792">
        <v>2</v>
      </c>
      <c r="E792" s="2">
        <v>45052</v>
      </c>
      <c r="F792" s="3">
        <v>0.1040625</v>
      </c>
      <c r="G792" s="2">
        <v>45055</v>
      </c>
      <c r="H792" s="3">
        <v>0.28736111111111112</v>
      </c>
      <c r="I792" s="1" t="s">
        <v>515</v>
      </c>
      <c r="J792" s="1" t="s">
        <v>8</v>
      </c>
      <c r="K792">
        <v>3</v>
      </c>
      <c r="L792" t="str">
        <f>IF(tblOrders[[#This Row],[Quantity]]&lt;=0,"Check","OK")</f>
        <v>OK</v>
      </c>
      <c r="M792" s="1" t="str">
        <f>IF(tblOrders[[#This Row],[Delivery_Date]]&lt;tblOrders[[#This Row],[Order_Date]],"Error","OK")</f>
        <v>OK</v>
      </c>
    </row>
    <row r="793" spans="1:13" x14ac:dyDescent="0.25">
      <c r="A793" s="1">
        <v>792</v>
      </c>
      <c r="B793" s="1" t="s">
        <v>270</v>
      </c>
      <c r="C793">
        <v>43</v>
      </c>
      <c r="D793">
        <v>2</v>
      </c>
      <c r="E793" s="2">
        <v>45239</v>
      </c>
      <c r="F793" s="3">
        <v>0.29231481481481481</v>
      </c>
      <c r="G793" s="2">
        <v>45240</v>
      </c>
      <c r="H793" s="3">
        <v>0.21819444444444444</v>
      </c>
      <c r="I793" s="1" t="s">
        <v>269</v>
      </c>
      <c r="J793" s="1" t="s">
        <v>19</v>
      </c>
      <c r="K793">
        <v>1</v>
      </c>
      <c r="L793" t="str">
        <f>IF(tblOrders[[#This Row],[Quantity]]&lt;=0,"Check","OK")</f>
        <v>OK</v>
      </c>
      <c r="M793" s="1" t="str">
        <f>IF(tblOrders[[#This Row],[Delivery_Date]]&lt;tblOrders[[#This Row],[Order_Date]],"Error","OK")</f>
        <v>OK</v>
      </c>
    </row>
    <row r="794" spans="1:13" x14ac:dyDescent="0.25">
      <c r="A794" s="1">
        <v>793</v>
      </c>
      <c r="B794" s="1" t="s">
        <v>258</v>
      </c>
      <c r="C794">
        <v>58</v>
      </c>
      <c r="D794">
        <v>5</v>
      </c>
      <c r="E794" s="2">
        <v>44962</v>
      </c>
      <c r="F794" s="3">
        <v>0.73421296296296301</v>
      </c>
      <c r="G794" s="2">
        <v>44972</v>
      </c>
      <c r="H794" s="3">
        <v>6.1307870370370374E-2</v>
      </c>
      <c r="I794" s="1" t="s">
        <v>504</v>
      </c>
      <c r="J794" s="1" t="s">
        <v>12</v>
      </c>
      <c r="K794">
        <v>10</v>
      </c>
      <c r="L794" t="str">
        <f>IF(tblOrders[[#This Row],[Quantity]]&lt;=0,"Check","OK")</f>
        <v>OK</v>
      </c>
      <c r="M794" s="1" t="str">
        <f>IF(tblOrders[[#This Row],[Delivery_Date]]&lt;tblOrders[[#This Row],[Order_Date]],"Error","OK")</f>
        <v>OK</v>
      </c>
    </row>
    <row r="795" spans="1:13" x14ac:dyDescent="0.25">
      <c r="A795" s="1">
        <v>794</v>
      </c>
      <c r="B795" s="1" t="s">
        <v>424</v>
      </c>
      <c r="C795">
        <v>13</v>
      </c>
      <c r="D795">
        <v>4</v>
      </c>
      <c r="E795" s="2">
        <v>44989</v>
      </c>
      <c r="F795" s="3">
        <v>0.71664351851851849</v>
      </c>
      <c r="G795" s="2">
        <v>44994</v>
      </c>
      <c r="H795" s="3">
        <v>0.61881944444444448</v>
      </c>
      <c r="I795" s="1" t="s">
        <v>481</v>
      </c>
      <c r="J795" s="1" t="s">
        <v>25</v>
      </c>
      <c r="K795">
        <v>5</v>
      </c>
      <c r="L795" t="str">
        <f>IF(tblOrders[[#This Row],[Quantity]]&lt;=0,"Check","OK")</f>
        <v>OK</v>
      </c>
      <c r="M795" s="1" t="str">
        <f>IF(tblOrders[[#This Row],[Delivery_Date]]&lt;tblOrders[[#This Row],[Order_Date]],"Error","OK")</f>
        <v>OK</v>
      </c>
    </row>
    <row r="796" spans="1:13" x14ac:dyDescent="0.25">
      <c r="A796" s="1">
        <v>795</v>
      </c>
      <c r="B796" s="1" t="s">
        <v>343</v>
      </c>
      <c r="C796">
        <v>7</v>
      </c>
      <c r="D796">
        <v>1</v>
      </c>
      <c r="E796" s="2">
        <v>44988</v>
      </c>
      <c r="F796" s="3">
        <v>0.74902777777777774</v>
      </c>
      <c r="G796" s="2">
        <v>44992</v>
      </c>
      <c r="H796" s="3">
        <v>0.9290046296296296</v>
      </c>
      <c r="I796" s="1" t="s">
        <v>374</v>
      </c>
      <c r="J796" s="1" t="s">
        <v>25</v>
      </c>
      <c r="K796">
        <v>4</v>
      </c>
      <c r="L796" t="str">
        <f>IF(tblOrders[[#This Row],[Quantity]]&lt;=0,"Check","OK")</f>
        <v>OK</v>
      </c>
      <c r="M796" s="1" t="str">
        <f>IF(tblOrders[[#This Row],[Delivery_Date]]&lt;tblOrders[[#This Row],[Order_Date]],"Error","OK")</f>
        <v>OK</v>
      </c>
    </row>
    <row r="797" spans="1:13" x14ac:dyDescent="0.25">
      <c r="A797" s="1">
        <v>796</v>
      </c>
      <c r="B797" s="1" t="s">
        <v>488</v>
      </c>
      <c r="C797">
        <v>61</v>
      </c>
      <c r="D797">
        <v>4</v>
      </c>
      <c r="E797" s="2">
        <v>45051</v>
      </c>
      <c r="F797" s="3">
        <v>0.32877314814814818</v>
      </c>
      <c r="G797" s="2">
        <v>45060</v>
      </c>
      <c r="H797" s="3">
        <v>0.33917824074074077</v>
      </c>
      <c r="I797" s="1" t="s">
        <v>175</v>
      </c>
      <c r="J797" s="1" t="s">
        <v>30</v>
      </c>
      <c r="K797">
        <v>9</v>
      </c>
      <c r="L797" t="str">
        <f>IF(tblOrders[[#This Row],[Quantity]]&lt;=0,"Check","OK")</f>
        <v>OK</v>
      </c>
      <c r="M797" s="1" t="str">
        <f>IF(tblOrders[[#This Row],[Delivery_Date]]&lt;tblOrders[[#This Row],[Order_Date]],"Error","OK")</f>
        <v>OK</v>
      </c>
    </row>
    <row r="798" spans="1:13" x14ac:dyDescent="0.25">
      <c r="A798" s="1">
        <v>797</v>
      </c>
      <c r="B798" s="1" t="s">
        <v>221</v>
      </c>
      <c r="C798">
        <v>13</v>
      </c>
      <c r="D798">
        <v>2</v>
      </c>
      <c r="E798" s="2">
        <v>44988</v>
      </c>
      <c r="F798" s="3">
        <v>0.87349537037037039</v>
      </c>
      <c r="G798" s="2">
        <v>44995</v>
      </c>
      <c r="H798" s="3">
        <v>0.18684027777777779</v>
      </c>
      <c r="I798" s="1" t="s">
        <v>378</v>
      </c>
      <c r="J798" s="1" t="s">
        <v>25</v>
      </c>
      <c r="K798">
        <v>7</v>
      </c>
      <c r="L798" t="str">
        <f>IF(tblOrders[[#This Row],[Quantity]]&lt;=0,"Check","OK")</f>
        <v>OK</v>
      </c>
      <c r="M798" s="1" t="str">
        <f>IF(tblOrders[[#This Row],[Delivery_Date]]&lt;tblOrders[[#This Row],[Order_Date]],"Error","OK")</f>
        <v>OK</v>
      </c>
    </row>
    <row r="799" spans="1:13" x14ac:dyDescent="0.25">
      <c r="A799" s="1">
        <v>798</v>
      </c>
      <c r="B799" s="1" t="s">
        <v>409</v>
      </c>
      <c r="C799">
        <v>30</v>
      </c>
      <c r="D799">
        <v>5</v>
      </c>
      <c r="E799" s="2">
        <v>45277</v>
      </c>
      <c r="F799" s="3">
        <v>0.73284722222222221</v>
      </c>
      <c r="G799" s="2">
        <v>45286</v>
      </c>
      <c r="H799" s="3">
        <v>7.7881944444444448E-2</v>
      </c>
      <c r="I799" s="1" t="s">
        <v>557</v>
      </c>
      <c r="J799" s="1" t="s">
        <v>30</v>
      </c>
      <c r="K799">
        <v>9</v>
      </c>
      <c r="L799" t="str">
        <f>IF(tblOrders[[#This Row],[Quantity]]&lt;=0,"Check","OK")</f>
        <v>OK</v>
      </c>
      <c r="M799" s="1" t="str">
        <f>IF(tblOrders[[#This Row],[Delivery_Date]]&lt;tblOrders[[#This Row],[Order_Date]],"Error","OK")</f>
        <v>OK</v>
      </c>
    </row>
    <row r="800" spans="1:13" x14ac:dyDescent="0.25">
      <c r="A800" s="1">
        <v>799</v>
      </c>
      <c r="B800" s="1" t="s">
        <v>364</v>
      </c>
      <c r="C800">
        <v>32</v>
      </c>
      <c r="D800">
        <v>5</v>
      </c>
      <c r="E800" s="2">
        <v>45221</v>
      </c>
      <c r="F800" s="3">
        <v>7.649305555555555E-2</v>
      </c>
      <c r="G800" s="2">
        <v>45231</v>
      </c>
      <c r="H800" s="3">
        <v>0.84891203703703699</v>
      </c>
      <c r="I800" s="1" t="s">
        <v>449</v>
      </c>
      <c r="J800" s="1" t="s">
        <v>36</v>
      </c>
      <c r="K800">
        <v>10</v>
      </c>
      <c r="L800" t="str">
        <f>IF(tblOrders[[#This Row],[Quantity]]&lt;=0,"Check","OK")</f>
        <v>OK</v>
      </c>
      <c r="M800" s="1" t="str">
        <f>IF(tblOrders[[#This Row],[Delivery_Date]]&lt;tblOrders[[#This Row],[Order_Date]],"Error","OK")</f>
        <v>OK</v>
      </c>
    </row>
    <row r="801" spans="1:13" x14ac:dyDescent="0.25">
      <c r="A801" s="1">
        <v>800</v>
      </c>
      <c r="B801" s="1" t="s">
        <v>248</v>
      </c>
      <c r="C801">
        <v>24</v>
      </c>
      <c r="D801">
        <v>5</v>
      </c>
      <c r="E801" s="2">
        <v>45094</v>
      </c>
      <c r="F801" s="3">
        <v>0.90997685185185184</v>
      </c>
      <c r="G801" s="2">
        <v>45098</v>
      </c>
      <c r="H801" s="3">
        <v>0.30068287037037039</v>
      </c>
      <c r="I801" s="1" t="s">
        <v>555</v>
      </c>
      <c r="J801" s="1" t="s">
        <v>36</v>
      </c>
      <c r="K801">
        <v>4</v>
      </c>
      <c r="L801" t="str">
        <f>IF(tblOrders[[#This Row],[Quantity]]&lt;=0,"Check","OK")</f>
        <v>OK</v>
      </c>
      <c r="M801" s="1" t="str">
        <f>IF(tblOrders[[#This Row],[Delivery_Date]]&lt;tblOrders[[#This Row],[Order_Date]],"Error","OK")</f>
        <v>OK</v>
      </c>
    </row>
    <row r="802" spans="1:13" x14ac:dyDescent="0.25">
      <c r="A802" s="1">
        <v>801</v>
      </c>
      <c r="B802" s="1" t="s">
        <v>265</v>
      </c>
      <c r="C802">
        <v>35</v>
      </c>
      <c r="D802">
        <v>1</v>
      </c>
      <c r="E802" s="2">
        <v>44992</v>
      </c>
      <c r="F802" s="3">
        <v>0.8026388888888889</v>
      </c>
      <c r="G802" s="2">
        <v>45000</v>
      </c>
      <c r="H802" s="3">
        <v>0.27444444444444444</v>
      </c>
      <c r="I802" s="1" t="s">
        <v>558</v>
      </c>
      <c r="J802" s="1" t="s">
        <v>25</v>
      </c>
      <c r="K802">
        <v>8</v>
      </c>
      <c r="L802" t="str">
        <f>IF(tblOrders[[#This Row],[Quantity]]&lt;=0,"Check","OK")</f>
        <v>OK</v>
      </c>
      <c r="M802" s="1" t="str">
        <f>IF(tblOrders[[#This Row],[Delivery_Date]]&lt;tblOrders[[#This Row],[Order_Date]],"Error","OK")</f>
        <v>OK</v>
      </c>
    </row>
    <row r="803" spans="1:13" x14ac:dyDescent="0.25">
      <c r="A803" s="1">
        <v>802</v>
      </c>
      <c r="B803" s="1" t="s">
        <v>180</v>
      </c>
      <c r="C803">
        <v>45</v>
      </c>
      <c r="D803">
        <v>3</v>
      </c>
      <c r="E803" s="2">
        <v>45008</v>
      </c>
      <c r="F803" s="3">
        <v>0.52596064814814814</v>
      </c>
      <c r="G803" s="2">
        <v>45011</v>
      </c>
      <c r="H803" s="3">
        <v>0.26319444444444445</v>
      </c>
      <c r="I803" s="1" t="s">
        <v>510</v>
      </c>
      <c r="J803" s="1" t="s">
        <v>36</v>
      </c>
      <c r="K803">
        <v>3</v>
      </c>
      <c r="L803" t="str">
        <f>IF(tblOrders[[#This Row],[Quantity]]&lt;=0,"Check","OK")</f>
        <v>OK</v>
      </c>
      <c r="M803" s="1" t="str">
        <f>IF(tblOrders[[#This Row],[Delivery_Date]]&lt;tblOrders[[#This Row],[Order_Date]],"Error","OK")</f>
        <v>OK</v>
      </c>
    </row>
    <row r="804" spans="1:13" x14ac:dyDescent="0.25">
      <c r="A804" s="1">
        <v>803</v>
      </c>
      <c r="B804" s="1" t="s">
        <v>176</v>
      </c>
      <c r="C804">
        <v>26</v>
      </c>
      <c r="D804">
        <v>1</v>
      </c>
      <c r="E804" s="2">
        <v>44988</v>
      </c>
      <c r="F804" s="3">
        <v>0.50263888888888886</v>
      </c>
      <c r="G804" s="2">
        <v>44995</v>
      </c>
      <c r="H804" s="3">
        <v>0.11811342592592593</v>
      </c>
      <c r="I804" s="1" t="s">
        <v>238</v>
      </c>
      <c r="J804" s="1" t="s">
        <v>25</v>
      </c>
      <c r="K804">
        <v>7</v>
      </c>
      <c r="L804" t="str">
        <f>IF(tblOrders[[#This Row],[Quantity]]&lt;=0,"Check","OK")</f>
        <v>OK</v>
      </c>
      <c r="M804" s="1" t="str">
        <f>IF(tblOrders[[#This Row],[Delivery_Date]]&lt;tblOrders[[#This Row],[Order_Date]],"Error","OK")</f>
        <v>OK</v>
      </c>
    </row>
    <row r="805" spans="1:13" x14ac:dyDescent="0.25">
      <c r="A805" s="1">
        <v>804</v>
      </c>
      <c r="B805" s="1" t="s">
        <v>178</v>
      </c>
      <c r="C805">
        <v>3</v>
      </c>
      <c r="D805">
        <v>3</v>
      </c>
      <c r="E805" s="2">
        <v>44962</v>
      </c>
      <c r="F805" s="3">
        <v>0.23423611111111112</v>
      </c>
      <c r="G805" s="2">
        <v>44964</v>
      </c>
      <c r="H805" s="3">
        <v>8.2037037037037033E-2</v>
      </c>
      <c r="I805" s="1" t="s">
        <v>380</v>
      </c>
      <c r="J805" s="1" t="s">
        <v>12</v>
      </c>
      <c r="K805">
        <v>2</v>
      </c>
      <c r="L805" t="str">
        <f>IF(tblOrders[[#This Row],[Quantity]]&lt;=0,"Check","OK")</f>
        <v>OK</v>
      </c>
      <c r="M805" s="1" t="str">
        <f>IF(tblOrders[[#This Row],[Delivery_Date]]&lt;tblOrders[[#This Row],[Order_Date]],"Error","OK")</f>
        <v>OK</v>
      </c>
    </row>
    <row r="806" spans="1:13" x14ac:dyDescent="0.25">
      <c r="A806" s="1">
        <v>805</v>
      </c>
      <c r="B806" s="1" t="s">
        <v>283</v>
      </c>
      <c r="C806">
        <v>24</v>
      </c>
      <c r="D806">
        <v>3</v>
      </c>
      <c r="E806" s="2">
        <v>45088</v>
      </c>
      <c r="F806" s="3">
        <v>0.61050925925925925</v>
      </c>
      <c r="G806" s="2">
        <v>45091</v>
      </c>
      <c r="H806" s="3">
        <v>0.7550810185185185</v>
      </c>
      <c r="I806" s="1" t="s">
        <v>399</v>
      </c>
      <c r="J806" s="1" t="s">
        <v>36</v>
      </c>
      <c r="K806">
        <v>3</v>
      </c>
      <c r="L806" t="str">
        <f>IF(tblOrders[[#This Row],[Quantity]]&lt;=0,"Check","OK")</f>
        <v>OK</v>
      </c>
      <c r="M806" s="1" t="str">
        <f>IF(tblOrders[[#This Row],[Delivery_Date]]&lt;tblOrders[[#This Row],[Order_Date]],"Error","OK")</f>
        <v>OK</v>
      </c>
    </row>
    <row r="807" spans="1:13" x14ac:dyDescent="0.25">
      <c r="A807" s="1">
        <v>806</v>
      </c>
      <c r="B807" s="1" t="s">
        <v>215</v>
      </c>
      <c r="C807">
        <v>29</v>
      </c>
      <c r="D807">
        <v>2</v>
      </c>
      <c r="E807" s="2">
        <v>44985</v>
      </c>
      <c r="F807" s="3">
        <v>0.5426157407407407</v>
      </c>
      <c r="G807" s="2">
        <v>44993</v>
      </c>
      <c r="H807" s="3">
        <v>0.27706018518518516</v>
      </c>
      <c r="I807" s="1" t="s">
        <v>326</v>
      </c>
      <c r="J807" s="1" t="s">
        <v>25</v>
      </c>
      <c r="K807">
        <v>8</v>
      </c>
      <c r="L807" t="str">
        <f>IF(tblOrders[[#This Row],[Quantity]]&lt;=0,"Check","OK")</f>
        <v>OK</v>
      </c>
      <c r="M807" s="1" t="str">
        <f>IF(tblOrders[[#This Row],[Delivery_Date]]&lt;tblOrders[[#This Row],[Order_Date]],"Error","OK")</f>
        <v>OK</v>
      </c>
    </row>
    <row r="808" spans="1:13" x14ac:dyDescent="0.25">
      <c r="A808" s="1">
        <v>807</v>
      </c>
      <c r="B808" s="1" t="s">
        <v>239</v>
      </c>
      <c r="C808">
        <v>40</v>
      </c>
      <c r="D808">
        <v>4</v>
      </c>
      <c r="E808" s="2">
        <v>45259</v>
      </c>
      <c r="F808" s="3">
        <v>0.68077546296296299</v>
      </c>
      <c r="G808" s="2">
        <v>45269</v>
      </c>
      <c r="H808" s="3">
        <v>0.13190972222222222</v>
      </c>
      <c r="I808" s="1" t="s">
        <v>543</v>
      </c>
      <c r="J808" s="1" t="s">
        <v>30</v>
      </c>
      <c r="K808">
        <v>10</v>
      </c>
      <c r="L808" t="str">
        <f>IF(tblOrders[[#This Row],[Quantity]]&lt;=0,"Check","OK")</f>
        <v>OK</v>
      </c>
      <c r="M808" s="1" t="str">
        <f>IF(tblOrders[[#This Row],[Delivery_Date]]&lt;tblOrders[[#This Row],[Order_Date]],"Error","OK")</f>
        <v>OK</v>
      </c>
    </row>
    <row r="809" spans="1:13" x14ac:dyDescent="0.25">
      <c r="A809" s="1">
        <v>808</v>
      </c>
      <c r="B809" s="1" t="s">
        <v>488</v>
      </c>
      <c r="C809">
        <v>9</v>
      </c>
      <c r="D809">
        <v>2</v>
      </c>
      <c r="E809" s="2">
        <v>45167</v>
      </c>
      <c r="F809" s="3">
        <v>0.65045138888888887</v>
      </c>
      <c r="G809" s="2">
        <v>45168</v>
      </c>
      <c r="H809" s="3">
        <v>0.42454861111111108</v>
      </c>
      <c r="I809" s="1" t="s">
        <v>389</v>
      </c>
      <c r="J809" s="1" t="s">
        <v>33</v>
      </c>
      <c r="K809">
        <v>1</v>
      </c>
      <c r="L809" t="str">
        <f>IF(tblOrders[[#This Row],[Quantity]]&lt;=0,"Check","OK")</f>
        <v>OK</v>
      </c>
      <c r="M809" s="1" t="str">
        <f>IF(tblOrders[[#This Row],[Delivery_Date]]&lt;tblOrders[[#This Row],[Order_Date]],"Error","OK")</f>
        <v>OK</v>
      </c>
    </row>
    <row r="810" spans="1:13" x14ac:dyDescent="0.25">
      <c r="A810" s="1">
        <v>809</v>
      </c>
      <c r="B810" s="1" t="s">
        <v>285</v>
      </c>
      <c r="C810">
        <v>35</v>
      </c>
      <c r="D810">
        <v>1</v>
      </c>
      <c r="E810" s="2">
        <v>44992</v>
      </c>
      <c r="F810" s="3">
        <v>0.82693287037037033</v>
      </c>
      <c r="G810" s="2">
        <v>45002</v>
      </c>
      <c r="H810" s="3">
        <v>7.7476851851851852E-2</v>
      </c>
      <c r="I810" s="1" t="s">
        <v>207</v>
      </c>
      <c r="J810" s="1" t="s">
        <v>25</v>
      </c>
      <c r="K810">
        <v>10</v>
      </c>
      <c r="L810" t="str">
        <f>IF(tblOrders[[#This Row],[Quantity]]&lt;=0,"Check","OK")</f>
        <v>OK</v>
      </c>
      <c r="M810" s="1" t="str">
        <f>IF(tblOrders[[#This Row],[Delivery_Date]]&lt;tblOrders[[#This Row],[Order_Date]],"Error","OK")</f>
        <v>OK</v>
      </c>
    </row>
    <row r="811" spans="1:13" x14ac:dyDescent="0.25">
      <c r="A811" s="1">
        <v>810</v>
      </c>
      <c r="B811" s="1" t="s">
        <v>242</v>
      </c>
      <c r="C811">
        <v>24</v>
      </c>
      <c r="D811">
        <v>3</v>
      </c>
      <c r="E811" s="2">
        <v>45275</v>
      </c>
      <c r="F811" s="3">
        <v>0.24807870370370369</v>
      </c>
      <c r="G811" s="2">
        <v>45277</v>
      </c>
      <c r="H811" s="3">
        <v>0.50407407407407412</v>
      </c>
      <c r="I811" s="1" t="s">
        <v>226</v>
      </c>
      <c r="J811" s="1" t="s">
        <v>36</v>
      </c>
      <c r="K811">
        <v>2</v>
      </c>
      <c r="L811" t="str">
        <f>IF(tblOrders[[#This Row],[Quantity]]&lt;=0,"Check","OK")</f>
        <v>OK</v>
      </c>
      <c r="M811" s="1" t="str">
        <f>IF(tblOrders[[#This Row],[Delivery_Date]]&lt;tblOrders[[#This Row],[Order_Date]],"Error","OK")</f>
        <v>OK</v>
      </c>
    </row>
    <row r="812" spans="1:13" x14ac:dyDescent="0.25">
      <c r="A812" s="1">
        <v>811</v>
      </c>
      <c r="B812" s="1" t="s">
        <v>246</v>
      </c>
      <c r="C812">
        <v>14</v>
      </c>
      <c r="D812">
        <v>5</v>
      </c>
      <c r="E812" s="2">
        <v>45217</v>
      </c>
      <c r="F812" s="3">
        <v>0.50290509259259264</v>
      </c>
      <c r="G812" s="2">
        <v>45224</v>
      </c>
      <c r="H812" s="3">
        <v>0.91379629629629633</v>
      </c>
      <c r="I812" s="1" t="s">
        <v>462</v>
      </c>
      <c r="J812" s="1" t="s">
        <v>36</v>
      </c>
      <c r="K812">
        <v>7</v>
      </c>
      <c r="L812" t="str">
        <f>IF(tblOrders[[#This Row],[Quantity]]&lt;=0,"Check","OK")</f>
        <v>OK</v>
      </c>
      <c r="M812" s="1" t="str">
        <f>IF(tblOrders[[#This Row],[Delivery_Date]]&lt;tblOrders[[#This Row],[Order_Date]],"Error","OK")</f>
        <v>OK</v>
      </c>
    </row>
    <row r="813" spans="1:13" x14ac:dyDescent="0.25">
      <c r="A813" s="1">
        <v>812</v>
      </c>
      <c r="B813" s="1" t="s">
        <v>265</v>
      </c>
      <c r="C813">
        <v>40</v>
      </c>
      <c r="D813">
        <v>2</v>
      </c>
      <c r="E813" s="2">
        <v>45272</v>
      </c>
      <c r="F813" s="3">
        <v>0.72209490740740745</v>
      </c>
      <c r="G813" s="2">
        <v>45274</v>
      </c>
      <c r="H813" s="3">
        <v>6.1481481481481484E-2</v>
      </c>
      <c r="I813" s="1" t="s">
        <v>478</v>
      </c>
      <c r="J813" s="1" t="s">
        <v>30</v>
      </c>
      <c r="K813">
        <v>2</v>
      </c>
      <c r="L813" t="str">
        <f>IF(tblOrders[[#This Row],[Quantity]]&lt;=0,"Check","OK")</f>
        <v>OK</v>
      </c>
      <c r="M813" s="1" t="str">
        <f>IF(tblOrders[[#This Row],[Delivery_Date]]&lt;tblOrders[[#This Row],[Order_Date]],"Error","OK")</f>
        <v>OK</v>
      </c>
    </row>
    <row r="814" spans="1:13" x14ac:dyDescent="0.25">
      <c r="A814" s="1">
        <v>813</v>
      </c>
      <c r="B814" s="1" t="s">
        <v>365</v>
      </c>
      <c r="C814">
        <v>32</v>
      </c>
      <c r="D814">
        <v>4</v>
      </c>
      <c r="E814" s="2">
        <v>44945</v>
      </c>
      <c r="F814" s="3">
        <v>0.37063657407407408</v>
      </c>
      <c r="G814" s="2">
        <v>44949</v>
      </c>
      <c r="H814" s="3">
        <v>0.91737268518518522</v>
      </c>
      <c r="I814" s="1" t="s">
        <v>559</v>
      </c>
      <c r="J814" s="1" t="s">
        <v>36</v>
      </c>
      <c r="K814">
        <v>4</v>
      </c>
      <c r="L814" t="str">
        <f>IF(tblOrders[[#This Row],[Quantity]]&lt;=0,"Check","OK")</f>
        <v>OK</v>
      </c>
      <c r="M814" s="1" t="str">
        <f>IF(tblOrders[[#This Row],[Delivery_Date]]&lt;tblOrders[[#This Row],[Order_Date]],"Error","OK")</f>
        <v>OK</v>
      </c>
    </row>
    <row r="815" spans="1:13" x14ac:dyDescent="0.25">
      <c r="A815" s="1">
        <v>814</v>
      </c>
      <c r="B815" s="1" t="s">
        <v>365</v>
      </c>
      <c r="C815">
        <v>47</v>
      </c>
      <c r="D815">
        <v>5</v>
      </c>
      <c r="E815" s="2">
        <v>44990</v>
      </c>
      <c r="F815" s="3">
        <v>8.2870370370370372E-2</v>
      </c>
      <c r="G815" s="2">
        <v>44999</v>
      </c>
      <c r="H815" s="3">
        <v>0.19532407407407407</v>
      </c>
      <c r="I815" s="1" t="s">
        <v>356</v>
      </c>
      <c r="J815" s="1" t="s">
        <v>25</v>
      </c>
      <c r="K815">
        <v>9</v>
      </c>
      <c r="L815" t="str">
        <f>IF(tblOrders[[#This Row],[Quantity]]&lt;=0,"Check","OK")</f>
        <v>OK</v>
      </c>
      <c r="M815" s="1" t="str">
        <f>IF(tblOrders[[#This Row],[Delivery_Date]]&lt;tblOrders[[#This Row],[Order_Date]],"Error","OK")</f>
        <v>OK</v>
      </c>
    </row>
    <row r="816" spans="1:13" x14ac:dyDescent="0.25">
      <c r="A816" s="1">
        <v>815</v>
      </c>
      <c r="B816" s="1" t="s">
        <v>413</v>
      </c>
      <c r="C816">
        <v>61</v>
      </c>
      <c r="D816">
        <v>3</v>
      </c>
      <c r="E816" s="2">
        <v>45198</v>
      </c>
      <c r="F816" s="3">
        <v>0.29737268518518517</v>
      </c>
      <c r="G816" s="2">
        <v>45207</v>
      </c>
      <c r="H816" s="3">
        <v>0.61548611111111107</v>
      </c>
      <c r="I816" s="1" t="s">
        <v>414</v>
      </c>
      <c r="J816" s="1" t="s">
        <v>30</v>
      </c>
      <c r="K816">
        <v>9</v>
      </c>
      <c r="L816" t="str">
        <f>IF(tblOrders[[#This Row],[Quantity]]&lt;=0,"Check","OK")</f>
        <v>OK</v>
      </c>
      <c r="M816" s="1" t="str">
        <f>IF(tblOrders[[#This Row],[Delivery_Date]]&lt;tblOrders[[#This Row],[Order_Date]],"Error","OK")</f>
        <v>OK</v>
      </c>
    </row>
    <row r="817" spans="1:13" x14ac:dyDescent="0.25">
      <c r="A817" s="1">
        <v>816</v>
      </c>
      <c r="B817" s="1" t="s">
        <v>190</v>
      </c>
      <c r="C817">
        <v>35</v>
      </c>
      <c r="D817">
        <v>3</v>
      </c>
      <c r="E817" s="2">
        <v>44985</v>
      </c>
      <c r="F817" s="3">
        <v>0.82251157407407405</v>
      </c>
      <c r="G817" s="2">
        <v>44995</v>
      </c>
      <c r="H817" s="3">
        <v>0.57056712962962963</v>
      </c>
      <c r="I817" s="1" t="s">
        <v>374</v>
      </c>
      <c r="J817" s="1" t="s">
        <v>25</v>
      </c>
      <c r="K817">
        <v>10</v>
      </c>
      <c r="L817" t="str">
        <f>IF(tblOrders[[#This Row],[Quantity]]&lt;=0,"Check","OK")</f>
        <v>OK</v>
      </c>
      <c r="M817" s="1" t="str">
        <f>IF(tblOrders[[#This Row],[Delivery_Date]]&lt;tblOrders[[#This Row],[Order_Date]],"Error","OK")</f>
        <v>OK</v>
      </c>
    </row>
    <row r="818" spans="1:13" x14ac:dyDescent="0.25">
      <c r="A818" s="1">
        <v>817</v>
      </c>
      <c r="B818" s="1" t="s">
        <v>232</v>
      </c>
      <c r="C818">
        <v>21</v>
      </c>
      <c r="D818">
        <v>2</v>
      </c>
      <c r="E818" s="2">
        <v>45166</v>
      </c>
      <c r="F818" s="3">
        <v>0.23402777777777778</v>
      </c>
      <c r="G818" s="2">
        <v>45170</v>
      </c>
      <c r="H818" s="3">
        <v>0.92017361111111107</v>
      </c>
      <c r="I818" s="1" t="s">
        <v>416</v>
      </c>
      <c r="J818" s="1" t="s">
        <v>33</v>
      </c>
      <c r="K818">
        <v>4</v>
      </c>
      <c r="L818" t="str">
        <f>IF(tblOrders[[#This Row],[Quantity]]&lt;=0,"Check","OK")</f>
        <v>OK</v>
      </c>
      <c r="M818" s="1" t="str">
        <f>IF(tblOrders[[#This Row],[Delivery_Date]]&lt;tblOrders[[#This Row],[Order_Date]],"Error","OK")</f>
        <v>OK</v>
      </c>
    </row>
    <row r="819" spans="1:13" x14ac:dyDescent="0.25">
      <c r="A819" s="1">
        <v>818</v>
      </c>
      <c r="B819" s="1" t="s">
        <v>400</v>
      </c>
      <c r="C819">
        <v>8</v>
      </c>
      <c r="D819">
        <v>4</v>
      </c>
      <c r="E819" s="2">
        <v>44987</v>
      </c>
      <c r="F819" s="3">
        <v>0.32715277777777779</v>
      </c>
      <c r="G819" s="2">
        <v>44994</v>
      </c>
      <c r="H819" s="3">
        <v>0.38033564814814813</v>
      </c>
      <c r="I819" s="1" t="s">
        <v>275</v>
      </c>
      <c r="J819" s="1" t="s">
        <v>30</v>
      </c>
      <c r="K819">
        <v>7</v>
      </c>
      <c r="L819" t="str">
        <f>IF(tblOrders[[#This Row],[Quantity]]&lt;=0,"Check","OK")</f>
        <v>OK</v>
      </c>
      <c r="M819" s="1" t="str">
        <f>IF(tblOrders[[#This Row],[Delivery_Date]]&lt;tblOrders[[#This Row],[Order_Date]],"Error","OK")</f>
        <v>OK</v>
      </c>
    </row>
    <row r="820" spans="1:13" x14ac:dyDescent="0.25">
      <c r="A820" s="1">
        <v>819</v>
      </c>
      <c r="B820" s="1" t="s">
        <v>437</v>
      </c>
      <c r="C820">
        <v>55</v>
      </c>
      <c r="D820">
        <v>5</v>
      </c>
      <c r="E820" s="2">
        <v>45160</v>
      </c>
      <c r="F820" s="3">
        <v>0.54540509259259262</v>
      </c>
      <c r="G820" s="2">
        <v>45162</v>
      </c>
      <c r="H820" s="3">
        <v>6.4212962962962958E-2</v>
      </c>
      <c r="I820" s="1" t="s">
        <v>257</v>
      </c>
      <c r="J820" s="1" t="s">
        <v>33</v>
      </c>
      <c r="K820">
        <v>2</v>
      </c>
      <c r="L820" t="str">
        <f>IF(tblOrders[[#This Row],[Quantity]]&lt;=0,"Check","OK")</f>
        <v>OK</v>
      </c>
      <c r="M820" s="1" t="str">
        <f>IF(tblOrders[[#This Row],[Delivery_Date]]&lt;tblOrders[[#This Row],[Order_Date]],"Error","OK")</f>
        <v>OK</v>
      </c>
    </row>
    <row r="821" spans="1:13" x14ac:dyDescent="0.25">
      <c r="A821" s="1">
        <v>820</v>
      </c>
      <c r="B821" s="1" t="s">
        <v>272</v>
      </c>
      <c r="C821">
        <v>64</v>
      </c>
      <c r="D821">
        <v>3</v>
      </c>
      <c r="E821" s="2">
        <v>45160</v>
      </c>
      <c r="F821" s="3">
        <v>0.24424768518518519</v>
      </c>
      <c r="G821" s="2">
        <v>45164</v>
      </c>
      <c r="H821" s="3">
        <v>0.20304398148148148</v>
      </c>
      <c r="I821" s="1" t="s">
        <v>560</v>
      </c>
      <c r="J821" s="1" t="s">
        <v>33</v>
      </c>
      <c r="K821">
        <v>4</v>
      </c>
      <c r="L821" t="str">
        <f>IF(tblOrders[[#This Row],[Quantity]]&lt;=0,"Check","OK")</f>
        <v>OK</v>
      </c>
      <c r="M821" s="1" t="str">
        <f>IF(tblOrders[[#This Row],[Delivery_Date]]&lt;tblOrders[[#This Row],[Order_Date]],"Error","OK")</f>
        <v>OK</v>
      </c>
    </row>
    <row r="822" spans="1:13" x14ac:dyDescent="0.25">
      <c r="A822" s="1">
        <v>821</v>
      </c>
      <c r="B822" s="1" t="s">
        <v>276</v>
      </c>
      <c r="C822">
        <v>32</v>
      </c>
      <c r="D822">
        <v>4</v>
      </c>
      <c r="E822" s="2">
        <v>44984</v>
      </c>
      <c r="F822" s="3">
        <v>0.84410879629629632</v>
      </c>
      <c r="G822" s="2">
        <v>44992</v>
      </c>
      <c r="H822" s="3">
        <v>0.94861111111111107</v>
      </c>
      <c r="I822" s="1" t="s">
        <v>399</v>
      </c>
      <c r="J822" s="1" t="s">
        <v>36</v>
      </c>
      <c r="K822">
        <v>8</v>
      </c>
      <c r="L822" t="str">
        <f>IF(tblOrders[[#This Row],[Quantity]]&lt;=0,"Check","OK")</f>
        <v>OK</v>
      </c>
      <c r="M822" s="1" t="str">
        <f>IF(tblOrders[[#This Row],[Delivery_Date]]&lt;tblOrders[[#This Row],[Order_Date]],"Error","OK")</f>
        <v>OK</v>
      </c>
    </row>
    <row r="823" spans="1:13" x14ac:dyDescent="0.25">
      <c r="A823" s="1">
        <v>822</v>
      </c>
      <c r="B823" s="1" t="s">
        <v>321</v>
      </c>
      <c r="C823">
        <v>41</v>
      </c>
      <c r="D823">
        <v>5</v>
      </c>
      <c r="E823" s="2">
        <v>45239</v>
      </c>
      <c r="F823" s="3">
        <v>0.14104166666666668</v>
      </c>
      <c r="G823" s="2">
        <v>45242</v>
      </c>
      <c r="H823" s="3">
        <v>0.17728009259259259</v>
      </c>
      <c r="I823" s="1" t="s">
        <v>230</v>
      </c>
      <c r="J823" s="1" t="s">
        <v>19</v>
      </c>
      <c r="K823">
        <v>3</v>
      </c>
      <c r="L823" t="str">
        <f>IF(tblOrders[[#This Row],[Quantity]]&lt;=0,"Check","OK")</f>
        <v>OK</v>
      </c>
      <c r="M823" s="1" t="str">
        <f>IF(tblOrders[[#This Row],[Delivery_Date]]&lt;tblOrders[[#This Row],[Order_Date]],"Error","OK")</f>
        <v>OK</v>
      </c>
    </row>
    <row r="824" spans="1:13" x14ac:dyDescent="0.25">
      <c r="A824" s="1">
        <v>823</v>
      </c>
      <c r="B824" s="1" t="s">
        <v>347</v>
      </c>
      <c r="C824">
        <v>64</v>
      </c>
      <c r="D824">
        <v>3</v>
      </c>
      <c r="E824" s="2">
        <v>45165</v>
      </c>
      <c r="F824" s="3">
        <v>0.64126157407407403</v>
      </c>
      <c r="G824" s="2">
        <v>45170</v>
      </c>
      <c r="H824" s="3">
        <v>0.61990740740740746</v>
      </c>
      <c r="I824" s="1" t="s">
        <v>497</v>
      </c>
      <c r="J824" s="1" t="s">
        <v>33</v>
      </c>
      <c r="K824">
        <v>5</v>
      </c>
      <c r="L824" t="str">
        <f>IF(tblOrders[[#This Row],[Quantity]]&lt;=0,"Check","OK")</f>
        <v>OK</v>
      </c>
      <c r="M824" s="1" t="str">
        <f>IF(tblOrders[[#This Row],[Delivery_Date]]&lt;tblOrders[[#This Row],[Order_Date]],"Error","OK")</f>
        <v>OK</v>
      </c>
    </row>
    <row r="825" spans="1:13" x14ac:dyDescent="0.25">
      <c r="A825" s="1">
        <v>824</v>
      </c>
      <c r="B825" s="1" t="s">
        <v>180</v>
      </c>
      <c r="C825">
        <v>46</v>
      </c>
      <c r="D825">
        <v>4</v>
      </c>
      <c r="E825" s="2">
        <v>45052</v>
      </c>
      <c r="F825" s="3">
        <v>0.33068287037037036</v>
      </c>
      <c r="G825" s="2">
        <v>45053</v>
      </c>
      <c r="H825" s="3">
        <v>0.64157407407407407</v>
      </c>
      <c r="I825" s="1" t="s">
        <v>451</v>
      </c>
      <c r="J825" s="1" t="s">
        <v>30</v>
      </c>
      <c r="K825">
        <v>1</v>
      </c>
      <c r="L825" t="str">
        <f>IF(tblOrders[[#This Row],[Quantity]]&lt;=0,"Check","OK")</f>
        <v>OK</v>
      </c>
      <c r="M825" s="1" t="str">
        <f>IF(tblOrders[[#This Row],[Delivery_Date]]&lt;tblOrders[[#This Row],[Order_Date]],"Error","OK")</f>
        <v>OK</v>
      </c>
    </row>
    <row r="826" spans="1:13" x14ac:dyDescent="0.25">
      <c r="A826" s="1">
        <v>825</v>
      </c>
      <c r="B826" s="1" t="s">
        <v>182</v>
      </c>
      <c r="C826">
        <v>25</v>
      </c>
      <c r="D826">
        <v>5</v>
      </c>
      <c r="E826" s="2">
        <v>45107</v>
      </c>
      <c r="F826" s="3">
        <v>0.45166666666666666</v>
      </c>
      <c r="G826" s="2">
        <v>45108</v>
      </c>
      <c r="H826" s="3">
        <v>0.7556018518518518</v>
      </c>
      <c r="I826" s="1" t="s">
        <v>384</v>
      </c>
      <c r="J826" s="1" t="s">
        <v>30</v>
      </c>
      <c r="K826">
        <v>1</v>
      </c>
      <c r="L826" t="str">
        <f>IF(tblOrders[[#This Row],[Quantity]]&lt;=0,"Check","OK")</f>
        <v>OK</v>
      </c>
      <c r="M826" s="1" t="str">
        <f>IF(tblOrders[[#This Row],[Delivery_Date]]&lt;tblOrders[[#This Row],[Order_Date]],"Error","OK")</f>
        <v>OK</v>
      </c>
    </row>
    <row r="827" spans="1:13" x14ac:dyDescent="0.25">
      <c r="A827" s="1">
        <v>826</v>
      </c>
      <c r="B827" s="1" t="s">
        <v>261</v>
      </c>
      <c r="C827">
        <v>16</v>
      </c>
      <c r="D827">
        <v>5</v>
      </c>
      <c r="E827" s="2">
        <v>44987</v>
      </c>
      <c r="F827" s="3">
        <v>0.83480324074074075</v>
      </c>
      <c r="G827" s="2">
        <v>44993</v>
      </c>
      <c r="H827" s="3">
        <v>0.26131944444444444</v>
      </c>
      <c r="I827" s="1" t="s">
        <v>470</v>
      </c>
      <c r="J827" s="1" t="s">
        <v>25</v>
      </c>
      <c r="K827">
        <v>6</v>
      </c>
      <c r="L827" t="str">
        <f>IF(tblOrders[[#This Row],[Quantity]]&lt;=0,"Check","OK")</f>
        <v>OK</v>
      </c>
      <c r="M827" s="1" t="str">
        <f>IF(tblOrders[[#This Row],[Delivery_Date]]&lt;tblOrders[[#This Row],[Order_Date]],"Error","OK")</f>
        <v>OK</v>
      </c>
    </row>
    <row r="828" spans="1:13" x14ac:dyDescent="0.25">
      <c r="A828" s="1">
        <v>827</v>
      </c>
      <c r="B828" s="1" t="s">
        <v>441</v>
      </c>
      <c r="C828">
        <v>9</v>
      </c>
      <c r="D828">
        <v>1</v>
      </c>
      <c r="E828" s="2">
        <v>45167</v>
      </c>
      <c r="F828" s="3">
        <v>0.9241435185185185</v>
      </c>
      <c r="G828" s="2">
        <v>45168</v>
      </c>
      <c r="H828" s="3">
        <v>3.605324074074074E-2</v>
      </c>
      <c r="I828" s="1" t="s">
        <v>493</v>
      </c>
      <c r="J828" s="1" t="s">
        <v>33</v>
      </c>
      <c r="K828">
        <v>1</v>
      </c>
      <c r="L828" t="str">
        <f>IF(tblOrders[[#This Row],[Quantity]]&lt;=0,"Check","OK")</f>
        <v>OK</v>
      </c>
      <c r="M828" s="1" t="str">
        <f>IF(tblOrders[[#This Row],[Delivery_Date]]&lt;tblOrders[[#This Row],[Order_Date]],"Error","OK")</f>
        <v>OK</v>
      </c>
    </row>
    <row r="829" spans="1:13" x14ac:dyDescent="0.25">
      <c r="A829" s="1">
        <v>828</v>
      </c>
      <c r="B829" s="1" t="s">
        <v>182</v>
      </c>
      <c r="C829">
        <v>8</v>
      </c>
      <c r="D829">
        <v>3</v>
      </c>
      <c r="E829" s="2">
        <v>45223</v>
      </c>
      <c r="F829" s="3">
        <v>0.69931712962962966</v>
      </c>
      <c r="G829" s="2">
        <v>45231</v>
      </c>
      <c r="H829" s="3">
        <v>0.92983796296296295</v>
      </c>
      <c r="I829" s="1" t="s">
        <v>294</v>
      </c>
      <c r="J829" s="1" t="s">
        <v>30</v>
      </c>
      <c r="K829">
        <v>8</v>
      </c>
      <c r="L829" t="str">
        <f>IF(tblOrders[[#This Row],[Quantity]]&lt;=0,"Check","OK")</f>
        <v>OK</v>
      </c>
      <c r="M829" s="1" t="str">
        <f>IF(tblOrders[[#This Row],[Delivery_Date]]&lt;tblOrders[[#This Row],[Order_Date]],"Error","OK")</f>
        <v>OK</v>
      </c>
    </row>
    <row r="830" spans="1:13" x14ac:dyDescent="0.25">
      <c r="A830" s="1">
        <v>829</v>
      </c>
      <c r="B830" s="1" t="s">
        <v>246</v>
      </c>
      <c r="C830">
        <v>42</v>
      </c>
      <c r="D830">
        <v>4</v>
      </c>
      <c r="E830" s="2">
        <v>45279</v>
      </c>
      <c r="F830" s="3">
        <v>0.77478009259259262</v>
      </c>
      <c r="G830" s="2">
        <v>45286</v>
      </c>
      <c r="H830" s="3">
        <v>0.42921296296296296</v>
      </c>
      <c r="I830" s="1" t="s">
        <v>556</v>
      </c>
      <c r="J830" s="1" t="s">
        <v>8</v>
      </c>
      <c r="K830">
        <v>7</v>
      </c>
      <c r="L830" t="str">
        <f>IF(tblOrders[[#This Row],[Quantity]]&lt;=0,"Check","OK")</f>
        <v>OK</v>
      </c>
      <c r="M830" s="1" t="str">
        <f>IF(tblOrders[[#This Row],[Delivery_Date]]&lt;tblOrders[[#This Row],[Order_Date]],"Error","OK")</f>
        <v>OK</v>
      </c>
    </row>
    <row r="831" spans="1:13" x14ac:dyDescent="0.25">
      <c r="A831" s="1">
        <v>830</v>
      </c>
      <c r="B831" s="1" t="s">
        <v>369</v>
      </c>
      <c r="C831">
        <v>46</v>
      </c>
      <c r="D831">
        <v>2</v>
      </c>
      <c r="E831" s="2">
        <v>44938</v>
      </c>
      <c r="F831" s="3">
        <v>0.80478009259259264</v>
      </c>
      <c r="G831" s="2">
        <v>44941</v>
      </c>
      <c r="H831" s="3">
        <v>0.21135416666666668</v>
      </c>
      <c r="I831" s="1" t="s">
        <v>230</v>
      </c>
      <c r="J831" s="1" t="s">
        <v>30</v>
      </c>
      <c r="K831">
        <v>3</v>
      </c>
      <c r="L831" t="str">
        <f>IF(tblOrders[[#This Row],[Quantity]]&lt;=0,"Check","OK")</f>
        <v>OK</v>
      </c>
      <c r="M831" s="1" t="str">
        <f>IF(tblOrders[[#This Row],[Delivery_Date]]&lt;tblOrders[[#This Row],[Order_Date]],"Error","OK")</f>
        <v>OK</v>
      </c>
    </row>
    <row r="832" spans="1:13" x14ac:dyDescent="0.25">
      <c r="A832" s="1">
        <v>831</v>
      </c>
      <c r="B832" s="1" t="s">
        <v>424</v>
      </c>
      <c r="C832">
        <v>56</v>
      </c>
      <c r="D832">
        <v>5</v>
      </c>
      <c r="E832" s="2">
        <v>45070</v>
      </c>
      <c r="F832" s="3">
        <v>0.77885416666666663</v>
      </c>
      <c r="G832" s="2">
        <v>45080</v>
      </c>
      <c r="H832" s="3">
        <v>0.79603009259259261</v>
      </c>
      <c r="I832" s="1" t="s">
        <v>508</v>
      </c>
      <c r="J832" s="1" t="s">
        <v>30</v>
      </c>
      <c r="K832">
        <v>10</v>
      </c>
      <c r="L832" t="str">
        <f>IF(tblOrders[[#This Row],[Quantity]]&lt;=0,"Check","OK")</f>
        <v>OK</v>
      </c>
      <c r="M832" s="1" t="str">
        <f>IF(tblOrders[[#This Row],[Delivery_Date]]&lt;tblOrders[[#This Row],[Order_Date]],"Error","OK")</f>
        <v>OK</v>
      </c>
    </row>
    <row r="833" spans="1:13" x14ac:dyDescent="0.25">
      <c r="A833" s="1">
        <v>832</v>
      </c>
      <c r="B833" s="1" t="s">
        <v>335</v>
      </c>
      <c r="C833">
        <v>65</v>
      </c>
      <c r="D833">
        <v>4</v>
      </c>
      <c r="E833" s="2">
        <v>44958</v>
      </c>
      <c r="F833" s="3">
        <v>0.78916666666666668</v>
      </c>
      <c r="G833" s="2">
        <v>44967</v>
      </c>
      <c r="H833" s="3">
        <v>9.6863425925925922E-2</v>
      </c>
      <c r="I833" s="1" t="s">
        <v>394</v>
      </c>
      <c r="J833" s="1" t="s">
        <v>8</v>
      </c>
      <c r="K833">
        <v>9</v>
      </c>
      <c r="L833" t="str">
        <f>IF(tblOrders[[#This Row],[Quantity]]&lt;=0,"Check","OK")</f>
        <v>OK</v>
      </c>
      <c r="M833" s="1" t="str">
        <f>IF(tblOrders[[#This Row],[Delivery_Date]]&lt;tblOrders[[#This Row],[Order_Date]],"Error","OK")</f>
        <v>OK</v>
      </c>
    </row>
    <row r="834" spans="1:13" x14ac:dyDescent="0.25">
      <c r="A834" s="1">
        <v>833</v>
      </c>
      <c r="B834" s="1" t="s">
        <v>488</v>
      </c>
      <c r="C834">
        <v>26</v>
      </c>
      <c r="D834">
        <v>3</v>
      </c>
      <c r="E834" s="2">
        <v>44990</v>
      </c>
      <c r="F834" s="3">
        <v>2.8333333333333332E-2</v>
      </c>
      <c r="G834" s="2">
        <v>44998</v>
      </c>
      <c r="H834" s="3">
        <v>6.9641203703703705E-2</v>
      </c>
      <c r="I834" s="1" t="s">
        <v>301</v>
      </c>
      <c r="J834" s="1" t="s">
        <v>25</v>
      </c>
      <c r="K834">
        <v>8</v>
      </c>
      <c r="L834" t="str">
        <f>IF(tblOrders[[#This Row],[Quantity]]&lt;=0,"Check","OK")</f>
        <v>OK</v>
      </c>
      <c r="M834" s="1" t="str">
        <f>IF(tblOrders[[#This Row],[Delivery_Date]]&lt;tblOrders[[#This Row],[Order_Date]],"Error","OK")</f>
        <v>OK</v>
      </c>
    </row>
    <row r="835" spans="1:13" x14ac:dyDescent="0.25">
      <c r="A835" s="1">
        <v>834</v>
      </c>
      <c r="B835" s="1" t="s">
        <v>170</v>
      </c>
      <c r="C835">
        <v>60</v>
      </c>
      <c r="D835">
        <v>5</v>
      </c>
      <c r="E835" s="2">
        <v>45233</v>
      </c>
      <c r="F835" s="3">
        <v>0.77453703703703702</v>
      </c>
      <c r="G835" s="2">
        <v>45242</v>
      </c>
      <c r="H835" s="3">
        <v>0.58459490740740738</v>
      </c>
      <c r="I835" s="1" t="s">
        <v>275</v>
      </c>
      <c r="J835" s="1" t="s">
        <v>19</v>
      </c>
      <c r="K835">
        <v>9</v>
      </c>
      <c r="L835" t="str">
        <f>IF(tblOrders[[#This Row],[Quantity]]&lt;=0,"Check","OK")</f>
        <v>OK</v>
      </c>
      <c r="M835" s="1" t="str">
        <f>IF(tblOrders[[#This Row],[Delivery_Date]]&lt;tblOrders[[#This Row],[Order_Date]],"Error","OK")</f>
        <v>OK</v>
      </c>
    </row>
    <row r="836" spans="1:13" x14ac:dyDescent="0.25">
      <c r="A836" s="1">
        <v>835</v>
      </c>
      <c r="B836" s="1" t="s">
        <v>402</v>
      </c>
      <c r="C836">
        <v>32</v>
      </c>
      <c r="D836">
        <v>2</v>
      </c>
      <c r="E836" s="2">
        <v>45112</v>
      </c>
      <c r="F836" s="3">
        <v>0.73325231481481479</v>
      </c>
      <c r="G836" s="2">
        <v>45113</v>
      </c>
      <c r="H836" s="3">
        <v>0.98207175925925927</v>
      </c>
      <c r="I836" s="1" t="s">
        <v>529</v>
      </c>
      <c r="J836" s="1" t="s">
        <v>36</v>
      </c>
      <c r="K836">
        <v>1</v>
      </c>
      <c r="L836" t="str">
        <f>IF(tblOrders[[#This Row],[Quantity]]&lt;=0,"Check","OK")</f>
        <v>OK</v>
      </c>
      <c r="M836" s="1" t="str">
        <f>IF(tblOrders[[#This Row],[Delivery_Date]]&lt;tblOrders[[#This Row],[Order_Date]],"Error","OK")</f>
        <v>OK</v>
      </c>
    </row>
    <row r="837" spans="1:13" x14ac:dyDescent="0.25">
      <c r="A837" s="1">
        <v>836</v>
      </c>
      <c r="B837" s="1" t="s">
        <v>246</v>
      </c>
      <c r="C837">
        <v>44</v>
      </c>
      <c r="D837">
        <v>5</v>
      </c>
      <c r="E837" s="2">
        <v>45238</v>
      </c>
      <c r="F837" s="3">
        <v>0.1083912037037037</v>
      </c>
      <c r="G837" s="2">
        <v>45241</v>
      </c>
      <c r="H837" s="3">
        <v>0.13295138888888888</v>
      </c>
      <c r="I837" s="1" t="s">
        <v>545</v>
      </c>
      <c r="J837" s="1" t="s">
        <v>19</v>
      </c>
      <c r="K837">
        <v>3</v>
      </c>
      <c r="L837" t="str">
        <f>IF(tblOrders[[#This Row],[Quantity]]&lt;=0,"Check","OK")</f>
        <v>OK</v>
      </c>
      <c r="M837" s="1" t="str">
        <f>IF(tblOrders[[#This Row],[Delivery_Date]]&lt;tblOrders[[#This Row],[Order_Date]],"Error","OK")</f>
        <v>OK</v>
      </c>
    </row>
    <row r="838" spans="1:13" x14ac:dyDescent="0.25">
      <c r="A838" s="1">
        <v>837</v>
      </c>
      <c r="B838" s="1" t="s">
        <v>250</v>
      </c>
      <c r="C838">
        <v>14</v>
      </c>
      <c r="D838">
        <v>5</v>
      </c>
      <c r="E838" s="2">
        <v>45279</v>
      </c>
      <c r="F838" s="3">
        <v>0.53972222222222221</v>
      </c>
      <c r="G838" s="2">
        <v>45281</v>
      </c>
      <c r="H838" s="3">
        <v>4.1666666666666669E-4</v>
      </c>
      <c r="I838" s="1" t="s">
        <v>448</v>
      </c>
      <c r="J838" s="1" t="s">
        <v>36</v>
      </c>
      <c r="K838">
        <v>2</v>
      </c>
      <c r="L838" t="str">
        <f>IF(tblOrders[[#This Row],[Quantity]]&lt;=0,"Check","OK")</f>
        <v>OK</v>
      </c>
      <c r="M838" s="1" t="str">
        <f>IF(tblOrders[[#This Row],[Delivery_Date]]&lt;tblOrders[[#This Row],[Order_Date]],"Error","OK")</f>
        <v>OK</v>
      </c>
    </row>
    <row r="839" spans="1:13" x14ac:dyDescent="0.25">
      <c r="A839" s="1">
        <v>838</v>
      </c>
      <c r="B839" s="1" t="s">
        <v>440</v>
      </c>
      <c r="C839">
        <v>19</v>
      </c>
      <c r="D839">
        <v>3</v>
      </c>
      <c r="E839" s="2">
        <v>44966</v>
      </c>
      <c r="F839" s="3">
        <v>0.42917824074074074</v>
      </c>
      <c r="G839" s="2">
        <v>44974</v>
      </c>
      <c r="H839" s="3">
        <v>0.25671296296296298</v>
      </c>
      <c r="I839" s="1" t="s">
        <v>177</v>
      </c>
      <c r="J839" s="1" t="s">
        <v>12</v>
      </c>
      <c r="K839">
        <v>8</v>
      </c>
      <c r="L839" t="str">
        <f>IF(tblOrders[[#This Row],[Quantity]]&lt;=0,"Check","OK")</f>
        <v>OK</v>
      </c>
      <c r="M839" s="1" t="str">
        <f>IF(tblOrders[[#This Row],[Delivery_Date]]&lt;tblOrders[[#This Row],[Order_Date]],"Error","OK")</f>
        <v>OK</v>
      </c>
    </row>
    <row r="840" spans="1:13" x14ac:dyDescent="0.25">
      <c r="A840" s="1">
        <v>839</v>
      </c>
      <c r="B840" s="1" t="s">
        <v>197</v>
      </c>
      <c r="C840">
        <v>51</v>
      </c>
      <c r="D840">
        <v>4</v>
      </c>
      <c r="E840" s="2">
        <v>45232</v>
      </c>
      <c r="F840" s="3">
        <v>0.16068287037037038</v>
      </c>
      <c r="G840" s="2">
        <v>45242</v>
      </c>
      <c r="H840" s="3">
        <v>7.6284722222222226E-2</v>
      </c>
      <c r="I840" s="1" t="s">
        <v>561</v>
      </c>
      <c r="J840" s="1" t="s">
        <v>8</v>
      </c>
      <c r="K840">
        <v>10</v>
      </c>
      <c r="L840" t="str">
        <f>IF(tblOrders[[#This Row],[Quantity]]&lt;=0,"Check","OK")</f>
        <v>OK</v>
      </c>
      <c r="M840" s="1" t="str">
        <f>IF(tblOrders[[#This Row],[Delivery_Date]]&lt;tblOrders[[#This Row],[Order_Date]],"Error","OK")</f>
        <v>OK</v>
      </c>
    </row>
    <row r="841" spans="1:13" x14ac:dyDescent="0.25">
      <c r="A841" s="1">
        <v>840</v>
      </c>
      <c r="B841" s="1" t="s">
        <v>244</v>
      </c>
      <c r="C841">
        <v>67</v>
      </c>
      <c r="D841">
        <v>2</v>
      </c>
      <c r="E841" s="2">
        <v>44939</v>
      </c>
      <c r="F841" s="3">
        <v>0.80526620370370372</v>
      </c>
      <c r="G841" s="2">
        <v>44942</v>
      </c>
      <c r="H841" s="3">
        <v>0.4934027777777778</v>
      </c>
      <c r="I841" s="1" t="s">
        <v>445</v>
      </c>
      <c r="J841" s="1" t="s">
        <v>30</v>
      </c>
      <c r="K841">
        <v>3</v>
      </c>
      <c r="L841" t="str">
        <f>IF(tblOrders[[#This Row],[Quantity]]&lt;=0,"Check","OK")</f>
        <v>OK</v>
      </c>
      <c r="M841" s="1" t="str">
        <f>IF(tblOrders[[#This Row],[Delivery_Date]]&lt;tblOrders[[#This Row],[Order_Date]],"Error","OK")</f>
        <v>OK</v>
      </c>
    </row>
    <row r="842" spans="1:13" x14ac:dyDescent="0.25">
      <c r="A842" s="1">
        <v>841</v>
      </c>
      <c r="B842" s="1" t="s">
        <v>206</v>
      </c>
      <c r="C842">
        <v>26</v>
      </c>
      <c r="D842">
        <v>5</v>
      </c>
      <c r="E842" s="2">
        <v>44992</v>
      </c>
      <c r="F842" s="3">
        <v>0.26111111111111113</v>
      </c>
      <c r="G842" s="2">
        <v>44997</v>
      </c>
      <c r="H842" s="3">
        <v>0.96989583333333329</v>
      </c>
      <c r="I842" s="1" t="s">
        <v>419</v>
      </c>
      <c r="J842" s="1" t="s">
        <v>25</v>
      </c>
      <c r="K842">
        <v>5</v>
      </c>
      <c r="L842" t="str">
        <f>IF(tblOrders[[#This Row],[Quantity]]&lt;=0,"Check","OK")</f>
        <v>OK</v>
      </c>
      <c r="M842" s="1" t="str">
        <f>IF(tblOrders[[#This Row],[Delivery_Date]]&lt;tblOrders[[#This Row],[Order_Date]],"Error","OK")</f>
        <v>OK</v>
      </c>
    </row>
    <row r="843" spans="1:13" x14ac:dyDescent="0.25">
      <c r="A843" s="1">
        <v>842</v>
      </c>
      <c r="B843" s="1" t="s">
        <v>382</v>
      </c>
      <c r="C843">
        <v>46</v>
      </c>
      <c r="D843">
        <v>2</v>
      </c>
      <c r="E843" s="2">
        <v>45289</v>
      </c>
      <c r="F843" s="3">
        <v>0.71635416666666663</v>
      </c>
      <c r="G843" s="2">
        <v>45292</v>
      </c>
      <c r="H843" s="3">
        <v>0.10261574074074074</v>
      </c>
      <c r="I843" s="1" t="s">
        <v>406</v>
      </c>
      <c r="J843" s="1" t="s">
        <v>30</v>
      </c>
      <c r="K843">
        <v>3</v>
      </c>
      <c r="L843" t="str">
        <f>IF(tblOrders[[#This Row],[Quantity]]&lt;=0,"Check","OK")</f>
        <v>OK</v>
      </c>
      <c r="M843" s="1" t="str">
        <f>IF(tblOrders[[#This Row],[Delivery_Date]]&lt;tblOrders[[#This Row],[Order_Date]],"Error","OK")</f>
        <v>OK</v>
      </c>
    </row>
    <row r="844" spans="1:13" x14ac:dyDescent="0.25">
      <c r="A844" s="1">
        <v>843</v>
      </c>
      <c r="B844" s="1" t="s">
        <v>369</v>
      </c>
      <c r="C844">
        <v>68</v>
      </c>
      <c r="D844">
        <v>1</v>
      </c>
      <c r="E844" s="2">
        <v>44968</v>
      </c>
      <c r="F844" s="3">
        <v>0.90697916666666667</v>
      </c>
      <c r="G844" s="2">
        <v>44969</v>
      </c>
      <c r="H844" s="3">
        <v>0.81052083333333336</v>
      </c>
      <c r="I844" s="1" t="s">
        <v>468</v>
      </c>
      <c r="J844" s="1" t="s">
        <v>12</v>
      </c>
      <c r="K844">
        <v>1</v>
      </c>
      <c r="L844" t="str">
        <f>IF(tblOrders[[#This Row],[Quantity]]&lt;=0,"Check","OK")</f>
        <v>OK</v>
      </c>
      <c r="M844" s="1" t="str">
        <f>IF(tblOrders[[#This Row],[Delivery_Date]]&lt;tblOrders[[#This Row],[Order_Date]],"Error","OK")</f>
        <v>OK</v>
      </c>
    </row>
    <row r="845" spans="1:13" x14ac:dyDescent="0.25">
      <c r="A845" s="1">
        <v>844</v>
      </c>
      <c r="B845" s="1" t="s">
        <v>229</v>
      </c>
      <c r="C845">
        <v>51</v>
      </c>
      <c r="D845">
        <v>1</v>
      </c>
      <c r="E845" s="2">
        <v>45208</v>
      </c>
      <c r="F845" s="3">
        <v>0.80063657407407407</v>
      </c>
      <c r="G845" s="2">
        <v>45209</v>
      </c>
      <c r="H845" s="3">
        <v>0.40864583333333332</v>
      </c>
      <c r="I845" s="1" t="s">
        <v>344</v>
      </c>
      <c r="J845" s="1" t="s">
        <v>8</v>
      </c>
      <c r="K845">
        <v>1</v>
      </c>
      <c r="L845" t="str">
        <f>IF(tblOrders[[#This Row],[Quantity]]&lt;=0,"Check","OK")</f>
        <v>OK</v>
      </c>
      <c r="M845" s="1" t="str">
        <f>IF(tblOrders[[#This Row],[Delivery_Date]]&lt;tblOrders[[#This Row],[Order_Date]],"Error","OK")</f>
        <v>OK</v>
      </c>
    </row>
    <row r="846" spans="1:13" x14ac:dyDescent="0.25">
      <c r="A846" s="1">
        <v>845</v>
      </c>
      <c r="B846" s="1" t="s">
        <v>295</v>
      </c>
      <c r="C846">
        <v>57</v>
      </c>
      <c r="D846">
        <v>5</v>
      </c>
      <c r="E846" s="2">
        <v>45216</v>
      </c>
      <c r="F846" s="3">
        <v>0.78560185185185183</v>
      </c>
      <c r="G846" s="2">
        <v>45224</v>
      </c>
      <c r="H846" s="3">
        <v>0.1215625</v>
      </c>
      <c r="I846" s="1" t="s">
        <v>253</v>
      </c>
      <c r="J846" s="1" t="s">
        <v>36</v>
      </c>
      <c r="K846">
        <v>8</v>
      </c>
      <c r="L846" t="str">
        <f>IF(tblOrders[[#This Row],[Quantity]]&lt;=0,"Check","OK")</f>
        <v>OK</v>
      </c>
      <c r="M846" s="1" t="str">
        <f>IF(tblOrders[[#This Row],[Delivery_Date]]&lt;tblOrders[[#This Row],[Order_Date]],"Error","OK")</f>
        <v>OK</v>
      </c>
    </row>
    <row r="847" spans="1:13" x14ac:dyDescent="0.25">
      <c r="A847" s="1">
        <v>846</v>
      </c>
      <c r="B847" s="1" t="s">
        <v>191</v>
      </c>
      <c r="C847">
        <v>15</v>
      </c>
      <c r="D847">
        <v>4</v>
      </c>
      <c r="E847" s="2">
        <v>45258</v>
      </c>
      <c r="F847" s="3">
        <v>0.11642361111111112</v>
      </c>
      <c r="G847" s="2">
        <v>45262</v>
      </c>
      <c r="H847" s="3">
        <v>0.28892361111111109</v>
      </c>
      <c r="I847" s="1" t="s">
        <v>419</v>
      </c>
      <c r="J847" s="1" t="s">
        <v>30</v>
      </c>
      <c r="K847">
        <v>4</v>
      </c>
      <c r="L847" t="str">
        <f>IF(tblOrders[[#This Row],[Quantity]]&lt;=0,"Check","OK")</f>
        <v>OK</v>
      </c>
      <c r="M847" s="1" t="str">
        <f>IF(tblOrders[[#This Row],[Delivery_Date]]&lt;tblOrders[[#This Row],[Order_Date]],"Error","OK")</f>
        <v>OK</v>
      </c>
    </row>
    <row r="848" spans="1:13" x14ac:dyDescent="0.25">
      <c r="A848" s="1">
        <v>847</v>
      </c>
      <c r="B848" s="1" t="s">
        <v>178</v>
      </c>
      <c r="C848">
        <v>44</v>
      </c>
      <c r="D848">
        <v>4</v>
      </c>
      <c r="E848" s="2">
        <v>45237</v>
      </c>
      <c r="F848" s="3">
        <v>0.75714120370370375</v>
      </c>
      <c r="G848" s="2">
        <v>45242</v>
      </c>
      <c r="H848" s="3">
        <v>0.43166666666666664</v>
      </c>
      <c r="I848" s="1" t="s">
        <v>399</v>
      </c>
      <c r="J848" s="1" t="s">
        <v>19</v>
      </c>
      <c r="K848">
        <v>5</v>
      </c>
      <c r="L848" t="str">
        <f>IF(tblOrders[[#This Row],[Quantity]]&lt;=0,"Check","OK")</f>
        <v>OK</v>
      </c>
      <c r="M848" s="1" t="str">
        <f>IF(tblOrders[[#This Row],[Delivery_Date]]&lt;tblOrders[[#This Row],[Order_Date]],"Error","OK")</f>
        <v>OK</v>
      </c>
    </row>
    <row r="849" spans="1:13" x14ac:dyDescent="0.25">
      <c r="A849" s="1">
        <v>848</v>
      </c>
      <c r="B849" s="1" t="s">
        <v>463</v>
      </c>
      <c r="C849">
        <v>6</v>
      </c>
      <c r="D849">
        <v>1</v>
      </c>
      <c r="E849" s="2">
        <v>44991</v>
      </c>
      <c r="F849" s="3">
        <v>0.70343750000000005</v>
      </c>
      <c r="G849" s="2">
        <v>44995</v>
      </c>
      <c r="H849" s="3">
        <v>0.93527777777777776</v>
      </c>
      <c r="I849" s="1" t="s">
        <v>534</v>
      </c>
      <c r="J849" s="1" t="s">
        <v>25</v>
      </c>
      <c r="K849">
        <v>4</v>
      </c>
      <c r="L849" t="str">
        <f>IF(tblOrders[[#This Row],[Quantity]]&lt;=0,"Check","OK")</f>
        <v>OK</v>
      </c>
      <c r="M849" s="1" t="str">
        <f>IF(tblOrders[[#This Row],[Delivery_Date]]&lt;tblOrders[[#This Row],[Order_Date]],"Error","OK")</f>
        <v>OK</v>
      </c>
    </row>
    <row r="850" spans="1:13" x14ac:dyDescent="0.25">
      <c r="A850" s="1">
        <v>849</v>
      </c>
      <c r="B850" s="1" t="s">
        <v>193</v>
      </c>
      <c r="C850">
        <v>57</v>
      </c>
      <c r="D850">
        <v>1</v>
      </c>
      <c r="E850" s="2">
        <v>44997</v>
      </c>
      <c r="F850" s="3">
        <v>5.3333333333333337E-2</v>
      </c>
      <c r="G850" s="2">
        <v>44999</v>
      </c>
      <c r="H850" s="3">
        <v>3.4756944444444444E-2</v>
      </c>
      <c r="I850" s="1" t="s">
        <v>211</v>
      </c>
      <c r="J850" s="1" t="s">
        <v>36</v>
      </c>
      <c r="K850">
        <v>2</v>
      </c>
      <c r="L850" t="str">
        <f>IF(tblOrders[[#This Row],[Quantity]]&lt;=0,"Check","OK")</f>
        <v>OK</v>
      </c>
      <c r="M850" s="1" t="str">
        <f>IF(tblOrders[[#This Row],[Delivery_Date]]&lt;tblOrders[[#This Row],[Order_Date]],"Error","OK")</f>
        <v>OK</v>
      </c>
    </row>
    <row r="851" spans="1:13" x14ac:dyDescent="0.25">
      <c r="A851" s="1">
        <v>850</v>
      </c>
      <c r="B851" s="1" t="s">
        <v>361</v>
      </c>
      <c r="C851">
        <v>21</v>
      </c>
      <c r="D851">
        <v>4</v>
      </c>
      <c r="E851" s="2">
        <v>45161</v>
      </c>
      <c r="F851" s="3">
        <v>0.96894675925925922</v>
      </c>
      <c r="G851" s="2">
        <v>45163</v>
      </c>
      <c r="H851" s="3">
        <v>0.43820601851851854</v>
      </c>
      <c r="I851" s="1" t="s">
        <v>264</v>
      </c>
      <c r="J851" s="1" t="s">
        <v>33</v>
      </c>
      <c r="K851">
        <v>2</v>
      </c>
      <c r="L851" t="str">
        <f>IF(tblOrders[[#This Row],[Quantity]]&lt;=0,"Check","OK")</f>
        <v>OK</v>
      </c>
      <c r="M851" s="1" t="str">
        <f>IF(tblOrders[[#This Row],[Delivery_Date]]&lt;tblOrders[[#This Row],[Order_Date]],"Error","OK")</f>
        <v>OK</v>
      </c>
    </row>
    <row r="852" spans="1:13" x14ac:dyDescent="0.25">
      <c r="A852" s="1">
        <v>851</v>
      </c>
      <c r="B852" s="1" t="s">
        <v>337</v>
      </c>
      <c r="C852">
        <v>13</v>
      </c>
      <c r="D852">
        <v>3</v>
      </c>
      <c r="E852" s="2">
        <v>44991</v>
      </c>
      <c r="F852" s="3">
        <v>0.48052083333333334</v>
      </c>
      <c r="G852" s="2">
        <v>44995</v>
      </c>
      <c r="H852" s="3">
        <v>0.7624305555555555</v>
      </c>
      <c r="I852" s="1" t="s">
        <v>562</v>
      </c>
      <c r="J852" s="1" t="s">
        <v>25</v>
      </c>
      <c r="K852">
        <v>4</v>
      </c>
      <c r="L852" t="str">
        <f>IF(tblOrders[[#This Row],[Quantity]]&lt;=0,"Check","OK")</f>
        <v>OK</v>
      </c>
      <c r="M852" s="1" t="str">
        <f>IF(tblOrders[[#This Row],[Delivery_Date]]&lt;tblOrders[[#This Row],[Order_Date]],"Error","OK")</f>
        <v>OK</v>
      </c>
    </row>
    <row r="853" spans="1:13" x14ac:dyDescent="0.25">
      <c r="A853" s="1">
        <v>852</v>
      </c>
      <c r="B853" s="1" t="s">
        <v>329</v>
      </c>
      <c r="C853">
        <v>44</v>
      </c>
      <c r="D853">
        <v>2</v>
      </c>
      <c r="E853" s="2">
        <v>45241</v>
      </c>
      <c r="F853" s="3">
        <v>0.40400462962962963</v>
      </c>
      <c r="G853" s="2">
        <v>45244</v>
      </c>
      <c r="H853" s="3">
        <v>0.59409722222222228</v>
      </c>
      <c r="I853" s="1" t="s">
        <v>314</v>
      </c>
      <c r="J853" s="1" t="s">
        <v>19</v>
      </c>
      <c r="K853">
        <v>3</v>
      </c>
      <c r="L853" t="str">
        <f>IF(tblOrders[[#This Row],[Quantity]]&lt;=0,"Check","OK")</f>
        <v>OK</v>
      </c>
      <c r="M853" s="1" t="str">
        <f>IF(tblOrders[[#This Row],[Delivery_Date]]&lt;tblOrders[[#This Row],[Order_Date]],"Error","OK")</f>
        <v>OK</v>
      </c>
    </row>
    <row r="854" spans="1:13" x14ac:dyDescent="0.25">
      <c r="A854" s="1">
        <v>853</v>
      </c>
      <c r="B854" s="1" t="s">
        <v>276</v>
      </c>
      <c r="C854">
        <v>51</v>
      </c>
      <c r="D854">
        <v>3</v>
      </c>
      <c r="E854" s="2">
        <v>45186</v>
      </c>
      <c r="F854" s="3">
        <v>0.88533564814814814</v>
      </c>
      <c r="G854" s="2">
        <v>45192</v>
      </c>
      <c r="H854" s="3">
        <v>0.60240740740740739</v>
      </c>
      <c r="I854" s="1" t="s">
        <v>268</v>
      </c>
      <c r="J854" s="1" t="s">
        <v>8</v>
      </c>
      <c r="K854">
        <v>6</v>
      </c>
      <c r="L854" t="str">
        <f>IF(tblOrders[[#This Row],[Quantity]]&lt;=0,"Check","OK")</f>
        <v>OK</v>
      </c>
      <c r="M854" s="1" t="str">
        <f>IF(tblOrders[[#This Row],[Delivery_Date]]&lt;tblOrders[[#This Row],[Order_Date]],"Error","OK")</f>
        <v>OK</v>
      </c>
    </row>
    <row r="855" spans="1:13" x14ac:dyDescent="0.25">
      <c r="A855" s="1">
        <v>854</v>
      </c>
      <c r="B855" s="1" t="s">
        <v>392</v>
      </c>
      <c r="C855">
        <v>62</v>
      </c>
      <c r="D855">
        <v>3</v>
      </c>
      <c r="E855" s="2">
        <v>44984</v>
      </c>
      <c r="F855" s="3">
        <v>8.3715277777777777E-2</v>
      </c>
      <c r="G855" s="2">
        <v>44987</v>
      </c>
      <c r="H855" s="3">
        <v>0.11908564814814815</v>
      </c>
      <c r="I855" s="1" t="s">
        <v>559</v>
      </c>
      <c r="J855" s="1" t="s">
        <v>25</v>
      </c>
      <c r="K855">
        <v>3</v>
      </c>
      <c r="L855" t="str">
        <f>IF(tblOrders[[#This Row],[Quantity]]&lt;=0,"Check","OK")</f>
        <v>OK</v>
      </c>
      <c r="M855" s="1" t="str">
        <f>IF(tblOrders[[#This Row],[Delivery_Date]]&lt;tblOrders[[#This Row],[Order_Date]],"Error","OK")</f>
        <v>OK</v>
      </c>
    </row>
    <row r="856" spans="1:13" x14ac:dyDescent="0.25">
      <c r="A856" s="1">
        <v>855</v>
      </c>
      <c r="B856" s="1" t="s">
        <v>272</v>
      </c>
      <c r="C856">
        <v>57</v>
      </c>
      <c r="D856">
        <v>5</v>
      </c>
      <c r="E856" s="2">
        <v>45145</v>
      </c>
      <c r="F856" s="3">
        <v>0.99318287037037034</v>
      </c>
      <c r="G856" s="2">
        <v>45155</v>
      </c>
      <c r="H856" s="3">
        <v>0.84424768518518523</v>
      </c>
      <c r="I856" s="1" t="s">
        <v>353</v>
      </c>
      <c r="J856" s="1" t="s">
        <v>36</v>
      </c>
      <c r="K856">
        <v>10</v>
      </c>
      <c r="L856" t="str">
        <f>IF(tblOrders[[#This Row],[Quantity]]&lt;=0,"Check","OK")</f>
        <v>OK</v>
      </c>
      <c r="M856" s="1" t="str">
        <f>IF(tblOrders[[#This Row],[Delivery_Date]]&lt;tblOrders[[#This Row],[Order_Date]],"Error","OK")</f>
        <v>OK</v>
      </c>
    </row>
    <row r="857" spans="1:13" x14ac:dyDescent="0.25">
      <c r="A857" s="1">
        <v>856</v>
      </c>
      <c r="B857" s="1" t="s">
        <v>261</v>
      </c>
      <c r="C857">
        <v>21</v>
      </c>
      <c r="D857">
        <v>2</v>
      </c>
      <c r="E857" s="2">
        <v>45165</v>
      </c>
      <c r="F857" s="3">
        <v>0.73623842592592592</v>
      </c>
      <c r="G857" s="2">
        <v>45171</v>
      </c>
      <c r="H857" s="3">
        <v>0.67835648148148153</v>
      </c>
      <c r="I857" s="1" t="s">
        <v>284</v>
      </c>
      <c r="J857" s="1" t="s">
        <v>33</v>
      </c>
      <c r="K857">
        <v>6</v>
      </c>
      <c r="L857" t="str">
        <f>IF(tblOrders[[#This Row],[Quantity]]&lt;=0,"Check","OK")</f>
        <v>OK</v>
      </c>
      <c r="M857" s="1" t="str">
        <f>IF(tblOrders[[#This Row],[Delivery_Date]]&lt;tblOrders[[#This Row],[Order_Date]],"Error","OK")</f>
        <v>OK</v>
      </c>
    </row>
    <row r="858" spans="1:13" x14ac:dyDescent="0.25">
      <c r="A858" s="1">
        <v>857</v>
      </c>
      <c r="B858" s="1" t="s">
        <v>291</v>
      </c>
      <c r="C858">
        <v>63</v>
      </c>
      <c r="D858">
        <v>1</v>
      </c>
      <c r="E858" s="2">
        <v>44966</v>
      </c>
      <c r="F858" s="3">
        <v>0.39048611111111109</v>
      </c>
      <c r="G858" s="2">
        <v>44975</v>
      </c>
      <c r="H858" s="3">
        <v>0.58384259259259264</v>
      </c>
      <c r="I858" s="1" t="s">
        <v>399</v>
      </c>
      <c r="J858" s="1" t="s">
        <v>8</v>
      </c>
      <c r="K858">
        <v>9</v>
      </c>
      <c r="L858" t="str">
        <f>IF(tblOrders[[#This Row],[Quantity]]&lt;=0,"Check","OK")</f>
        <v>OK</v>
      </c>
      <c r="M858" s="1" t="str">
        <f>IF(tblOrders[[#This Row],[Delivery_Date]]&lt;tblOrders[[#This Row],[Order_Date]],"Error","OK")</f>
        <v>OK</v>
      </c>
    </row>
    <row r="859" spans="1:13" x14ac:dyDescent="0.25">
      <c r="A859" s="1">
        <v>858</v>
      </c>
      <c r="B859" s="1" t="s">
        <v>237</v>
      </c>
      <c r="C859">
        <v>44</v>
      </c>
      <c r="D859">
        <v>4</v>
      </c>
      <c r="E859" s="2">
        <v>45238</v>
      </c>
      <c r="F859" s="3">
        <v>7.7638888888888882E-2</v>
      </c>
      <c r="G859" s="2">
        <v>45239</v>
      </c>
      <c r="H859" s="3">
        <v>0.66763888888888889</v>
      </c>
      <c r="I859" s="1" t="s">
        <v>494</v>
      </c>
      <c r="J859" s="1" t="s">
        <v>19</v>
      </c>
      <c r="K859">
        <v>1</v>
      </c>
      <c r="L859" t="str">
        <f>IF(tblOrders[[#This Row],[Quantity]]&lt;=0,"Check","OK")</f>
        <v>OK</v>
      </c>
      <c r="M859" s="1" t="str">
        <f>IF(tblOrders[[#This Row],[Delivery_Date]]&lt;tblOrders[[#This Row],[Order_Date]],"Error","OK")</f>
        <v>OK</v>
      </c>
    </row>
    <row r="860" spans="1:13" x14ac:dyDescent="0.25">
      <c r="A860" s="1">
        <v>859</v>
      </c>
      <c r="B860" s="1" t="s">
        <v>221</v>
      </c>
      <c r="C860">
        <v>43</v>
      </c>
      <c r="D860">
        <v>1</v>
      </c>
      <c r="E860" s="2">
        <v>45240</v>
      </c>
      <c r="F860" s="3">
        <v>0.29607638888888888</v>
      </c>
      <c r="G860" s="2">
        <v>45245</v>
      </c>
      <c r="H860" s="3">
        <v>7.3923611111111107E-2</v>
      </c>
      <c r="I860" s="1" t="s">
        <v>288</v>
      </c>
      <c r="J860" s="1" t="s">
        <v>19</v>
      </c>
      <c r="K860">
        <v>5</v>
      </c>
      <c r="L860" t="str">
        <f>IF(tblOrders[[#This Row],[Quantity]]&lt;=0,"Check","OK")</f>
        <v>OK</v>
      </c>
      <c r="M860" s="1" t="str">
        <f>IF(tblOrders[[#This Row],[Delivery_Date]]&lt;tblOrders[[#This Row],[Order_Date]],"Error","OK")</f>
        <v>OK</v>
      </c>
    </row>
    <row r="861" spans="1:13" x14ac:dyDescent="0.25">
      <c r="A861" s="1">
        <v>860</v>
      </c>
      <c r="B861" s="1" t="s">
        <v>216</v>
      </c>
      <c r="C861">
        <v>14</v>
      </c>
      <c r="D861">
        <v>1</v>
      </c>
      <c r="E861" s="2">
        <v>44936</v>
      </c>
      <c r="F861" s="3">
        <v>0.81248842592592596</v>
      </c>
      <c r="G861" s="2">
        <v>44939</v>
      </c>
      <c r="H861" s="3">
        <v>0.56284722222222228</v>
      </c>
      <c r="I861" s="1" t="s">
        <v>538</v>
      </c>
      <c r="J861" s="1" t="s">
        <v>36</v>
      </c>
      <c r="K861">
        <v>3</v>
      </c>
      <c r="L861" t="str">
        <f>IF(tblOrders[[#This Row],[Quantity]]&lt;=0,"Check","OK")</f>
        <v>OK</v>
      </c>
      <c r="M861" s="1" t="str">
        <f>IF(tblOrders[[#This Row],[Delivery_Date]]&lt;tblOrders[[#This Row],[Order_Date]],"Error","OK")</f>
        <v>OK</v>
      </c>
    </row>
    <row r="862" spans="1:13" x14ac:dyDescent="0.25">
      <c r="A862" s="1">
        <v>861</v>
      </c>
      <c r="B862" s="1" t="s">
        <v>337</v>
      </c>
      <c r="C862">
        <v>32</v>
      </c>
      <c r="D862">
        <v>1</v>
      </c>
      <c r="E862" s="2">
        <v>44966</v>
      </c>
      <c r="F862" s="3">
        <v>0.34688657407407408</v>
      </c>
      <c r="G862" s="2">
        <v>44971</v>
      </c>
      <c r="H862" s="3">
        <v>0.10942129629629629</v>
      </c>
      <c r="I862" s="1" t="s">
        <v>362</v>
      </c>
      <c r="J862" s="1" t="s">
        <v>36</v>
      </c>
      <c r="K862">
        <v>5</v>
      </c>
      <c r="L862" t="str">
        <f>IF(tblOrders[[#This Row],[Quantity]]&lt;=0,"Check","OK")</f>
        <v>OK</v>
      </c>
      <c r="M862" s="1" t="str">
        <f>IF(tblOrders[[#This Row],[Delivery_Date]]&lt;tblOrders[[#This Row],[Order_Date]],"Error","OK")</f>
        <v>OK</v>
      </c>
    </row>
    <row r="863" spans="1:13" x14ac:dyDescent="0.25">
      <c r="A863" s="1">
        <v>862</v>
      </c>
      <c r="B863" s="1" t="s">
        <v>367</v>
      </c>
      <c r="C863">
        <v>6</v>
      </c>
      <c r="D863">
        <v>4</v>
      </c>
      <c r="E863" s="2">
        <v>44992</v>
      </c>
      <c r="F863" s="3">
        <v>0.24391203703703704</v>
      </c>
      <c r="G863" s="2">
        <v>45000</v>
      </c>
      <c r="H863" s="3">
        <v>0.34984953703703703</v>
      </c>
      <c r="I863" s="1" t="s">
        <v>481</v>
      </c>
      <c r="J863" s="1" t="s">
        <v>25</v>
      </c>
      <c r="K863">
        <v>8</v>
      </c>
      <c r="L863" t="str">
        <f>IF(tblOrders[[#This Row],[Quantity]]&lt;=0,"Check","OK")</f>
        <v>OK</v>
      </c>
      <c r="M863" s="1" t="str">
        <f>IF(tblOrders[[#This Row],[Delivery_Date]]&lt;tblOrders[[#This Row],[Order_Date]],"Error","OK")</f>
        <v>OK</v>
      </c>
    </row>
    <row r="864" spans="1:13" x14ac:dyDescent="0.25">
      <c r="A864" s="1">
        <v>863</v>
      </c>
      <c r="B864" s="1" t="s">
        <v>183</v>
      </c>
      <c r="C864">
        <v>20</v>
      </c>
      <c r="D864">
        <v>3</v>
      </c>
      <c r="E864" s="2">
        <v>45082</v>
      </c>
      <c r="F864" s="3">
        <v>0.39449074074074075</v>
      </c>
      <c r="G864" s="2">
        <v>45092</v>
      </c>
      <c r="H864" s="3">
        <v>0.13408564814814813</v>
      </c>
      <c r="I864" s="1" t="s">
        <v>524</v>
      </c>
      <c r="J864" s="1" t="s">
        <v>30</v>
      </c>
      <c r="K864">
        <v>10</v>
      </c>
      <c r="L864" t="str">
        <f>IF(tblOrders[[#This Row],[Quantity]]&lt;=0,"Check","OK")</f>
        <v>OK</v>
      </c>
      <c r="M864" s="1" t="str">
        <f>IF(tblOrders[[#This Row],[Delivery_Date]]&lt;tblOrders[[#This Row],[Order_Date]],"Error","OK")</f>
        <v>OK</v>
      </c>
    </row>
    <row r="865" spans="1:13" x14ac:dyDescent="0.25">
      <c r="A865" s="1">
        <v>864</v>
      </c>
      <c r="B865" s="1" t="s">
        <v>272</v>
      </c>
      <c r="C865">
        <v>11</v>
      </c>
      <c r="D865">
        <v>1</v>
      </c>
      <c r="E865" s="2">
        <v>44968</v>
      </c>
      <c r="F865" s="3">
        <v>0.8155324074074074</v>
      </c>
      <c r="G865" s="2">
        <v>44972</v>
      </c>
      <c r="H865" s="3">
        <v>0.33724537037037039</v>
      </c>
      <c r="I865" s="1" t="s">
        <v>375</v>
      </c>
      <c r="J865" s="1" t="s">
        <v>12</v>
      </c>
      <c r="K865">
        <v>4</v>
      </c>
      <c r="L865" t="str">
        <f>IF(tblOrders[[#This Row],[Quantity]]&lt;=0,"Check","OK")</f>
        <v>OK</v>
      </c>
      <c r="M865" s="1" t="str">
        <f>IF(tblOrders[[#This Row],[Delivery_Date]]&lt;tblOrders[[#This Row],[Order_Date]],"Error","OK")</f>
        <v>OK</v>
      </c>
    </row>
    <row r="866" spans="1:13" x14ac:dyDescent="0.25">
      <c r="A866" s="1">
        <v>865</v>
      </c>
      <c r="B866" s="1" t="s">
        <v>295</v>
      </c>
      <c r="C866">
        <v>19</v>
      </c>
      <c r="D866">
        <v>1</v>
      </c>
      <c r="E866" s="2">
        <v>44969</v>
      </c>
      <c r="F866" s="3">
        <v>0.75641203703703708</v>
      </c>
      <c r="G866" s="2">
        <v>44970</v>
      </c>
      <c r="H866" s="3">
        <v>0.27638888888888891</v>
      </c>
      <c r="I866" s="1" t="s">
        <v>356</v>
      </c>
      <c r="J866" s="1" t="s">
        <v>12</v>
      </c>
      <c r="K866">
        <v>1</v>
      </c>
      <c r="L866" t="str">
        <f>IF(tblOrders[[#This Row],[Quantity]]&lt;=0,"Check","OK")</f>
        <v>OK</v>
      </c>
      <c r="M866" s="1" t="str">
        <f>IF(tblOrders[[#This Row],[Delivery_Date]]&lt;tblOrders[[#This Row],[Order_Date]],"Error","OK")</f>
        <v>OK</v>
      </c>
    </row>
    <row r="867" spans="1:13" x14ac:dyDescent="0.25">
      <c r="A867" s="1">
        <v>866</v>
      </c>
      <c r="B867" s="1" t="s">
        <v>503</v>
      </c>
      <c r="C867">
        <v>15</v>
      </c>
      <c r="D867">
        <v>5</v>
      </c>
      <c r="E867" s="2">
        <v>45148</v>
      </c>
      <c r="F867" s="3">
        <v>0.83792824074074079</v>
      </c>
      <c r="G867" s="2">
        <v>45149</v>
      </c>
      <c r="H867" s="3">
        <v>0.33519675925925924</v>
      </c>
      <c r="I867" s="1" t="s">
        <v>370</v>
      </c>
      <c r="J867" s="1" t="s">
        <v>30</v>
      </c>
      <c r="K867">
        <v>1</v>
      </c>
      <c r="L867" t="str">
        <f>IF(tblOrders[[#This Row],[Quantity]]&lt;=0,"Check","OK")</f>
        <v>OK</v>
      </c>
      <c r="M867" s="1" t="str">
        <f>IF(tblOrders[[#This Row],[Delivery_Date]]&lt;tblOrders[[#This Row],[Order_Date]],"Error","OK")</f>
        <v>OK</v>
      </c>
    </row>
    <row r="868" spans="1:13" x14ac:dyDescent="0.25">
      <c r="A868" s="1">
        <v>867</v>
      </c>
      <c r="B868" s="1" t="s">
        <v>248</v>
      </c>
      <c r="C868">
        <v>48</v>
      </c>
      <c r="D868">
        <v>1</v>
      </c>
      <c r="E868" s="2">
        <v>45232</v>
      </c>
      <c r="F868" s="3">
        <v>0.51534722222222218</v>
      </c>
      <c r="G868" s="2">
        <v>45234</v>
      </c>
      <c r="H868" s="3">
        <v>0.21443287037037037</v>
      </c>
      <c r="I868" s="1" t="s">
        <v>407</v>
      </c>
      <c r="J868" s="1" t="s">
        <v>19</v>
      </c>
      <c r="K868">
        <v>2</v>
      </c>
      <c r="L868" t="str">
        <f>IF(tblOrders[[#This Row],[Quantity]]&lt;=0,"Check","OK")</f>
        <v>OK</v>
      </c>
      <c r="M868" s="1" t="str">
        <f>IF(tblOrders[[#This Row],[Delivery_Date]]&lt;tblOrders[[#This Row],[Order_Date]],"Error","OK")</f>
        <v>OK</v>
      </c>
    </row>
    <row r="869" spans="1:13" x14ac:dyDescent="0.25">
      <c r="A869" s="1">
        <v>868</v>
      </c>
      <c r="B869" s="1" t="s">
        <v>183</v>
      </c>
      <c r="C869">
        <v>32</v>
      </c>
      <c r="D869">
        <v>1</v>
      </c>
      <c r="E869" s="2">
        <v>45160</v>
      </c>
      <c r="F869" s="3">
        <v>4.2557870370370371E-2</v>
      </c>
      <c r="G869" s="2">
        <v>45168</v>
      </c>
      <c r="H869" s="3">
        <v>0.42305555555555557</v>
      </c>
      <c r="I869" s="1" t="s">
        <v>282</v>
      </c>
      <c r="J869" s="1" t="s">
        <v>36</v>
      </c>
      <c r="K869">
        <v>8</v>
      </c>
      <c r="L869" t="str">
        <f>IF(tblOrders[[#This Row],[Quantity]]&lt;=0,"Check","OK")</f>
        <v>OK</v>
      </c>
      <c r="M869" s="1" t="str">
        <f>IF(tblOrders[[#This Row],[Delivery_Date]]&lt;tblOrders[[#This Row],[Order_Date]],"Error","OK")</f>
        <v>OK</v>
      </c>
    </row>
    <row r="870" spans="1:13" x14ac:dyDescent="0.25">
      <c r="A870" s="1">
        <v>869</v>
      </c>
      <c r="B870" s="1" t="s">
        <v>295</v>
      </c>
      <c r="C870">
        <v>3</v>
      </c>
      <c r="D870">
        <v>5</v>
      </c>
      <c r="E870" s="2">
        <v>44963</v>
      </c>
      <c r="F870" s="3">
        <v>0.41896990740740742</v>
      </c>
      <c r="G870" s="2">
        <v>44968</v>
      </c>
      <c r="H870" s="3">
        <v>0.96976851851851853</v>
      </c>
      <c r="I870" s="1" t="s">
        <v>506</v>
      </c>
      <c r="J870" s="1" t="s">
        <v>12</v>
      </c>
      <c r="K870">
        <v>5</v>
      </c>
      <c r="L870" t="str">
        <f>IF(tblOrders[[#This Row],[Quantity]]&lt;=0,"Check","OK")</f>
        <v>OK</v>
      </c>
      <c r="M870" s="1" t="str">
        <f>IF(tblOrders[[#This Row],[Delivery_Date]]&lt;tblOrders[[#This Row],[Order_Date]],"Error","OK")</f>
        <v>OK</v>
      </c>
    </row>
    <row r="871" spans="1:13" x14ac:dyDescent="0.25">
      <c r="A871" s="1">
        <v>870</v>
      </c>
      <c r="B871" s="1" t="s">
        <v>208</v>
      </c>
      <c r="C871">
        <v>43</v>
      </c>
      <c r="D871">
        <v>5</v>
      </c>
      <c r="E871" s="2">
        <v>45235</v>
      </c>
      <c r="F871" s="3">
        <v>0.6345601851851852</v>
      </c>
      <c r="G871" s="2">
        <v>45237</v>
      </c>
      <c r="H871" s="3">
        <v>0.28447916666666667</v>
      </c>
      <c r="I871" s="1" t="s">
        <v>286</v>
      </c>
      <c r="J871" s="1" t="s">
        <v>19</v>
      </c>
      <c r="K871">
        <v>2</v>
      </c>
      <c r="L871" t="str">
        <f>IF(tblOrders[[#This Row],[Quantity]]&lt;=0,"Check","OK")</f>
        <v>OK</v>
      </c>
      <c r="M871" s="1" t="str">
        <f>IF(tblOrders[[#This Row],[Delivery_Date]]&lt;tblOrders[[#This Row],[Order_Date]],"Error","OK")</f>
        <v>OK</v>
      </c>
    </row>
    <row r="872" spans="1:13" x14ac:dyDescent="0.25">
      <c r="A872" s="1">
        <v>871</v>
      </c>
      <c r="B872" s="1" t="s">
        <v>285</v>
      </c>
      <c r="C872">
        <v>15</v>
      </c>
      <c r="D872">
        <v>1</v>
      </c>
      <c r="E872" s="2">
        <v>45088</v>
      </c>
      <c r="F872" s="3">
        <v>0.25381944444444443</v>
      </c>
      <c r="G872" s="2">
        <v>45092</v>
      </c>
      <c r="H872" s="3">
        <v>0.87287037037037041</v>
      </c>
      <c r="I872" s="1" t="s">
        <v>483</v>
      </c>
      <c r="J872" s="1" t="s">
        <v>30</v>
      </c>
      <c r="K872">
        <v>4</v>
      </c>
      <c r="L872" t="str">
        <f>IF(tblOrders[[#This Row],[Quantity]]&lt;=0,"Check","OK")</f>
        <v>OK</v>
      </c>
      <c r="M872" s="1" t="str">
        <f>IF(tblOrders[[#This Row],[Delivery_Date]]&lt;tblOrders[[#This Row],[Order_Date]],"Error","OK")</f>
        <v>OK</v>
      </c>
    </row>
    <row r="873" spans="1:13" x14ac:dyDescent="0.25">
      <c r="A873" s="1">
        <v>872</v>
      </c>
      <c r="B873" s="1" t="s">
        <v>365</v>
      </c>
      <c r="C873">
        <v>13</v>
      </c>
      <c r="D873">
        <v>2</v>
      </c>
      <c r="E873" s="2">
        <v>44990</v>
      </c>
      <c r="F873" s="3">
        <v>0.85274305555555552</v>
      </c>
      <c r="G873" s="2">
        <v>44995</v>
      </c>
      <c r="H873" s="3">
        <v>6.4155092592592597E-2</v>
      </c>
      <c r="I873" s="1" t="s">
        <v>348</v>
      </c>
      <c r="J873" s="1" t="s">
        <v>25</v>
      </c>
      <c r="K873">
        <v>5</v>
      </c>
      <c r="L873" t="str">
        <f>IF(tblOrders[[#This Row],[Quantity]]&lt;=0,"Check","OK")</f>
        <v>OK</v>
      </c>
      <c r="M873" s="1" t="str">
        <f>IF(tblOrders[[#This Row],[Delivery_Date]]&lt;tblOrders[[#This Row],[Order_Date]],"Error","OK")</f>
        <v>OK</v>
      </c>
    </row>
    <row r="874" spans="1:13" x14ac:dyDescent="0.25">
      <c r="A874" s="1">
        <v>873</v>
      </c>
      <c r="B874" s="1" t="s">
        <v>387</v>
      </c>
      <c r="C874">
        <v>64</v>
      </c>
      <c r="D874">
        <v>4</v>
      </c>
      <c r="E874" s="2">
        <v>45164</v>
      </c>
      <c r="F874" s="3">
        <v>0.45624999999999999</v>
      </c>
      <c r="G874" s="2">
        <v>45174</v>
      </c>
      <c r="H874" s="3">
        <v>0.65656250000000005</v>
      </c>
      <c r="I874" s="1" t="s">
        <v>219</v>
      </c>
      <c r="J874" s="1" t="s">
        <v>33</v>
      </c>
      <c r="K874">
        <v>10</v>
      </c>
      <c r="L874" t="str">
        <f>IF(tblOrders[[#This Row],[Quantity]]&lt;=0,"Check","OK")</f>
        <v>OK</v>
      </c>
      <c r="M874" s="1" t="str">
        <f>IF(tblOrders[[#This Row],[Delivery_Date]]&lt;tblOrders[[#This Row],[Order_Date]],"Error","OK")</f>
        <v>OK</v>
      </c>
    </row>
    <row r="875" spans="1:13" x14ac:dyDescent="0.25">
      <c r="A875" s="1">
        <v>874</v>
      </c>
      <c r="B875" s="1" t="s">
        <v>287</v>
      </c>
      <c r="C875">
        <v>68</v>
      </c>
      <c r="D875">
        <v>1</v>
      </c>
      <c r="E875" s="2">
        <v>44968</v>
      </c>
      <c r="F875" s="3">
        <v>0.52951388888888884</v>
      </c>
      <c r="G875" s="2">
        <v>44978</v>
      </c>
      <c r="H875" s="3">
        <v>0.7331481481481481</v>
      </c>
      <c r="I875" s="1" t="s">
        <v>354</v>
      </c>
      <c r="J875" s="1" t="s">
        <v>12</v>
      </c>
      <c r="K875">
        <v>10</v>
      </c>
      <c r="L875" t="str">
        <f>IF(tblOrders[[#This Row],[Quantity]]&lt;=0,"Check","OK")</f>
        <v>OK</v>
      </c>
      <c r="M875" s="1" t="str">
        <f>IF(tblOrders[[#This Row],[Delivery_Date]]&lt;tblOrders[[#This Row],[Order_Date]],"Error","OK")</f>
        <v>OK</v>
      </c>
    </row>
    <row r="876" spans="1:13" x14ac:dyDescent="0.25">
      <c r="A876" s="1">
        <v>875</v>
      </c>
      <c r="B876" s="1" t="s">
        <v>200</v>
      </c>
      <c r="C876">
        <v>13</v>
      </c>
      <c r="D876">
        <v>1</v>
      </c>
      <c r="E876" s="2">
        <v>44990</v>
      </c>
      <c r="F876" s="3">
        <v>0.89063657407407404</v>
      </c>
      <c r="G876" s="2">
        <v>44999</v>
      </c>
      <c r="H876" s="3">
        <v>0.83178240740740739</v>
      </c>
      <c r="I876" s="1" t="s">
        <v>307</v>
      </c>
      <c r="J876" s="1" t="s">
        <v>25</v>
      </c>
      <c r="K876">
        <v>9</v>
      </c>
      <c r="L876" t="str">
        <f>IF(tblOrders[[#This Row],[Quantity]]&lt;=0,"Check","OK")</f>
        <v>OK</v>
      </c>
      <c r="M876" s="1" t="str">
        <f>IF(tblOrders[[#This Row],[Delivery_Date]]&lt;tblOrders[[#This Row],[Order_Date]],"Error","OK")</f>
        <v>OK</v>
      </c>
    </row>
    <row r="877" spans="1:13" x14ac:dyDescent="0.25">
      <c r="A877" s="1">
        <v>876</v>
      </c>
      <c r="B877" s="1" t="s">
        <v>392</v>
      </c>
      <c r="C877">
        <v>4</v>
      </c>
      <c r="D877">
        <v>4</v>
      </c>
      <c r="E877" s="2">
        <v>45236</v>
      </c>
      <c r="F877" s="3">
        <v>0.40180555555555558</v>
      </c>
      <c r="G877" s="2">
        <v>45244</v>
      </c>
      <c r="H877" s="3">
        <v>0.86648148148148152</v>
      </c>
      <c r="I877" s="1" t="s">
        <v>548</v>
      </c>
      <c r="J877" s="1" t="s">
        <v>19</v>
      </c>
      <c r="K877">
        <v>8</v>
      </c>
      <c r="L877" t="str">
        <f>IF(tblOrders[[#This Row],[Quantity]]&lt;=0,"Check","OK")</f>
        <v>OK</v>
      </c>
      <c r="M877" s="1" t="str">
        <f>IF(tblOrders[[#This Row],[Delivery_Date]]&lt;tblOrders[[#This Row],[Order_Date]],"Error","OK")</f>
        <v>OK</v>
      </c>
    </row>
    <row r="878" spans="1:13" x14ac:dyDescent="0.25">
      <c r="A878" s="1">
        <v>877</v>
      </c>
      <c r="B878" s="1" t="s">
        <v>206</v>
      </c>
      <c r="C878">
        <v>46</v>
      </c>
      <c r="D878">
        <v>5</v>
      </c>
      <c r="E878" s="2">
        <v>44994</v>
      </c>
      <c r="F878" s="3">
        <v>0.96962962962962962</v>
      </c>
      <c r="G878" s="2">
        <v>45003</v>
      </c>
      <c r="H878" s="3">
        <v>0.51902777777777775</v>
      </c>
      <c r="I878" s="1" t="s">
        <v>506</v>
      </c>
      <c r="J878" s="1" t="s">
        <v>30</v>
      </c>
      <c r="K878">
        <v>9</v>
      </c>
      <c r="L878" t="str">
        <f>IF(tblOrders[[#This Row],[Quantity]]&lt;=0,"Check","OK")</f>
        <v>OK</v>
      </c>
      <c r="M878" s="1" t="str">
        <f>IF(tblOrders[[#This Row],[Delivery_Date]]&lt;tblOrders[[#This Row],[Order_Date]],"Error","OK")</f>
        <v>OK</v>
      </c>
    </row>
    <row r="879" spans="1:13" x14ac:dyDescent="0.25">
      <c r="A879" s="1">
        <v>878</v>
      </c>
      <c r="B879" s="1" t="s">
        <v>279</v>
      </c>
      <c r="C879">
        <v>4</v>
      </c>
      <c r="D879">
        <v>2</v>
      </c>
      <c r="E879" s="2">
        <v>45240</v>
      </c>
      <c r="F879" s="3">
        <v>0.69234953703703705</v>
      </c>
      <c r="G879" s="2">
        <v>45249</v>
      </c>
      <c r="H879" s="3">
        <v>0.69831018518518517</v>
      </c>
      <c r="I879" s="1" t="s">
        <v>562</v>
      </c>
      <c r="J879" s="1" t="s">
        <v>19</v>
      </c>
      <c r="K879">
        <v>9</v>
      </c>
      <c r="L879" t="str">
        <f>IF(tblOrders[[#This Row],[Quantity]]&lt;=0,"Check","OK")</f>
        <v>OK</v>
      </c>
      <c r="M879" s="1" t="str">
        <f>IF(tblOrders[[#This Row],[Delivery_Date]]&lt;tblOrders[[#This Row],[Order_Date]],"Error","OK")</f>
        <v>OK</v>
      </c>
    </row>
    <row r="880" spans="1:13" x14ac:dyDescent="0.25">
      <c r="A880" s="1">
        <v>879</v>
      </c>
      <c r="B880" s="1" t="s">
        <v>361</v>
      </c>
      <c r="C880">
        <v>33</v>
      </c>
      <c r="D880">
        <v>2</v>
      </c>
      <c r="E880" s="2">
        <v>44964</v>
      </c>
      <c r="F880" s="3">
        <v>0.23233796296296297</v>
      </c>
      <c r="G880" s="2">
        <v>44967</v>
      </c>
      <c r="H880" s="3">
        <v>0.47752314814814817</v>
      </c>
      <c r="I880" s="1" t="s">
        <v>322</v>
      </c>
      <c r="J880" s="1" t="s">
        <v>12</v>
      </c>
      <c r="K880">
        <v>3</v>
      </c>
      <c r="L880" t="str">
        <f>IF(tblOrders[[#This Row],[Quantity]]&lt;=0,"Check","OK")</f>
        <v>OK</v>
      </c>
      <c r="M880" s="1" t="str">
        <f>IF(tblOrders[[#This Row],[Delivery_Date]]&lt;tblOrders[[#This Row],[Order_Date]],"Error","OK")</f>
        <v>OK</v>
      </c>
    </row>
    <row r="881" spans="1:13" x14ac:dyDescent="0.25">
      <c r="A881" s="1">
        <v>880</v>
      </c>
      <c r="B881" s="1" t="s">
        <v>182</v>
      </c>
      <c r="C881">
        <v>34</v>
      </c>
      <c r="D881">
        <v>5</v>
      </c>
      <c r="E881" s="2">
        <v>45167</v>
      </c>
      <c r="F881" s="3">
        <v>0.92668981481481483</v>
      </c>
      <c r="G881" s="2">
        <v>45169</v>
      </c>
      <c r="H881" s="3">
        <v>0.20474537037037038</v>
      </c>
      <c r="I881" s="1" t="s">
        <v>307</v>
      </c>
      <c r="J881" s="1" t="s">
        <v>33</v>
      </c>
      <c r="K881">
        <v>2</v>
      </c>
      <c r="L881" t="str">
        <f>IF(tblOrders[[#This Row],[Quantity]]&lt;=0,"Check","OK")</f>
        <v>OK</v>
      </c>
      <c r="M881" s="1" t="str">
        <f>IF(tblOrders[[#This Row],[Delivery_Date]]&lt;tblOrders[[#This Row],[Order_Date]],"Error","OK")</f>
        <v>OK</v>
      </c>
    </row>
    <row r="882" spans="1:13" x14ac:dyDescent="0.25">
      <c r="A882" s="1">
        <v>881</v>
      </c>
      <c r="B882" s="1" t="s">
        <v>270</v>
      </c>
      <c r="C882">
        <v>28</v>
      </c>
      <c r="D882">
        <v>4</v>
      </c>
      <c r="E882" s="2">
        <v>45159</v>
      </c>
      <c r="F882" s="3">
        <v>0.6372916666666667</v>
      </c>
      <c r="G882" s="2">
        <v>45166</v>
      </c>
      <c r="H882" s="3">
        <v>0.5414930555555556</v>
      </c>
      <c r="I882" s="1" t="s">
        <v>226</v>
      </c>
      <c r="J882" s="1" t="s">
        <v>33</v>
      </c>
      <c r="K882">
        <v>7</v>
      </c>
      <c r="L882" t="str">
        <f>IF(tblOrders[[#This Row],[Quantity]]&lt;=0,"Check","OK")</f>
        <v>OK</v>
      </c>
      <c r="M882" s="1" t="str">
        <f>IF(tblOrders[[#This Row],[Delivery_Date]]&lt;tblOrders[[#This Row],[Order_Date]],"Error","OK")</f>
        <v>OK</v>
      </c>
    </row>
    <row r="883" spans="1:13" x14ac:dyDescent="0.25">
      <c r="A883" s="1">
        <v>882</v>
      </c>
      <c r="B883" s="1" t="s">
        <v>402</v>
      </c>
      <c r="C883">
        <v>64</v>
      </c>
      <c r="D883">
        <v>2</v>
      </c>
      <c r="E883" s="2">
        <v>45167</v>
      </c>
      <c r="F883" s="3">
        <v>0.23101851851851851</v>
      </c>
      <c r="G883" s="2">
        <v>45177</v>
      </c>
      <c r="H883" s="3">
        <v>0.67700231481481477</v>
      </c>
      <c r="I883" s="1" t="s">
        <v>393</v>
      </c>
      <c r="J883" s="1" t="s">
        <v>33</v>
      </c>
      <c r="K883">
        <v>10</v>
      </c>
      <c r="L883" t="str">
        <f>IF(tblOrders[[#This Row],[Quantity]]&lt;=0,"Check","OK")</f>
        <v>OK</v>
      </c>
      <c r="M883" s="1" t="str">
        <f>IF(tblOrders[[#This Row],[Delivery_Date]]&lt;tblOrders[[#This Row],[Order_Date]],"Error","OK")</f>
        <v>OK</v>
      </c>
    </row>
    <row r="884" spans="1:13" x14ac:dyDescent="0.25">
      <c r="A884" s="1">
        <v>883</v>
      </c>
      <c r="B884" s="1" t="s">
        <v>206</v>
      </c>
      <c r="C884">
        <v>36</v>
      </c>
      <c r="D884">
        <v>4</v>
      </c>
      <c r="E884" s="2">
        <v>45123</v>
      </c>
      <c r="F884" s="3">
        <v>0.82226851851851857</v>
      </c>
      <c r="G884" s="2">
        <v>45124</v>
      </c>
      <c r="H884" s="3">
        <v>0.87710648148148151</v>
      </c>
      <c r="I884" s="1" t="s">
        <v>301</v>
      </c>
      <c r="J884" s="1" t="s">
        <v>36</v>
      </c>
      <c r="K884">
        <v>1</v>
      </c>
      <c r="L884" t="str">
        <f>IF(tblOrders[[#This Row],[Quantity]]&lt;=0,"Check","OK")</f>
        <v>OK</v>
      </c>
      <c r="M884" s="1" t="str">
        <f>IF(tblOrders[[#This Row],[Delivery_Date]]&lt;tblOrders[[#This Row],[Order_Date]],"Error","OK")</f>
        <v>OK</v>
      </c>
    </row>
    <row r="885" spans="1:13" x14ac:dyDescent="0.25">
      <c r="A885" s="1">
        <v>884</v>
      </c>
      <c r="B885" s="1" t="s">
        <v>210</v>
      </c>
      <c r="C885">
        <v>10</v>
      </c>
      <c r="D885">
        <v>3</v>
      </c>
      <c r="E885" s="2">
        <v>45003</v>
      </c>
      <c r="F885" s="3">
        <v>0.92759259259259264</v>
      </c>
      <c r="G885" s="2">
        <v>45012</v>
      </c>
      <c r="H885" s="3">
        <v>0.79160879629629632</v>
      </c>
      <c r="I885" s="1" t="s">
        <v>457</v>
      </c>
      <c r="J885" s="1" t="s">
        <v>36</v>
      </c>
      <c r="K885">
        <v>9</v>
      </c>
      <c r="L885" t="str">
        <f>IF(tblOrders[[#This Row],[Quantity]]&lt;=0,"Check","OK")</f>
        <v>OK</v>
      </c>
      <c r="M885" s="1" t="str">
        <f>IF(tblOrders[[#This Row],[Delivery_Date]]&lt;tblOrders[[#This Row],[Order_Date]],"Error","OK")</f>
        <v>OK</v>
      </c>
    </row>
    <row r="886" spans="1:13" x14ac:dyDescent="0.25">
      <c r="A886" s="1">
        <v>885</v>
      </c>
      <c r="B886" s="1" t="s">
        <v>364</v>
      </c>
      <c r="C886">
        <v>42</v>
      </c>
      <c r="D886">
        <v>2</v>
      </c>
      <c r="E886" s="2">
        <v>45216</v>
      </c>
      <c r="F886" s="3">
        <v>0.82844907407407409</v>
      </c>
      <c r="G886" s="2">
        <v>45220</v>
      </c>
      <c r="H886" s="3">
        <v>0.78206018518518516</v>
      </c>
      <c r="I886" s="1" t="s">
        <v>220</v>
      </c>
      <c r="J886" s="1" t="s">
        <v>8</v>
      </c>
      <c r="K886">
        <v>4</v>
      </c>
      <c r="L886" t="str">
        <f>IF(tblOrders[[#This Row],[Quantity]]&lt;=0,"Check","OK")</f>
        <v>OK</v>
      </c>
      <c r="M886" s="1" t="str">
        <f>IF(tblOrders[[#This Row],[Delivery_Date]]&lt;tblOrders[[#This Row],[Order_Date]],"Error","OK")</f>
        <v>OK</v>
      </c>
    </row>
    <row r="887" spans="1:13" x14ac:dyDescent="0.25">
      <c r="A887" s="1">
        <v>886</v>
      </c>
      <c r="B887" s="1" t="s">
        <v>254</v>
      </c>
      <c r="C887">
        <v>53</v>
      </c>
      <c r="D887">
        <v>3</v>
      </c>
      <c r="E887" s="2">
        <v>45159</v>
      </c>
      <c r="F887" s="3">
        <v>0.34932870370370372</v>
      </c>
      <c r="G887" s="2">
        <v>45163</v>
      </c>
      <c r="H887" s="3">
        <v>0.82818287037037042</v>
      </c>
      <c r="I887" s="1" t="s">
        <v>179</v>
      </c>
      <c r="J887" s="1" t="s">
        <v>33</v>
      </c>
      <c r="K887">
        <v>4</v>
      </c>
      <c r="L887" t="str">
        <f>IF(tblOrders[[#This Row],[Quantity]]&lt;=0,"Check","OK")</f>
        <v>OK</v>
      </c>
      <c r="M887" s="1" t="str">
        <f>IF(tblOrders[[#This Row],[Delivery_Date]]&lt;tblOrders[[#This Row],[Order_Date]],"Error","OK")</f>
        <v>OK</v>
      </c>
    </row>
    <row r="888" spans="1:13" x14ac:dyDescent="0.25">
      <c r="A888" s="1">
        <v>887</v>
      </c>
      <c r="B888" s="1" t="s">
        <v>210</v>
      </c>
      <c r="C888">
        <v>51</v>
      </c>
      <c r="D888">
        <v>3</v>
      </c>
      <c r="E888" s="2">
        <v>45106</v>
      </c>
      <c r="F888" s="3">
        <v>0.72255787037037034</v>
      </c>
      <c r="G888" s="2">
        <v>45107</v>
      </c>
      <c r="H888" s="3">
        <v>0.41377314814814814</v>
      </c>
      <c r="I888" s="1" t="s">
        <v>556</v>
      </c>
      <c r="J888" s="1" t="s">
        <v>8</v>
      </c>
      <c r="K888">
        <v>1</v>
      </c>
      <c r="L888" t="str">
        <f>IF(tblOrders[[#This Row],[Quantity]]&lt;=0,"Check","OK")</f>
        <v>OK</v>
      </c>
      <c r="M888" s="1" t="str">
        <f>IF(tblOrders[[#This Row],[Delivery_Date]]&lt;tblOrders[[#This Row],[Order_Date]],"Error","OK")</f>
        <v>OK</v>
      </c>
    </row>
    <row r="889" spans="1:13" x14ac:dyDescent="0.25">
      <c r="A889" s="1">
        <v>888</v>
      </c>
      <c r="B889" s="1" t="s">
        <v>248</v>
      </c>
      <c r="C889">
        <v>69</v>
      </c>
      <c r="D889">
        <v>3</v>
      </c>
      <c r="E889" s="2">
        <v>44991</v>
      </c>
      <c r="F889" s="3">
        <v>0.48244212962962962</v>
      </c>
      <c r="G889" s="2">
        <v>44996</v>
      </c>
      <c r="H889" s="3">
        <v>0.63482638888888887</v>
      </c>
      <c r="I889" s="1" t="s">
        <v>531</v>
      </c>
      <c r="J889" s="1" t="s">
        <v>25</v>
      </c>
      <c r="K889">
        <v>5</v>
      </c>
      <c r="L889" t="str">
        <f>IF(tblOrders[[#This Row],[Quantity]]&lt;=0,"Check","OK")</f>
        <v>OK</v>
      </c>
      <c r="M889" s="1" t="str">
        <f>IF(tblOrders[[#This Row],[Delivery_Date]]&lt;tblOrders[[#This Row],[Order_Date]],"Error","OK")</f>
        <v>OK</v>
      </c>
    </row>
    <row r="890" spans="1:13" x14ac:dyDescent="0.25">
      <c r="A890" s="1">
        <v>889</v>
      </c>
      <c r="B890" s="1" t="s">
        <v>276</v>
      </c>
      <c r="C890">
        <v>36</v>
      </c>
      <c r="D890">
        <v>3</v>
      </c>
      <c r="E890" s="2">
        <v>45154</v>
      </c>
      <c r="F890" s="3">
        <v>0.96300925925925929</v>
      </c>
      <c r="G890" s="2">
        <v>45156</v>
      </c>
      <c r="H890" s="3">
        <v>0.42016203703703703</v>
      </c>
      <c r="I890" s="1" t="s">
        <v>444</v>
      </c>
      <c r="J890" s="1" t="s">
        <v>36</v>
      </c>
      <c r="K890">
        <v>2</v>
      </c>
      <c r="L890" t="str">
        <f>IF(tblOrders[[#This Row],[Quantity]]&lt;=0,"Check","OK")</f>
        <v>OK</v>
      </c>
      <c r="M890" s="1" t="str">
        <f>IF(tblOrders[[#This Row],[Delivery_Date]]&lt;tblOrders[[#This Row],[Order_Date]],"Error","OK")</f>
        <v>OK</v>
      </c>
    </row>
    <row r="891" spans="1:13" x14ac:dyDescent="0.25">
      <c r="A891" s="1">
        <v>890</v>
      </c>
      <c r="B891" s="1" t="s">
        <v>216</v>
      </c>
      <c r="C891">
        <v>45</v>
      </c>
      <c r="D891">
        <v>4</v>
      </c>
      <c r="E891" s="2">
        <v>45008</v>
      </c>
      <c r="F891" s="3">
        <v>0.97592592592592597</v>
      </c>
      <c r="G891" s="2">
        <v>45012</v>
      </c>
      <c r="H891" s="3">
        <v>0.48489583333333336</v>
      </c>
      <c r="I891" s="1" t="s">
        <v>498</v>
      </c>
      <c r="J891" s="1" t="s">
        <v>36</v>
      </c>
      <c r="K891">
        <v>4</v>
      </c>
      <c r="L891" t="str">
        <f>IF(tblOrders[[#This Row],[Quantity]]&lt;=0,"Check","OK")</f>
        <v>OK</v>
      </c>
      <c r="M891" s="1" t="str">
        <f>IF(tblOrders[[#This Row],[Delivery_Date]]&lt;tblOrders[[#This Row],[Order_Date]],"Error","OK")</f>
        <v>OK</v>
      </c>
    </row>
    <row r="892" spans="1:13" x14ac:dyDescent="0.25">
      <c r="A892" s="1">
        <v>891</v>
      </c>
      <c r="B892" s="1" t="s">
        <v>387</v>
      </c>
      <c r="C892">
        <v>58</v>
      </c>
      <c r="D892">
        <v>2</v>
      </c>
      <c r="E892" s="2">
        <v>44965</v>
      </c>
      <c r="F892" s="3">
        <v>0.62271990740740746</v>
      </c>
      <c r="G892" s="2">
        <v>44973</v>
      </c>
      <c r="H892" s="3">
        <v>0.99635416666666665</v>
      </c>
      <c r="I892" s="1" t="s">
        <v>281</v>
      </c>
      <c r="J892" s="1" t="s">
        <v>12</v>
      </c>
      <c r="K892">
        <v>8</v>
      </c>
      <c r="L892" t="str">
        <f>IF(tblOrders[[#This Row],[Quantity]]&lt;=0,"Check","OK")</f>
        <v>OK</v>
      </c>
      <c r="M892" s="1" t="str">
        <f>IF(tblOrders[[#This Row],[Delivery_Date]]&lt;tblOrders[[#This Row],[Order_Date]],"Error","OK")</f>
        <v>OK</v>
      </c>
    </row>
    <row r="893" spans="1:13" x14ac:dyDescent="0.25">
      <c r="A893" s="1">
        <v>892</v>
      </c>
      <c r="B893" s="1" t="s">
        <v>492</v>
      </c>
      <c r="C893">
        <v>11</v>
      </c>
      <c r="D893">
        <v>4</v>
      </c>
      <c r="E893" s="2">
        <v>44963</v>
      </c>
      <c r="F893" s="3">
        <v>0.77296296296296296</v>
      </c>
      <c r="G893" s="2">
        <v>44964</v>
      </c>
      <c r="H893" s="3">
        <v>6.0347222222222219E-2</v>
      </c>
      <c r="I893" s="1" t="s">
        <v>275</v>
      </c>
      <c r="J893" s="1" t="s">
        <v>12</v>
      </c>
      <c r="K893">
        <v>1</v>
      </c>
      <c r="L893" t="str">
        <f>IF(tblOrders[[#This Row],[Quantity]]&lt;=0,"Check","OK")</f>
        <v>OK</v>
      </c>
      <c r="M893" s="1" t="str">
        <f>IF(tblOrders[[#This Row],[Delivery_Date]]&lt;tblOrders[[#This Row],[Order_Date]],"Error","OK")</f>
        <v>OK</v>
      </c>
    </row>
    <row r="894" spans="1:13" x14ac:dyDescent="0.25">
      <c r="A894" s="1">
        <v>893</v>
      </c>
      <c r="B894" s="1" t="s">
        <v>287</v>
      </c>
      <c r="C894">
        <v>63</v>
      </c>
      <c r="D894">
        <v>3</v>
      </c>
      <c r="E894" s="2">
        <v>45013</v>
      </c>
      <c r="F894" s="3">
        <v>0.65326388888888887</v>
      </c>
      <c r="G894" s="2">
        <v>45023</v>
      </c>
      <c r="H894" s="3">
        <v>0.61762731481481481</v>
      </c>
      <c r="I894" s="1" t="s">
        <v>528</v>
      </c>
      <c r="J894" s="1" t="s">
        <v>8</v>
      </c>
      <c r="K894">
        <v>10</v>
      </c>
      <c r="L894" t="str">
        <f>IF(tblOrders[[#This Row],[Quantity]]&lt;=0,"Check","OK")</f>
        <v>OK</v>
      </c>
      <c r="M894" s="1" t="str">
        <f>IF(tblOrders[[#This Row],[Delivery_Date]]&lt;tblOrders[[#This Row],[Order_Date]],"Error","OK")</f>
        <v>OK</v>
      </c>
    </row>
    <row r="895" spans="1:13" x14ac:dyDescent="0.25">
      <c r="A895" s="1">
        <v>894</v>
      </c>
      <c r="B895" s="1" t="s">
        <v>361</v>
      </c>
      <c r="C895">
        <v>54</v>
      </c>
      <c r="D895">
        <v>4</v>
      </c>
      <c r="E895" s="2">
        <v>45213</v>
      </c>
      <c r="F895" s="3">
        <v>0.5873032407407407</v>
      </c>
      <c r="G895" s="2">
        <v>45220</v>
      </c>
      <c r="H895" s="3">
        <v>0.96552083333333338</v>
      </c>
      <c r="I895" s="1" t="s">
        <v>427</v>
      </c>
      <c r="J895" s="1" t="s">
        <v>30</v>
      </c>
      <c r="K895">
        <v>7</v>
      </c>
      <c r="L895" t="str">
        <f>IF(tblOrders[[#This Row],[Quantity]]&lt;=0,"Check","OK")</f>
        <v>OK</v>
      </c>
      <c r="M895" s="1" t="str">
        <f>IF(tblOrders[[#This Row],[Delivery_Date]]&lt;tblOrders[[#This Row],[Order_Date]],"Error","OK")</f>
        <v>OK</v>
      </c>
    </row>
    <row r="896" spans="1:13" x14ac:dyDescent="0.25">
      <c r="A896" s="1">
        <v>895</v>
      </c>
      <c r="B896" s="1" t="s">
        <v>232</v>
      </c>
      <c r="C896">
        <v>45</v>
      </c>
      <c r="D896">
        <v>1</v>
      </c>
      <c r="E896" s="2">
        <v>45013</v>
      </c>
      <c r="F896" s="3">
        <v>0.78189814814814818</v>
      </c>
      <c r="G896" s="2">
        <v>45022</v>
      </c>
      <c r="H896" s="3">
        <v>0.12060185185185185</v>
      </c>
      <c r="I896" s="1" t="s">
        <v>368</v>
      </c>
      <c r="J896" s="1" t="s">
        <v>36</v>
      </c>
      <c r="K896">
        <v>9</v>
      </c>
      <c r="L896" t="str">
        <f>IF(tblOrders[[#This Row],[Quantity]]&lt;=0,"Check","OK")</f>
        <v>OK</v>
      </c>
      <c r="M896" s="1" t="str">
        <f>IF(tblOrders[[#This Row],[Delivery_Date]]&lt;tblOrders[[#This Row],[Order_Date]],"Error","OK")</f>
        <v>OK</v>
      </c>
    </row>
    <row r="897" spans="1:13" x14ac:dyDescent="0.25">
      <c r="A897" s="1">
        <v>896</v>
      </c>
      <c r="B897" s="1" t="s">
        <v>291</v>
      </c>
      <c r="C897">
        <v>46</v>
      </c>
      <c r="D897">
        <v>1</v>
      </c>
      <c r="E897" s="2">
        <v>45021</v>
      </c>
      <c r="F897" s="3">
        <v>0.17633101851851851</v>
      </c>
      <c r="G897" s="2">
        <v>45026</v>
      </c>
      <c r="H897" s="3">
        <v>0.53489583333333335</v>
      </c>
      <c r="I897" s="1" t="s">
        <v>241</v>
      </c>
      <c r="J897" s="1" t="s">
        <v>30</v>
      </c>
      <c r="K897">
        <v>5</v>
      </c>
      <c r="L897" t="str">
        <f>IF(tblOrders[[#This Row],[Quantity]]&lt;=0,"Check","OK")</f>
        <v>OK</v>
      </c>
      <c r="M897" s="1" t="str">
        <f>IF(tblOrders[[#This Row],[Delivery_Date]]&lt;tblOrders[[#This Row],[Order_Date]],"Error","OK")</f>
        <v>OK</v>
      </c>
    </row>
    <row r="898" spans="1:13" x14ac:dyDescent="0.25">
      <c r="A898" s="1">
        <v>897</v>
      </c>
      <c r="B898" s="1" t="s">
        <v>244</v>
      </c>
      <c r="C898">
        <v>34</v>
      </c>
      <c r="D898">
        <v>5</v>
      </c>
      <c r="E898" s="2">
        <v>45163</v>
      </c>
      <c r="F898" s="3">
        <v>0.32871527777777776</v>
      </c>
      <c r="G898" s="2">
        <v>45170</v>
      </c>
      <c r="H898" s="3">
        <v>0.58530092592592597</v>
      </c>
      <c r="I898" s="1" t="s">
        <v>550</v>
      </c>
      <c r="J898" s="1" t="s">
        <v>33</v>
      </c>
      <c r="K898">
        <v>7</v>
      </c>
      <c r="L898" t="str">
        <f>IF(tblOrders[[#This Row],[Quantity]]&lt;=0,"Check","OK")</f>
        <v>OK</v>
      </c>
      <c r="M898" s="1" t="str">
        <f>IF(tblOrders[[#This Row],[Delivery_Date]]&lt;tblOrders[[#This Row],[Order_Date]],"Error","OK")</f>
        <v>OK</v>
      </c>
    </row>
    <row r="899" spans="1:13" x14ac:dyDescent="0.25">
      <c r="A899" s="1">
        <v>898</v>
      </c>
      <c r="B899" s="1" t="s">
        <v>208</v>
      </c>
      <c r="C899">
        <v>52</v>
      </c>
      <c r="D899">
        <v>1</v>
      </c>
      <c r="E899" s="2">
        <v>44966</v>
      </c>
      <c r="F899" s="3">
        <v>0.26310185185185186</v>
      </c>
      <c r="G899" s="2">
        <v>44970</v>
      </c>
      <c r="H899" s="3">
        <v>0.96784722222222219</v>
      </c>
      <c r="I899" s="1" t="s">
        <v>563</v>
      </c>
      <c r="J899" s="1" t="s">
        <v>12</v>
      </c>
      <c r="K899">
        <v>4</v>
      </c>
      <c r="L899" t="str">
        <f>IF(tblOrders[[#This Row],[Quantity]]&lt;=0,"Check","OK")</f>
        <v>OK</v>
      </c>
      <c r="M899" s="1" t="str">
        <f>IF(tblOrders[[#This Row],[Delivery_Date]]&lt;tblOrders[[#This Row],[Order_Date]],"Error","OK")</f>
        <v>OK</v>
      </c>
    </row>
    <row r="900" spans="1:13" x14ac:dyDescent="0.25">
      <c r="A900" s="1">
        <v>899</v>
      </c>
      <c r="B900" s="1" t="s">
        <v>200</v>
      </c>
      <c r="C900">
        <v>63</v>
      </c>
      <c r="D900">
        <v>1</v>
      </c>
      <c r="E900" s="2">
        <v>45277</v>
      </c>
      <c r="F900" s="3">
        <v>0.89577546296296295</v>
      </c>
      <c r="G900" s="2">
        <v>45284</v>
      </c>
      <c r="H900" s="3">
        <v>1.1585648148148149E-2</v>
      </c>
      <c r="I900" s="1" t="s">
        <v>423</v>
      </c>
      <c r="J900" s="1" t="s">
        <v>8</v>
      </c>
      <c r="K900">
        <v>7</v>
      </c>
      <c r="L900" t="str">
        <f>IF(tblOrders[[#This Row],[Quantity]]&lt;=0,"Check","OK")</f>
        <v>OK</v>
      </c>
      <c r="M900" s="1" t="str">
        <f>IF(tblOrders[[#This Row],[Delivery_Date]]&lt;tblOrders[[#This Row],[Order_Date]],"Error","OK")</f>
        <v>OK</v>
      </c>
    </row>
    <row r="901" spans="1:13" x14ac:dyDescent="0.25">
      <c r="A901" s="1">
        <v>900</v>
      </c>
      <c r="B901" s="1" t="s">
        <v>387</v>
      </c>
      <c r="C901">
        <v>57</v>
      </c>
      <c r="D901">
        <v>3</v>
      </c>
      <c r="E901" s="2">
        <v>45023</v>
      </c>
      <c r="F901" s="3">
        <v>0.63124999999999998</v>
      </c>
      <c r="G901" s="2">
        <v>45031</v>
      </c>
      <c r="H901" s="3">
        <v>0.35478009259259258</v>
      </c>
      <c r="I901" s="1" t="s">
        <v>513</v>
      </c>
      <c r="J901" s="1" t="s">
        <v>36</v>
      </c>
      <c r="K901">
        <v>8</v>
      </c>
      <c r="L901" t="str">
        <f>IF(tblOrders[[#This Row],[Quantity]]&lt;=0,"Check","OK")</f>
        <v>OK</v>
      </c>
      <c r="M901" s="1" t="str">
        <f>IF(tblOrders[[#This Row],[Delivery_Date]]&lt;tblOrders[[#This Row],[Order_Date]],"Error","OK")</f>
        <v>OK</v>
      </c>
    </row>
    <row r="902" spans="1:13" x14ac:dyDescent="0.25">
      <c r="A902" s="1">
        <v>901</v>
      </c>
      <c r="B902" s="1" t="s">
        <v>409</v>
      </c>
      <c r="C902">
        <v>27</v>
      </c>
      <c r="D902">
        <v>4</v>
      </c>
      <c r="E902" s="2">
        <v>45160</v>
      </c>
      <c r="F902" s="3">
        <v>0.33030092592592591</v>
      </c>
      <c r="G902" s="2">
        <v>45165</v>
      </c>
      <c r="H902" s="3">
        <v>6.4236111111111105E-2</v>
      </c>
      <c r="I902" s="1" t="s">
        <v>380</v>
      </c>
      <c r="J902" s="1" t="s">
        <v>33</v>
      </c>
      <c r="K902">
        <v>5</v>
      </c>
      <c r="L902" t="str">
        <f>IF(tblOrders[[#This Row],[Quantity]]&lt;=0,"Check","OK")</f>
        <v>OK</v>
      </c>
      <c r="M902" s="1" t="str">
        <f>IF(tblOrders[[#This Row],[Delivery_Date]]&lt;tblOrders[[#This Row],[Order_Date]],"Error","OK")</f>
        <v>OK</v>
      </c>
    </row>
    <row r="903" spans="1:13" x14ac:dyDescent="0.25">
      <c r="A903" s="1">
        <v>902</v>
      </c>
      <c r="B903" s="1" t="s">
        <v>492</v>
      </c>
      <c r="C903">
        <v>32</v>
      </c>
      <c r="D903">
        <v>5</v>
      </c>
      <c r="E903" s="2">
        <v>45007</v>
      </c>
      <c r="F903" s="3">
        <v>0.56244212962962958</v>
      </c>
      <c r="G903" s="2">
        <v>45009</v>
      </c>
      <c r="H903" s="3">
        <v>0.51667824074074076</v>
      </c>
      <c r="I903" s="1" t="s">
        <v>362</v>
      </c>
      <c r="J903" s="1" t="s">
        <v>36</v>
      </c>
      <c r="K903">
        <v>2</v>
      </c>
      <c r="L903" t="str">
        <f>IF(tblOrders[[#This Row],[Quantity]]&lt;=0,"Check","OK")</f>
        <v>OK</v>
      </c>
      <c r="M903" s="1" t="str">
        <f>IF(tblOrders[[#This Row],[Delivery_Date]]&lt;tblOrders[[#This Row],[Order_Date]],"Error","OK")</f>
        <v>OK</v>
      </c>
    </row>
    <row r="904" spans="1:13" x14ac:dyDescent="0.25">
      <c r="A904" s="1">
        <v>903</v>
      </c>
      <c r="B904" s="1" t="s">
        <v>232</v>
      </c>
      <c r="C904">
        <v>63</v>
      </c>
      <c r="D904">
        <v>2</v>
      </c>
      <c r="E904" s="2">
        <v>45184</v>
      </c>
      <c r="F904" s="3">
        <v>0.73776620370370372</v>
      </c>
      <c r="G904" s="2">
        <v>45191</v>
      </c>
      <c r="H904" s="3">
        <v>0.81155092592592593</v>
      </c>
      <c r="I904" s="1" t="s">
        <v>517</v>
      </c>
      <c r="J904" s="1" t="s">
        <v>8</v>
      </c>
      <c r="K904">
        <v>7</v>
      </c>
      <c r="L904" t="str">
        <f>IF(tblOrders[[#This Row],[Quantity]]&lt;=0,"Check","OK")</f>
        <v>OK</v>
      </c>
      <c r="M904" s="1" t="str">
        <f>IF(tblOrders[[#This Row],[Delivery_Date]]&lt;tblOrders[[#This Row],[Order_Date]],"Error","OK")</f>
        <v>OK</v>
      </c>
    </row>
    <row r="905" spans="1:13" x14ac:dyDescent="0.25">
      <c r="A905" s="1">
        <v>904</v>
      </c>
      <c r="B905" s="1" t="s">
        <v>193</v>
      </c>
      <c r="C905">
        <v>2</v>
      </c>
      <c r="D905">
        <v>4</v>
      </c>
      <c r="E905" s="2">
        <v>44969</v>
      </c>
      <c r="F905" s="3">
        <v>0.92069444444444448</v>
      </c>
      <c r="G905" s="2">
        <v>44974</v>
      </c>
      <c r="H905" s="3">
        <v>4.5567129629629631E-2</v>
      </c>
      <c r="I905" s="1" t="s">
        <v>500</v>
      </c>
      <c r="J905" s="1" t="s">
        <v>12</v>
      </c>
      <c r="K905">
        <v>5</v>
      </c>
      <c r="L905" t="str">
        <f>IF(tblOrders[[#This Row],[Quantity]]&lt;=0,"Check","OK")</f>
        <v>OK</v>
      </c>
      <c r="M905" s="1" t="str">
        <f>IF(tblOrders[[#This Row],[Delivery_Date]]&lt;tblOrders[[#This Row],[Order_Date]],"Error","OK")</f>
        <v>OK</v>
      </c>
    </row>
    <row r="906" spans="1:13" x14ac:dyDescent="0.25">
      <c r="A906" s="1">
        <v>905</v>
      </c>
      <c r="B906" s="1" t="s">
        <v>235</v>
      </c>
      <c r="C906">
        <v>58</v>
      </c>
      <c r="D906">
        <v>1</v>
      </c>
      <c r="E906" s="2">
        <v>44967</v>
      </c>
      <c r="F906" s="3">
        <v>0.81359953703703702</v>
      </c>
      <c r="G906" s="2">
        <v>44973</v>
      </c>
      <c r="H906" s="3">
        <v>0.35571759259259261</v>
      </c>
      <c r="I906" s="1" t="s">
        <v>315</v>
      </c>
      <c r="J906" s="1" t="s">
        <v>12</v>
      </c>
      <c r="K906">
        <v>6</v>
      </c>
      <c r="L906" t="str">
        <f>IF(tblOrders[[#This Row],[Quantity]]&lt;=0,"Check","OK")</f>
        <v>OK</v>
      </c>
      <c r="M906" s="1" t="str">
        <f>IF(tblOrders[[#This Row],[Delivery_Date]]&lt;tblOrders[[#This Row],[Order_Date]],"Error","OK")</f>
        <v>OK</v>
      </c>
    </row>
    <row r="907" spans="1:13" x14ac:dyDescent="0.25">
      <c r="A907" s="1">
        <v>906</v>
      </c>
      <c r="B907" s="1" t="s">
        <v>304</v>
      </c>
      <c r="C907">
        <v>49</v>
      </c>
      <c r="D907">
        <v>3</v>
      </c>
      <c r="E907" s="2">
        <v>44963</v>
      </c>
      <c r="F907" s="3">
        <v>5.3009259259259256E-2</v>
      </c>
      <c r="G907" s="2">
        <v>44973</v>
      </c>
      <c r="H907" s="3">
        <v>0.38527777777777777</v>
      </c>
      <c r="I907" s="1" t="s">
        <v>416</v>
      </c>
      <c r="J907" s="1" t="s">
        <v>12</v>
      </c>
      <c r="K907">
        <v>10</v>
      </c>
      <c r="L907" t="str">
        <f>IF(tblOrders[[#This Row],[Quantity]]&lt;=0,"Check","OK")</f>
        <v>OK</v>
      </c>
      <c r="M907" s="1" t="str">
        <f>IF(tblOrders[[#This Row],[Delivery_Date]]&lt;tblOrders[[#This Row],[Order_Date]],"Error","OK")</f>
        <v>OK</v>
      </c>
    </row>
    <row r="908" spans="1:13" x14ac:dyDescent="0.25">
      <c r="A908" s="1">
        <v>907</v>
      </c>
      <c r="B908" s="1" t="s">
        <v>237</v>
      </c>
      <c r="C908">
        <v>30</v>
      </c>
      <c r="D908">
        <v>2</v>
      </c>
      <c r="E908" s="2">
        <v>45035</v>
      </c>
      <c r="F908" s="3">
        <v>0.90047453703703706</v>
      </c>
      <c r="G908" s="2">
        <v>45041</v>
      </c>
      <c r="H908" s="3">
        <v>0.4667013888888889</v>
      </c>
      <c r="I908" s="1" t="s">
        <v>311</v>
      </c>
      <c r="J908" s="1" t="s">
        <v>30</v>
      </c>
      <c r="K908">
        <v>6</v>
      </c>
      <c r="L908" t="str">
        <f>IF(tblOrders[[#This Row],[Quantity]]&lt;=0,"Check","OK")</f>
        <v>OK</v>
      </c>
      <c r="M908" s="1" t="str">
        <f>IF(tblOrders[[#This Row],[Delivery_Date]]&lt;tblOrders[[#This Row],[Order_Date]],"Error","OK")</f>
        <v>OK</v>
      </c>
    </row>
    <row r="909" spans="1:13" x14ac:dyDescent="0.25">
      <c r="A909" s="1">
        <v>908</v>
      </c>
      <c r="B909" s="1" t="s">
        <v>202</v>
      </c>
      <c r="C909">
        <v>28</v>
      </c>
      <c r="D909">
        <v>5</v>
      </c>
      <c r="E909" s="2">
        <v>45160</v>
      </c>
      <c r="F909" s="3">
        <v>0.66070601851851851</v>
      </c>
      <c r="G909" s="2">
        <v>45162</v>
      </c>
      <c r="H909" s="3">
        <v>0.95148148148148148</v>
      </c>
      <c r="I909" s="1" t="s">
        <v>314</v>
      </c>
      <c r="J909" s="1" t="s">
        <v>33</v>
      </c>
      <c r="K909">
        <v>2</v>
      </c>
      <c r="L909" t="str">
        <f>IF(tblOrders[[#This Row],[Quantity]]&lt;=0,"Check","OK")</f>
        <v>OK</v>
      </c>
      <c r="M909" s="1" t="str">
        <f>IF(tblOrders[[#This Row],[Delivery_Date]]&lt;tblOrders[[#This Row],[Order_Date]],"Error","OK")</f>
        <v>OK</v>
      </c>
    </row>
    <row r="910" spans="1:13" x14ac:dyDescent="0.25">
      <c r="A910" s="1">
        <v>909</v>
      </c>
      <c r="B910" s="1" t="s">
        <v>364</v>
      </c>
      <c r="C910">
        <v>42</v>
      </c>
      <c r="D910">
        <v>1</v>
      </c>
      <c r="E910" s="2">
        <v>45234</v>
      </c>
      <c r="F910" s="3">
        <v>0.32211805555555556</v>
      </c>
      <c r="G910" s="2">
        <v>45238</v>
      </c>
      <c r="H910" s="3">
        <v>0.93431712962962965</v>
      </c>
      <c r="I910" s="1" t="s">
        <v>277</v>
      </c>
      <c r="J910" s="1" t="s">
        <v>8</v>
      </c>
      <c r="K910">
        <v>4</v>
      </c>
      <c r="L910" t="str">
        <f>IF(tblOrders[[#This Row],[Quantity]]&lt;=0,"Check","OK")</f>
        <v>OK</v>
      </c>
      <c r="M910" s="1" t="str">
        <f>IF(tblOrders[[#This Row],[Delivery_Date]]&lt;tblOrders[[#This Row],[Order_Date]],"Error","OK")</f>
        <v>OK</v>
      </c>
    </row>
    <row r="911" spans="1:13" x14ac:dyDescent="0.25">
      <c r="A911" s="1">
        <v>910</v>
      </c>
      <c r="B911" s="1" t="s">
        <v>232</v>
      </c>
      <c r="C911">
        <v>55</v>
      </c>
      <c r="D911">
        <v>4</v>
      </c>
      <c r="E911" s="2">
        <v>45164</v>
      </c>
      <c r="F911" s="3">
        <v>8.5682870370370368E-2</v>
      </c>
      <c r="G911" s="2">
        <v>45173</v>
      </c>
      <c r="H911" s="3">
        <v>0.71053240740740742</v>
      </c>
      <c r="I911" s="1" t="s">
        <v>377</v>
      </c>
      <c r="J911" s="1" t="s">
        <v>33</v>
      </c>
      <c r="K911">
        <v>9</v>
      </c>
      <c r="L911" t="str">
        <f>IF(tblOrders[[#This Row],[Quantity]]&lt;=0,"Check","OK")</f>
        <v>OK</v>
      </c>
      <c r="M911" s="1" t="str">
        <f>IF(tblOrders[[#This Row],[Delivery_Date]]&lt;tblOrders[[#This Row],[Order_Date]],"Error","OK")</f>
        <v>OK</v>
      </c>
    </row>
    <row r="912" spans="1:13" x14ac:dyDescent="0.25">
      <c r="A912" s="1">
        <v>911</v>
      </c>
      <c r="B912" s="1" t="s">
        <v>222</v>
      </c>
      <c r="C912">
        <v>22</v>
      </c>
      <c r="D912">
        <v>4</v>
      </c>
      <c r="E912" s="2">
        <v>44949</v>
      </c>
      <c r="F912" s="3">
        <v>0.22143518518518518</v>
      </c>
      <c r="G912" s="2">
        <v>44954</v>
      </c>
      <c r="H912" s="3">
        <v>6.6192129629629629E-2</v>
      </c>
      <c r="I912" s="1" t="s">
        <v>247</v>
      </c>
      <c r="J912" s="1" t="s">
        <v>8</v>
      </c>
      <c r="K912">
        <v>5</v>
      </c>
      <c r="L912" t="str">
        <f>IF(tblOrders[[#This Row],[Quantity]]&lt;=0,"Check","OK")</f>
        <v>OK</v>
      </c>
      <c r="M912" s="1" t="str">
        <f>IF(tblOrders[[#This Row],[Delivery_Date]]&lt;tblOrders[[#This Row],[Order_Date]],"Error","OK")</f>
        <v>OK</v>
      </c>
    </row>
    <row r="913" spans="1:13" x14ac:dyDescent="0.25">
      <c r="A913" s="1">
        <v>912</v>
      </c>
      <c r="B913" s="1" t="s">
        <v>285</v>
      </c>
      <c r="C913">
        <v>9</v>
      </c>
      <c r="D913">
        <v>4</v>
      </c>
      <c r="E913" s="2">
        <v>45167</v>
      </c>
      <c r="F913" s="3">
        <v>0.13193287037037038</v>
      </c>
      <c r="G913" s="2">
        <v>45175</v>
      </c>
      <c r="H913" s="3">
        <v>0.48349537037037038</v>
      </c>
      <c r="I913" s="1" t="s">
        <v>485</v>
      </c>
      <c r="J913" s="1" t="s">
        <v>33</v>
      </c>
      <c r="K913">
        <v>8</v>
      </c>
      <c r="L913" t="str">
        <f>IF(tblOrders[[#This Row],[Quantity]]&lt;=0,"Check","OK")</f>
        <v>OK</v>
      </c>
      <c r="M913" s="1" t="str">
        <f>IF(tblOrders[[#This Row],[Delivery_Date]]&lt;tblOrders[[#This Row],[Order_Date]],"Error","OK")</f>
        <v>OK</v>
      </c>
    </row>
    <row r="914" spans="1:13" x14ac:dyDescent="0.25">
      <c r="A914" s="1">
        <v>913</v>
      </c>
      <c r="B914" s="1" t="s">
        <v>361</v>
      </c>
      <c r="C914">
        <v>56</v>
      </c>
      <c r="D914">
        <v>5</v>
      </c>
      <c r="E914" s="2">
        <v>45270</v>
      </c>
      <c r="F914" s="3">
        <v>0.77736111111111106</v>
      </c>
      <c r="G914" s="2">
        <v>45272</v>
      </c>
      <c r="H914" s="3">
        <v>0.2341087962962963</v>
      </c>
      <c r="I914" s="1" t="s">
        <v>352</v>
      </c>
      <c r="J914" s="1" t="s">
        <v>30</v>
      </c>
      <c r="K914">
        <v>2</v>
      </c>
      <c r="L914" t="str">
        <f>IF(tblOrders[[#This Row],[Quantity]]&lt;=0,"Check","OK")</f>
        <v>OK</v>
      </c>
      <c r="M914" s="1" t="str">
        <f>IF(tblOrders[[#This Row],[Delivery_Date]]&lt;tblOrders[[#This Row],[Order_Date]],"Error","OK")</f>
        <v>OK</v>
      </c>
    </row>
    <row r="915" spans="1:13" x14ac:dyDescent="0.25">
      <c r="A915" s="1">
        <v>914</v>
      </c>
      <c r="B915" s="1" t="s">
        <v>331</v>
      </c>
      <c r="C915">
        <v>33</v>
      </c>
      <c r="D915">
        <v>4</v>
      </c>
      <c r="E915" s="2">
        <v>44966</v>
      </c>
      <c r="F915" s="3">
        <v>0.61965277777777783</v>
      </c>
      <c r="G915" s="2">
        <v>44971</v>
      </c>
      <c r="H915" s="3">
        <v>0.40787037037037038</v>
      </c>
      <c r="I915" s="1" t="s">
        <v>368</v>
      </c>
      <c r="J915" s="1" t="s">
        <v>12</v>
      </c>
      <c r="K915">
        <v>5</v>
      </c>
      <c r="L915" t="str">
        <f>IF(tblOrders[[#This Row],[Quantity]]&lt;=0,"Check","OK")</f>
        <v>OK</v>
      </c>
      <c r="M915" s="1" t="str">
        <f>IF(tblOrders[[#This Row],[Delivery_Date]]&lt;tblOrders[[#This Row],[Order_Date]],"Error","OK")</f>
        <v>OK</v>
      </c>
    </row>
    <row r="916" spans="1:13" x14ac:dyDescent="0.25">
      <c r="A916" s="1">
        <v>915</v>
      </c>
      <c r="B916" s="1" t="s">
        <v>248</v>
      </c>
      <c r="C916">
        <v>35</v>
      </c>
      <c r="D916">
        <v>1</v>
      </c>
      <c r="E916" s="2">
        <v>44991</v>
      </c>
      <c r="F916" s="3">
        <v>0.8837962962962963</v>
      </c>
      <c r="G916" s="2">
        <v>44999</v>
      </c>
      <c r="H916" s="3">
        <v>0.23098379629629628</v>
      </c>
      <c r="I916" s="1" t="s">
        <v>501</v>
      </c>
      <c r="J916" s="1" t="s">
        <v>25</v>
      </c>
      <c r="K916">
        <v>8</v>
      </c>
      <c r="L916" t="str">
        <f>IF(tblOrders[[#This Row],[Quantity]]&lt;=0,"Check","OK")</f>
        <v>OK</v>
      </c>
      <c r="M916" s="1" t="str">
        <f>IF(tblOrders[[#This Row],[Delivery_Date]]&lt;tblOrders[[#This Row],[Order_Date]],"Error","OK")</f>
        <v>OK</v>
      </c>
    </row>
    <row r="917" spans="1:13" x14ac:dyDescent="0.25">
      <c r="A917" s="1">
        <v>916</v>
      </c>
      <c r="B917" s="1" t="s">
        <v>213</v>
      </c>
      <c r="C917">
        <v>33</v>
      </c>
      <c r="D917">
        <v>2</v>
      </c>
      <c r="E917" s="2">
        <v>44963</v>
      </c>
      <c r="F917" s="3">
        <v>0.18274305555555556</v>
      </c>
      <c r="G917" s="2">
        <v>44971</v>
      </c>
      <c r="H917" s="3">
        <v>0.88847222222222222</v>
      </c>
      <c r="I917" s="1" t="s">
        <v>264</v>
      </c>
      <c r="J917" s="1" t="s">
        <v>12</v>
      </c>
      <c r="K917">
        <v>8</v>
      </c>
      <c r="L917" t="str">
        <f>IF(tblOrders[[#This Row],[Quantity]]&lt;=0,"Check","OK")</f>
        <v>OK</v>
      </c>
      <c r="M917" s="1" t="str">
        <f>IF(tblOrders[[#This Row],[Delivery_Date]]&lt;tblOrders[[#This Row],[Order_Date]],"Error","OK")</f>
        <v>OK</v>
      </c>
    </row>
    <row r="918" spans="1:13" x14ac:dyDescent="0.25">
      <c r="A918" s="1">
        <v>917</v>
      </c>
      <c r="B918" s="1" t="s">
        <v>437</v>
      </c>
      <c r="C918">
        <v>12</v>
      </c>
      <c r="D918">
        <v>3</v>
      </c>
      <c r="E918" s="2">
        <v>44950</v>
      </c>
      <c r="F918" s="3">
        <v>0.24784722222222222</v>
      </c>
      <c r="G918" s="2">
        <v>44955</v>
      </c>
      <c r="H918" s="3">
        <v>0.46137731481481481</v>
      </c>
      <c r="I918" s="1" t="s">
        <v>399</v>
      </c>
      <c r="J918" s="1" t="s">
        <v>30</v>
      </c>
      <c r="K918">
        <v>5</v>
      </c>
      <c r="L918" t="str">
        <f>IF(tblOrders[[#This Row],[Quantity]]&lt;=0,"Check","OK")</f>
        <v>OK</v>
      </c>
      <c r="M918" s="1" t="str">
        <f>IF(tblOrders[[#This Row],[Delivery_Date]]&lt;tblOrders[[#This Row],[Order_Date]],"Error","OK")</f>
        <v>OK</v>
      </c>
    </row>
    <row r="919" spans="1:13" x14ac:dyDescent="0.25">
      <c r="A919" s="1">
        <v>918</v>
      </c>
      <c r="B919" s="1" t="s">
        <v>333</v>
      </c>
      <c r="C919">
        <v>19</v>
      </c>
      <c r="D919">
        <v>2</v>
      </c>
      <c r="E919" s="2">
        <v>44969</v>
      </c>
      <c r="F919" s="3">
        <v>0.7590972222222222</v>
      </c>
      <c r="G919" s="2">
        <v>44978</v>
      </c>
      <c r="H919" s="3">
        <v>0.91812499999999997</v>
      </c>
      <c r="I919" s="1" t="s">
        <v>544</v>
      </c>
      <c r="J919" s="1" t="s">
        <v>12</v>
      </c>
      <c r="K919">
        <v>9</v>
      </c>
      <c r="L919" t="str">
        <f>IF(tblOrders[[#This Row],[Quantity]]&lt;=0,"Check","OK")</f>
        <v>OK</v>
      </c>
      <c r="M919" s="1" t="str">
        <f>IF(tblOrders[[#This Row],[Delivery_Date]]&lt;tblOrders[[#This Row],[Order_Date]],"Error","OK")</f>
        <v>OK</v>
      </c>
    </row>
    <row r="920" spans="1:13" x14ac:dyDescent="0.25">
      <c r="A920" s="1">
        <v>919</v>
      </c>
      <c r="B920" s="1" t="s">
        <v>293</v>
      </c>
      <c r="C920">
        <v>35</v>
      </c>
      <c r="D920">
        <v>5</v>
      </c>
      <c r="E920" s="2">
        <v>44985</v>
      </c>
      <c r="F920" s="3">
        <v>0.35269675925925925</v>
      </c>
      <c r="G920" s="2">
        <v>44989</v>
      </c>
      <c r="H920" s="3">
        <v>3.8078703703703703E-3</v>
      </c>
      <c r="I920" s="1" t="s">
        <v>245</v>
      </c>
      <c r="J920" s="1" t="s">
        <v>25</v>
      </c>
      <c r="K920">
        <v>4</v>
      </c>
      <c r="L920" t="str">
        <f>IF(tblOrders[[#This Row],[Quantity]]&lt;=0,"Check","OK")</f>
        <v>OK</v>
      </c>
      <c r="M920" s="1" t="str">
        <f>IF(tblOrders[[#This Row],[Delivery_Date]]&lt;tblOrders[[#This Row],[Order_Date]],"Error","OK")</f>
        <v>OK</v>
      </c>
    </row>
    <row r="921" spans="1:13" x14ac:dyDescent="0.25">
      <c r="A921" s="1">
        <v>920</v>
      </c>
      <c r="B921" s="1" t="s">
        <v>335</v>
      </c>
      <c r="C921">
        <v>45</v>
      </c>
      <c r="D921">
        <v>1</v>
      </c>
      <c r="E921" s="2">
        <v>45106</v>
      </c>
      <c r="F921" s="3">
        <v>0.84936342592592595</v>
      </c>
      <c r="G921" s="2">
        <v>45115</v>
      </c>
      <c r="H921" s="3">
        <v>0.98723379629629626</v>
      </c>
      <c r="I921" s="1" t="s">
        <v>319</v>
      </c>
      <c r="J921" s="1" t="s">
        <v>36</v>
      </c>
      <c r="K921">
        <v>9</v>
      </c>
      <c r="L921" t="str">
        <f>IF(tblOrders[[#This Row],[Quantity]]&lt;=0,"Check","OK")</f>
        <v>OK</v>
      </c>
      <c r="M921" s="1" t="str">
        <f>IF(tblOrders[[#This Row],[Delivery_Date]]&lt;tblOrders[[#This Row],[Order_Date]],"Error","OK")</f>
        <v>OK</v>
      </c>
    </row>
    <row r="922" spans="1:13" x14ac:dyDescent="0.25">
      <c r="A922" s="1">
        <v>921</v>
      </c>
      <c r="B922" s="1" t="s">
        <v>174</v>
      </c>
      <c r="C922">
        <v>23</v>
      </c>
      <c r="D922">
        <v>4</v>
      </c>
      <c r="E922" s="2">
        <v>45187</v>
      </c>
      <c r="F922" s="3">
        <v>0.57824074074074072</v>
      </c>
      <c r="G922" s="2">
        <v>45192</v>
      </c>
      <c r="H922" s="3">
        <v>0.30724537037037036</v>
      </c>
      <c r="I922" s="1" t="s">
        <v>485</v>
      </c>
      <c r="J922" s="1" t="s">
        <v>30</v>
      </c>
      <c r="K922">
        <v>5</v>
      </c>
      <c r="L922" t="str">
        <f>IF(tblOrders[[#This Row],[Quantity]]&lt;=0,"Check","OK")</f>
        <v>OK</v>
      </c>
      <c r="M922" s="1" t="str">
        <f>IF(tblOrders[[#This Row],[Delivery_Date]]&lt;tblOrders[[#This Row],[Order_Date]],"Error","OK")</f>
        <v>OK</v>
      </c>
    </row>
    <row r="923" spans="1:13" x14ac:dyDescent="0.25">
      <c r="A923" s="1">
        <v>922</v>
      </c>
      <c r="B923" s="1" t="s">
        <v>178</v>
      </c>
      <c r="C923">
        <v>23</v>
      </c>
      <c r="D923">
        <v>1</v>
      </c>
      <c r="E923" s="2">
        <v>45274</v>
      </c>
      <c r="F923" s="3">
        <v>0.38638888888888889</v>
      </c>
      <c r="G923" s="2">
        <v>45278</v>
      </c>
      <c r="H923" s="3">
        <v>0.33584490740740741</v>
      </c>
      <c r="I923" s="1" t="s">
        <v>303</v>
      </c>
      <c r="J923" s="1" t="s">
        <v>30</v>
      </c>
      <c r="K923">
        <v>4</v>
      </c>
      <c r="L923" t="str">
        <f>IF(tblOrders[[#This Row],[Quantity]]&lt;=0,"Check","OK")</f>
        <v>OK</v>
      </c>
      <c r="M923" s="1" t="str">
        <f>IF(tblOrders[[#This Row],[Delivery_Date]]&lt;tblOrders[[#This Row],[Order_Date]],"Error","OK")</f>
        <v>OK</v>
      </c>
    </row>
    <row r="924" spans="1:13" x14ac:dyDescent="0.25">
      <c r="A924" s="1">
        <v>923</v>
      </c>
      <c r="B924" s="1" t="s">
        <v>480</v>
      </c>
      <c r="C924">
        <v>7</v>
      </c>
      <c r="D924">
        <v>4</v>
      </c>
      <c r="E924" s="2">
        <v>44984</v>
      </c>
      <c r="F924" s="3">
        <v>0.60939814814814819</v>
      </c>
      <c r="G924" s="2">
        <v>44985</v>
      </c>
      <c r="H924" s="3">
        <v>0.91778935185185184</v>
      </c>
      <c r="I924" s="1" t="s">
        <v>260</v>
      </c>
      <c r="J924" s="1" t="s">
        <v>25</v>
      </c>
      <c r="K924">
        <v>1</v>
      </c>
      <c r="L924" t="str">
        <f>IF(tblOrders[[#This Row],[Quantity]]&lt;=0,"Check","OK")</f>
        <v>OK</v>
      </c>
      <c r="M924" s="1" t="str">
        <f>IF(tblOrders[[#This Row],[Delivery_Date]]&lt;tblOrders[[#This Row],[Order_Date]],"Error","OK")</f>
        <v>OK</v>
      </c>
    </row>
    <row r="925" spans="1:13" x14ac:dyDescent="0.25">
      <c r="A925" s="1">
        <v>924</v>
      </c>
      <c r="B925" s="1" t="s">
        <v>193</v>
      </c>
      <c r="C925">
        <v>17</v>
      </c>
      <c r="D925">
        <v>1</v>
      </c>
      <c r="E925" s="2">
        <v>45010</v>
      </c>
      <c r="F925" s="3">
        <v>0.40774305555555557</v>
      </c>
      <c r="G925" s="2">
        <v>45020</v>
      </c>
      <c r="H925" s="3">
        <v>0.95561342592592591</v>
      </c>
      <c r="I925" s="1" t="s">
        <v>513</v>
      </c>
      <c r="J925" s="1" t="s">
        <v>30</v>
      </c>
      <c r="K925">
        <v>10</v>
      </c>
      <c r="L925" t="str">
        <f>IF(tblOrders[[#This Row],[Quantity]]&lt;=0,"Check","OK")</f>
        <v>OK</v>
      </c>
      <c r="M925" s="1" t="str">
        <f>IF(tblOrders[[#This Row],[Delivery_Date]]&lt;tblOrders[[#This Row],[Order_Date]],"Error","OK")</f>
        <v>OK</v>
      </c>
    </row>
    <row r="926" spans="1:13" x14ac:dyDescent="0.25">
      <c r="A926" s="1">
        <v>925</v>
      </c>
      <c r="B926" s="1" t="s">
        <v>172</v>
      </c>
      <c r="C926">
        <v>31</v>
      </c>
      <c r="D926">
        <v>1</v>
      </c>
      <c r="E926" s="2">
        <v>44934</v>
      </c>
      <c r="F926" s="3">
        <v>3.878472222222222E-2</v>
      </c>
      <c r="G926" s="2">
        <v>44938</v>
      </c>
      <c r="H926" s="3">
        <v>0.27716435185185184</v>
      </c>
      <c r="I926" s="1" t="s">
        <v>286</v>
      </c>
      <c r="J926" s="1" t="s">
        <v>8</v>
      </c>
      <c r="K926">
        <v>4</v>
      </c>
      <c r="L926" t="str">
        <f>IF(tblOrders[[#This Row],[Quantity]]&lt;=0,"Check","OK")</f>
        <v>OK</v>
      </c>
      <c r="M926" s="1" t="str">
        <f>IF(tblOrders[[#This Row],[Delivery_Date]]&lt;tblOrders[[#This Row],[Order_Date]],"Error","OK")</f>
        <v>OK</v>
      </c>
    </row>
    <row r="927" spans="1:13" x14ac:dyDescent="0.25">
      <c r="A927" s="1">
        <v>926</v>
      </c>
      <c r="B927" s="1" t="s">
        <v>367</v>
      </c>
      <c r="C927">
        <v>40</v>
      </c>
      <c r="D927">
        <v>4</v>
      </c>
      <c r="E927" s="2">
        <v>45013</v>
      </c>
      <c r="F927" s="3">
        <v>0.95969907407407407</v>
      </c>
      <c r="G927" s="2">
        <v>45016</v>
      </c>
      <c r="H927" s="3">
        <v>0.99403935185185188</v>
      </c>
      <c r="I927" s="1" t="s">
        <v>406</v>
      </c>
      <c r="J927" s="1" t="s">
        <v>30</v>
      </c>
      <c r="K927">
        <v>3</v>
      </c>
      <c r="L927" t="str">
        <f>IF(tblOrders[[#This Row],[Quantity]]&lt;=0,"Check","OK")</f>
        <v>OK</v>
      </c>
      <c r="M927" s="1" t="str">
        <f>IF(tblOrders[[#This Row],[Delivery_Date]]&lt;tblOrders[[#This Row],[Order_Date]],"Error","OK")</f>
        <v>OK</v>
      </c>
    </row>
    <row r="928" spans="1:13" x14ac:dyDescent="0.25">
      <c r="A928" s="1">
        <v>927</v>
      </c>
      <c r="B928" s="1" t="s">
        <v>304</v>
      </c>
      <c r="C928">
        <v>43</v>
      </c>
      <c r="D928">
        <v>4</v>
      </c>
      <c r="E928" s="2">
        <v>45233</v>
      </c>
      <c r="F928" s="3">
        <v>0.27656249999999999</v>
      </c>
      <c r="G928" s="2">
        <v>45241</v>
      </c>
      <c r="H928" s="3">
        <v>0.20853009259259259</v>
      </c>
      <c r="I928" s="1" t="s">
        <v>359</v>
      </c>
      <c r="J928" s="1" t="s">
        <v>19</v>
      </c>
      <c r="K928">
        <v>8</v>
      </c>
      <c r="L928" t="str">
        <f>IF(tblOrders[[#This Row],[Quantity]]&lt;=0,"Check","OK")</f>
        <v>OK</v>
      </c>
      <c r="M928" s="1" t="str">
        <f>IF(tblOrders[[#This Row],[Delivery_Date]]&lt;tblOrders[[#This Row],[Order_Date]],"Error","OK")</f>
        <v>OK</v>
      </c>
    </row>
    <row r="929" spans="1:13" x14ac:dyDescent="0.25">
      <c r="A929" s="1">
        <v>928</v>
      </c>
      <c r="B929" s="1" t="s">
        <v>172</v>
      </c>
      <c r="C929">
        <v>23</v>
      </c>
      <c r="D929">
        <v>3</v>
      </c>
      <c r="E929" s="2">
        <v>45249</v>
      </c>
      <c r="F929" s="3">
        <v>0.46277777777777779</v>
      </c>
      <c r="G929" s="2">
        <v>45257</v>
      </c>
      <c r="H929" s="3">
        <v>0.42791666666666667</v>
      </c>
      <c r="I929" s="1" t="s">
        <v>564</v>
      </c>
      <c r="J929" s="1" t="s">
        <v>30</v>
      </c>
      <c r="K929">
        <v>8</v>
      </c>
      <c r="L929" t="str">
        <f>IF(tblOrders[[#This Row],[Quantity]]&lt;=0,"Check","OK")</f>
        <v>OK</v>
      </c>
      <c r="M929" s="1" t="str">
        <f>IF(tblOrders[[#This Row],[Delivery_Date]]&lt;tblOrders[[#This Row],[Order_Date]],"Error","OK")</f>
        <v>OK</v>
      </c>
    </row>
    <row r="930" spans="1:13" x14ac:dyDescent="0.25">
      <c r="A930" s="1">
        <v>929</v>
      </c>
      <c r="B930" s="1" t="s">
        <v>382</v>
      </c>
      <c r="C930">
        <v>23</v>
      </c>
      <c r="D930">
        <v>1</v>
      </c>
      <c r="E930" s="2">
        <v>45004</v>
      </c>
      <c r="F930" s="3">
        <v>0.29226851851851854</v>
      </c>
      <c r="G930" s="2">
        <v>45011</v>
      </c>
      <c r="H930" s="3">
        <v>0.54342592592592598</v>
      </c>
      <c r="I930" s="1" t="s">
        <v>482</v>
      </c>
      <c r="J930" s="1" t="s">
        <v>30</v>
      </c>
      <c r="K930">
        <v>7</v>
      </c>
      <c r="L930" t="str">
        <f>IF(tblOrders[[#This Row],[Quantity]]&lt;=0,"Check","OK")</f>
        <v>OK</v>
      </c>
      <c r="M930" s="1" t="str">
        <f>IF(tblOrders[[#This Row],[Delivery_Date]]&lt;tblOrders[[#This Row],[Order_Date]],"Error","OK")</f>
        <v>OK</v>
      </c>
    </row>
    <row r="931" spans="1:13" x14ac:dyDescent="0.25">
      <c r="A931" s="1">
        <v>930</v>
      </c>
      <c r="B931" s="1" t="s">
        <v>333</v>
      </c>
      <c r="C931">
        <v>61</v>
      </c>
      <c r="D931">
        <v>3</v>
      </c>
      <c r="E931" s="2">
        <v>45080</v>
      </c>
      <c r="F931" s="3">
        <v>0.66146990740740741</v>
      </c>
      <c r="G931" s="2">
        <v>45084</v>
      </c>
      <c r="H931" s="3">
        <v>0.8203125</v>
      </c>
      <c r="I931" s="1" t="s">
        <v>489</v>
      </c>
      <c r="J931" s="1" t="s">
        <v>30</v>
      </c>
      <c r="K931">
        <v>4</v>
      </c>
      <c r="L931" t="str">
        <f>IF(tblOrders[[#This Row],[Quantity]]&lt;=0,"Check","OK")</f>
        <v>OK</v>
      </c>
      <c r="M931" s="1" t="str">
        <f>IF(tblOrders[[#This Row],[Delivery_Date]]&lt;tblOrders[[#This Row],[Order_Date]],"Error","OK")</f>
        <v>OK</v>
      </c>
    </row>
    <row r="932" spans="1:13" x14ac:dyDescent="0.25">
      <c r="A932" s="1">
        <v>931</v>
      </c>
      <c r="B932" s="1" t="s">
        <v>291</v>
      </c>
      <c r="C932">
        <v>14</v>
      </c>
      <c r="D932">
        <v>1</v>
      </c>
      <c r="E932" s="2">
        <v>45033</v>
      </c>
      <c r="F932" s="3">
        <v>0.82513888888888887</v>
      </c>
      <c r="G932" s="2">
        <v>45035</v>
      </c>
      <c r="H932" s="3">
        <v>0.43443287037037037</v>
      </c>
      <c r="I932" s="1" t="s">
        <v>303</v>
      </c>
      <c r="J932" s="1" t="s">
        <v>36</v>
      </c>
      <c r="K932">
        <v>2</v>
      </c>
      <c r="L932" t="str">
        <f>IF(tblOrders[[#This Row],[Quantity]]&lt;=0,"Check","OK")</f>
        <v>OK</v>
      </c>
      <c r="M932" s="1" t="str">
        <f>IF(tblOrders[[#This Row],[Delivery_Date]]&lt;tblOrders[[#This Row],[Order_Date]],"Error","OK")</f>
        <v>OK</v>
      </c>
    </row>
    <row r="933" spans="1:13" x14ac:dyDescent="0.25">
      <c r="A933" s="1">
        <v>932</v>
      </c>
      <c r="B933" s="1" t="s">
        <v>293</v>
      </c>
      <c r="C933">
        <v>63</v>
      </c>
      <c r="D933">
        <v>2</v>
      </c>
      <c r="E933" s="2">
        <v>45228</v>
      </c>
      <c r="F933" s="3">
        <v>0.68923611111111116</v>
      </c>
      <c r="G933" s="2">
        <v>45232</v>
      </c>
      <c r="H933" s="3">
        <v>0.92859953703703701</v>
      </c>
      <c r="I933" s="1" t="s">
        <v>412</v>
      </c>
      <c r="J933" s="1" t="s">
        <v>8</v>
      </c>
      <c r="K933">
        <v>4</v>
      </c>
      <c r="L933" t="str">
        <f>IF(tblOrders[[#This Row],[Quantity]]&lt;=0,"Check","OK")</f>
        <v>OK</v>
      </c>
      <c r="M933" s="1" t="str">
        <f>IF(tblOrders[[#This Row],[Delivery_Date]]&lt;tblOrders[[#This Row],[Order_Date]],"Error","OK")</f>
        <v>OK</v>
      </c>
    </row>
    <row r="934" spans="1:13" x14ac:dyDescent="0.25">
      <c r="A934" s="1">
        <v>933</v>
      </c>
      <c r="B934" s="1" t="s">
        <v>293</v>
      </c>
      <c r="C934">
        <v>51</v>
      </c>
      <c r="D934">
        <v>3</v>
      </c>
      <c r="E934" s="2">
        <v>45244</v>
      </c>
      <c r="F934" s="3">
        <v>0.51181712962962966</v>
      </c>
      <c r="G934" s="2">
        <v>45253</v>
      </c>
      <c r="H934" s="3">
        <v>0.1180787037037037</v>
      </c>
      <c r="I934" s="1" t="s">
        <v>455</v>
      </c>
      <c r="J934" s="1" t="s">
        <v>8</v>
      </c>
      <c r="K934">
        <v>9</v>
      </c>
      <c r="L934" t="str">
        <f>IF(tblOrders[[#This Row],[Quantity]]&lt;=0,"Check","OK")</f>
        <v>OK</v>
      </c>
      <c r="M934" s="1" t="str">
        <f>IF(tblOrders[[#This Row],[Delivery_Date]]&lt;tblOrders[[#This Row],[Order_Date]],"Error","OK")</f>
        <v>OK</v>
      </c>
    </row>
    <row r="935" spans="1:13" x14ac:dyDescent="0.25">
      <c r="A935" s="1">
        <v>934</v>
      </c>
      <c r="B935" s="1" t="s">
        <v>349</v>
      </c>
      <c r="C935">
        <v>27</v>
      </c>
      <c r="D935">
        <v>5</v>
      </c>
      <c r="E935" s="2">
        <v>45160</v>
      </c>
      <c r="F935" s="3">
        <v>2.8518518518518519E-2</v>
      </c>
      <c r="G935" s="2">
        <v>45161</v>
      </c>
      <c r="H935" s="3">
        <v>0.36032407407407407</v>
      </c>
      <c r="I935" s="1" t="s">
        <v>251</v>
      </c>
      <c r="J935" s="1" t="s">
        <v>33</v>
      </c>
      <c r="K935">
        <v>1</v>
      </c>
      <c r="L935" t="str">
        <f>IF(tblOrders[[#This Row],[Quantity]]&lt;=0,"Check","OK")</f>
        <v>OK</v>
      </c>
      <c r="M935" s="1" t="str">
        <f>IF(tblOrders[[#This Row],[Delivery_Date]]&lt;tblOrders[[#This Row],[Order_Date]],"Error","OK")</f>
        <v>OK</v>
      </c>
    </row>
    <row r="936" spans="1:13" x14ac:dyDescent="0.25">
      <c r="A936" s="1">
        <v>935</v>
      </c>
      <c r="B936" s="1" t="s">
        <v>237</v>
      </c>
      <c r="C936">
        <v>27</v>
      </c>
      <c r="D936">
        <v>5</v>
      </c>
      <c r="E936" s="2">
        <v>45158</v>
      </c>
      <c r="F936" s="3">
        <v>0.40156249999999999</v>
      </c>
      <c r="G936" s="2">
        <v>45167</v>
      </c>
      <c r="H936" s="3">
        <v>0.7212615740740741</v>
      </c>
      <c r="I936" s="1" t="s">
        <v>502</v>
      </c>
      <c r="J936" s="1" t="s">
        <v>33</v>
      </c>
      <c r="K936">
        <v>9</v>
      </c>
      <c r="L936" t="str">
        <f>IF(tblOrders[[#This Row],[Quantity]]&lt;=0,"Check","OK")</f>
        <v>OK</v>
      </c>
      <c r="M936" s="1" t="str">
        <f>IF(tblOrders[[#This Row],[Delivery_Date]]&lt;tblOrders[[#This Row],[Order_Date]],"Error","OK")</f>
        <v>OK</v>
      </c>
    </row>
    <row r="937" spans="1:13" x14ac:dyDescent="0.25">
      <c r="A937" s="1">
        <v>936</v>
      </c>
      <c r="B937" s="1" t="s">
        <v>254</v>
      </c>
      <c r="C937">
        <v>43</v>
      </c>
      <c r="D937">
        <v>4</v>
      </c>
      <c r="E937" s="2">
        <v>45232</v>
      </c>
      <c r="F937" s="3">
        <v>0.89341435185185181</v>
      </c>
      <c r="G937" s="2">
        <v>45238</v>
      </c>
      <c r="H937" s="3">
        <v>0.41912037037037037</v>
      </c>
      <c r="I937" s="1" t="s">
        <v>167</v>
      </c>
      <c r="J937" s="1" t="s">
        <v>19</v>
      </c>
      <c r="K937">
        <v>6</v>
      </c>
      <c r="L937" t="str">
        <f>IF(tblOrders[[#This Row],[Quantity]]&lt;=0,"Check","OK")</f>
        <v>OK</v>
      </c>
      <c r="M937" s="1" t="str">
        <f>IF(tblOrders[[#This Row],[Delivery_Date]]&lt;tblOrders[[#This Row],[Order_Date]],"Error","OK")</f>
        <v>OK</v>
      </c>
    </row>
    <row r="938" spans="1:13" x14ac:dyDescent="0.25">
      <c r="A938" s="1">
        <v>937</v>
      </c>
      <c r="B938" s="1" t="s">
        <v>180</v>
      </c>
      <c r="C938">
        <v>51</v>
      </c>
      <c r="D938">
        <v>2</v>
      </c>
      <c r="E938" s="2">
        <v>44996</v>
      </c>
      <c r="F938" s="3">
        <v>0.16508101851851853</v>
      </c>
      <c r="G938" s="2">
        <v>45000</v>
      </c>
      <c r="H938" s="3">
        <v>0.81056712962962962</v>
      </c>
      <c r="I938" s="1" t="s">
        <v>305</v>
      </c>
      <c r="J938" s="1" t="s">
        <v>8</v>
      </c>
      <c r="K938">
        <v>4</v>
      </c>
      <c r="L938" t="str">
        <f>IF(tblOrders[[#This Row],[Quantity]]&lt;=0,"Check","OK")</f>
        <v>OK</v>
      </c>
      <c r="M938" s="1" t="str">
        <f>IF(tblOrders[[#This Row],[Delivery_Date]]&lt;tblOrders[[#This Row],[Order_Date]],"Error","OK")</f>
        <v>OK</v>
      </c>
    </row>
    <row r="939" spans="1:13" x14ac:dyDescent="0.25">
      <c r="A939" s="1">
        <v>938</v>
      </c>
      <c r="B939" s="1" t="s">
        <v>463</v>
      </c>
      <c r="C939">
        <v>59</v>
      </c>
      <c r="D939">
        <v>3</v>
      </c>
      <c r="E939" s="2">
        <v>45167</v>
      </c>
      <c r="F939" s="3">
        <v>0.75890046296296299</v>
      </c>
      <c r="G939" s="2">
        <v>45177</v>
      </c>
      <c r="H939" s="3">
        <v>5.3854166666666668E-2</v>
      </c>
      <c r="I939" s="1" t="s">
        <v>256</v>
      </c>
      <c r="J939" s="1" t="s">
        <v>33</v>
      </c>
      <c r="K939">
        <v>10</v>
      </c>
      <c r="L939" t="str">
        <f>IF(tblOrders[[#This Row],[Quantity]]&lt;=0,"Check","OK")</f>
        <v>OK</v>
      </c>
      <c r="M939" s="1" t="str">
        <f>IF(tblOrders[[#This Row],[Delivery_Date]]&lt;tblOrders[[#This Row],[Order_Date]],"Error","OK")</f>
        <v>OK</v>
      </c>
    </row>
    <row r="940" spans="1:13" x14ac:dyDescent="0.25">
      <c r="A940" s="1">
        <v>939</v>
      </c>
      <c r="B940" s="1" t="s">
        <v>364</v>
      </c>
      <c r="C940">
        <v>9</v>
      </c>
      <c r="D940">
        <v>4</v>
      </c>
      <c r="E940" s="2">
        <v>45158</v>
      </c>
      <c r="F940" s="3">
        <v>0.8715856481481481</v>
      </c>
      <c r="G940" s="2">
        <v>45159</v>
      </c>
      <c r="H940" s="3">
        <v>0.1918287037037037</v>
      </c>
      <c r="I940" s="1" t="s">
        <v>383</v>
      </c>
      <c r="J940" s="1" t="s">
        <v>33</v>
      </c>
      <c r="K940">
        <v>1</v>
      </c>
      <c r="L940" t="str">
        <f>IF(tblOrders[[#This Row],[Quantity]]&lt;=0,"Check","OK")</f>
        <v>OK</v>
      </c>
      <c r="M940" s="1" t="str">
        <f>IF(tblOrders[[#This Row],[Delivery_Date]]&lt;tblOrders[[#This Row],[Order_Date]],"Error","OK")</f>
        <v>OK</v>
      </c>
    </row>
    <row r="941" spans="1:13" x14ac:dyDescent="0.25">
      <c r="A941" s="1">
        <v>940</v>
      </c>
      <c r="B941" s="1" t="s">
        <v>316</v>
      </c>
      <c r="C941">
        <v>57</v>
      </c>
      <c r="D941">
        <v>4</v>
      </c>
      <c r="E941" s="2">
        <v>44937</v>
      </c>
      <c r="F941" s="3">
        <v>0.98501157407407403</v>
      </c>
      <c r="G941" s="2">
        <v>44938</v>
      </c>
      <c r="H941" s="3">
        <v>0.17005787037037037</v>
      </c>
      <c r="I941" s="1" t="s">
        <v>410</v>
      </c>
      <c r="J941" s="1" t="s">
        <v>36</v>
      </c>
      <c r="K941">
        <v>1</v>
      </c>
      <c r="L941" t="str">
        <f>IF(tblOrders[[#This Row],[Quantity]]&lt;=0,"Check","OK")</f>
        <v>OK</v>
      </c>
      <c r="M941" s="1" t="str">
        <f>IF(tblOrders[[#This Row],[Delivery_Date]]&lt;tblOrders[[#This Row],[Order_Date]],"Error","OK")</f>
        <v>OK</v>
      </c>
    </row>
    <row r="942" spans="1:13" x14ac:dyDescent="0.25">
      <c r="A942" s="1">
        <v>941</v>
      </c>
      <c r="B942" s="1" t="s">
        <v>265</v>
      </c>
      <c r="C942">
        <v>18</v>
      </c>
      <c r="D942">
        <v>4</v>
      </c>
      <c r="E942" s="2">
        <v>45065</v>
      </c>
      <c r="F942" s="3">
        <v>0.38619212962962962</v>
      </c>
      <c r="G942" s="2">
        <v>45068</v>
      </c>
      <c r="H942" s="3">
        <v>0.43612268518518521</v>
      </c>
      <c r="I942" s="1" t="s">
        <v>362</v>
      </c>
      <c r="J942" s="1" t="s">
        <v>36</v>
      </c>
      <c r="K942">
        <v>3</v>
      </c>
      <c r="L942" t="str">
        <f>IF(tblOrders[[#This Row],[Quantity]]&lt;=0,"Check","OK")</f>
        <v>OK</v>
      </c>
      <c r="M942" s="1" t="str">
        <f>IF(tblOrders[[#This Row],[Delivery_Date]]&lt;tblOrders[[#This Row],[Order_Date]],"Error","OK")</f>
        <v>OK</v>
      </c>
    </row>
    <row r="943" spans="1:13" x14ac:dyDescent="0.25">
      <c r="A943" s="1">
        <v>942</v>
      </c>
      <c r="B943" s="1" t="s">
        <v>188</v>
      </c>
      <c r="C943">
        <v>51</v>
      </c>
      <c r="D943">
        <v>1</v>
      </c>
      <c r="E943" s="2">
        <v>45283</v>
      </c>
      <c r="F943" s="3">
        <v>0.20813657407407407</v>
      </c>
      <c r="G943" s="2">
        <v>45286</v>
      </c>
      <c r="H943" s="3">
        <v>0.66414351851851849</v>
      </c>
      <c r="I943" s="1" t="s">
        <v>422</v>
      </c>
      <c r="J943" s="1" t="s">
        <v>8</v>
      </c>
      <c r="K943">
        <v>3</v>
      </c>
      <c r="L943" t="str">
        <f>IF(tblOrders[[#This Row],[Quantity]]&lt;=0,"Check","OK")</f>
        <v>OK</v>
      </c>
      <c r="M943" s="1" t="str">
        <f>IF(tblOrders[[#This Row],[Delivery_Date]]&lt;tblOrders[[#This Row],[Order_Date]],"Error","OK")</f>
        <v>OK</v>
      </c>
    </row>
    <row r="944" spans="1:13" x14ac:dyDescent="0.25">
      <c r="A944" s="1">
        <v>943</v>
      </c>
      <c r="B944" s="1" t="s">
        <v>335</v>
      </c>
      <c r="C944">
        <v>22</v>
      </c>
      <c r="D944">
        <v>4</v>
      </c>
      <c r="E944" s="2">
        <v>44976</v>
      </c>
      <c r="F944" s="3">
        <v>0.60218749999999999</v>
      </c>
      <c r="G944" s="2">
        <v>44979</v>
      </c>
      <c r="H944" s="3">
        <v>0.79582175925925924</v>
      </c>
      <c r="I944" s="1" t="s">
        <v>309</v>
      </c>
      <c r="J944" s="1" t="s">
        <v>8</v>
      </c>
      <c r="K944">
        <v>3</v>
      </c>
      <c r="L944" t="str">
        <f>IF(tblOrders[[#This Row],[Quantity]]&lt;=0,"Check","OK")</f>
        <v>OK</v>
      </c>
      <c r="M944" s="1" t="str">
        <f>IF(tblOrders[[#This Row],[Delivery_Date]]&lt;tblOrders[[#This Row],[Order_Date]],"Error","OK")</f>
        <v>OK</v>
      </c>
    </row>
    <row r="945" spans="1:13" x14ac:dyDescent="0.25">
      <c r="A945" s="1">
        <v>944</v>
      </c>
      <c r="B945" s="1" t="s">
        <v>188</v>
      </c>
      <c r="C945">
        <v>67</v>
      </c>
      <c r="D945">
        <v>4</v>
      </c>
      <c r="E945" s="2">
        <v>45247</v>
      </c>
      <c r="F945" s="3">
        <v>0.8573263888888889</v>
      </c>
      <c r="G945" s="2">
        <v>45251</v>
      </c>
      <c r="H945" s="3">
        <v>0.69490740740740742</v>
      </c>
      <c r="I945" s="1" t="s">
        <v>262</v>
      </c>
      <c r="J945" s="1" t="s">
        <v>30</v>
      </c>
      <c r="K945">
        <v>4</v>
      </c>
      <c r="L945" t="str">
        <f>IF(tblOrders[[#This Row],[Quantity]]&lt;=0,"Check","OK")</f>
        <v>OK</v>
      </c>
      <c r="M945" s="1" t="str">
        <f>IF(tblOrders[[#This Row],[Delivery_Date]]&lt;tblOrders[[#This Row],[Order_Date]],"Error","OK")</f>
        <v>OK</v>
      </c>
    </row>
    <row r="946" spans="1:13" x14ac:dyDescent="0.25">
      <c r="A946" s="1">
        <v>945</v>
      </c>
      <c r="B946" s="1" t="s">
        <v>293</v>
      </c>
      <c r="C946">
        <v>18</v>
      </c>
      <c r="D946">
        <v>2</v>
      </c>
      <c r="E946" s="2">
        <v>45137</v>
      </c>
      <c r="F946" s="3">
        <v>0.50002314814814819</v>
      </c>
      <c r="G946" s="2">
        <v>45144</v>
      </c>
      <c r="H946" s="3">
        <v>0.53112268518518524</v>
      </c>
      <c r="I946" s="1" t="s">
        <v>448</v>
      </c>
      <c r="J946" s="1" t="s">
        <v>36</v>
      </c>
      <c r="K946">
        <v>7</v>
      </c>
      <c r="L946" t="str">
        <f>IF(tblOrders[[#This Row],[Quantity]]&lt;=0,"Check","OK")</f>
        <v>OK</v>
      </c>
      <c r="M946" s="1" t="str">
        <f>IF(tblOrders[[#This Row],[Delivery_Date]]&lt;tblOrders[[#This Row],[Order_Date]],"Error","OK")</f>
        <v>OK</v>
      </c>
    </row>
    <row r="947" spans="1:13" x14ac:dyDescent="0.25">
      <c r="A947" s="1">
        <v>946</v>
      </c>
      <c r="B947" s="1" t="s">
        <v>276</v>
      </c>
      <c r="C947">
        <v>17</v>
      </c>
      <c r="D947">
        <v>4</v>
      </c>
      <c r="E947" s="2">
        <v>45262</v>
      </c>
      <c r="F947" s="3">
        <v>0.46353009259259259</v>
      </c>
      <c r="G947" s="2">
        <v>45269</v>
      </c>
      <c r="H947" s="3">
        <v>0.7383912037037037</v>
      </c>
      <c r="I947" s="1" t="s">
        <v>256</v>
      </c>
      <c r="J947" s="1" t="s">
        <v>30</v>
      </c>
      <c r="K947">
        <v>7</v>
      </c>
      <c r="L947" t="str">
        <f>IF(tblOrders[[#This Row],[Quantity]]&lt;=0,"Check","OK")</f>
        <v>OK</v>
      </c>
      <c r="M947" s="1" t="str">
        <f>IF(tblOrders[[#This Row],[Delivery_Date]]&lt;tblOrders[[#This Row],[Order_Date]],"Error","OK")</f>
        <v>OK</v>
      </c>
    </row>
    <row r="948" spans="1:13" x14ac:dyDescent="0.25">
      <c r="A948" s="1">
        <v>947</v>
      </c>
      <c r="B948" s="1" t="s">
        <v>304</v>
      </c>
      <c r="C948">
        <v>38</v>
      </c>
      <c r="D948">
        <v>3</v>
      </c>
      <c r="E948" s="2">
        <v>45205</v>
      </c>
      <c r="F948" s="3">
        <v>0.80299768518518522</v>
      </c>
      <c r="G948" s="2">
        <v>45207</v>
      </c>
      <c r="H948" s="3">
        <v>0.97554398148148147</v>
      </c>
      <c r="I948" s="1" t="s">
        <v>428</v>
      </c>
      <c r="J948" s="1" t="s">
        <v>36</v>
      </c>
      <c r="K948">
        <v>2</v>
      </c>
      <c r="L948" t="str">
        <f>IF(tblOrders[[#This Row],[Quantity]]&lt;=0,"Check","OK")</f>
        <v>OK</v>
      </c>
      <c r="M948" s="1" t="str">
        <f>IF(tblOrders[[#This Row],[Delivery_Date]]&lt;tblOrders[[#This Row],[Order_Date]],"Error","OK")</f>
        <v>OK</v>
      </c>
    </row>
    <row r="949" spans="1:13" x14ac:dyDescent="0.25">
      <c r="A949" s="1">
        <v>948</v>
      </c>
      <c r="B949" s="1" t="s">
        <v>302</v>
      </c>
      <c r="C949">
        <v>26</v>
      </c>
      <c r="D949">
        <v>3</v>
      </c>
      <c r="E949" s="2">
        <v>44989</v>
      </c>
      <c r="F949" s="3">
        <v>0.76517361111111115</v>
      </c>
      <c r="G949" s="2">
        <v>44992</v>
      </c>
      <c r="H949" s="3">
        <v>0.5496064814814815</v>
      </c>
      <c r="I949" s="1" t="s">
        <v>411</v>
      </c>
      <c r="J949" s="1" t="s">
        <v>25</v>
      </c>
      <c r="K949">
        <v>3</v>
      </c>
      <c r="L949" t="str">
        <f>IF(tblOrders[[#This Row],[Quantity]]&lt;=0,"Check","OK")</f>
        <v>OK</v>
      </c>
      <c r="M949" s="1" t="str">
        <f>IF(tblOrders[[#This Row],[Delivery_Date]]&lt;tblOrders[[#This Row],[Order_Date]],"Error","OK")</f>
        <v>OK</v>
      </c>
    </row>
    <row r="950" spans="1:13" x14ac:dyDescent="0.25">
      <c r="A950" s="1">
        <v>949</v>
      </c>
      <c r="B950" s="1" t="s">
        <v>246</v>
      </c>
      <c r="C950">
        <v>6</v>
      </c>
      <c r="D950">
        <v>4</v>
      </c>
      <c r="E950" s="2">
        <v>44984</v>
      </c>
      <c r="F950" s="3">
        <v>0.87153935185185183</v>
      </c>
      <c r="G950" s="2">
        <v>44991</v>
      </c>
      <c r="H950" s="3">
        <v>0.3995023148148148</v>
      </c>
      <c r="I950" s="1" t="s">
        <v>396</v>
      </c>
      <c r="J950" s="1" t="s">
        <v>25</v>
      </c>
      <c r="K950">
        <v>7</v>
      </c>
      <c r="L950" t="str">
        <f>IF(tblOrders[[#This Row],[Quantity]]&lt;=0,"Check","OK")</f>
        <v>OK</v>
      </c>
      <c r="M950" s="1" t="str">
        <f>IF(tblOrders[[#This Row],[Delivery_Date]]&lt;tblOrders[[#This Row],[Order_Date]],"Error","OK")</f>
        <v>OK</v>
      </c>
    </row>
    <row r="951" spans="1:13" x14ac:dyDescent="0.25">
      <c r="A951" s="1">
        <v>950</v>
      </c>
      <c r="B951" s="1" t="s">
        <v>248</v>
      </c>
      <c r="C951">
        <v>39</v>
      </c>
      <c r="D951">
        <v>3</v>
      </c>
      <c r="E951" s="2">
        <v>45215</v>
      </c>
      <c r="F951" s="3">
        <v>0.81319444444444444</v>
      </c>
      <c r="G951" s="2">
        <v>45217</v>
      </c>
      <c r="H951" s="3">
        <v>0.88148148148148153</v>
      </c>
      <c r="I951" s="1" t="s">
        <v>461</v>
      </c>
      <c r="J951" s="1" t="s">
        <v>8</v>
      </c>
      <c r="K951">
        <v>2</v>
      </c>
      <c r="L951" t="str">
        <f>IF(tblOrders[[#This Row],[Quantity]]&lt;=0,"Check","OK")</f>
        <v>OK</v>
      </c>
      <c r="M951" s="1" t="str">
        <f>IF(tblOrders[[#This Row],[Delivery_Date]]&lt;tblOrders[[#This Row],[Order_Date]],"Error","OK")</f>
        <v>OK</v>
      </c>
    </row>
    <row r="952" spans="1:13" x14ac:dyDescent="0.25">
      <c r="A952" s="1">
        <v>951</v>
      </c>
      <c r="B952" s="1" t="s">
        <v>188</v>
      </c>
      <c r="C952">
        <v>20</v>
      </c>
      <c r="D952">
        <v>1</v>
      </c>
      <c r="E952" s="2">
        <v>45253</v>
      </c>
      <c r="F952" s="3">
        <v>0.64871527777777782</v>
      </c>
      <c r="G952" s="2">
        <v>45255</v>
      </c>
      <c r="H952" s="3">
        <v>0.7941435185185185</v>
      </c>
      <c r="I952" s="1" t="s">
        <v>518</v>
      </c>
      <c r="J952" s="1" t="s">
        <v>30</v>
      </c>
      <c r="K952">
        <v>2</v>
      </c>
      <c r="L952" t="str">
        <f>IF(tblOrders[[#This Row],[Quantity]]&lt;=0,"Check","OK")</f>
        <v>OK</v>
      </c>
      <c r="M952" s="1" t="str">
        <f>IF(tblOrders[[#This Row],[Delivery_Date]]&lt;tblOrders[[#This Row],[Order_Date]],"Error","OK")</f>
        <v>OK</v>
      </c>
    </row>
    <row r="953" spans="1:13" x14ac:dyDescent="0.25">
      <c r="A953" s="1">
        <v>952</v>
      </c>
      <c r="B953" s="1" t="s">
        <v>387</v>
      </c>
      <c r="C953">
        <v>49</v>
      </c>
      <c r="D953">
        <v>4</v>
      </c>
      <c r="E953" s="2">
        <v>44969</v>
      </c>
      <c r="F953" s="3">
        <v>0.11674768518518519</v>
      </c>
      <c r="G953" s="2">
        <v>44979</v>
      </c>
      <c r="H953" s="3">
        <v>0.38829861111111114</v>
      </c>
      <c r="I953" s="1" t="s">
        <v>362</v>
      </c>
      <c r="J953" s="1" t="s">
        <v>12</v>
      </c>
      <c r="K953">
        <v>10</v>
      </c>
      <c r="L953" t="str">
        <f>IF(tblOrders[[#This Row],[Quantity]]&lt;=0,"Check","OK")</f>
        <v>OK</v>
      </c>
      <c r="M953" s="1" t="str">
        <f>IF(tblOrders[[#This Row],[Delivery_Date]]&lt;tblOrders[[#This Row],[Order_Date]],"Error","OK")</f>
        <v>OK</v>
      </c>
    </row>
    <row r="954" spans="1:13" x14ac:dyDescent="0.25">
      <c r="A954" s="1">
        <v>953</v>
      </c>
      <c r="B954" s="1" t="s">
        <v>417</v>
      </c>
      <c r="C954">
        <v>40</v>
      </c>
      <c r="D954">
        <v>1</v>
      </c>
      <c r="E954" s="2">
        <v>45172</v>
      </c>
      <c r="F954" s="3">
        <v>1.8067129629629631E-2</v>
      </c>
      <c r="G954" s="2">
        <v>45173</v>
      </c>
      <c r="H954" s="3">
        <v>0.31516203703703705</v>
      </c>
      <c r="I954" s="1" t="s">
        <v>288</v>
      </c>
      <c r="J954" s="1" t="s">
        <v>30</v>
      </c>
      <c r="K954">
        <v>1</v>
      </c>
      <c r="L954" t="str">
        <f>IF(tblOrders[[#This Row],[Quantity]]&lt;=0,"Check","OK")</f>
        <v>OK</v>
      </c>
      <c r="M954" s="1" t="str">
        <f>IF(tblOrders[[#This Row],[Delivery_Date]]&lt;tblOrders[[#This Row],[Order_Date]],"Error","OK")</f>
        <v>OK</v>
      </c>
    </row>
    <row r="955" spans="1:13" x14ac:dyDescent="0.25">
      <c r="A955" s="1">
        <v>954</v>
      </c>
      <c r="B955" s="1" t="s">
        <v>213</v>
      </c>
      <c r="C955">
        <v>44</v>
      </c>
      <c r="D955">
        <v>3</v>
      </c>
      <c r="E955" s="2">
        <v>45232</v>
      </c>
      <c r="F955" s="3">
        <v>0.1678587962962963</v>
      </c>
      <c r="G955" s="2">
        <v>45233</v>
      </c>
      <c r="H955" s="3">
        <v>0.76459490740740743</v>
      </c>
      <c r="I955" s="1" t="s">
        <v>452</v>
      </c>
      <c r="J955" s="1" t="s">
        <v>19</v>
      </c>
      <c r="K955">
        <v>1</v>
      </c>
      <c r="L955" t="str">
        <f>IF(tblOrders[[#This Row],[Quantity]]&lt;=0,"Check","OK")</f>
        <v>OK</v>
      </c>
      <c r="M955" s="1" t="str">
        <f>IF(tblOrders[[#This Row],[Delivery_Date]]&lt;tblOrders[[#This Row],[Order_Date]],"Error","OK")</f>
        <v>OK</v>
      </c>
    </row>
    <row r="956" spans="1:13" x14ac:dyDescent="0.25">
      <c r="A956" s="1">
        <v>955</v>
      </c>
      <c r="B956" s="1" t="s">
        <v>270</v>
      </c>
      <c r="C956">
        <v>24</v>
      </c>
      <c r="D956">
        <v>4</v>
      </c>
      <c r="E956" s="2">
        <v>45080</v>
      </c>
      <c r="F956" s="3">
        <v>2.1388888888888888E-2</v>
      </c>
      <c r="G956" s="2">
        <v>45084</v>
      </c>
      <c r="H956" s="3">
        <v>0.38016203703703705</v>
      </c>
      <c r="I956" s="1" t="s">
        <v>562</v>
      </c>
      <c r="J956" s="1" t="s">
        <v>36</v>
      </c>
      <c r="K956">
        <v>4</v>
      </c>
      <c r="L956" t="str">
        <f>IF(tblOrders[[#This Row],[Quantity]]&lt;=0,"Check","OK")</f>
        <v>OK</v>
      </c>
      <c r="M956" s="1" t="str">
        <f>IF(tblOrders[[#This Row],[Delivery_Date]]&lt;tblOrders[[#This Row],[Order_Date]],"Error","OK")</f>
        <v>OK</v>
      </c>
    </row>
    <row r="957" spans="1:13" x14ac:dyDescent="0.25">
      <c r="A957" s="1">
        <v>956</v>
      </c>
      <c r="B957" s="1" t="s">
        <v>166</v>
      </c>
      <c r="C957">
        <v>34</v>
      </c>
      <c r="D957">
        <v>5</v>
      </c>
      <c r="E957" s="2">
        <v>45167</v>
      </c>
      <c r="F957" s="3">
        <v>0.20305555555555554</v>
      </c>
      <c r="G957" s="2">
        <v>45172</v>
      </c>
      <c r="H957" s="3">
        <v>0.62046296296296299</v>
      </c>
      <c r="I957" s="1" t="s">
        <v>513</v>
      </c>
      <c r="J957" s="1" t="s">
        <v>33</v>
      </c>
      <c r="K957">
        <v>5</v>
      </c>
      <c r="L957" t="str">
        <f>IF(tblOrders[[#This Row],[Quantity]]&lt;=0,"Check","OK")</f>
        <v>OK</v>
      </c>
      <c r="M957" s="1" t="str">
        <f>IF(tblOrders[[#This Row],[Delivery_Date]]&lt;tblOrders[[#This Row],[Order_Date]],"Error","OK")</f>
        <v>OK</v>
      </c>
    </row>
    <row r="958" spans="1:13" x14ac:dyDescent="0.25">
      <c r="A958" s="1">
        <v>957</v>
      </c>
      <c r="B958" s="1" t="s">
        <v>293</v>
      </c>
      <c r="C958">
        <v>23</v>
      </c>
      <c r="D958">
        <v>1</v>
      </c>
      <c r="E958" s="2">
        <v>45275</v>
      </c>
      <c r="F958" s="3">
        <v>8.099537037037037E-2</v>
      </c>
      <c r="G958" s="2">
        <v>45277</v>
      </c>
      <c r="H958" s="3">
        <v>0.88049768518518523</v>
      </c>
      <c r="I958" s="1" t="s">
        <v>284</v>
      </c>
      <c r="J958" s="1" t="s">
        <v>30</v>
      </c>
      <c r="K958">
        <v>2</v>
      </c>
      <c r="L958" t="str">
        <f>IF(tblOrders[[#This Row],[Quantity]]&lt;=0,"Check","OK")</f>
        <v>OK</v>
      </c>
      <c r="M958" s="1" t="str">
        <f>IF(tblOrders[[#This Row],[Delivery_Date]]&lt;tblOrders[[#This Row],[Order_Date]],"Error","OK")</f>
        <v>OK</v>
      </c>
    </row>
    <row r="959" spans="1:13" x14ac:dyDescent="0.25">
      <c r="A959" s="1">
        <v>958</v>
      </c>
      <c r="B959" s="1" t="s">
        <v>178</v>
      </c>
      <c r="C959">
        <v>16</v>
      </c>
      <c r="D959">
        <v>3</v>
      </c>
      <c r="E959" s="2">
        <v>44992</v>
      </c>
      <c r="F959" s="3">
        <v>0.58538194444444447</v>
      </c>
      <c r="G959" s="2">
        <v>44999</v>
      </c>
      <c r="H959" s="3">
        <v>0.91991898148148143</v>
      </c>
      <c r="I959" s="1" t="s">
        <v>564</v>
      </c>
      <c r="J959" s="1" t="s">
        <v>25</v>
      </c>
      <c r="K959">
        <v>7</v>
      </c>
      <c r="L959" t="str">
        <f>IF(tblOrders[[#This Row],[Quantity]]&lt;=0,"Check","OK")</f>
        <v>OK</v>
      </c>
      <c r="M959" s="1" t="str">
        <f>IF(tblOrders[[#This Row],[Delivery_Date]]&lt;tblOrders[[#This Row],[Order_Date]],"Error","OK")</f>
        <v>OK</v>
      </c>
    </row>
    <row r="960" spans="1:13" x14ac:dyDescent="0.25">
      <c r="A960" s="1">
        <v>959</v>
      </c>
      <c r="B960" s="1" t="s">
        <v>413</v>
      </c>
      <c r="C960">
        <v>40</v>
      </c>
      <c r="D960">
        <v>1</v>
      </c>
      <c r="E960" s="2">
        <v>45281</v>
      </c>
      <c r="F960" s="3">
        <v>7.9699074074074075E-2</v>
      </c>
      <c r="G960" s="2">
        <v>45286</v>
      </c>
      <c r="H960" s="3">
        <v>0.87899305555555551</v>
      </c>
      <c r="I960" s="1" t="s">
        <v>448</v>
      </c>
      <c r="J960" s="1" t="s">
        <v>30</v>
      </c>
      <c r="K960">
        <v>5</v>
      </c>
      <c r="L960" t="str">
        <f>IF(tblOrders[[#This Row],[Quantity]]&lt;=0,"Check","OK")</f>
        <v>OK</v>
      </c>
      <c r="M960" s="1" t="str">
        <f>IF(tblOrders[[#This Row],[Delivery_Date]]&lt;tblOrders[[#This Row],[Order_Date]],"Error","OK")</f>
        <v>OK</v>
      </c>
    </row>
    <row r="961" spans="1:13" x14ac:dyDescent="0.25">
      <c r="A961" s="1">
        <v>960</v>
      </c>
      <c r="B961" s="1" t="s">
        <v>295</v>
      </c>
      <c r="C961">
        <v>48</v>
      </c>
      <c r="D961">
        <v>3</v>
      </c>
      <c r="E961" s="2">
        <v>45235</v>
      </c>
      <c r="F961" s="3">
        <v>0.22626157407407407</v>
      </c>
      <c r="G961" s="2">
        <v>45238</v>
      </c>
      <c r="H961" s="3">
        <v>0.41408564814814813</v>
      </c>
      <c r="I961" s="1" t="s">
        <v>428</v>
      </c>
      <c r="J961" s="1" t="s">
        <v>19</v>
      </c>
      <c r="K961">
        <v>3</v>
      </c>
      <c r="L961" t="str">
        <f>IF(tblOrders[[#This Row],[Quantity]]&lt;=0,"Check","OK")</f>
        <v>OK</v>
      </c>
      <c r="M961" s="1" t="str">
        <f>IF(tblOrders[[#This Row],[Delivery_Date]]&lt;tblOrders[[#This Row],[Order_Date]],"Error","OK")</f>
        <v>OK</v>
      </c>
    </row>
    <row r="962" spans="1:13" x14ac:dyDescent="0.25">
      <c r="A962" s="1">
        <v>961</v>
      </c>
      <c r="B962" s="1" t="s">
        <v>392</v>
      </c>
      <c r="C962">
        <v>1</v>
      </c>
      <c r="D962">
        <v>5</v>
      </c>
      <c r="E962" s="2">
        <v>44958</v>
      </c>
      <c r="F962" s="3">
        <v>0.28435185185185186</v>
      </c>
      <c r="G962" s="2">
        <v>44967</v>
      </c>
      <c r="H962" s="3">
        <v>0.87127314814814816</v>
      </c>
      <c r="I962" s="1" t="s">
        <v>334</v>
      </c>
      <c r="J962" s="1" t="s">
        <v>8</v>
      </c>
      <c r="K962">
        <v>9</v>
      </c>
      <c r="L962" t="str">
        <f>IF(tblOrders[[#This Row],[Quantity]]&lt;=0,"Check","OK")</f>
        <v>OK</v>
      </c>
      <c r="M962" s="1" t="str">
        <f>IF(tblOrders[[#This Row],[Delivery_Date]]&lt;tblOrders[[#This Row],[Order_Date]],"Error","OK")</f>
        <v>OK</v>
      </c>
    </row>
    <row r="963" spans="1:13" x14ac:dyDescent="0.25">
      <c r="A963" s="1">
        <v>962</v>
      </c>
      <c r="B963" s="1" t="s">
        <v>283</v>
      </c>
      <c r="C963">
        <v>17</v>
      </c>
      <c r="D963">
        <v>5</v>
      </c>
      <c r="E963" s="2">
        <v>45198</v>
      </c>
      <c r="F963" s="3">
        <v>0.49714120370370368</v>
      </c>
      <c r="G963" s="2">
        <v>45200</v>
      </c>
      <c r="H963" s="3">
        <v>0.6771759259259259</v>
      </c>
      <c r="I963" s="1" t="s">
        <v>292</v>
      </c>
      <c r="J963" s="1" t="s">
        <v>30</v>
      </c>
      <c r="K963">
        <v>2</v>
      </c>
      <c r="L963" t="str">
        <f>IF(tblOrders[[#This Row],[Quantity]]&lt;=0,"Check","OK")</f>
        <v>OK</v>
      </c>
      <c r="M963" s="1" t="str">
        <f>IF(tblOrders[[#This Row],[Delivery_Date]]&lt;tblOrders[[#This Row],[Order_Date]],"Error","OK")</f>
        <v>OK</v>
      </c>
    </row>
    <row r="964" spans="1:13" x14ac:dyDescent="0.25">
      <c r="A964" s="1">
        <v>963</v>
      </c>
      <c r="B964" s="1" t="s">
        <v>492</v>
      </c>
      <c r="C964">
        <v>29</v>
      </c>
      <c r="D964">
        <v>1</v>
      </c>
      <c r="E964" s="2">
        <v>44988</v>
      </c>
      <c r="F964" s="3">
        <v>0.36410879629629628</v>
      </c>
      <c r="G964" s="2">
        <v>44991</v>
      </c>
      <c r="H964" s="3">
        <v>0.44219907407407405</v>
      </c>
      <c r="I964" s="1" t="s">
        <v>397</v>
      </c>
      <c r="J964" s="1" t="s">
        <v>25</v>
      </c>
      <c r="K964">
        <v>3</v>
      </c>
      <c r="L964" t="str">
        <f>IF(tblOrders[[#This Row],[Quantity]]&lt;=0,"Check","OK")</f>
        <v>OK</v>
      </c>
      <c r="M964" s="1" t="str">
        <f>IF(tblOrders[[#This Row],[Delivery_Date]]&lt;tblOrders[[#This Row],[Order_Date]],"Error","OK")</f>
        <v>OK</v>
      </c>
    </row>
    <row r="965" spans="1:13" x14ac:dyDescent="0.25">
      <c r="A965" s="1">
        <v>964</v>
      </c>
      <c r="B965" s="1" t="s">
        <v>413</v>
      </c>
      <c r="C965">
        <v>32</v>
      </c>
      <c r="D965">
        <v>4</v>
      </c>
      <c r="E965" s="2">
        <v>45218</v>
      </c>
      <c r="F965" s="3">
        <v>0.27755787037037039</v>
      </c>
      <c r="G965" s="2">
        <v>45222</v>
      </c>
      <c r="H965" s="3">
        <v>0.93239583333333331</v>
      </c>
      <c r="I965" s="1" t="s">
        <v>433</v>
      </c>
      <c r="J965" s="1" t="s">
        <v>36</v>
      </c>
      <c r="K965">
        <v>4</v>
      </c>
      <c r="L965" t="str">
        <f>IF(tblOrders[[#This Row],[Quantity]]&lt;=0,"Check","OK")</f>
        <v>OK</v>
      </c>
      <c r="M965" s="1" t="str">
        <f>IF(tblOrders[[#This Row],[Delivery_Date]]&lt;tblOrders[[#This Row],[Order_Date]],"Error","OK")</f>
        <v>OK</v>
      </c>
    </row>
    <row r="966" spans="1:13" x14ac:dyDescent="0.25">
      <c r="A966" s="1">
        <v>965</v>
      </c>
      <c r="B966" s="1" t="s">
        <v>235</v>
      </c>
      <c r="C966">
        <v>62</v>
      </c>
      <c r="D966">
        <v>1</v>
      </c>
      <c r="E966" s="2">
        <v>44987</v>
      </c>
      <c r="F966" s="3">
        <v>0.13553240740740741</v>
      </c>
      <c r="G966" s="2">
        <v>44991</v>
      </c>
      <c r="H966" s="3">
        <v>0.72247685185185184</v>
      </c>
      <c r="I966" s="1" t="s">
        <v>539</v>
      </c>
      <c r="J966" s="1" t="s">
        <v>25</v>
      </c>
      <c r="K966">
        <v>4</v>
      </c>
      <c r="L966" t="str">
        <f>IF(tblOrders[[#This Row],[Quantity]]&lt;=0,"Check","OK")</f>
        <v>OK</v>
      </c>
      <c r="M966" s="1" t="str">
        <f>IF(tblOrders[[#This Row],[Delivery_Date]]&lt;tblOrders[[#This Row],[Order_Date]],"Error","OK")</f>
        <v>OK</v>
      </c>
    </row>
    <row r="967" spans="1:13" x14ac:dyDescent="0.25">
      <c r="A967" s="1">
        <v>966</v>
      </c>
      <c r="B967" s="1" t="s">
        <v>302</v>
      </c>
      <c r="C967">
        <v>13</v>
      </c>
      <c r="D967">
        <v>2</v>
      </c>
      <c r="E967" s="2">
        <v>44986</v>
      </c>
      <c r="F967" s="3">
        <v>9.7986111111111107E-2</v>
      </c>
      <c r="G967" s="2">
        <v>44995</v>
      </c>
      <c r="H967" s="3">
        <v>0.43255787037037036</v>
      </c>
      <c r="I967" s="1" t="s">
        <v>384</v>
      </c>
      <c r="J967" s="1" t="s">
        <v>25</v>
      </c>
      <c r="K967">
        <v>9</v>
      </c>
      <c r="L967" t="str">
        <f>IF(tblOrders[[#This Row],[Quantity]]&lt;=0,"Check","OK")</f>
        <v>OK</v>
      </c>
      <c r="M967" s="1" t="str">
        <f>IF(tblOrders[[#This Row],[Delivery_Date]]&lt;tblOrders[[#This Row],[Order_Date]],"Error","OK")</f>
        <v>OK</v>
      </c>
    </row>
    <row r="968" spans="1:13" x14ac:dyDescent="0.25">
      <c r="A968" s="1">
        <v>967</v>
      </c>
      <c r="B968" s="1" t="s">
        <v>206</v>
      </c>
      <c r="C968">
        <v>68</v>
      </c>
      <c r="D968">
        <v>4</v>
      </c>
      <c r="E968" s="2">
        <v>44969</v>
      </c>
      <c r="F968" s="3">
        <v>1.4849537037037038E-2</v>
      </c>
      <c r="G968" s="2">
        <v>44977</v>
      </c>
      <c r="H968" s="3">
        <v>0.77069444444444446</v>
      </c>
      <c r="I968" s="1" t="s">
        <v>350</v>
      </c>
      <c r="J968" s="1" t="s">
        <v>12</v>
      </c>
      <c r="K968">
        <v>8</v>
      </c>
      <c r="L968" t="str">
        <f>IF(tblOrders[[#This Row],[Quantity]]&lt;=0,"Check","OK")</f>
        <v>OK</v>
      </c>
      <c r="M968" s="1" t="str">
        <f>IF(tblOrders[[#This Row],[Delivery_Date]]&lt;tblOrders[[#This Row],[Order_Date]],"Error","OK")</f>
        <v>OK</v>
      </c>
    </row>
    <row r="969" spans="1:13" x14ac:dyDescent="0.25">
      <c r="A969" s="1">
        <v>968</v>
      </c>
      <c r="B969" s="1" t="s">
        <v>488</v>
      </c>
      <c r="C969">
        <v>9</v>
      </c>
      <c r="D969">
        <v>2</v>
      </c>
      <c r="E969" s="2">
        <v>45163</v>
      </c>
      <c r="F969" s="3">
        <v>0.99678240740740742</v>
      </c>
      <c r="G969" s="2">
        <v>45170</v>
      </c>
      <c r="H969" s="3">
        <v>0.85012731481481485</v>
      </c>
      <c r="I969" s="1" t="s">
        <v>548</v>
      </c>
      <c r="J969" s="1" t="s">
        <v>33</v>
      </c>
      <c r="K969">
        <v>7</v>
      </c>
      <c r="L969" t="str">
        <f>IF(tblOrders[[#This Row],[Quantity]]&lt;=0,"Check","OK")</f>
        <v>OK</v>
      </c>
      <c r="M969" s="1" t="str">
        <f>IF(tblOrders[[#This Row],[Delivery_Date]]&lt;tblOrders[[#This Row],[Order_Date]],"Error","OK")</f>
        <v>OK</v>
      </c>
    </row>
    <row r="970" spans="1:13" x14ac:dyDescent="0.25">
      <c r="A970" s="1">
        <v>969</v>
      </c>
      <c r="B970" s="1" t="s">
        <v>400</v>
      </c>
      <c r="C970">
        <v>42</v>
      </c>
      <c r="D970">
        <v>4</v>
      </c>
      <c r="E970" s="2">
        <v>45168</v>
      </c>
      <c r="F970" s="3">
        <v>0.95594907407407403</v>
      </c>
      <c r="G970" s="2">
        <v>45172</v>
      </c>
      <c r="H970" s="3">
        <v>0.14096064814814815</v>
      </c>
      <c r="I970" s="1" t="s">
        <v>194</v>
      </c>
      <c r="J970" s="1" t="s">
        <v>8</v>
      </c>
      <c r="K970">
        <v>4</v>
      </c>
      <c r="L970" t="str">
        <f>IF(tblOrders[[#This Row],[Quantity]]&lt;=0,"Check","OK")</f>
        <v>OK</v>
      </c>
      <c r="M970" s="1" t="str">
        <f>IF(tblOrders[[#This Row],[Delivery_Date]]&lt;tblOrders[[#This Row],[Order_Date]],"Error","OK")</f>
        <v>OK</v>
      </c>
    </row>
    <row r="971" spans="1:13" x14ac:dyDescent="0.25">
      <c r="A971" s="1">
        <v>970</v>
      </c>
      <c r="B971" s="1" t="s">
        <v>246</v>
      </c>
      <c r="C971">
        <v>54</v>
      </c>
      <c r="D971">
        <v>4</v>
      </c>
      <c r="E971" s="2">
        <v>45029</v>
      </c>
      <c r="F971" s="3">
        <v>0.1434375</v>
      </c>
      <c r="G971" s="2">
        <v>45037</v>
      </c>
      <c r="H971" s="3">
        <v>0.90089120370370368</v>
      </c>
      <c r="I971" s="1" t="s">
        <v>350</v>
      </c>
      <c r="J971" s="1" t="s">
        <v>30</v>
      </c>
      <c r="K971">
        <v>8</v>
      </c>
      <c r="L971" t="str">
        <f>IF(tblOrders[[#This Row],[Quantity]]&lt;=0,"Check","OK")</f>
        <v>OK</v>
      </c>
      <c r="M971" s="1" t="str">
        <f>IF(tblOrders[[#This Row],[Delivery_Date]]&lt;tblOrders[[#This Row],[Order_Date]],"Error","OK")</f>
        <v>OK</v>
      </c>
    </row>
    <row r="972" spans="1:13" x14ac:dyDescent="0.25">
      <c r="A972" s="1">
        <v>971</v>
      </c>
      <c r="B972" s="1" t="s">
        <v>387</v>
      </c>
      <c r="C972">
        <v>47</v>
      </c>
      <c r="D972">
        <v>1</v>
      </c>
      <c r="E972" s="2">
        <v>44987</v>
      </c>
      <c r="F972" s="3">
        <v>0.16820601851851852</v>
      </c>
      <c r="G972" s="2">
        <v>44995</v>
      </c>
      <c r="H972" s="3">
        <v>0.80388888888888888</v>
      </c>
      <c r="I972" s="1" t="s">
        <v>557</v>
      </c>
      <c r="J972" s="1" t="s">
        <v>25</v>
      </c>
      <c r="K972">
        <v>8</v>
      </c>
      <c r="L972" t="str">
        <f>IF(tblOrders[[#This Row],[Quantity]]&lt;=0,"Check","OK")</f>
        <v>OK</v>
      </c>
      <c r="M972" s="1" t="str">
        <f>IF(tblOrders[[#This Row],[Delivery_Date]]&lt;tblOrders[[#This Row],[Order_Date]],"Error","OK")</f>
        <v>OK</v>
      </c>
    </row>
    <row r="973" spans="1:13" x14ac:dyDescent="0.25">
      <c r="A973" s="1">
        <v>972</v>
      </c>
      <c r="B973" s="1" t="s">
        <v>335</v>
      </c>
      <c r="C973">
        <v>30</v>
      </c>
      <c r="D973">
        <v>2</v>
      </c>
      <c r="E973" s="2">
        <v>45046</v>
      </c>
      <c r="F973" s="3">
        <v>6.5671296296296297E-2</v>
      </c>
      <c r="G973" s="2">
        <v>45048</v>
      </c>
      <c r="H973" s="3">
        <v>0.22724537037037038</v>
      </c>
      <c r="I973" s="1" t="s">
        <v>374</v>
      </c>
      <c r="J973" s="1" t="s">
        <v>30</v>
      </c>
      <c r="K973">
        <v>2</v>
      </c>
      <c r="L973" t="str">
        <f>IF(tblOrders[[#This Row],[Quantity]]&lt;=0,"Check","OK")</f>
        <v>OK</v>
      </c>
      <c r="M973" s="1" t="str">
        <f>IF(tblOrders[[#This Row],[Delivery_Date]]&lt;tblOrders[[#This Row],[Order_Date]],"Error","OK")</f>
        <v>OK</v>
      </c>
    </row>
    <row r="974" spans="1:13" x14ac:dyDescent="0.25">
      <c r="A974" s="1">
        <v>973</v>
      </c>
      <c r="B974" s="1" t="s">
        <v>244</v>
      </c>
      <c r="C974">
        <v>66</v>
      </c>
      <c r="D974">
        <v>3</v>
      </c>
      <c r="E974" s="2">
        <v>44983</v>
      </c>
      <c r="F974" s="3">
        <v>0.44160879629629629</v>
      </c>
      <c r="G974" s="2">
        <v>44992</v>
      </c>
      <c r="H974" s="3">
        <v>0.15722222222222224</v>
      </c>
      <c r="I974" s="1" t="s">
        <v>373</v>
      </c>
      <c r="J974" s="1" t="s">
        <v>25</v>
      </c>
      <c r="K974">
        <v>9</v>
      </c>
      <c r="L974" t="str">
        <f>IF(tblOrders[[#This Row],[Quantity]]&lt;=0,"Check","OK")</f>
        <v>OK</v>
      </c>
      <c r="M974" s="1" t="str">
        <f>IF(tblOrders[[#This Row],[Delivery_Date]]&lt;tblOrders[[#This Row],[Order_Date]],"Error","OK")</f>
        <v>OK</v>
      </c>
    </row>
    <row r="975" spans="1:13" x14ac:dyDescent="0.25">
      <c r="A975" s="1">
        <v>974</v>
      </c>
      <c r="B975" s="1" t="s">
        <v>248</v>
      </c>
      <c r="C975">
        <v>17</v>
      </c>
      <c r="D975">
        <v>4</v>
      </c>
      <c r="E975" s="2">
        <v>45234</v>
      </c>
      <c r="F975" s="3">
        <v>0.8034606481481481</v>
      </c>
      <c r="G975" s="2">
        <v>45237</v>
      </c>
      <c r="H975" s="3">
        <v>0.67461805555555554</v>
      </c>
      <c r="I975" s="1" t="s">
        <v>286</v>
      </c>
      <c r="J975" s="1" t="s">
        <v>30</v>
      </c>
      <c r="K975">
        <v>3</v>
      </c>
      <c r="L975" t="str">
        <f>IF(tblOrders[[#This Row],[Quantity]]&lt;=0,"Check","OK")</f>
        <v>OK</v>
      </c>
      <c r="M975" s="1" t="str">
        <f>IF(tblOrders[[#This Row],[Delivery_Date]]&lt;tblOrders[[#This Row],[Order_Date]],"Error","OK")</f>
        <v>OK</v>
      </c>
    </row>
    <row r="976" spans="1:13" x14ac:dyDescent="0.25">
      <c r="A976" s="1">
        <v>975</v>
      </c>
      <c r="B976" s="1" t="s">
        <v>261</v>
      </c>
      <c r="C976">
        <v>62</v>
      </c>
      <c r="D976">
        <v>2</v>
      </c>
      <c r="E976" s="2">
        <v>44989</v>
      </c>
      <c r="F976" s="3">
        <v>1.8425925925925925E-2</v>
      </c>
      <c r="G976" s="2">
        <v>44997</v>
      </c>
      <c r="H976" s="3">
        <v>0.33590277777777777</v>
      </c>
      <c r="I976" s="1" t="s">
        <v>557</v>
      </c>
      <c r="J976" s="1" t="s">
        <v>25</v>
      </c>
      <c r="K976">
        <v>8</v>
      </c>
      <c r="L976" t="str">
        <f>IF(tblOrders[[#This Row],[Quantity]]&lt;=0,"Check","OK")</f>
        <v>OK</v>
      </c>
      <c r="M976" s="1" t="str">
        <f>IF(tblOrders[[#This Row],[Delivery_Date]]&lt;tblOrders[[#This Row],[Order_Date]],"Error","OK")</f>
        <v>OK</v>
      </c>
    </row>
    <row r="977" spans="1:13" x14ac:dyDescent="0.25">
      <c r="A977" s="1">
        <v>976</v>
      </c>
      <c r="B977" s="1" t="s">
        <v>274</v>
      </c>
      <c r="C977">
        <v>17</v>
      </c>
      <c r="D977">
        <v>2</v>
      </c>
      <c r="E977" s="2">
        <v>45065</v>
      </c>
      <c r="F977" s="3">
        <v>0.29940972222222223</v>
      </c>
      <c r="G977" s="2">
        <v>45066</v>
      </c>
      <c r="H977" s="3">
        <v>0.36004629629629631</v>
      </c>
      <c r="I977" s="1" t="s">
        <v>547</v>
      </c>
      <c r="J977" s="1" t="s">
        <v>30</v>
      </c>
      <c r="K977">
        <v>1</v>
      </c>
      <c r="L977" t="str">
        <f>IF(tblOrders[[#This Row],[Quantity]]&lt;=0,"Check","OK")</f>
        <v>OK</v>
      </c>
      <c r="M977" s="1" t="str">
        <f>IF(tblOrders[[#This Row],[Delivery_Date]]&lt;tblOrders[[#This Row],[Order_Date]],"Error","OK")</f>
        <v>OK</v>
      </c>
    </row>
    <row r="978" spans="1:13" x14ac:dyDescent="0.25">
      <c r="A978" s="1">
        <v>977</v>
      </c>
      <c r="B978" s="1" t="s">
        <v>463</v>
      </c>
      <c r="C978">
        <v>47</v>
      </c>
      <c r="D978">
        <v>2</v>
      </c>
      <c r="E978" s="2">
        <v>44990</v>
      </c>
      <c r="F978" s="3">
        <v>0.52327546296296301</v>
      </c>
      <c r="G978" s="2">
        <v>44992</v>
      </c>
      <c r="H978" s="3">
        <v>0.98592592592592587</v>
      </c>
      <c r="I978" s="1" t="s">
        <v>549</v>
      </c>
      <c r="J978" s="1" t="s">
        <v>25</v>
      </c>
      <c r="K978">
        <v>2</v>
      </c>
      <c r="L978" t="str">
        <f>IF(tblOrders[[#This Row],[Quantity]]&lt;=0,"Check","OK")</f>
        <v>OK</v>
      </c>
      <c r="M978" s="1" t="str">
        <f>IF(tblOrders[[#This Row],[Delivery_Date]]&lt;tblOrders[[#This Row],[Order_Date]],"Error","OK")</f>
        <v>OK</v>
      </c>
    </row>
    <row r="979" spans="1:13" x14ac:dyDescent="0.25">
      <c r="A979" s="1">
        <v>978</v>
      </c>
      <c r="B979" s="1" t="s">
        <v>168</v>
      </c>
      <c r="C979">
        <v>29</v>
      </c>
      <c r="D979">
        <v>4</v>
      </c>
      <c r="E979" s="2">
        <v>44985</v>
      </c>
      <c r="F979" s="3">
        <v>0.37447916666666664</v>
      </c>
      <c r="G979" s="2">
        <v>44994</v>
      </c>
      <c r="H979" s="3">
        <v>0.27160879629629631</v>
      </c>
      <c r="I979" s="1" t="s">
        <v>373</v>
      </c>
      <c r="J979" s="1" t="s">
        <v>25</v>
      </c>
      <c r="K979">
        <v>9</v>
      </c>
      <c r="L979" t="str">
        <f>IF(tblOrders[[#This Row],[Quantity]]&lt;=0,"Check","OK")</f>
        <v>OK</v>
      </c>
      <c r="M979" s="1" t="str">
        <f>IF(tblOrders[[#This Row],[Delivery_Date]]&lt;tblOrders[[#This Row],[Order_Date]],"Error","OK")</f>
        <v>OK</v>
      </c>
    </row>
    <row r="980" spans="1:13" x14ac:dyDescent="0.25">
      <c r="A980" s="1">
        <v>979</v>
      </c>
      <c r="B980" s="1" t="s">
        <v>337</v>
      </c>
      <c r="C980">
        <v>9</v>
      </c>
      <c r="D980">
        <v>4</v>
      </c>
      <c r="E980" s="2">
        <v>45166</v>
      </c>
      <c r="F980" s="3">
        <v>0.77990740740740738</v>
      </c>
      <c r="G980" s="2">
        <v>45169</v>
      </c>
      <c r="H980" s="3">
        <v>0.84233796296296293</v>
      </c>
      <c r="I980" s="1" t="s">
        <v>538</v>
      </c>
      <c r="J980" s="1" t="s">
        <v>33</v>
      </c>
      <c r="K980">
        <v>3</v>
      </c>
      <c r="L980" t="str">
        <f>IF(tblOrders[[#This Row],[Quantity]]&lt;=0,"Check","OK")</f>
        <v>OK</v>
      </c>
      <c r="M980" s="1" t="str">
        <f>IF(tblOrders[[#This Row],[Delivery_Date]]&lt;tblOrders[[#This Row],[Order_Date]],"Error","OK")</f>
        <v>OK</v>
      </c>
    </row>
    <row r="981" spans="1:13" x14ac:dyDescent="0.25">
      <c r="A981" s="1">
        <v>980</v>
      </c>
      <c r="B981" s="1" t="s">
        <v>229</v>
      </c>
      <c r="C981">
        <v>12</v>
      </c>
      <c r="D981">
        <v>5</v>
      </c>
      <c r="E981" s="2">
        <v>45190</v>
      </c>
      <c r="F981" s="3">
        <v>0.85793981481481485</v>
      </c>
      <c r="G981" s="2">
        <v>45199</v>
      </c>
      <c r="H981" s="3">
        <v>3.0312499999999999E-2</v>
      </c>
      <c r="I981" s="1" t="s">
        <v>423</v>
      </c>
      <c r="J981" s="1" t="s">
        <v>30</v>
      </c>
      <c r="K981">
        <v>9</v>
      </c>
      <c r="L981" t="str">
        <f>IF(tblOrders[[#This Row],[Quantity]]&lt;=0,"Check","OK")</f>
        <v>OK</v>
      </c>
      <c r="M981" s="1" t="str">
        <f>IF(tblOrders[[#This Row],[Delivery_Date]]&lt;tblOrders[[#This Row],[Order_Date]],"Error","OK")</f>
        <v>OK</v>
      </c>
    </row>
    <row r="982" spans="1:13" x14ac:dyDescent="0.25">
      <c r="A982" s="1">
        <v>981</v>
      </c>
      <c r="B982" s="1" t="s">
        <v>248</v>
      </c>
      <c r="C982">
        <v>46</v>
      </c>
      <c r="D982">
        <v>2</v>
      </c>
      <c r="E982" s="2">
        <v>45018</v>
      </c>
      <c r="F982" s="3">
        <v>0.83412037037037035</v>
      </c>
      <c r="G982" s="2">
        <v>45019</v>
      </c>
      <c r="H982" s="3">
        <v>0.84834490740740742</v>
      </c>
      <c r="I982" s="1" t="s">
        <v>411</v>
      </c>
      <c r="J982" s="1" t="s">
        <v>30</v>
      </c>
      <c r="K982">
        <v>1</v>
      </c>
      <c r="L982" t="str">
        <f>IF(tblOrders[[#This Row],[Quantity]]&lt;=0,"Check","OK")</f>
        <v>OK</v>
      </c>
      <c r="M982" s="1" t="str">
        <f>IF(tblOrders[[#This Row],[Delivery_Date]]&lt;tblOrders[[#This Row],[Order_Date]],"Error","OK")</f>
        <v>OK</v>
      </c>
    </row>
    <row r="983" spans="1:13" x14ac:dyDescent="0.25">
      <c r="A983" s="1">
        <v>982</v>
      </c>
      <c r="B983" s="1" t="s">
        <v>168</v>
      </c>
      <c r="C983">
        <v>47</v>
      </c>
      <c r="D983">
        <v>4</v>
      </c>
      <c r="E983" s="2">
        <v>44985</v>
      </c>
      <c r="F983" s="3">
        <v>0.78915509259259264</v>
      </c>
      <c r="G983" s="2">
        <v>44989</v>
      </c>
      <c r="H983" s="3">
        <v>0.13290509259259259</v>
      </c>
      <c r="I983" s="1" t="s">
        <v>355</v>
      </c>
      <c r="J983" s="1" t="s">
        <v>25</v>
      </c>
      <c r="K983">
        <v>4</v>
      </c>
      <c r="L983" t="str">
        <f>IF(tblOrders[[#This Row],[Quantity]]&lt;=0,"Check","OK")</f>
        <v>OK</v>
      </c>
      <c r="M983" s="1" t="str">
        <f>IF(tblOrders[[#This Row],[Delivery_Date]]&lt;tblOrders[[#This Row],[Order_Date]],"Error","OK")</f>
        <v>OK</v>
      </c>
    </row>
    <row r="984" spans="1:13" x14ac:dyDescent="0.25">
      <c r="A984" s="1">
        <v>983</v>
      </c>
      <c r="B984" s="1" t="s">
        <v>365</v>
      </c>
      <c r="C984">
        <v>70</v>
      </c>
      <c r="D984">
        <v>1</v>
      </c>
      <c r="E984" s="2">
        <v>45010</v>
      </c>
      <c r="F984" s="3">
        <v>0.40259259259259261</v>
      </c>
      <c r="G984" s="2">
        <v>45017</v>
      </c>
      <c r="H984" s="3">
        <v>0.27688657407407408</v>
      </c>
      <c r="I984" s="1" t="s">
        <v>532</v>
      </c>
      <c r="J984" s="1" t="s">
        <v>36</v>
      </c>
      <c r="K984">
        <v>7</v>
      </c>
      <c r="L984" t="str">
        <f>IF(tblOrders[[#This Row],[Quantity]]&lt;=0,"Check","OK")</f>
        <v>OK</v>
      </c>
      <c r="M984" s="1" t="str">
        <f>IF(tblOrders[[#This Row],[Delivery_Date]]&lt;tblOrders[[#This Row],[Order_Date]],"Error","OK")</f>
        <v>OK</v>
      </c>
    </row>
    <row r="985" spans="1:13" x14ac:dyDescent="0.25">
      <c r="A985" s="1">
        <v>984</v>
      </c>
      <c r="B985" s="1" t="s">
        <v>265</v>
      </c>
      <c r="C985">
        <v>65</v>
      </c>
      <c r="D985">
        <v>1</v>
      </c>
      <c r="E985" s="2">
        <v>45141</v>
      </c>
      <c r="F985" s="3">
        <v>0.93821759259259263</v>
      </c>
      <c r="G985" s="2">
        <v>45145</v>
      </c>
      <c r="H985" s="3">
        <v>0.69387731481481485</v>
      </c>
      <c r="I985" s="1" t="s">
        <v>452</v>
      </c>
      <c r="J985" s="1" t="s">
        <v>8</v>
      </c>
      <c r="K985">
        <v>4</v>
      </c>
      <c r="L985" t="str">
        <f>IF(tblOrders[[#This Row],[Quantity]]&lt;=0,"Check","OK")</f>
        <v>OK</v>
      </c>
      <c r="M985" s="1" t="str">
        <f>IF(tblOrders[[#This Row],[Delivery_Date]]&lt;tblOrders[[#This Row],[Order_Date]],"Error","OK")</f>
        <v>OK</v>
      </c>
    </row>
    <row r="986" spans="1:13" x14ac:dyDescent="0.25">
      <c r="A986" s="1">
        <v>985</v>
      </c>
      <c r="B986" s="1" t="s">
        <v>343</v>
      </c>
      <c r="C986">
        <v>31</v>
      </c>
      <c r="D986">
        <v>4</v>
      </c>
      <c r="E986" s="2">
        <v>45204</v>
      </c>
      <c r="F986" s="3">
        <v>0.4773148148148148</v>
      </c>
      <c r="G986" s="2">
        <v>45212</v>
      </c>
      <c r="H986" s="3">
        <v>0.70387731481481486</v>
      </c>
      <c r="I986" s="1" t="s">
        <v>207</v>
      </c>
      <c r="J986" s="1" t="s">
        <v>8</v>
      </c>
      <c r="K986">
        <v>8</v>
      </c>
      <c r="L986" t="str">
        <f>IF(tblOrders[[#This Row],[Quantity]]&lt;=0,"Check","OK")</f>
        <v>OK</v>
      </c>
      <c r="M986" s="1" t="str">
        <f>IF(tblOrders[[#This Row],[Delivery_Date]]&lt;tblOrders[[#This Row],[Order_Date]],"Error","OK")</f>
        <v>OK</v>
      </c>
    </row>
    <row r="987" spans="1:13" x14ac:dyDescent="0.25">
      <c r="A987" s="1">
        <v>986</v>
      </c>
      <c r="B987" s="1" t="s">
        <v>441</v>
      </c>
      <c r="C987">
        <v>1</v>
      </c>
      <c r="D987">
        <v>2</v>
      </c>
      <c r="E987" s="2">
        <v>45233</v>
      </c>
      <c r="F987" s="3">
        <v>0.69576388888888885</v>
      </c>
      <c r="G987" s="2">
        <v>45235</v>
      </c>
      <c r="H987" s="3">
        <v>0.94685185185185183</v>
      </c>
      <c r="I987" s="1" t="s">
        <v>278</v>
      </c>
      <c r="J987" s="1" t="s">
        <v>8</v>
      </c>
      <c r="K987">
        <v>2</v>
      </c>
      <c r="L987" t="str">
        <f>IF(tblOrders[[#This Row],[Quantity]]&lt;=0,"Check","OK")</f>
        <v>OK</v>
      </c>
      <c r="M987" s="1" t="str">
        <f>IF(tblOrders[[#This Row],[Delivery_Date]]&lt;tblOrders[[#This Row],[Order_Date]],"Error","OK")</f>
        <v>OK</v>
      </c>
    </row>
    <row r="988" spans="1:13" x14ac:dyDescent="0.25">
      <c r="A988" s="1">
        <v>987</v>
      </c>
      <c r="B988" s="1" t="s">
        <v>208</v>
      </c>
      <c r="C988">
        <v>65</v>
      </c>
      <c r="D988">
        <v>3</v>
      </c>
      <c r="E988" s="2">
        <v>45280</v>
      </c>
      <c r="F988" s="3">
        <v>0.38422453703703702</v>
      </c>
      <c r="G988" s="2">
        <v>45285</v>
      </c>
      <c r="H988" s="3">
        <v>0.17371527777777779</v>
      </c>
      <c r="I988" s="1" t="s">
        <v>218</v>
      </c>
      <c r="J988" s="1" t="s">
        <v>8</v>
      </c>
      <c r="K988">
        <v>5</v>
      </c>
      <c r="L988" t="str">
        <f>IF(tblOrders[[#This Row],[Quantity]]&lt;=0,"Check","OK")</f>
        <v>OK</v>
      </c>
      <c r="M988" s="1" t="str">
        <f>IF(tblOrders[[#This Row],[Delivery_Date]]&lt;tblOrders[[#This Row],[Order_Date]],"Error","OK")</f>
        <v>OK</v>
      </c>
    </row>
    <row r="989" spans="1:13" x14ac:dyDescent="0.25">
      <c r="A989" s="1">
        <v>988</v>
      </c>
      <c r="B989" s="1" t="s">
        <v>246</v>
      </c>
      <c r="C989">
        <v>4</v>
      </c>
      <c r="D989">
        <v>3</v>
      </c>
      <c r="E989" s="2">
        <v>45240</v>
      </c>
      <c r="F989" s="3">
        <v>0.40783564814814816</v>
      </c>
      <c r="G989" s="2">
        <v>45245</v>
      </c>
      <c r="H989" s="3">
        <v>0.43702546296296296</v>
      </c>
      <c r="I989" s="1" t="s">
        <v>530</v>
      </c>
      <c r="J989" s="1" t="s">
        <v>19</v>
      </c>
      <c r="K989">
        <v>5</v>
      </c>
      <c r="L989" t="str">
        <f>IF(tblOrders[[#This Row],[Quantity]]&lt;=0,"Check","OK")</f>
        <v>OK</v>
      </c>
      <c r="M989" s="1" t="str">
        <f>IF(tblOrders[[#This Row],[Delivery_Date]]&lt;tblOrders[[#This Row],[Order_Date]],"Error","OK")</f>
        <v>OK</v>
      </c>
    </row>
    <row r="990" spans="1:13" x14ac:dyDescent="0.25">
      <c r="A990" s="1">
        <v>989</v>
      </c>
      <c r="B990" s="1" t="s">
        <v>274</v>
      </c>
      <c r="C990">
        <v>52</v>
      </c>
      <c r="D990">
        <v>3</v>
      </c>
      <c r="E990" s="2">
        <v>44963</v>
      </c>
      <c r="F990" s="3">
        <v>0.34128472222222223</v>
      </c>
      <c r="G990" s="2">
        <v>44972</v>
      </c>
      <c r="H990" s="3">
        <v>8.3379629629629623E-2</v>
      </c>
      <c r="I990" s="1" t="s">
        <v>487</v>
      </c>
      <c r="J990" s="1" t="s">
        <v>12</v>
      </c>
      <c r="K990">
        <v>9</v>
      </c>
      <c r="L990" t="str">
        <f>IF(tblOrders[[#This Row],[Quantity]]&lt;=0,"Check","OK")</f>
        <v>OK</v>
      </c>
      <c r="M990" s="1" t="str">
        <f>IF(tblOrders[[#This Row],[Delivery_Date]]&lt;tblOrders[[#This Row],[Order_Date]],"Error","OK")</f>
        <v>OK</v>
      </c>
    </row>
    <row r="991" spans="1:13" x14ac:dyDescent="0.25">
      <c r="A991" s="1">
        <v>990</v>
      </c>
      <c r="B991" s="1" t="s">
        <v>503</v>
      </c>
      <c r="C991">
        <v>42</v>
      </c>
      <c r="D991">
        <v>2</v>
      </c>
      <c r="E991" s="2">
        <v>45264</v>
      </c>
      <c r="F991" s="3">
        <v>0.93055555555555558</v>
      </c>
      <c r="G991" s="2">
        <v>45268</v>
      </c>
      <c r="H991" s="3">
        <v>0.9985532407407407</v>
      </c>
      <c r="I991" s="1" t="s">
        <v>351</v>
      </c>
      <c r="J991" s="1" t="s">
        <v>8</v>
      </c>
      <c r="K991">
        <v>4</v>
      </c>
      <c r="L991" t="str">
        <f>IF(tblOrders[[#This Row],[Quantity]]&lt;=0,"Check","OK")</f>
        <v>OK</v>
      </c>
      <c r="M991" s="1" t="str">
        <f>IF(tblOrders[[#This Row],[Delivery_Date]]&lt;tblOrders[[#This Row],[Order_Date]],"Error","OK")</f>
        <v>OK</v>
      </c>
    </row>
    <row r="992" spans="1:13" x14ac:dyDescent="0.25">
      <c r="A992" s="1">
        <v>991</v>
      </c>
      <c r="B992" s="1" t="s">
        <v>204</v>
      </c>
      <c r="C992">
        <v>36</v>
      </c>
      <c r="D992">
        <v>5</v>
      </c>
      <c r="E992" s="2">
        <v>44966</v>
      </c>
      <c r="F992" s="3">
        <v>0.62583333333333335</v>
      </c>
      <c r="G992" s="2">
        <v>44972</v>
      </c>
      <c r="H992" s="3">
        <v>0.72009259259259262</v>
      </c>
      <c r="I992" s="1" t="s">
        <v>373</v>
      </c>
      <c r="J992" s="1" t="s">
        <v>36</v>
      </c>
      <c r="K992">
        <v>6</v>
      </c>
      <c r="L992" t="str">
        <f>IF(tblOrders[[#This Row],[Quantity]]&lt;=0,"Check","OK")</f>
        <v>OK</v>
      </c>
      <c r="M992" s="1" t="str">
        <f>IF(tblOrders[[#This Row],[Delivery_Date]]&lt;tblOrders[[#This Row],[Order_Date]],"Error","OK")</f>
        <v>OK</v>
      </c>
    </row>
    <row r="993" spans="1:13" x14ac:dyDescent="0.25">
      <c r="A993" s="1">
        <v>992</v>
      </c>
      <c r="B993" s="1" t="s">
        <v>210</v>
      </c>
      <c r="C993">
        <v>43</v>
      </c>
      <c r="D993">
        <v>3</v>
      </c>
      <c r="E993" s="2">
        <v>45232</v>
      </c>
      <c r="F993" s="3">
        <v>0.58962962962962961</v>
      </c>
      <c r="G993" s="2">
        <v>45233</v>
      </c>
      <c r="H993" s="3">
        <v>0.81434027777777773</v>
      </c>
      <c r="I993" s="1" t="s">
        <v>271</v>
      </c>
      <c r="J993" s="1" t="s">
        <v>19</v>
      </c>
      <c r="K993">
        <v>1</v>
      </c>
      <c r="L993" t="str">
        <f>IF(tblOrders[[#This Row],[Quantity]]&lt;=0,"Check","OK")</f>
        <v>OK</v>
      </c>
      <c r="M993" s="1" t="str">
        <f>IF(tblOrders[[#This Row],[Delivery_Date]]&lt;tblOrders[[#This Row],[Order_Date]],"Error","OK")</f>
        <v>OK</v>
      </c>
    </row>
    <row r="994" spans="1:13" x14ac:dyDescent="0.25">
      <c r="A994" s="1">
        <v>993</v>
      </c>
      <c r="B994" s="1" t="s">
        <v>316</v>
      </c>
      <c r="C994">
        <v>61</v>
      </c>
      <c r="D994">
        <v>5</v>
      </c>
      <c r="E994" s="2">
        <v>45207</v>
      </c>
      <c r="F994" s="3">
        <v>0.89868055555555559</v>
      </c>
      <c r="G994" s="2">
        <v>45213</v>
      </c>
      <c r="H994" s="3">
        <v>0.66386574074074078</v>
      </c>
      <c r="I994" s="1" t="s">
        <v>322</v>
      </c>
      <c r="J994" s="1" t="s">
        <v>30</v>
      </c>
      <c r="K994">
        <v>6</v>
      </c>
      <c r="L994" t="str">
        <f>IF(tblOrders[[#This Row],[Quantity]]&lt;=0,"Check","OK")</f>
        <v>OK</v>
      </c>
      <c r="M994" s="1" t="str">
        <f>IF(tblOrders[[#This Row],[Delivery_Date]]&lt;tblOrders[[#This Row],[Order_Date]],"Error","OK")</f>
        <v>OK</v>
      </c>
    </row>
    <row r="995" spans="1:13" x14ac:dyDescent="0.25">
      <c r="A995" s="1">
        <v>994</v>
      </c>
      <c r="B995" s="1" t="s">
        <v>400</v>
      </c>
      <c r="C995">
        <v>68</v>
      </c>
      <c r="D995">
        <v>2</v>
      </c>
      <c r="E995" s="2">
        <v>44970</v>
      </c>
      <c r="F995" s="3">
        <v>0.94763888888888892</v>
      </c>
      <c r="G995" s="2">
        <v>44978</v>
      </c>
      <c r="H995" s="3">
        <v>0.28159722222222222</v>
      </c>
      <c r="I995" s="1" t="s">
        <v>565</v>
      </c>
      <c r="J995" s="1" t="s">
        <v>12</v>
      </c>
      <c r="K995">
        <v>8</v>
      </c>
      <c r="L995" t="str">
        <f>IF(tblOrders[[#This Row],[Quantity]]&lt;=0,"Check","OK")</f>
        <v>OK</v>
      </c>
      <c r="M995" s="1" t="str">
        <f>IF(tblOrders[[#This Row],[Delivery_Date]]&lt;tblOrders[[#This Row],[Order_Date]],"Error","OK")</f>
        <v>OK</v>
      </c>
    </row>
    <row r="996" spans="1:13" x14ac:dyDescent="0.25">
      <c r="A996" s="1">
        <v>995</v>
      </c>
      <c r="B996" s="1" t="s">
        <v>402</v>
      </c>
      <c r="C996">
        <v>57</v>
      </c>
      <c r="D996">
        <v>2</v>
      </c>
      <c r="E996" s="2">
        <v>45127</v>
      </c>
      <c r="F996" s="3">
        <v>2.8217592592592593E-2</v>
      </c>
      <c r="G996" s="2">
        <v>45134</v>
      </c>
      <c r="H996" s="3">
        <v>0.48753472222222222</v>
      </c>
      <c r="I996" s="1" t="s">
        <v>455</v>
      </c>
      <c r="J996" s="1" t="s">
        <v>36</v>
      </c>
      <c r="K996">
        <v>7</v>
      </c>
      <c r="L996" t="str">
        <f>IF(tblOrders[[#This Row],[Quantity]]&lt;=0,"Check","OK")</f>
        <v>OK</v>
      </c>
      <c r="M996" s="1" t="str">
        <f>IF(tblOrders[[#This Row],[Delivery_Date]]&lt;tblOrders[[#This Row],[Order_Date]],"Error","OK")</f>
        <v>OK</v>
      </c>
    </row>
    <row r="997" spans="1:13" x14ac:dyDescent="0.25">
      <c r="A997" s="1">
        <v>996</v>
      </c>
      <c r="B997" s="1" t="s">
        <v>261</v>
      </c>
      <c r="C997">
        <v>25</v>
      </c>
      <c r="D997">
        <v>5</v>
      </c>
      <c r="E997" s="2">
        <v>45059</v>
      </c>
      <c r="F997" s="3">
        <v>0.2882986111111111</v>
      </c>
      <c r="G997" s="2">
        <v>45065</v>
      </c>
      <c r="H997" s="3">
        <v>0.23703703703703705</v>
      </c>
      <c r="I997" s="1" t="s">
        <v>236</v>
      </c>
      <c r="J997" s="1" t="s">
        <v>30</v>
      </c>
      <c r="K997">
        <v>6</v>
      </c>
      <c r="L997" t="str">
        <f>IF(tblOrders[[#This Row],[Quantity]]&lt;=0,"Check","OK")</f>
        <v>OK</v>
      </c>
      <c r="M997" s="1" t="str">
        <f>IF(tblOrders[[#This Row],[Delivery_Date]]&lt;tblOrders[[#This Row],[Order_Date]],"Error","OK")</f>
        <v>OK</v>
      </c>
    </row>
    <row r="998" spans="1:13" x14ac:dyDescent="0.25">
      <c r="A998" s="1">
        <v>997</v>
      </c>
      <c r="B998" s="1" t="s">
        <v>413</v>
      </c>
      <c r="C998">
        <v>19</v>
      </c>
      <c r="D998">
        <v>2</v>
      </c>
      <c r="E998" s="2">
        <v>44961</v>
      </c>
      <c r="F998" s="3">
        <v>0.18642361111111111</v>
      </c>
      <c r="G998" s="2">
        <v>44967</v>
      </c>
      <c r="H998" s="3">
        <v>0.49333333333333335</v>
      </c>
      <c r="I998" s="1" t="s">
        <v>553</v>
      </c>
      <c r="J998" s="1" t="s">
        <v>12</v>
      </c>
      <c r="K998">
        <v>6</v>
      </c>
      <c r="L998" t="str">
        <f>IF(tblOrders[[#This Row],[Quantity]]&lt;=0,"Check","OK")</f>
        <v>OK</v>
      </c>
      <c r="M998" s="1" t="str">
        <f>IF(tblOrders[[#This Row],[Delivery_Date]]&lt;tblOrders[[#This Row],[Order_Date]],"Error","OK")</f>
        <v>OK</v>
      </c>
    </row>
    <row r="999" spans="1:13" x14ac:dyDescent="0.25">
      <c r="A999" s="1">
        <v>998</v>
      </c>
      <c r="B999" s="1" t="s">
        <v>237</v>
      </c>
      <c r="C999">
        <v>44</v>
      </c>
      <c r="D999">
        <v>1</v>
      </c>
      <c r="E999" s="2">
        <v>45236</v>
      </c>
      <c r="F999" s="3">
        <v>0.67859953703703701</v>
      </c>
      <c r="G999" s="2">
        <v>45244</v>
      </c>
      <c r="H999" s="3">
        <v>0.18987268518518519</v>
      </c>
      <c r="I999" s="1" t="s">
        <v>452</v>
      </c>
      <c r="J999" s="1" t="s">
        <v>19</v>
      </c>
      <c r="K999">
        <v>8</v>
      </c>
      <c r="L999" t="str">
        <f>IF(tblOrders[[#This Row],[Quantity]]&lt;=0,"Check","OK")</f>
        <v>OK</v>
      </c>
      <c r="M999" s="1" t="str">
        <f>IF(tblOrders[[#This Row],[Delivery_Date]]&lt;tblOrders[[#This Row],[Order_Date]],"Error","OK")</f>
        <v>OK</v>
      </c>
    </row>
    <row r="1000" spans="1:13" x14ac:dyDescent="0.25">
      <c r="A1000" s="1">
        <v>999</v>
      </c>
      <c r="B1000" s="1" t="s">
        <v>204</v>
      </c>
      <c r="C1000">
        <v>52</v>
      </c>
      <c r="D1000">
        <v>2</v>
      </c>
      <c r="E1000" s="2">
        <v>44963</v>
      </c>
      <c r="F1000" s="3">
        <v>0.9450115740740741</v>
      </c>
      <c r="G1000" s="2">
        <v>44967</v>
      </c>
      <c r="H1000" s="3">
        <v>0.52038194444444441</v>
      </c>
      <c r="I1000" s="1" t="s">
        <v>566</v>
      </c>
      <c r="J1000" s="1" t="s">
        <v>12</v>
      </c>
      <c r="K1000">
        <v>4</v>
      </c>
      <c r="L1000" t="str">
        <f>IF(tblOrders[[#This Row],[Quantity]]&lt;=0,"Check","OK")</f>
        <v>OK</v>
      </c>
      <c r="M1000" s="1" t="str">
        <f>IF(tblOrders[[#This Row],[Delivery_Date]]&lt;tblOrders[[#This Row],[Order_Date]],"Error","OK")</f>
        <v>OK</v>
      </c>
    </row>
    <row r="1001" spans="1:13" x14ac:dyDescent="0.25">
      <c r="A1001" s="1">
        <v>1000</v>
      </c>
      <c r="B1001" s="1" t="s">
        <v>172</v>
      </c>
      <c r="C1001">
        <v>27</v>
      </c>
      <c r="D1001">
        <v>4</v>
      </c>
      <c r="E1001" s="2">
        <v>45163</v>
      </c>
      <c r="F1001" s="3">
        <v>5.7442129629629628E-2</v>
      </c>
      <c r="G1001" s="2">
        <v>45169</v>
      </c>
      <c r="H1001" s="3">
        <v>0.29026620370370371</v>
      </c>
      <c r="I1001" s="1" t="s">
        <v>459</v>
      </c>
      <c r="J1001" s="1" t="s">
        <v>33</v>
      </c>
      <c r="K1001">
        <v>6</v>
      </c>
      <c r="L1001" t="str">
        <f>IF(tblOrders[[#This Row],[Quantity]]&lt;=0,"Check","OK")</f>
        <v>OK</v>
      </c>
      <c r="M1001" s="1" t="str">
        <f>IF(tblOrders[[#This Row],[Delivery_Date]]&lt;tblOrders[[#This Row],[Order_Date]],"Error","OK")</f>
        <v>OK</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52BD-2AC3-49D6-AC77-8A885ECBAC6B}">
  <dimension ref="A1:K101"/>
  <sheetViews>
    <sheetView topLeftCell="G1" workbookViewId="0">
      <selection activeCell="C14" sqref="C14"/>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11" x14ac:dyDescent="0.25">
      <c r="A1" t="s">
        <v>158</v>
      </c>
      <c r="B1" t="s">
        <v>567</v>
      </c>
      <c r="C1" t="s">
        <v>568</v>
      </c>
      <c r="D1" t="s">
        <v>569</v>
      </c>
      <c r="E1" t="s">
        <v>570</v>
      </c>
      <c r="F1" t="s">
        <v>571</v>
      </c>
      <c r="G1" t="s">
        <v>572</v>
      </c>
    </row>
    <row r="2" spans="1:11" x14ac:dyDescent="0.25">
      <c r="A2" s="1" t="s">
        <v>405</v>
      </c>
      <c r="B2" s="1" t="s">
        <v>573</v>
      </c>
      <c r="C2" s="1" t="s">
        <v>473</v>
      </c>
      <c r="D2" s="1" t="s">
        <v>574</v>
      </c>
      <c r="E2" s="1" t="s">
        <v>575</v>
      </c>
      <c r="F2" s="1" t="s">
        <v>576</v>
      </c>
      <c r="G2" s="1" t="s">
        <v>577</v>
      </c>
    </row>
    <row r="3" spans="1:11" x14ac:dyDescent="0.25">
      <c r="A3" s="1" t="s">
        <v>488</v>
      </c>
      <c r="B3" s="1" t="s">
        <v>578</v>
      </c>
      <c r="C3" s="1" t="s">
        <v>218</v>
      </c>
      <c r="D3" s="1" t="s">
        <v>579</v>
      </c>
      <c r="E3" s="1" t="s">
        <v>580</v>
      </c>
      <c r="F3" s="1" t="s">
        <v>576</v>
      </c>
      <c r="G3" s="1" t="s">
        <v>581</v>
      </c>
    </row>
    <row r="4" spans="1:11" x14ac:dyDescent="0.25">
      <c r="A4" s="1" t="s">
        <v>440</v>
      </c>
      <c r="B4" s="1" t="s">
        <v>582</v>
      </c>
      <c r="C4" s="1" t="s">
        <v>171</v>
      </c>
      <c r="D4" s="1" t="s">
        <v>583</v>
      </c>
      <c r="E4" s="1" t="s">
        <v>584</v>
      </c>
      <c r="F4" s="1" t="s">
        <v>585</v>
      </c>
      <c r="G4" s="1" t="s">
        <v>586</v>
      </c>
    </row>
    <row r="5" spans="1:11" x14ac:dyDescent="0.25">
      <c r="A5" s="1" t="s">
        <v>400</v>
      </c>
      <c r="B5" s="1" t="s">
        <v>587</v>
      </c>
      <c r="C5" s="1" t="s">
        <v>566</v>
      </c>
      <c r="D5" s="1" t="s">
        <v>588</v>
      </c>
      <c r="E5" s="1" t="s">
        <v>589</v>
      </c>
      <c r="F5" s="1" t="s">
        <v>585</v>
      </c>
      <c r="G5" s="1" t="s">
        <v>590</v>
      </c>
      <c r="K5">
        <f>COUNTBLANK(A2:G101)</f>
        <v>0</v>
      </c>
    </row>
    <row r="6" spans="1:11" x14ac:dyDescent="0.25">
      <c r="A6" s="1" t="s">
        <v>463</v>
      </c>
      <c r="B6" s="1" t="s">
        <v>591</v>
      </c>
      <c r="C6" s="1" t="s">
        <v>257</v>
      </c>
      <c r="D6" s="1" t="s">
        <v>592</v>
      </c>
      <c r="E6" s="1" t="s">
        <v>593</v>
      </c>
      <c r="F6" s="1" t="s">
        <v>585</v>
      </c>
      <c r="G6" s="1" t="s">
        <v>594</v>
      </c>
    </row>
    <row r="7" spans="1:11" x14ac:dyDescent="0.25">
      <c r="A7" s="1" t="s">
        <v>239</v>
      </c>
      <c r="B7" s="1" t="s">
        <v>595</v>
      </c>
      <c r="C7" s="1" t="s">
        <v>495</v>
      </c>
      <c r="D7" s="1" t="s">
        <v>596</v>
      </c>
      <c r="E7" s="1" t="s">
        <v>597</v>
      </c>
      <c r="F7" s="1" t="s">
        <v>576</v>
      </c>
      <c r="G7" s="1" t="s">
        <v>598</v>
      </c>
    </row>
    <row r="8" spans="1:11" x14ac:dyDescent="0.25">
      <c r="A8" s="1" t="s">
        <v>369</v>
      </c>
      <c r="B8" s="1" t="s">
        <v>599</v>
      </c>
      <c r="C8" s="1" t="s">
        <v>320</v>
      </c>
      <c r="D8" s="1" t="s">
        <v>600</v>
      </c>
      <c r="E8" s="1" t="s">
        <v>601</v>
      </c>
      <c r="F8" s="1" t="s">
        <v>585</v>
      </c>
      <c r="G8" s="1" t="s">
        <v>602</v>
      </c>
    </row>
    <row r="9" spans="1:11" x14ac:dyDescent="0.25">
      <c r="A9" s="1" t="s">
        <v>289</v>
      </c>
      <c r="B9" s="1" t="s">
        <v>603</v>
      </c>
      <c r="C9" s="1" t="s">
        <v>318</v>
      </c>
      <c r="D9" s="1" t="s">
        <v>604</v>
      </c>
      <c r="E9" s="1" t="s">
        <v>605</v>
      </c>
      <c r="F9" s="1" t="s">
        <v>576</v>
      </c>
      <c r="G9" s="1" t="s">
        <v>606</v>
      </c>
    </row>
    <row r="10" spans="1:11" x14ac:dyDescent="0.25">
      <c r="A10" s="1" t="s">
        <v>178</v>
      </c>
      <c r="B10" s="1" t="s">
        <v>607</v>
      </c>
      <c r="C10" s="1" t="s">
        <v>201</v>
      </c>
      <c r="D10" s="1" t="s">
        <v>608</v>
      </c>
      <c r="E10" s="1" t="s">
        <v>609</v>
      </c>
      <c r="F10" s="1" t="s">
        <v>576</v>
      </c>
      <c r="G10" s="1" t="s">
        <v>610</v>
      </c>
    </row>
    <row r="11" spans="1:11" x14ac:dyDescent="0.25">
      <c r="A11" s="1" t="s">
        <v>287</v>
      </c>
      <c r="B11" s="1" t="s">
        <v>611</v>
      </c>
      <c r="C11" s="1" t="s">
        <v>284</v>
      </c>
      <c r="D11" s="1" t="s">
        <v>612</v>
      </c>
      <c r="E11" s="1" t="s">
        <v>613</v>
      </c>
      <c r="F11" s="1" t="s">
        <v>585</v>
      </c>
      <c r="G11" s="1" t="s">
        <v>614</v>
      </c>
    </row>
    <row r="12" spans="1:11" x14ac:dyDescent="0.25">
      <c r="A12" s="1" t="s">
        <v>200</v>
      </c>
      <c r="B12" s="1" t="s">
        <v>615</v>
      </c>
      <c r="C12" s="1" t="s">
        <v>410</v>
      </c>
      <c r="D12" s="1" t="s">
        <v>616</v>
      </c>
      <c r="E12" s="1" t="s">
        <v>617</v>
      </c>
      <c r="F12" s="1" t="s">
        <v>576</v>
      </c>
      <c r="G12" s="1" t="s">
        <v>618</v>
      </c>
    </row>
    <row r="13" spans="1:11" x14ac:dyDescent="0.25">
      <c r="A13" s="1" t="s">
        <v>172</v>
      </c>
      <c r="B13" s="1" t="s">
        <v>619</v>
      </c>
      <c r="C13" s="1" t="s">
        <v>171</v>
      </c>
      <c r="D13" s="1" t="s">
        <v>620</v>
      </c>
      <c r="E13" s="1" t="s">
        <v>621</v>
      </c>
      <c r="F13" s="1" t="s">
        <v>585</v>
      </c>
      <c r="G13" s="1" t="s">
        <v>622</v>
      </c>
    </row>
    <row r="14" spans="1:11" x14ac:dyDescent="0.25">
      <c r="A14" s="1" t="s">
        <v>193</v>
      </c>
      <c r="B14" s="1" t="s">
        <v>623</v>
      </c>
      <c r="C14" s="1" t="s">
        <v>360</v>
      </c>
      <c r="D14" s="1" t="s">
        <v>624</v>
      </c>
      <c r="E14" s="1" t="s">
        <v>625</v>
      </c>
      <c r="F14" s="1" t="s">
        <v>576</v>
      </c>
      <c r="G14" s="1" t="s">
        <v>626</v>
      </c>
    </row>
    <row r="15" spans="1:11" x14ac:dyDescent="0.25">
      <c r="A15" s="1" t="s">
        <v>248</v>
      </c>
      <c r="B15" s="1" t="s">
        <v>627</v>
      </c>
      <c r="C15" s="1" t="s">
        <v>431</v>
      </c>
      <c r="D15" s="1" t="s">
        <v>628</v>
      </c>
      <c r="E15" s="1" t="s">
        <v>629</v>
      </c>
      <c r="F15" s="1" t="s">
        <v>576</v>
      </c>
      <c r="G15" s="1" t="s">
        <v>630</v>
      </c>
    </row>
    <row r="16" spans="1:11" x14ac:dyDescent="0.25">
      <c r="A16" s="1" t="s">
        <v>270</v>
      </c>
      <c r="B16" s="1" t="s">
        <v>631</v>
      </c>
      <c r="C16" s="1" t="s">
        <v>339</v>
      </c>
      <c r="D16" s="1" t="s">
        <v>632</v>
      </c>
      <c r="E16" s="1" t="s">
        <v>633</v>
      </c>
      <c r="F16" s="1" t="s">
        <v>576</v>
      </c>
      <c r="G16" s="1" t="s">
        <v>634</v>
      </c>
    </row>
    <row r="17" spans="1:7" x14ac:dyDescent="0.25">
      <c r="A17" s="1" t="s">
        <v>392</v>
      </c>
      <c r="B17" s="1" t="s">
        <v>635</v>
      </c>
      <c r="C17" s="1" t="s">
        <v>205</v>
      </c>
      <c r="D17" s="1" t="s">
        <v>636</v>
      </c>
      <c r="E17" s="1" t="s">
        <v>637</v>
      </c>
      <c r="F17" s="1" t="s">
        <v>585</v>
      </c>
      <c r="G17" s="1" t="s">
        <v>638</v>
      </c>
    </row>
    <row r="18" spans="1:7" x14ac:dyDescent="0.25">
      <c r="A18" s="1" t="s">
        <v>274</v>
      </c>
      <c r="B18" s="1" t="s">
        <v>639</v>
      </c>
      <c r="C18" s="1" t="s">
        <v>489</v>
      </c>
      <c r="D18" s="1" t="s">
        <v>640</v>
      </c>
      <c r="E18" s="1" t="s">
        <v>641</v>
      </c>
      <c r="F18" s="1" t="s">
        <v>585</v>
      </c>
      <c r="G18" s="1" t="s">
        <v>642</v>
      </c>
    </row>
    <row r="19" spans="1:7" x14ac:dyDescent="0.25">
      <c r="A19" s="1" t="s">
        <v>208</v>
      </c>
      <c r="B19" s="1" t="s">
        <v>643</v>
      </c>
      <c r="C19" s="1" t="s">
        <v>429</v>
      </c>
      <c r="D19" s="1" t="s">
        <v>644</v>
      </c>
      <c r="E19" s="1" t="s">
        <v>645</v>
      </c>
      <c r="F19" s="1" t="s">
        <v>585</v>
      </c>
      <c r="G19" s="1" t="s">
        <v>646</v>
      </c>
    </row>
    <row r="20" spans="1:7" x14ac:dyDescent="0.25">
      <c r="A20" s="1" t="s">
        <v>168</v>
      </c>
      <c r="B20" s="1" t="s">
        <v>647</v>
      </c>
      <c r="C20" s="1" t="s">
        <v>259</v>
      </c>
      <c r="D20" s="1" t="s">
        <v>648</v>
      </c>
      <c r="E20" s="1" t="s">
        <v>649</v>
      </c>
      <c r="F20" s="1" t="s">
        <v>585</v>
      </c>
      <c r="G20" s="1" t="s">
        <v>650</v>
      </c>
    </row>
    <row r="21" spans="1:7" x14ac:dyDescent="0.25">
      <c r="A21" s="1" t="s">
        <v>246</v>
      </c>
      <c r="B21" s="1" t="s">
        <v>651</v>
      </c>
      <c r="C21" s="1" t="s">
        <v>555</v>
      </c>
      <c r="D21" s="1" t="s">
        <v>652</v>
      </c>
      <c r="E21" s="1" t="s">
        <v>653</v>
      </c>
      <c r="F21" s="1" t="s">
        <v>585</v>
      </c>
      <c r="G21" s="1" t="s">
        <v>654</v>
      </c>
    </row>
    <row r="22" spans="1:7" x14ac:dyDescent="0.25">
      <c r="A22" s="1" t="s">
        <v>503</v>
      </c>
      <c r="B22" s="1" t="s">
        <v>655</v>
      </c>
      <c r="C22" s="1" t="s">
        <v>426</v>
      </c>
      <c r="D22" s="1" t="s">
        <v>656</v>
      </c>
      <c r="E22" s="1" t="s">
        <v>657</v>
      </c>
      <c r="F22" s="1" t="s">
        <v>585</v>
      </c>
      <c r="G22" s="1" t="s">
        <v>658</v>
      </c>
    </row>
    <row r="23" spans="1:7" x14ac:dyDescent="0.25">
      <c r="A23" s="1" t="s">
        <v>349</v>
      </c>
      <c r="B23" s="1" t="s">
        <v>659</v>
      </c>
      <c r="C23" s="1" t="s">
        <v>430</v>
      </c>
      <c r="D23" s="1" t="s">
        <v>660</v>
      </c>
      <c r="E23" s="1" t="s">
        <v>661</v>
      </c>
      <c r="F23" s="1" t="s">
        <v>585</v>
      </c>
      <c r="G23" s="1" t="s">
        <v>662</v>
      </c>
    </row>
    <row r="24" spans="1:7" x14ac:dyDescent="0.25">
      <c r="A24" s="1" t="s">
        <v>252</v>
      </c>
      <c r="B24" s="1" t="s">
        <v>663</v>
      </c>
      <c r="C24" s="1" t="s">
        <v>487</v>
      </c>
      <c r="D24" s="1" t="s">
        <v>664</v>
      </c>
      <c r="E24" s="1" t="s">
        <v>665</v>
      </c>
      <c r="F24" s="1" t="s">
        <v>585</v>
      </c>
      <c r="G24" s="1" t="s">
        <v>666</v>
      </c>
    </row>
    <row r="25" spans="1:7" x14ac:dyDescent="0.25">
      <c r="A25" s="1" t="s">
        <v>188</v>
      </c>
      <c r="B25" s="1" t="s">
        <v>667</v>
      </c>
      <c r="C25" s="1" t="s">
        <v>482</v>
      </c>
      <c r="D25" s="1" t="s">
        <v>668</v>
      </c>
      <c r="E25" s="1" t="s">
        <v>669</v>
      </c>
      <c r="F25" s="1" t="s">
        <v>576</v>
      </c>
      <c r="G25" s="1" t="s">
        <v>670</v>
      </c>
    </row>
    <row r="26" spans="1:7" x14ac:dyDescent="0.25">
      <c r="A26" s="1" t="s">
        <v>492</v>
      </c>
      <c r="B26" s="1" t="s">
        <v>671</v>
      </c>
      <c r="C26" s="1" t="s">
        <v>562</v>
      </c>
      <c r="D26" s="1" t="s">
        <v>672</v>
      </c>
      <c r="E26" s="1" t="s">
        <v>673</v>
      </c>
      <c r="F26" s="1" t="s">
        <v>576</v>
      </c>
      <c r="G26" s="1" t="s">
        <v>674</v>
      </c>
    </row>
    <row r="27" spans="1:7" x14ac:dyDescent="0.25">
      <c r="A27" s="1" t="s">
        <v>335</v>
      </c>
      <c r="B27" s="1" t="s">
        <v>675</v>
      </c>
      <c r="C27" s="1" t="s">
        <v>280</v>
      </c>
      <c r="D27" s="1" t="s">
        <v>676</v>
      </c>
      <c r="E27" s="1" t="s">
        <v>677</v>
      </c>
      <c r="F27" s="1" t="s">
        <v>576</v>
      </c>
      <c r="G27" s="1" t="s">
        <v>678</v>
      </c>
    </row>
    <row r="28" spans="1:7" x14ac:dyDescent="0.25">
      <c r="A28" s="1" t="s">
        <v>387</v>
      </c>
      <c r="B28" s="1" t="s">
        <v>679</v>
      </c>
      <c r="C28" s="1" t="s">
        <v>391</v>
      </c>
      <c r="D28" s="1" t="s">
        <v>680</v>
      </c>
      <c r="E28" s="1" t="s">
        <v>681</v>
      </c>
      <c r="F28" s="1" t="s">
        <v>576</v>
      </c>
      <c r="G28" s="1" t="s">
        <v>682</v>
      </c>
    </row>
    <row r="29" spans="1:7" x14ac:dyDescent="0.25">
      <c r="A29" s="1" t="s">
        <v>283</v>
      </c>
      <c r="B29" s="1" t="s">
        <v>683</v>
      </c>
      <c r="C29" s="1" t="s">
        <v>436</v>
      </c>
      <c r="D29" s="1" t="s">
        <v>684</v>
      </c>
      <c r="E29" s="1" t="s">
        <v>685</v>
      </c>
      <c r="F29" s="1" t="s">
        <v>576</v>
      </c>
      <c r="G29" s="1" t="s">
        <v>686</v>
      </c>
    </row>
    <row r="30" spans="1:7" x14ac:dyDescent="0.25">
      <c r="A30" s="1" t="s">
        <v>170</v>
      </c>
      <c r="B30" s="1" t="s">
        <v>687</v>
      </c>
      <c r="C30" s="1" t="s">
        <v>688</v>
      </c>
      <c r="D30" s="1" t="s">
        <v>689</v>
      </c>
      <c r="E30" s="1" t="s">
        <v>690</v>
      </c>
      <c r="F30" s="1" t="s">
        <v>576</v>
      </c>
      <c r="G30" s="1" t="s">
        <v>691</v>
      </c>
    </row>
    <row r="31" spans="1:7" x14ac:dyDescent="0.25">
      <c r="A31" s="1" t="s">
        <v>337</v>
      </c>
      <c r="B31" s="1" t="s">
        <v>692</v>
      </c>
      <c r="C31" s="1" t="s">
        <v>368</v>
      </c>
      <c r="D31" s="1" t="s">
        <v>693</v>
      </c>
      <c r="E31" s="1" t="s">
        <v>694</v>
      </c>
      <c r="F31" s="1" t="s">
        <v>585</v>
      </c>
      <c r="G31" s="1" t="s">
        <v>695</v>
      </c>
    </row>
    <row r="32" spans="1:7" x14ac:dyDescent="0.25">
      <c r="A32" s="1" t="s">
        <v>244</v>
      </c>
      <c r="B32" s="1" t="s">
        <v>696</v>
      </c>
      <c r="C32" s="1" t="s">
        <v>432</v>
      </c>
      <c r="D32" s="1" t="s">
        <v>697</v>
      </c>
      <c r="E32" s="1" t="s">
        <v>698</v>
      </c>
      <c r="F32" s="1" t="s">
        <v>576</v>
      </c>
      <c r="G32" s="1" t="s">
        <v>699</v>
      </c>
    </row>
    <row r="33" spans="1:7" x14ac:dyDescent="0.25">
      <c r="A33" s="1" t="s">
        <v>295</v>
      </c>
      <c r="B33" s="1" t="s">
        <v>700</v>
      </c>
      <c r="C33" s="1" t="s">
        <v>422</v>
      </c>
      <c r="D33" s="1" t="s">
        <v>701</v>
      </c>
      <c r="E33" s="1" t="s">
        <v>702</v>
      </c>
      <c r="F33" s="1" t="s">
        <v>585</v>
      </c>
      <c r="G33" s="1" t="s">
        <v>703</v>
      </c>
    </row>
    <row r="34" spans="1:7" x14ac:dyDescent="0.25">
      <c r="A34" s="1" t="s">
        <v>272</v>
      </c>
      <c r="B34" s="1" t="s">
        <v>704</v>
      </c>
      <c r="C34" s="1" t="s">
        <v>230</v>
      </c>
      <c r="D34" s="1" t="s">
        <v>705</v>
      </c>
      <c r="E34" s="1" t="s">
        <v>706</v>
      </c>
      <c r="F34" s="1" t="s">
        <v>576</v>
      </c>
      <c r="G34" s="1" t="s">
        <v>707</v>
      </c>
    </row>
    <row r="35" spans="1:7" x14ac:dyDescent="0.25">
      <c r="A35" s="1" t="s">
        <v>480</v>
      </c>
      <c r="B35" s="1" t="s">
        <v>708</v>
      </c>
      <c r="C35" s="1" t="s">
        <v>414</v>
      </c>
      <c r="D35" s="1" t="s">
        <v>709</v>
      </c>
      <c r="E35" s="1" t="s">
        <v>710</v>
      </c>
      <c r="F35" s="1" t="s">
        <v>585</v>
      </c>
      <c r="G35" s="1" t="s">
        <v>711</v>
      </c>
    </row>
    <row r="36" spans="1:7" x14ac:dyDescent="0.25">
      <c r="A36" s="1" t="s">
        <v>329</v>
      </c>
      <c r="B36" s="1" t="s">
        <v>712</v>
      </c>
      <c r="C36" s="1" t="s">
        <v>231</v>
      </c>
      <c r="D36" s="1" t="s">
        <v>713</v>
      </c>
      <c r="E36" s="1" t="s">
        <v>714</v>
      </c>
      <c r="F36" s="1" t="s">
        <v>585</v>
      </c>
      <c r="G36" s="1" t="s">
        <v>715</v>
      </c>
    </row>
    <row r="37" spans="1:7" x14ac:dyDescent="0.25">
      <c r="A37" s="1" t="s">
        <v>250</v>
      </c>
      <c r="B37" s="1" t="s">
        <v>716</v>
      </c>
      <c r="C37" s="1" t="s">
        <v>510</v>
      </c>
      <c r="D37" s="1" t="s">
        <v>717</v>
      </c>
      <c r="E37" s="1" t="s">
        <v>718</v>
      </c>
      <c r="F37" s="1" t="s">
        <v>576</v>
      </c>
      <c r="G37" s="1" t="s">
        <v>719</v>
      </c>
    </row>
    <row r="38" spans="1:7" x14ac:dyDescent="0.25">
      <c r="A38" s="1" t="s">
        <v>166</v>
      </c>
      <c r="B38" s="1" t="s">
        <v>720</v>
      </c>
      <c r="C38" s="1" t="s">
        <v>371</v>
      </c>
      <c r="D38" s="1" t="s">
        <v>721</v>
      </c>
      <c r="E38" s="1" t="s">
        <v>722</v>
      </c>
      <c r="F38" s="1" t="s">
        <v>585</v>
      </c>
      <c r="G38" s="1" t="s">
        <v>723</v>
      </c>
    </row>
    <row r="39" spans="1:7" x14ac:dyDescent="0.25">
      <c r="A39" s="1" t="s">
        <v>293</v>
      </c>
      <c r="B39" s="1" t="s">
        <v>724</v>
      </c>
      <c r="C39" s="1" t="s">
        <v>537</v>
      </c>
      <c r="D39" s="1" t="s">
        <v>725</v>
      </c>
      <c r="E39" s="1" t="s">
        <v>726</v>
      </c>
      <c r="F39" s="1" t="s">
        <v>576</v>
      </c>
      <c r="G39" s="1" t="s">
        <v>727</v>
      </c>
    </row>
    <row r="40" spans="1:7" x14ac:dyDescent="0.25">
      <c r="A40" s="1" t="s">
        <v>308</v>
      </c>
      <c r="B40" s="1" t="s">
        <v>728</v>
      </c>
      <c r="C40" s="1" t="s">
        <v>377</v>
      </c>
      <c r="D40" s="1" t="s">
        <v>729</v>
      </c>
      <c r="E40" s="1" t="s">
        <v>730</v>
      </c>
      <c r="F40" s="1" t="s">
        <v>585</v>
      </c>
      <c r="G40" s="1" t="s">
        <v>731</v>
      </c>
    </row>
    <row r="41" spans="1:7" x14ac:dyDescent="0.25">
      <c r="A41" s="1" t="s">
        <v>176</v>
      </c>
      <c r="B41" s="1" t="s">
        <v>732</v>
      </c>
      <c r="C41" s="1" t="s">
        <v>286</v>
      </c>
      <c r="D41" s="1" t="s">
        <v>733</v>
      </c>
      <c r="E41" s="1" t="s">
        <v>734</v>
      </c>
      <c r="F41" s="1" t="s">
        <v>576</v>
      </c>
      <c r="G41" s="1" t="s">
        <v>735</v>
      </c>
    </row>
    <row r="42" spans="1:7" x14ac:dyDescent="0.25">
      <c r="A42" s="1" t="s">
        <v>206</v>
      </c>
      <c r="B42" s="1" t="s">
        <v>736</v>
      </c>
      <c r="C42" s="1" t="s">
        <v>372</v>
      </c>
      <c r="D42" s="1" t="s">
        <v>737</v>
      </c>
      <c r="E42" s="1" t="s">
        <v>738</v>
      </c>
      <c r="F42" s="1" t="s">
        <v>585</v>
      </c>
      <c r="G42" s="1" t="s">
        <v>739</v>
      </c>
    </row>
    <row r="43" spans="1:7" x14ac:dyDescent="0.25">
      <c r="A43" s="1" t="s">
        <v>190</v>
      </c>
      <c r="B43" s="1" t="s">
        <v>740</v>
      </c>
      <c r="C43" s="1" t="s">
        <v>542</v>
      </c>
      <c r="D43" s="1" t="s">
        <v>741</v>
      </c>
      <c r="E43" s="1" t="s">
        <v>742</v>
      </c>
      <c r="F43" s="1" t="s">
        <v>585</v>
      </c>
      <c r="G43" s="1" t="s">
        <v>743</v>
      </c>
    </row>
    <row r="44" spans="1:7" x14ac:dyDescent="0.25">
      <c r="A44" s="1" t="s">
        <v>409</v>
      </c>
      <c r="B44" s="1" t="s">
        <v>744</v>
      </c>
      <c r="C44" s="1" t="s">
        <v>231</v>
      </c>
      <c r="D44" s="1" t="s">
        <v>745</v>
      </c>
      <c r="E44" s="1" t="s">
        <v>746</v>
      </c>
      <c r="F44" s="1" t="s">
        <v>576</v>
      </c>
      <c r="G44" s="1" t="s">
        <v>747</v>
      </c>
    </row>
    <row r="45" spans="1:7" x14ac:dyDescent="0.25">
      <c r="A45" s="1" t="s">
        <v>182</v>
      </c>
      <c r="B45" s="1" t="s">
        <v>748</v>
      </c>
      <c r="C45" s="1" t="s">
        <v>296</v>
      </c>
      <c r="D45" s="1" t="s">
        <v>749</v>
      </c>
      <c r="E45" s="1" t="s">
        <v>750</v>
      </c>
      <c r="F45" s="1" t="s">
        <v>585</v>
      </c>
      <c r="G45" s="1" t="s">
        <v>751</v>
      </c>
    </row>
    <row r="46" spans="1:7" x14ac:dyDescent="0.25">
      <c r="A46" s="1" t="s">
        <v>254</v>
      </c>
      <c r="B46" s="1" t="s">
        <v>752</v>
      </c>
      <c r="C46" s="1" t="s">
        <v>474</v>
      </c>
      <c r="D46" s="1" t="s">
        <v>753</v>
      </c>
      <c r="E46" s="1" t="s">
        <v>754</v>
      </c>
      <c r="F46" s="1" t="s">
        <v>576</v>
      </c>
      <c r="G46" s="1" t="s">
        <v>755</v>
      </c>
    </row>
    <row r="47" spans="1:7" x14ac:dyDescent="0.25">
      <c r="A47" s="1" t="s">
        <v>237</v>
      </c>
      <c r="B47" s="1" t="s">
        <v>756</v>
      </c>
      <c r="C47" s="1" t="s">
        <v>243</v>
      </c>
      <c r="D47" s="1" t="s">
        <v>757</v>
      </c>
      <c r="E47" s="1" t="s">
        <v>758</v>
      </c>
      <c r="F47" s="1" t="s">
        <v>585</v>
      </c>
      <c r="G47" s="1" t="s">
        <v>759</v>
      </c>
    </row>
    <row r="48" spans="1:7" x14ac:dyDescent="0.25">
      <c r="A48" s="1" t="s">
        <v>221</v>
      </c>
      <c r="B48" s="1" t="s">
        <v>760</v>
      </c>
      <c r="C48" s="1" t="s">
        <v>268</v>
      </c>
      <c r="D48" s="1" t="s">
        <v>761</v>
      </c>
      <c r="E48" s="1" t="s">
        <v>762</v>
      </c>
      <c r="F48" s="1" t="s">
        <v>585</v>
      </c>
      <c r="G48" s="1" t="s">
        <v>763</v>
      </c>
    </row>
    <row r="49" spans="1:7" x14ac:dyDescent="0.25">
      <c r="A49" s="1" t="s">
        <v>331</v>
      </c>
      <c r="B49" s="1" t="s">
        <v>764</v>
      </c>
      <c r="C49" s="1" t="s">
        <v>435</v>
      </c>
      <c r="D49" s="1" t="s">
        <v>765</v>
      </c>
      <c r="E49" s="1" t="s">
        <v>766</v>
      </c>
      <c r="F49" s="1" t="s">
        <v>585</v>
      </c>
      <c r="G49" s="1" t="s">
        <v>767</v>
      </c>
    </row>
    <row r="50" spans="1:7" x14ac:dyDescent="0.25">
      <c r="A50" s="1" t="s">
        <v>367</v>
      </c>
      <c r="B50" s="1" t="s">
        <v>768</v>
      </c>
      <c r="C50" s="1" t="s">
        <v>456</v>
      </c>
      <c r="D50" s="1" t="s">
        <v>769</v>
      </c>
      <c r="E50" s="1" t="s">
        <v>770</v>
      </c>
      <c r="F50" s="1" t="s">
        <v>576</v>
      </c>
      <c r="G50" s="1" t="s">
        <v>771</v>
      </c>
    </row>
    <row r="51" spans="1:7" x14ac:dyDescent="0.25">
      <c r="A51" s="1" t="s">
        <v>276</v>
      </c>
      <c r="B51" s="1" t="s">
        <v>772</v>
      </c>
      <c r="C51" s="1" t="s">
        <v>456</v>
      </c>
      <c r="D51" s="1" t="s">
        <v>773</v>
      </c>
      <c r="E51" s="1" t="s">
        <v>774</v>
      </c>
      <c r="F51" s="1" t="s">
        <v>576</v>
      </c>
      <c r="G51" s="1" t="s">
        <v>775</v>
      </c>
    </row>
    <row r="52" spans="1:7" x14ac:dyDescent="0.25">
      <c r="A52" s="1" t="s">
        <v>341</v>
      </c>
      <c r="B52" s="1" t="s">
        <v>776</v>
      </c>
      <c r="C52" s="1" t="s">
        <v>196</v>
      </c>
      <c r="D52" s="1" t="s">
        <v>777</v>
      </c>
      <c r="E52" s="1" t="s">
        <v>778</v>
      </c>
      <c r="F52" s="1" t="s">
        <v>576</v>
      </c>
      <c r="G52" s="1" t="s">
        <v>779</v>
      </c>
    </row>
    <row r="53" spans="1:7" x14ac:dyDescent="0.25">
      <c r="A53" s="1" t="s">
        <v>437</v>
      </c>
      <c r="B53" s="1" t="s">
        <v>780</v>
      </c>
      <c r="C53" s="1" t="s">
        <v>342</v>
      </c>
      <c r="D53" s="1" t="s">
        <v>781</v>
      </c>
      <c r="E53" s="1" t="s">
        <v>782</v>
      </c>
      <c r="F53" s="1" t="s">
        <v>585</v>
      </c>
      <c r="G53" s="1" t="s">
        <v>783</v>
      </c>
    </row>
    <row r="54" spans="1:7" x14ac:dyDescent="0.25">
      <c r="A54" s="1" t="s">
        <v>291</v>
      </c>
      <c r="B54" s="1" t="s">
        <v>784</v>
      </c>
      <c r="C54" s="1" t="s">
        <v>352</v>
      </c>
      <c r="D54" s="1" t="s">
        <v>785</v>
      </c>
      <c r="E54" s="1" t="s">
        <v>786</v>
      </c>
      <c r="F54" s="1" t="s">
        <v>576</v>
      </c>
      <c r="G54" s="1" t="s">
        <v>787</v>
      </c>
    </row>
    <row r="55" spans="1:7" x14ac:dyDescent="0.25">
      <c r="A55" s="1" t="s">
        <v>204</v>
      </c>
      <c r="B55" s="1" t="s">
        <v>788</v>
      </c>
      <c r="C55" s="1" t="s">
        <v>487</v>
      </c>
      <c r="D55" s="1" t="s">
        <v>789</v>
      </c>
      <c r="E55" s="1" t="s">
        <v>790</v>
      </c>
      <c r="F55" s="1" t="s">
        <v>576</v>
      </c>
      <c r="G55" s="1" t="s">
        <v>791</v>
      </c>
    </row>
    <row r="56" spans="1:7" x14ac:dyDescent="0.25">
      <c r="A56" s="1" t="s">
        <v>224</v>
      </c>
      <c r="B56" s="1" t="s">
        <v>792</v>
      </c>
      <c r="C56" s="1" t="s">
        <v>456</v>
      </c>
      <c r="D56" s="1" t="s">
        <v>793</v>
      </c>
      <c r="E56" s="1" t="s">
        <v>794</v>
      </c>
      <c r="F56" s="1" t="s">
        <v>585</v>
      </c>
      <c r="G56" s="1" t="s">
        <v>795</v>
      </c>
    </row>
    <row r="57" spans="1:7" x14ac:dyDescent="0.25">
      <c r="A57" s="1" t="s">
        <v>195</v>
      </c>
      <c r="B57" s="1" t="s">
        <v>796</v>
      </c>
      <c r="C57" s="1" t="s">
        <v>688</v>
      </c>
      <c r="D57" s="1" t="s">
        <v>797</v>
      </c>
      <c r="E57" s="1" t="s">
        <v>798</v>
      </c>
      <c r="F57" s="1" t="s">
        <v>585</v>
      </c>
      <c r="G57" s="1" t="s">
        <v>799</v>
      </c>
    </row>
    <row r="58" spans="1:7" x14ac:dyDescent="0.25">
      <c r="A58" s="1" t="s">
        <v>279</v>
      </c>
      <c r="B58" s="1" t="s">
        <v>800</v>
      </c>
      <c r="C58" s="1" t="s">
        <v>245</v>
      </c>
      <c r="D58" s="1" t="s">
        <v>801</v>
      </c>
      <c r="E58" s="1" t="s">
        <v>802</v>
      </c>
      <c r="F58" s="1" t="s">
        <v>576</v>
      </c>
      <c r="G58" s="1" t="s">
        <v>803</v>
      </c>
    </row>
    <row r="59" spans="1:7" x14ac:dyDescent="0.25">
      <c r="A59" s="1" t="s">
        <v>265</v>
      </c>
      <c r="B59" s="1" t="s">
        <v>804</v>
      </c>
      <c r="C59" s="1" t="s">
        <v>435</v>
      </c>
      <c r="D59" s="1" t="s">
        <v>805</v>
      </c>
      <c r="E59" s="1" t="s">
        <v>806</v>
      </c>
      <c r="F59" s="1" t="s">
        <v>585</v>
      </c>
      <c r="G59" s="1" t="s">
        <v>807</v>
      </c>
    </row>
    <row r="60" spans="1:7" x14ac:dyDescent="0.25">
      <c r="A60" s="1" t="s">
        <v>242</v>
      </c>
      <c r="B60" s="1" t="s">
        <v>808</v>
      </c>
      <c r="C60" s="1" t="s">
        <v>292</v>
      </c>
      <c r="D60" s="1" t="s">
        <v>809</v>
      </c>
      <c r="E60" s="1" t="s">
        <v>810</v>
      </c>
      <c r="F60" s="1" t="s">
        <v>585</v>
      </c>
      <c r="G60" s="1" t="s">
        <v>811</v>
      </c>
    </row>
    <row r="61" spans="1:7" x14ac:dyDescent="0.25">
      <c r="A61" s="1" t="s">
        <v>299</v>
      </c>
      <c r="B61" s="1" t="s">
        <v>812</v>
      </c>
      <c r="C61" s="1" t="s">
        <v>344</v>
      </c>
      <c r="D61" s="1" t="s">
        <v>813</v>
      </c>
      <c r="E61" s="1" t="s">
        <v>814</v>
      </c>
      <c r="F61" s="1" t="s">
        <v>585</v>
      </c>
      <c r="G61" s="1" t="s">
        <v>815</v>
      </c>
    </row>
    <row r="62" spans="1:7" x14ac:dyDescent="0.25">
      <c r="A62" s="1" t="s">
        <v>302</v>
      </c>
      <c r="B62" s="1" t="s">
        <v>816</v>
      </c>
      <c r="C62" s="1" t="s">
        <v>482</v>
      </c>
      <c r="D62" s="1" t="s">
        <v>817</v>
      </c>
      <c r="E62" s="1" t="s">
        <v>818</v>
      </c>
      <c r="F62" s="1" t="s">
        <v>576</v>
      </c>
      <c r="G62" s="1" t="s">
        <v>819</v>
      </c>
    </row>
    <row r="63" spans="1:7" x14ac:dyDescent="0.25">
      <c r="A63" s="1" t="s">
        <v>285</v>
      </c>
      <c r="B63" s="1" t="s">
        <v>820</v>
      </c>
      <c r="C63" s="1" t="s">
        <v>458</v>
      </c>
      <c r="D63" s="1" t="s">
        <v>821</v>
      </c>
      <c r="E63" s="1" t="s">
        <v>822</v>
      </c>
      <c r="F63" s="1" t="s">
        <v>585</v>
      </c>
      <c r="G63" s="1" t="s">
        <v>823</v>
      </c>
    </row>
    <row r="64" spans="1:7" x14ac:dyDescent="0.25">
      <c r="A64" s="1" t="s">
        <v>213</v>
      </c>
      <c r="B64" s="1" t="s">
        <v>824</v>
      </c>
      <c r="C64" s="1" t="s">
        <v>825</v>
      </c>
      <c r="D64" s="1" t="s">
        <v>826</v>
      </c>
      <c r="E64" s="1" t="s">
        <v>827</v>
      </c>
      <c r="F64" s="1" t="s">
        <v>585</v>
      </c>
      <c r="G64" s="1" t="s">
        <v>828</v>
      </c>
    </row>
    <row r="65" spans="1:7" x14ac:dyDescent="0.25">
      <c r="A65" s="1" t="s">
        <v>216</v>
      </c>
      <c r="B65" s="1" t="s">
        <v>829</v>
      </c>
      <c r="C65" s="1" t="s">
        <v>393</v>
      </c>
      <c r="D65" s="1" t="s">
        <v>830</v>
      </c>
      <c r="E65" s="1" t="s">
        <v>831</v>
      </c>
      <c r="F65" s="1" t="s">
        <v>585</v>
      </c>
      <c r="G65" s="1" t="s">
        <v>832</v>
      </c>
    </row>
    <row r="66" spans="1:7" x14ac:dyDescent="0.25">
      <c r="A66" s="1" t="s">
        <v>185</v>
      </c>
      <c r="B66" s="1" t="s">
        <v>833</v>
      </c>
      <c r="C66" s="1" t="s">
        <v>472</v>
      </c>
      <c r="D66" s="1" t="s">
        <v>834</v>
      </c>
      <c r="E66" s="1" t="s">
        <v>835</v>
      </c>
      <c r="F66" s="1" t="s">
        <v>585</v>
      </c>
      <c r="G66" s="1" t="s">
        <v>836</v>
      </c>
    </row>
    <row r="67" spans="1:7" x14ac:dyDescent="0.25">
      <c r="A67" s="1" t="s">
        <v>232</v>
      </c>
      <c r="B67" s="1" t="s">
        <v>837</v>
      </c>
      <c r="C67" s="1" t="s">
        <v>336</v>
      </c>
      <c r="D67" s="1" t="s">
        <v>838</v>
      </c>
      <c r="E67" s="1" t="s">
        <v>839</v>
      </c>
      <c r="F67" s="1" t="s">
        <v>576</v>
      </c>
      <c r="G67" s="1" t="s">
        <v>840</v>
      </c>
    </row>
    <row r="68" spans="1:7" x14ac:dyDescent="0.25">
      <c r="A68" s="1" t="s">
        <v>229</v>
      </c>
      <c r="B68" s="1" t="s">
        <v>841</v>
      </c>
      <c r="C68" s="1" t="s">
        <v>282</v>
      </c>
      <c r="D68" s="1" t="s">
        <v>842</v>
      </c>
      <c r="E68" s="1" t="s">
        <v>843</v>
      </c>
      <c r="F68" s="1" t="s">
        <v>585</v>
      </c>
      <c r="G68" s="1" t="s">
        <v>844</v>
      </c>
    </row>
    <row r="69" spans="1:7" x14ac:dyDescent="0.25">
      <c r="A69" s="1" t="s">
        <v>388</v>
      </c>
      <c r="B69" s="1" t="s">
        <v>845</v>
      </c>
      <c r="C69" s="1" t="s">
        <v>292</v>
      </c>
      <c r="D69" s="1" t="s">
        <v>846</v>
      </c>
      <c r="E69" s="1" t="s">
        <v>847</v>
      </c>
      <c r="F69" s="1" t="s">
        <v>585</v>
      </c>
      <c r="G69" s="1" t="s">
        <v>848</v>
      </c>
    </row>
    <row r="70" spans="1:7" x14ac:dyDescent="0.25">
      <c r="A70" s="1" t="s">
        <v>191</v>
      </c>
      <c r="B70" s="1" t="s">
        <v>849</v>
      </c>
      <c r="C70" s="1" t="s">
        <v>850</v>
      </c>
      <c r="D70" s="1" t="s">
        <v>851</v>
      </c>
      <c r="E70" s="1" t="s">
        <v>852</v>
      </c>
      <c r="F70" s="1" t="s">
        <v>576</v>
      </c>
      <c r="G70" s="1" t="s">
        <v>853</v>
      </c>
    </row>
    <row r="71" spans="1:7" x14ac:dyDescent="0.25">
      <c r="A71" s="1" t="s">
        <v>343</v>
      </c>
      <c r="B71" s="1" t="s">
        <v>854</v>
      </c>
      <c r="C71" s="1" t="s">
        <v>414</v>
      </c>
      <c r="D71" s="1" t="s">
        <v>855</v>
      </c>
      <c r="E71" s="1" t="s">
        <v>856</v>
      </c>
      <c r="F71" s="1" t="s">
        <v>585</v>
      </c>
      <c r="G71" s="1" t="s">
        <v>857</v>
      </c>
    </row>
    <row r="72" spans="1:7" x14ac:dyDescent="0.25">
      <c r="A72" s="1" t="s">
        <v>222</v>
      </c>
      <c r="B72" s="1" t="s">
        <v>858</v>
      </c>
      <c r="C72" s="1" t="s">
        <v>346</v>
      </c>
      <c r="D72" s="1" t="s">
        <v>859</v>
      </c>
      <c r="E72" s="1" t="s">
        <v>860</v>
      </c>
      <c r="F72" s="1" t="s">
        <v>585</v>
      </c>
      <c r="G72" s="1" t="s">
        <v>861</v>
      </c>
    </row>
    <row r="73" spans="1:7" x14ac:dyDescent="0.25">
      <c r="A73" s="1" t="s">
        <v>197</v>
      </c>
      <c r="B73" s="1" t="s">
        <v>862</v>
      </c>
      <c r="C73" s="1" t="s">
        <v>277</v>
      </c>
      <c r="D73" s="1" t="s">
        <v>863</v>
      </c>
      <c r="E73" s="1" t="s">
        <v>864</v>
      </c>
      <c r="F73" s="1" t="s">
        <v>585</v>
      </c>
      <c r="G73" s="1" t="s">
        <v>865</v>
      </c>
    </row>
    <row r="74" spans="1:7" x14ac:dyDescent="0.25">
      <c r="A74" s="1" t="s">
        <v>471</v>
      </c>
      <c r="B74" s="1" t="s">
        <v>866</v>
      </c>
      <c r="C74" s="1" t="s">
        <v>479</v>
      </c>
      <c r="D74" s="1" t="s">
        <v>867</v>
      </c>
      <c r="E74" s="1" t="s">
        <v>868</v>
      </c>
      <c r="F74" s="1" t="s">
        <v>585</v>
      </c>
      <c r="G74" s="1" t="s">
        <v>869</v>
      </c>
    </row>
    <row r="75" spans="1:7" x14ac:dyDescent="0.25">
      <c r="A75" s="1" t="s">
        <v>267</v>
      </c>
      <c r="B75" s="1" t="s">
        <v>870</v>
      </c>
      <c r="C75" s="1" t="s">
        <v>557</v>
      </c>
      <c r="D75" s="1" t="s">
        <v>871</v>
      </c>
      <c r="E75" s="1" t="s">
        <v>872</v>
      </c>
      <c r="F75" s="1" t="s">
        <v>576</v>
      </c>
      <c r="G75" s="1" t="s">
        <v>873</v>
      </c>
    </row>
    <row r="76" spans="1:7" x14ac:dyDescent="0.25">
      <c r="A76" s="1" t="s">
        <v>321</v>
      </c>
      <c r="B76" s="1" t="s">
        <v>874</v>
      </c>
      <c r="C76" s="1" t="s">
        <v>408</v>
      </c>
      <c r="D76" s="1" t="s">
        <v>875</v>
      </c>
      <c r="E76" s="1" t="s">
        <v>876</v>
      </c>
      <c r="F76" s="1" t="s">
        <v>576</v>
      </c>
      <c r="G76" s="1" t="s">
        <v>877</v>
      </c>
    </row>
    <row r="77" spans="1:7" x14ac:dyDescent="0.25">
      <c r="A77" s="1" t="s">
        <v>417</v>
      </c>
      <c r="B77" s="1" t="s">
        <v>878</v>
      </c>
      <c r="C77" s="1" t="s">
        <v>522</v>
      </c>
      <c r="D77" s="1" t="s">
        <v>879</v>
      </c>
      <c r="E77" s="1" t="s">
        <v>880</v>
      </c>
      <c r="F77" s="1" t="s">
        <v>576</v>
      </c>
      <c r="G77" s="1" t="s">
        <v>881</v>
      </c>
    </row>
    <row r="78" spans="1:7" x14ac:dyDescent="0.25">
      <c r="A78" s="1" t="s">
        <v>261</v>
      </c>
      <c r="B78" s="1" t="s">
        <v>882</v>
      </c>
      <c r="C78" s="1" t="s">
        <v>473</v>
      </c>
      <c r="D78" s="1" t="s">
        <v>883</v>
      </c>
      <c r="E78" s="1" t="s">
        <v>884</v>
      </c>
      <c r="F78" s="1" t="s">
        <v>576</v>
      </c>
      <c r="G78" s="1" t="s">
        <v>885</v>
      </c>
    </row>
    <row r="79" spans="1:7" x14ac:dyDescent="0.25">
      <c r="A79" s="1" t="s">
        <v>174</v>
      </c>
      <c r="B79" s="1" t="s">
        <v>886</v>
      </c>
      <c r="C79" s="1" t="s">
        <v>515</v>
      </c>
      <c r="D79" s="1" t="s">
        <v>887</v>
      </c>
      <c r="E79" s="1" t="s">
        <v>888</v>
      </c>
      <c r="F79" s="1" t="s">
        <v>576</v>
      </c>
      <c r="G79" s="1" t="s">
        <v>889</v>
      </c>
    </row>
    <row r="80" spans="1:7" x14ac:dyDescent="0.25">
      <c r="A80" s="1" t="s">
        <v>424</v>
      </c>
      <c r="B80" s="1" t="s">
        <v>890</v>
      </c>
      <c r="C80" s="1" t="s">
        <v>383</v>
      </c>
      <c r="D80" s="1" t="s">
        <v>891</v>
      </c>
      <c r="E80" s="1" t="s">
        <v>892</v>
      </c>
      <c r="F80" s="1" t="s">
        <v>576</v>
      </c>
      <c r="G80" s="1" t="s">
        <v>893</v>
      </c>
    </row>
    <row r="81" spans="1:7" x14ac:dyDescent="0.25">
      <c r="A81" s="1" t="s">
        <v>235</v>
      </c>
      <c r="B81" s="1" t="s">
        <v>894</v>
      </c>
      <c r="C81" s="1" t="s">
        <v>543</v>
      </c>
      <c r="D81" s="1" t="s">
        <v>895</v>
      </c>
      <c r="E81" s="1" t="s">
        <v>896</v>
      </c>
      <c r="F81" s="1" t="s">
        <v>585</v>
      </c>
      <c r="G81" s="1" t="s">
        <v>897</v>
      </c>
    </row>
    <row r="82" spans="1:7" x14ac:dyDescent="0.25">
      <c r="A82" s="1" t="s">
        <v>313</v>
      </c>
      <c r="B82" s="1" t="s">
        <v>898</v>
      </c>
      <c r="C82" s="1" t="s">
        <v>256</v>
      </c>
      <c r="D82" s="1" t="s">
        <v>899</v>
      </c>
      <c r="E82" s="1" t="s">
        <v>900</v>
      </c>
      <c r="F82" s="1" t="s">
        <v>585</v>
      </c>
      <c r="G82" s="1" t="s">
        <v>901</v>
      </c>
    </row>
    <row r="83" spans="1:7" x14ac:dyDescent="0.25">
      <c r="A83" s="1" t="s">
        <v>316</v>
      </c>
      <c r="B83" s="1" t="s">
        <v>902</v>
      </c>
      <c r="C83" s="1" t="s">
        <v>317</v>
      </c>
      <c r="D83" s="1" t="s">
        <v>903</v>
      </c>
      <c r="E83" s="1" t="s">
        <v>904</v>
      </c>
      <c r="F83" s="1" t="s">
        <v>576</v>
      </c>
      <c r="G83" s="1" t="s">
        <v>905</v>
      </c>
    </row>
    <row r="84" spans="1:7" x14ac:dyDescent="0.25">
      <c r="A84" s="1" t="s">
        <v>333</v>
      </c>
      <c r="B84" s="1" t="s">
        <v>906</v>
      </c>
      <c r="C84" s="1" t="s">
        <v>389</v>
      </c>
      <c r="D84" s="1" t="s">
        <v>907</v>
      </c>
      <c r="E84" s="1" t="s">
        <v>908</v>
      </c>
      <c r="F84" s="1" t="s">
        <v>585</v>
      </c>
      <c r="G84" s="1" t="s">
        <v>909</v>
      </c>
    </row>
    <row r="85" spans="1:7" x14ac:dyDescent="0.25">
      <c r="A85" s="1" t="s">
        <v>364</v>
      </c>
      <c r="B85" s="1" t="s">
        <v>910</v>
      </c>
      <c r="C85" s="1" t="s">
        <v>461</v>
      </c>
      <c r="D85" s="1" t="s">
        <v>911</v>
      </c>
      <c r="E85" s="1" t="s">
        <v>912</v>
      </c>
      <c r="F85" s="1" t="s">
        <v>585</v>
      </c>
      <c r="G85" s="1" t="s">
        <v>913</v>
      </c>
    </row>
    <row r="86" spans="1:7" x14ac:dyDescent="0.25">
      <c r="A86" s="1" t="s">
        <v>382</v>
      </c>
      <c r="B86" s="1" t="s">
        <v>914</v>
      </c>
      <c r="C86" s="1" t="s">
        <v>214</v>
      </c>
      <c r="D86" s="1" t="s">
        <v>915</v>
      </c>
      <c r="E86" s="1" t="s">
        <v>916</v>
      </c>
      <c r="F86" s="1" t="s">
        <v>585</v>
      </c>
      <c r="G86" s="1" t="s">
        <v>917</v>
      </c>
    </row>
    <row r="87" spans="1:7" x14ac:dyDescent="0.25">
      <c r="A87" s="1" t="s">
        <v>441</v>
      </c>
      <c r="B87" s="1" t="s">
        <v>918</v>
      </c>
      <c r="C87" s="1" t="s">
        <v>307</v>
      </c>
      <c r="D87" s="1" t="s">
        <v>919</v>
      </c>
      <c r="E87" s="1" t="s">
        <v>920</v>
      </c>
      <c r="F87" s="1" t="s">
        <v>576</v>
      </c>
      <c r="G87" s="1" t="s">
        <v>921</v>
      </c>
    </row>
    <row r="88" spans="1:7" x14ac:dyDescent="0.25">
      <c r="A88" s="1" t="s">
        <v>347</v>
      </c>
      <c r="B88" s="1" t="s">
        <v>922</v>
      </c>
      <c r="C88" s="1" t="s">
        <v>472</v>
      </c>
      <c r="D88" s="1" t="s">
        <v>923</v>
      </c>
      <c r="E88" s="1" t="s">
        <v>924</v>
      </c>
      <c r="F88" s="1" t="s">
        <v>576</v>
      </c>
      <c r="G88" s="1" t="s">
        <v>925</v>
      </c>
    </row>
    <row r="89" spans="1:7" x14ac:dyDescent="0.25">
      <c r="A89" s="1" t="s">
        <v>215</v>
      </c>
      <c r="B89" s="1" t="s">
        <v>926</v>
      </c>
      <c r="C89" s="1" t="s">
        <v>443</v>
      </c>
      <c r="D89" s="1" t="s">
        <v>927</v>
      </c>
      <c r="E89" s="1" t="s">
        <v>928</v>
      </c>
      <c r="F89" s="1" t="s">
        <v>576</v>
      </c>
      <c r="G89" s="1" t="s">
        <v>929</v>
      </c>
    </row>
    <row r="90" spans="1:7" x14ac:dyDescent="0.25">
      <c r="A90" s="1" t="s">
        <v>402</v>
      </c>
      <c r="B90" s="1" t="s">
        <v>930</v>
      </c>
      <c r="C90" s="1" t="s">
        <v>384</v>
      </c>
      <c r="D90" s="1" t="s">
        <v>931</v>
      </c>
      <c r="E90" s="1" t="s">
        <v>932</v>
      </c>
      <c r="F90" s="1" t="s">
        <v>576</v>
      </c>
      <c r="G90" s="1" t="s">
        <v>933</v>
      </c>
    </row>
    <row r="91" spans="1:7" x14ac:dyDescent="0.25">
      <c r="A91" s="1" t="s">
        <v>202</v>
      </c>
      <c r="B91" s="1" t="s">
        <v>934</v>
      </c>
      <c r="C91" s="1" t="s">
        <v>540</v>
      </c>
      <c r="D91" s="1" t="s">
        <v>935</v>
      </c>
      <c r="E91" s="1" t="s">
        <v>936</v>
      </c>
      <c r="F91" s="1" t="s">
        <v>576</v>
      </c>
      <c r="G91" s="1" t="s">
        <v>937</v>
      </c>
    </row>
    <row r="92" spans="1:7" x14ac:dyDescent="0.25">
      <c r="A92" s="1" t="s">
        <v>210</v>
      </c>
      <c r="B92" s="1" t="s">
        <v>938</v>
      </c>
      <c r="C92" s="1" t="s">
        <v>226</v>
      </c>
      <c r="D92" s="1" t="s">
        <v>939</v>
      </c>
      <c r="E92" s="1" t="s">
        <v>940</v>
      </c>
      <c r="F92" s="1" t="s">
        <v>576</v>
      </c>
      <c r="G92" s="1" t="s">
        <v>941</v>
      </c>
    </row>
    <row r="93" spans="1:7" x14ac:dyDescent="0.25">
      <c r="A93" s="1" t="s">
        <v>361</v>
      </c>
      <c r="B93" s="1" t="s">
        <v>942</v>
      </c>
      <c r="C93" s="1" t="s">
        <v>510</v>
      </c>
      <c r="D93" s="1" t="s">
        <v>943</v>
      </c>
      <c r="E93" s="1" t="s">
        <v>944</v>
      </c>
      <c r="F93" s="1" t="s">
        <v>585</v>
      </c>
      <c r="G93" s="1" t="s">
        <v>945</v>
      </c>
    </row>
    <row r="94" spans="1:7" x14ac:dyDescent="0.25">
      <c r="A94" s="1" t="s">
        <v>398</v>
      </c>
      <c r="B94" s="1" t="s">
        <v>946</v>
      </c>
      <c r="C94" s="1" t="s">
        <v>545</v>
      </c>
      <c r="D94" s="1" t="s">
        <v>947</v>
      </c>
      <c r="E94" s="1" t="s">
        <v>948</v>
      </c>
      <c r="F94" s="1" t="s">
        <v>585</v>
      </c>
      <c r="G94" s="1" t="s">
        <v>949</v>
      </c>
    </row>
    <row r="95" spans="1:7" x14ac:dyDescent="0.25">
      <c r="A95" s="1" t="s">
        <v>365</v>
      </c>
      <c r="B95" s="1" t="s">
        <v>950</v>
      </c>
      <c r="C95" s="1" t="s">
        <v>380</v>
      </c>
      <c r="D95" s="1" t="s">
        <v>951</v>
      </c>
      <c r="E95" s="1" t="s">
        <v>952</v>
      </c>
      <c r="F95" s="1" t="s">
        <v>576</v>
      </c>
      <c r="G95" s="1" t="s">
        <v>953</v>
      </c>
    </row>
    <row r="96" spans="1:7" x14ac:dyDescent="0.25">
      <c r="A96" s="1" t="s">
        <v>258</v>
      </c>
      <c r="B96" s="1" t="s">
        <v>954</v>
      </c>
      <c r="C96" s="1" t="s">
        <v>306</v>
      </c>
      <c r="D96" s="1" t="s">
        <v>955</v>
      </c>
      <c r="E96" s="1" t="s">
        <v>956</v>
      </c>
      <c r="F96" s="1" t="s">
        <v>576</v>
      </c>
      <c r="G96" s="1" t="s">
        <v>957</v>
      </c>
    </row>
    <row r="97" spans="1:7" x14ac:dyDescent="0.25">
      <c r="A97" s="1" t="s">
        <v>227</v>
      </c>
      <c r="B97" s="1" t="s">
        <v>958</v>
      </c>
      <c r="C97" s="1" t="s">
        <v>370</v>
      </c>
      <c r="D97" s="1" t="s">
        <v>959</v>
      </c>
      <c r="E97" s="1" t="s">
        <v>960</v>
      </c>
      <c r="F97" s="1" t="s">
        <v>585</v>
      </c>
      <c r="G97" s="1" t="s">
        <v>961</v>
      </c>
    </row>
    <row r="98" spans="1:7" x14ac:dyDescent="0.25">
      <c r="A98" s="1" t="s">
        <v>180</v>
      </c>
      <c r="B98" s="1" t="s">
        <v>962</v>
      </c>
      <c r="C98" s="1" t="s">
        <v>477</v>
      </c>
      <c r="D98" s="1" t="s">
        <v>963</v>
      </c>
      <c r="E98" s="1" t="s">
        <v>964</v>
      </c>
      <c r="F98" s="1" t="s">
        <v>576</v>
      </c>
      <c r="G98" s="1" t="s">
        <v>965</v>
      </c>
    </row>
    <row r="99" spans="1:7" x14ac:dyDescent="0.25">
      <c r="A99" s="1" t="s">
        <v>413</v>
      </c>
      <c r="B99" s="1" t="s">
        <v>966</v>
      </c>
      <c r="C99" s="1" t="s">
        <v>529</v>
      </c>
      <c r="D99" s="1" t="s">
        <v>967</v>
      </c>
      <c r="E99" s="1" t="s">
        <v>968</v>
      </c>
      <c r="F99" s="1" t="s">
        <v>585</v>
      </c>
      <c r="G99" s="1" t="s">
        <v>969</v>
      </c>
    </row>
    <row r="100" spans="1:7" x14ac:dyDescent="0.25">
      <c r="A100" s="1" t="s">
        <v>183</v>
      </c>
      <c r="B100" s="1" t="s">
        <v>970</v>
      </c>
      <c r="C100" s="1" t="s">
        <v>342</v>
      </c>
      <c r="D100" s="1" t="s">
        <v>971</v>
      </c>
      <c r="E100" s="1" t="s">
        <v>972</v>
      </c>
      <c r="F100" s="1" t="s">
        <v>576</v>
      </c>
      <c r="G100" s="1" t="s">
        <v>973</v>
      </c>
    </row>
    <row r="101" spans="1:7" x14ac:dyDescent="0.25">
      <c r="A101" s="1" t="s">
        <v>304</v>
      </c>
      <c r="B101" s="1" t="s">
        <v>974</v>
      </c>
      <c r="C101" s="1" t="s">
        <v>397</v>
      </c>
      <c r="D101" s="1" t="s">
        <v>975</v>
      </c>
      <c r="E101" s="1" t="s">
        <v>976</v>
      </c>
      <c r="F101" s="1" t="s">
        <v>576</v>
      </c>
      <c r="G101" s="1" t="s">
        <v>977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2850A-4D0C-4C77-AD66-E4E38F848E8B}">
  <dimension ref="A1:I71"/>
  <sheetViews>
    <sheetView workbookViewId="0">
      <selection activeCell="G3" sqref="G3"/>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 min="7" max="7" width="14" bestFit="1" customWidth="1"/>
  </cols>
  <sheetData>
    <row r="1" spans="1:9" x14ac:dyDescent="0.25">
      <c r="A1" t="s">
        <v>0</v>
      </c>
      <c r="B1" t="s">
        <v>1</v>
      </c>
      <c r="C1" t="s">
        <v>2</v>
      </c>
      <c r="D1" t="s">
        <v>3</v>
      </c>
      <c r="E1" t="s">
        <v>4</v>
      </c>
      <c r="F1" t="s">
        <v>5</v>
      </c>
      <c r="G1" t="s">
        <v>1003</v>
      </c>
    </row>
    <row r="2" spans="1:9" x14ac:dyDescent="0.25">
      <c r="A2">
        <v>1</v>
      </c>
      <c r="B2" s="1" t="s">
        <v>6</v>
      </c>
      <c r="C2" s="1" t="s">
        <v>7</v>
      </c>
      <c r="D2">
        <v>1935</v>
      </c>
      <c r="E2" s="1" t="s">
        <v>8</v>
      </c>
      <c r="F2" s="1" t="s">
        <v>9</v>
      </c>
      <c r="G2" s="1" t="str">
        <f>IF(tblProducts[[#This Row],[Price (INR)]]&lt;=0,"Check","OK")</f>
        <v>OK</v>
      </c>
    </row>
    <row r="3" spans="1:9" x14ac:dyDescent="0.25">
      <c r="A3">
        <v>2</v>
      </c>
      <c r="B3" s="1" t="s">
        <v>10</v>
      </c>
      <c r="C3" s="1" t="s">
        <v>11</v>
      </c>
      <c r="D3">
        <v>441</v>
      </c>
      <c r="E3" s="1" t="s">
        <v>12</v>
      </c>
      <c r="F3" s="1" t="s">
        <v>13</v>
      </c>
      <c r="G3" s="1" t="str">
        <f>IF(tblProducts[[#This Row],[Price (INR)]]&lt;=0,"Check","OK")</f>
        <v>OK</v>
      </c>
    </row>
    <row r="4" spans="1:9" x14ac:dyDescent="0.25">
      <c r="A4">
        <v>3</v>
      </c>
      <c r="B4" s="1" t="s">
        <v>14</v>
      </c>
      <c r="C4" s="1" t="s">
        <v>15</v>
      </c>
      <c r="D4">
        <v>1534</v>
      </c>
      <c r="E4" s="1" t="s">
        <v>12</v>
      </c>
      <c r="F4" s="1" t="s">
        <v>16</v>
      </c>
      <c r="G4" s="1" t="str">
        <f>IF(tblProducts[[#This Row],[Price (INR)]]&lt;=0,"Check","OK")</f>
        <v>OK</v>
      </c>
    </row>
    <row r="5" spans="1:9" x14ac:dyDescent="0.25">
      <c r="A5">
        <v>4</v>
      </c>
      <c r="B5" s="1" t="s">
        <v>17</v>
      </c>
      <c r="C5" s="1" t="s">
        <v>18</v>
      </c>
      <c r="D5">
        <v>1199</v>
      </c>
      <c r="E5" s="1" t="s">
        <v>19</v>
      </c>
      <c r="F5" s="1" t="s">
        <v>20</v>
      </c>
      <c r="G5" s="1" t="str">
        <f>IF(tblProducts[[#This Row],[Price (INR)]]&lt;=0,"Check","OK")</f>
        <v>OK</v>
      </c>
    </row>
    <row r="6" spans="1:9" x14ac:dyDescent="0.25">
      <c r="A6">
        <v>5</v>
      </c>
      <c r="B6" s="1" t="s">
        <v>21</v>
      </c>
      <c r="C6" s="1" t="s">
        <v>15</v>
      </c>
      <c r="D6">
        <v>1444</v>
      </c>
      <c r="E6" s="1" t="s">
        <v>8</v>
      </c>
      <c r="F6" s="1" t="s">
        <v>22</v>
      </c>
      <c r="G6" s="1" t="str">
        <f>IF(tblProducts[[#This Row],[Price (INR)]]&lt;=0,"Check","OK")</f>
        <v>OK</v>
      </c>
    </row>
    <row r="7" spans="1:9" x14ac:dyDescent="0.25">
      <c r="A7">
        <v>6</v>
      </c>
      <c r="B7" s="1" t="s">
        <v>23</v>
      </c>
      <c r="C7" s="1" t="s">
        <v>24</v>
      </c>
      <c r="D7">
        <v>1112</v>
      </c>
      <c r="E7" s="1" t="s">
        <v>25</v>
      </c>
      <c r="F7" s="1" t="s">
        <v>26</v>
      </c>
      <c r="G7" s="1" t="str">
        <f>IF(tblProducts[[#This Row],[Price (INR)]]&lt;=0,"Check","OK")</f>
        <v>OK</v>
      </c>
      <c r="I7">
        <f>COUNTBLANK(tblProducts[])</f>
        <v>0</v>
      </c>
    </row>
    <row r="8" spans="1:9" x14ac:dyDescent="0.25">
      <c r="A8">
        <v>7</v>
      </c>
      <c r="B8" s="1" t="s">
        <v>27</v>
      </c>
      <c r="C8" s="1" t="s">
        <v>7</v>
      </c>
      <c r="D8">
        <v>409</v>
      </c>
      <c r="E8" s="1" t="s">
        <v>25</v>
      </c>
      <c r="F8" s="1" t="s">
        <v>28</v>
      </c>
      <c r="G8" s="1" t="str">
        <f>IF(tblProducts[[#This Row],[Price (INR)]]&lt;=0,"Check","OK")</f>
        <v>OK</v>
      </c>
    </row>
    <row r="9" spans="1:9" x14ac:dyDescent="0.25">
      <c r="A9">
        <v>8</v>
      </c>
      <c r="B9" s="1" t="s">
        <v>29</v>
      </c>
      <c r="C9" s="1" t="s">
        <v>18</v>
      </c>
      <c r="D9">
        <v>252</v>
      </c>
      <c r="E9" s="1" t="s">
        <v>30</v>
      </c>
      <c r="F9" s="1" t="s">
        <v>31</v>
      </c>
      <c r="G9" s="1" t="str">
        <f>IF(tblProducts[[#This Row],[Price (INR)]]&lt;=0,"Check","OK")</f>
        <v>OK</v>
      </c>
    </row>
    <row r="10" spans="1:9" x14ac:dyDescent="0.25">
      <c r="A10">
        <v>9</v>
      </c>
      <c r="B10" s="1" t="s">
        <v>32</v>
      </c>
      <c r="C10" s="1" t="s">
        <v>15</v>
      </c>
      <c r="D10">
        <v>1605</v>
      </c>
      <c r="E10" s="1" t="s">
        <v>33</v>
      </c>
      <c r="F10" s="1" t="s">
        <v>34</v>
      </c>
      <c r="G10" s="1" t="str">
        <f>IF(tblProducts[[#This Row],[Price (INR)]]&lt;=0,"Check","OK")</f>
        <v>OK</v>
      </c>
    </row>
    <row r="11" spans="1:9" x14ac:dyDescent="0.25">
      <c r="A11">
        <v>10</v>
      </c>
      <c r="B11" s="1" t="s">
        <v>35</v>
      </c>
      <c r="C11" s="1" t="s">
        <v>24</v>
      </c>
      <c r="D11">
        <v>259</v>
      </c>
      <c r="E11" s="1" t="s">
        <v>36</v>
      </c>
      <c r="F11" s="1" t="s">
        <v>37</v>
      </c>
      <c r="G11" s="1" t="str">
        <f>IF(tblProducts[[#This Row],[Price (INR)]]&lt;=0,"Check","OK")</f>
        <v>OK</v>
      </c>
    </row>
    <row r="12" spans="1:9" x14ac:dyDescent="0.25">
      <c r="A12">
        <v>11</v>
      </c>
      <c r="B12" s="1" t="s">
        <v>38</v>
      </c>
      <c r="C12" s="1" t="s">
        <v>39</v>
      </c>
      <c r="D12">
        <v>1096</v>
      </c>
      <c r="E12" s="1" t="s">
        <v>12</v>
      </c>
      <c r="F12" s="1" t="s">
        <v>40</v>
      </c>
      <c r="G12" s="1" t="str">
        <f>IF(tblProducts[[#This Row],[Price (INR)]]&lt;=0,"Check","OK")</f>
        <v>OK</v>
      </c>
    </row>
    <row r="13" spans="1:9" x14ac:dyDescent="0.25">
      <c r="A13">
        <v>12</v>
      </c>
      <c r="B13" s="1" t="s">
        <v>41</v>
      </c>
      <c r="C13" s="1" t="s">
        <v>11</v>
      </c>
      <c r="D13">
        <v>672</v>
      </c>
      <c r="E13" s="1" t="s">
        <v>30</v>
      </c>
      <c r="F13" s="1" t="s">
        <v>42</v>
      </c>
      <c r="G13" s="1" t="str">
        <f>IF(tblProducts[[#This Row],[Price (INR)]]&lt;=0,"Check","OK")</f>
        <v>OK</v>
      </c>
    </row>
    <row r="14" spans="1:9" x14ac:dyDescent="0.25">
      <c r="A14">
        <v>13</v>
      </c>
      <c r="B14" s="1" t="s">
        <v>43</v>
      </c>
      <c r="C14" s="1" t="s">
        <v>39</v>
      </c>
      <c r="D14">
        <v>1141</v>
      </c>
      <c r="E14" s="1" t="s">
        <v>25</v>
      </c>
      <c r="F14" s="1" t="s">
        <v>44</v>
      </c>
      <c r="G14" s="1" t="str">
        <f>IF(tblProducts[[#This Row],[Price (INR)]]&lt;=0,"Check","OK")</f>
        <v>OK</v>
      </c>
    </row>
    <row r="15" spans="1:9" x14ac:dyDescent="0.25">
      <c r="A15">
        <v>14</v>
      </c>
      <c r="B15" s="1" t="s">
        <v>45</v>
      </c>
      <c r="C15" s="1" t="s">
        <v>15</v>
      </c>
      <c r="D15">
        <v>1915</v>
      </c>
      <c r="E15" s="1" t="s">
        <v>36</v>
      </c>
      <c r="F15" s="1" t="s">
        <v>46</v>
      </c>
      <c r="G15" s="1" t="str">
        <f>IF(tblProducts[[#This Row],[Price (INR)]]&lt;=0,"Check","OK")</f>
        <v>OK</v>
      </c>
    </row>
    <row r="16" spans="1:9" x14ac:dyDescent="0.25">
      <c r="A16">
        <v>15</v>
      </c>
      <c r="B16" s="1" t="s">
        <v>47</v>
      </c>
      <c r="C16" s="1" t="s">
        <v>33</v>
      </c>
      <c r="D16">
        <v>1488</v>
      </c>
      <c r="E16" s="1" t="s">
        <v>30</v>
      </c>
      <c r="F16" s="1" t="s">
        <v>48</v>
      </c>
      <c r="G16" s="1" t="str">
        <f>IF(tblProducts[[#This Row],[Price (INR)]]&lt;=0,"Check","OK")</f>
        <v>OK</v>
      </c>
    </row>
    <row r="17" spans="1:7" x14ac:dyDescent="0.25">
      <c r="A17">
        <v>16</v>
      </c>
      <c r="B17" s="1" t="s">
        <v>49</v>
      </c>
      <c r="C17" s="1" t="s">
        <v>18</v>
      </c>
      <c r="D17">
        <v>1721</v>
      </c>
      <c r="E17" s="1" t="s">
        <v>25</v>
      </c>
      <c r="F17" s="1" t="s">
        <v>50</v>
      </c>
      <c r="G17" s="1" t="str">
        <f>IF(tblProducts[[#This Row],[Price (INR)]]&lt;=0,"Check","OK")</f>
        <v>OK</v>
      </c>
    </row>
    <row r="18" spans="1:7" x14ac:dyDescent="0.25">
      <c r="A18">
        <v>17</v>
      </c>
      <c r="B18" s="1" t="s">
        <v>51</v>
      </c>
      <c r="C18" s="1" t="s">
        <v>7</v>
      </c>
      <c r="D18">
        <v>1899</v>
      </c>
      <c r="E18" s="1" t="s">
        <v>30</v>
      </c>
      <c r="F18" s="1" t="s">
        <v>52</v>
      </c>
      <c r="G18" s="1" t="str">
        <f>IF(tblProducts[[#This Row],[Price (INR)]]&lt;=0,"Check","OK")</f>
        <v>OK</v>
      </c>
    </row>
    <row r="19" spans="1:7" x14ac:dyDescent="0.25">
      <c r="A19">
        <v>18</v>
      </c>
      <c r="B19" s="1" t="s">
        <v>53</v>
      </c>
      <c r="C19" s="1" t="s">
        <v>11</v>
      </c>
      <c r="D19">
        <v>781</v>
      </c>
      <c r="E19" s="1" t="s">
        <v>36</v>
      </c>
      <c r="F19" s="1" t="s">
        <v>54</v>
      </c>
      <c r="G19" s="1" t="str">
        <f>IF(tblProducts[[#This Row],[Price (INR)]]&lt;=0,"Check","OK")</f>
        <v>OK</v>
      </c>
    </row>
    <row r="20" spans="1:7" x14ac:dyDescent="0.25">
      <c r="A20">
        <v>19</v>
      </c>
      <c r="B20" s="1" t="s">
        <v>55</v>
      </c>
      <c r="C20" s="1" t="s">
        <v>39</v>
      </c>
      <c r="D20">
        <v>1234</v>
      </c>
      <c r="E20" s="1" t="s">
        <v>12</v>
      </c>
      <c r="F20" s="1" t="s">
        <v>56</v>
      </c>
      <c r="G20" s="1" t="str">
        <f>IF(tblProducts[[#This Row],[Price (INR)]]&lt;=0,"Check","OK")</f>
        <v>OK</v>
      </c>
    </row>
    <row r="21" spans="1:7" x14ac:dyDescent="0.25">
      <c r="A21">
        <v>20</v>
      </c>
      <c r="B21" s="1" t="s">
        <v>57</v>
      </c>
      <c r="C21" s="1" t="s">
        <v>15</v>
      </c>
      <c r="D21">
        <v>697</v>
      </c>
      <c r="E21" s="1" t="s">
        <v>30</v>
      </c>
      <c r="F21" s="1" t="s">
        <v>58</v>
      </c>
      <c r="G21" s="1" t="str">
        <f>IF(tblProducts[[#This Row],[Price (INR)]]&lt;=0,"Check","OK")</f>
        <v>OK</v>
      </c>
    </row>
    <row r="22" spans="1:7" x14ac:dyDescent="0.25">
      <c r="A22">
        <v>21</v>
      </c>
      <c r="B22" s="1" t="s">
        <v>59</v>
      </c>
      <c r="C22" s="1" t="s">
        <v>15</v>
      </c>
      <c r="D22">
        <v>1561</v>
      </c>
      <c r="E22" s="1" t="s">
        <v>33</v>
      </c>
      <c r="F22" s="1" t="s">
        <v>60</v>
      </c>
      <c r="G22" s="1" t="str">
        <f>IF(tblProducts[[#This Row],[Price (INR)]]&lt;=0,"Check","OK")</f>
        <v>OK</v>
      </c>
    </row>
    <row r="23" spans="1:7" x14ac:dyDescent="0.25">
      <c r="A23">
        <v>22</v>
      </c>
      <c r="B23" s="1" t="s">
        <v>61</v>
      </c>
      <c r="C23" s="1" t="s">
        <v>7</v>
      </c>
      <c r="D23">
        <v>1639</v>
      </c>
      <c r="E23" s="1" t="s">
        <v>8</v>
      </c>
      <c r="F23" s="1" t="s">
        <v>62</v>
      </c>
      <c r="G23" s="1" t="str">
        <f>IF(tblProducts[[#This Row],[Price (INR)]]&lt;=0,"Check","OK")</f>
        <v>OK</v>
      </c>
    </row>
    <row r="24" spans="1:7" x14ac:dyDescent="0.25">
      <c r="A24">
        <v>23</v>
      </c>
      <c r="B24" s="1" t="s">
        <v>63</v>
      </c>
      <c r="C24" s="1" t="s">
        <v>18</v>
      </c>
      <c r="D24">
        <v>1098</v>
      </c>
      <c r="E24" s="1" t="s">
        <v>30</v>
      </c>
      <c r="F24" s="1" t="s">
        <v>64</v>
      </c>
      <c r="G24" s="1" t="str">
        <f>IF(tblProducts[[#This Row],[Price (INR)]]&lt;=0,"Check","OK")</f>
        <v>OK</v>
      </c>
    </row>
    <row r="25" spans="1:7" x14ac:dyDescent="0.25">
      <c r="A25">
        <v>24</v>
      </c>
      <c r="B25" s="1" t="s">
        <v>65</v>
      </c>
      <c r="C25" s="1" t="s">
        <v>39</v>
      </c>
      <c r="D25">
        <v>535</v>
      </c>
      <c r="E25" s="1" t="s">
        <v>36</v>
      </c>
      <c r="F25" s="1" t="s">
        <v>66</v>
      </c>
      <c r="G25" s="1" t="str">
        <f>IF(tblProducts[[#This Row],[Price (INR)]]&lt;=0,"Check","OK")</f>
        <v>OK</v>
      </c>
    </row>
    <row r="26" spans="1:7" x14ac:dyDescent="0.25">
      <c r="A26">
        <v>25</v>
      </c>
      <c r="B26" s="1" t="s">
        <v>67</v>
      </c>
      <c r="C26" s="1" t="s">
        <v>11</v>
      </c>
      <c r="D26">
        <v>1202</v>
      </c>
      <c r="E26" s="1" t="s">
        <v>30</v>
      </c>
      <c r="F26" s="1" t="s">
        <v>68</v>
      </c>
      <c r="G26" s="1" t="str">
        <f>IF(tblProducts[[#This Row],[Price (INR)]]&lt;=0,"Check","OK")</f>
        <v>OK</v>
      </c>
    </row>
    <row r="27" spans="1:7" x14ac:dyDescent="0.25">
      <c r="A27">
        <v>26</v>
      </c>
      <c r="B27" s="1" t="s">
        <v>69</v>
      </c>
      <c r="C27" s="1" t="s">
        <v>15</v>
      </c>
      <c r="D27">
        <v>289</v>
      </c>
      <c r="E27" s="1" t="s">
        <v>25</v>
      </c>
      <c r="F27" s="1" t="s">
        <v>70</v>
      </c>
      <c r="G27" s="1" t="str">
        <f>IF(tblProducts[[#This Row],[Price (INR)]]&lt;=0,"Check","OK")</f>
        <v>OK</v>
      </c>
    </row>
    <row r="28" spans="1:7" x14ac:dyDescent="0.25">
      <c r="A28">
        <v>27</v>
      </c>
      <c r="B28" s="1" t="s">
        <v>71</v>
      </c>
      <c r="C28" s="1" t="s">
        <v>24</v>
      </c>
      <c r="D28">
        <v>548</v>
      </c>
      <c r="E28" s="1" t="s">
        <v>33</v>
      </c>
      <c r="F28" s="1" t="s">
        <v>72</v>
      </c>
      <c r="G28" s="1" t="str">
        <f>IF(tblProducts[[#This Row],[Price (INR)]]&lt;=0,"Check","OK")</f>
        <v>OK</v>
      </c>
    </row>
    <row r="29" spans="1:7" x14ac:dyDescent="0.25">
      <c r="A29">
        <v>28</v>
      </c>
      <c r="B29" s="1" t="s">
        <v>73</v>
      </c>
      <c r="C29" s="1" t="s">
        <v>18</v>
      </c>
      <c r="D29">
        <v>1778</v>
      </c>
      <c r="E29" s="1" t="s">
        <v>33</v>
      </c>
      <c r="F29" s="1" t="s">
        <v>74</v>
      </c>
      <c r="G29" s="1" t="str">
        <f>IF(tblProducts[[#This Row],[Price (INR)]]&lt;=0,"Check","OK")</f>
        <v>OK</v>
      </c>
    </row>
    <row r="30" spans="1:7" x14ac:dyDescent="0.25">
      <c r="A30">
        <v>29</v>
      </c>
      <c r="B30" s="1" t="s">
        <v>75</v>
      </c>
      <c r="C30" s="1" t="s">
        <v>15</v>
      </c>
      <c r="D30">
        <v>1252</v>
      </c>
      <c r="E30" s="1" t="s">
        <v>25</v>
      </c>
      <c r="F30" s="1" t="s">
        <v>76</v>
      </c>
      <c r="G30" s="1" t="str">
        <f>IF(tblProducts[[#This Row],[Price (INR)]]&lt;=0,"Check","OK")</f>
        <v>OK</v>
      </c>
    </row>
    <row r="31" spans="1:7" x14ac:dyDescent="0.25">
      <c r="A31">
        <v>30</v>
      </c>
      <c r="B31" s="1" t="s">
        <v>77</v>
      </c>
      <c r="C31" s="1" t="s">
        <v>15</v>
      </c>
      <c r="D31">
        <v>751</v>
      </c>
      <c r="E31" s="1" t="s">
        <v>30</v>
      </c>
      <c r="F31" s="1" t="s">
        <v>78</v>
      </c>
      <c r="G31" s="1" t="str">
        <f>IF(tblProducts[[#This Row],[Price (INR)]]&lt;=0,"Check","OK")</f>
        <v>OK</v>
      </c>
    </row>
    <row r="32" spans="1:7" x14ac:dyDescent="0.25">
      <c r="A32">
        <v>31</v>
      </c>
      <c r="B32" s="1" t="s">
        <v>79</v>
      </c>
      <c r="C32" s="1" t="s">
        <v>15</v>
      </c>
      <c r="D32">
        <v>1804</v>
      </c>
      <c r="E32" s="1" t="s">
        <v>8</v>
      </c>
      <c r="F32" s="1" t="s">
        <v>80</v>
      </c>
      <c r="G32" s="1" t="str">
        <f>IF(tblProducts[[#This Row],[Price (INR)]]&lt;=0,"Check","OK")</f>
        <v>OK</v>
      </c>
    </row>
    <row r="33" spans="1:7" x14ac:dyDescent="0.25">
      <c r="A33">
        <v>32</v>
      </c>
      <c r="B33" s="1" t="s">
        <v>81</v>
      </c>
      <c r="C33" s="1" t="s">
        <v>7</v>
      </c>
      <c r="D33">
        <v>1792</v>
      </c>
      <c r="E33" s="1" t="s">
        <v>36</v>
      </c>
      <c r="F33" s="1" t="s">
        <v>82</v>
      </c>
      <c r="G33" s="1" t="str">
        <f>IF(tblProducts[[#This Row],[Price (INR)]]&lt;=0,"Check","OK")</f>
        <v>OK</v>
      </c>
    </row>
    <row r="34" spans="1:7" x14ac:dyDescent="0.25">
      <c r="A34">
        <v>33</v>
      </c>
      <c r="B34" s="1" t="s">
        <v>83</v>
      </c>
      <c r="C34" s="1" t="s">
        <v>15</v>
      </c>
      <c r="D34">
        <v>314</v>
      </c>
      <c r="E34" s="1" t="s">
        <v>12</v>
      </c>
      <c r="F34" s="1" t="s">
        <v>84</v>
      </c>
      <c r="G34" s="1" t="str">
        <f>IF(tblProducts[[#This Row],[Price (INR)]]&lt;=0,"Check","OK")</f>
        <v>OK</v>
      </c>
    </row>
    <row r="35" spans="1:7" x14ac:dyDescent="0.25">
      <c r="A35">
        <v>34</v>
      </c>
      <c r="B35" s="1" t="s">
        <v>85</v>
      </c>
      <c r="C35" s="1" t="s">
        <v>7</v>
      </c>
      <c r="D35">
        <v>1335</v>
      </c>
      <c r="E35" s="1" t="s">
        <v>33</v>
      </c>
      <c r="F35" s="1" t="s">
        <v>86</v>
      </c>
      <c r="G35" s="1" t="str">
        <f>IF(tblProducts[[#This Row],[Price (INR)]]&lt;=0,"Check","OK")</f>
        <v>OK</v>
      </c>
    </row>
    <row r="36" spans="1:7" x14ac:dyDescent="0.25">
      <c r="A36">
        <v>35</v>
      </c>
      <c r="B36" s="1" t="s">
        <v>87</v>
      </c>
      <c r="C36" s="1" t="s">
        <v>15</v>
      </c>
      <c r="D36">
        <v>1865</v>
      </c>
      <c r="E36" s="1" t="s">
        <v>25</v>
      </c>
      <c r="F36" s="1" t="s">
        <v>88</v>
      </c>
      <c r="G36" s="1" t="str">
        <f>IF(tblProducts[[#This Row],[Price (INR)]]&lt;=0,"Check","OK")</f>
        <v>OK</v>
      </c>
    </row>
    <row r="37" spans="1:7" x14ac:dyDescent="0.25">
      <c r="A37">
        <v>36</v>
      </c>
      <c r="B37" s="1" t="s">
        <v>89</v>
      </c>
      <c r="C37" s="1" t="s">
        <v>11</v>
      </c>
      <c r="D37">
        <v>203</v>
      </c>
      <c r="E37" s="1" t="s">
        <v>36</v>
      </c>
      <c r="F37" s="1" t="s">
        <v>90</v>
      </c>
      <c r="G37" s="1" t="str">
        <f>IF(tblProducts[[#This Row],[Price (INR)]]&lt;=0,"Check","OK")</f>
        <v>OK</v>
      </c>
    </row>
    <row r="38" spans="1:7" x14ac:dyDescent="0.25">
      <c r="A38">
        <v>37</v>
      </c>
      <c r="B38" s="1" t="s">
        <v>91</v>
      </c>
      <c r="C38" s="1" t="s">
        <v>15</v>
      </c>
      <c r="D38">
        <v>1428</v>
      </c>
      <c r="E38" s="1" t="s">
        <v>19</v>
      </c>
      <c r="F38" s="1" t="s">
        <v>92</v>
      </c>
      <c r="G38" s="1" t="str">
        <f>IF(tblProducts[[#This Row],[Price (INR)]]&lt;=0,"Check","OK")</f>
        <v>OK</v>
      </c>
    </row>
    <row r="39" spans="1:7" x14ac:dyDescent="0.25">
      <c r="A39">
        <v>38</v>
      </c>
      <c r="B39" s="1" t="s">
        <v>93</v>
      </c>
      <c r="C39" s="1" t="s">
        <v>24</v>
      </c>
      <c r="D39">
        <v>562</v>
      </c>
      <c r="E39" s="1" t="s">
        <v>36</v>
      </c>
      <c r="F39" s="1" t="s">
        <v>94</v>
      </c>
      <c r="G39" s="1" t="str">
        <f>IF(tblProducts[[#This Row],[Price (INR)]]&lt;=0,"Check","OK")</f>
        <v>OK</v>
      </c>
    </row>
    <row r="40" spans="1:7" x14ac:dyDescent="0.25">
      <c r="A40">
        <v>39</v>
      </c>
      <c r="B40" s="1" t="s">
        <v>95</v>
      </c>
      <c r="C40" s="1" t="s">
        <v>39</v>
      </c>
      <c r="D40">
        <v>387</v>
      </c>
      <c r="E40" s="1" t="s">
        <v>8</v>
      </c>
      <c r="F40" s="1" t="s">
        <v>96</v>
      </c>
      <c r="G40" s="1" t="str">
        <f>IF(tblProducts[[#This Row],[Price (INR)]]&lt;=0,"Check","OK")</f>
        <v>OK</v>
      </c>
    </row>
    <row r="41" spans="1:7" x14ac:dyDescent="0.25">
      <c r="A41">
        <v>40</v>
      </c>
      <c r="B41" s="1" t="s">
        <v>97</v>
      </c>
      <c r="C41" s="1" t="s">
        <v>18</v>
      </c>
      <c r="D41">
        <v>1923</v>
      </c>
      <c r="E41" s="1" t="s">
        <v>30</v>
      </c>
      <c r="F41" s="1" t="s">
        <v>98</v>
      </c>
      <c r="G41" s="1" t="str">
        <f>IF(tblProducts[[#This Row],[Price (INR)]]&lt;=0,"Check","OK")</f>
        <v>OK</v>
      </c>
    </row>
    <row r="42" spans="1:7" x14ac:dyDescent="0.25">
      <c r="A42">
        <v>41</v>
      </c>
      <c r="B42" s="1" t="s">
        <v>99</v>
      </c>
      <c r="C42" s="1" t="s">
        <v>18</v>
      </c>
      <c r="D42">
        <v>1977</v>
      </c>
      <c r="E42" s="1" t="s">
        <v>19</v>
      </c>
      <c r="F42" s="1" t="s">
        <v>100</v>
      </c>
      <c r="G42" s="1" t="str">
        <f>IF(tblProducts[[#This Row],[Price (INR)]]&lt;=0,"Check","OK")</f>
        <v>OK</v>
      </c>
    </row>
    <row r="43" spans="1:7" x14ac:dyDescent="0.25">
      <c r="A43">
        <v>42</v>
      </c>
      <c r="B43" s="1" t="s">
        <v>101</v>
      </c>
      <c r="C43" s="1" t="s">
        <v>18</v>
      </c>
      <c r="D43">
        <v>1744</v>
      </c>
      <c r="E43" s="1" t="s">
        <v>8</v>
      </c>
      <c r="F43" s="1" t="s">
        <v>102</v>
      </c>
      <c r="G43" s="1" t="str">
        <f>IF(tblProducts[[#This Row],[Price (INR)]]&lt;=0,"Check","OK")</f>
        <v>OK</v>
      </c>
    </row>
    <row r="44" spans="1:7" x14ac:dyDescent="0.25">
      <c r="A44">
        <v>43</v>
      </c>
      <c r="B44" s="1" t="s">
        <v>103</v>
      </c>
      <c r="C44" s="1" t="s">
        <v>33</v>
      </c>
      <c r="D44">
        <v>750</v>
      </c>
      <c r="E44" s="1" t="s">
        <v>19</v>
      </c>
      <c r="F44" s="1" t="s">
        <v>104</v>
      </c>
      <c r="G44" s="1" t="str">
        <f>IF(tblProducts[[#This Row],[Price (INR)]]&lt;=0,"Check","OK")</f>
        <v>OK</v>
      </c>
    </row>
    <row r="45" spans="1:7" x14ac:dyDescent="0.25">
      <c r="A45">
        <v>44</v>
      </c>
      <c r="B45" s="1" t="s">
        <v>105</v>
      </c>
      <c r="C45" s="1" t="s">
        <v>11</v>
      </c>
      <c r="D45">
        <v>794</v>
      </c>
      <c r="E45" s="1" t="s">
        <v>19</v>
      </c>
      <c r="F45" s="1" t="s">
        <v>106</v>
      </c>
      <c r="G45" s="1" t="str">
        <f>IF(tblProducts[[#This Row],[Price (INR)]]&lt;=0,"Check","OK")</f>
        <v>OK</v>
      </c>
    </row>
    <row r="46" spans="1:7" x14ac:dyDescent="0.25">
      <c r="A46">
        <v>45</v>
      </c>
      <c r="B46" s="1" t="s">
        <v>107</v>
      </c>
      <c r="C46" s="1" t="s">
        <v>33</v>
      </c>
      <c r="D46">
        <v>722</v>
      </c>
      <c r="E46" s="1" t="s">
        <v>36</v>
      </c>
      <c r="F46" s="1" t="s">
        <v>108</v>
      </c>
      <c r="G46" s="1" t="str">
        <f>IF(tblProducts[[#This Row],[Price (INR)]]&lt;=0,"Check","OK")</f>
        <v>OK</v>
      </c>
    </row>
    <row r="47" spans="1:7" x14ac:dyDescent="0.25">
      <c r="A47">
        <v>46</v>
      </c>
      <c r="B47" s="1" t="s">
        <v>109</v>
      </c>
      <c r="C47" s="1" t="s">
        <v>24</v>
      </c>
      <c r="D47">
        <v>758</v>
      </c>
      <c r="E47" s="1" t="s">
        <v>30</v>
      </c>
      <c r="F47" s="1" t="s">
        <v>110</v>
      </c>
      <c r="G47" s="1" t="str">
        <f>IF(tblProducts[[#This Row],[Price (INR)]]&lt;=0,"Check","OK")</f>
        <v>OK</v>
      </c>
    </row>
    <row r="48" spans="1:7" x14ac:dyDescent="0.25">
      <c r="A48">
        <v>47</v>
      </c>
      <c r="B48" s="1" t="s">
        <v>111</v>
      </c>
      <c r="C48" s="1" t="s">
        <v>15</v>
      </c>
      <c r="D48">
        <v>1638</v>
      </c>
      <c r="E48" s="1" t="s">
        <v>25</v>
      </c>
      <c r="F48" s="1" t="s">
        <v>112</v>
      </c>
      <c r="G48" s="1" t="str">
        <f>IF(tblProducts[[#This Row],[Price (INR)]]&lt;=0,"Check","OK")</f>
        <v>OK</v>
      </c>
    </row>
    <row r="49" spans="1:7" x14ac:dyDescent="0.25">
      <c r="A49">
        <v>48</v>
      </c>
      <c r="B49" s="1" t="s">
        <v>113</v>
      </c>
      <c r="C49" s="1" t="s">
        <v>15</v>
      </c>
      <c r="D49">
        <v>433</v>
      </c>
      <c r="E49" s="1" t="s">
        <v>19</v>
      </c>
      <c r="F49" s="1" t="s">
        <v>114</v>
      </c>
      <c r="G49" s="1" t="str">
        <f>IF(tblProducts[[#This Row],[Price (INR)]]&lt;=0,"Check","OK")</f>
        <v>OK</v>
      </c>
    </row>
    <row r="50" spans="1:7" x14ac:dyDescent="0.25">
      <c r="A50">
        <v>49</v>
      </c>
      <c r="B50" s="1" t="s">
        <v>115</v>
      </c>
      <c r="C50" s="1" t="s">
        <v>15</v>
      </c>
      <c r="D50">
        <v>903</v>
      </c>
      <c r="E50" s="1" t="s">
        <v>12</v>
      </c>
      <c r="F50" s="1" t="s">
        <v>116</v>
      </c>
      <c r="G50" s="1" t="str">
        <f>IF(tblProducts[[#This Row],[Price (INR)]]&lt;=0,"Check","OK")</f>
        <v>OK</v>
      </c>
    </row>
    <row r="51" spans="1:7" x14ac:dyDescent="0.25">
      <c r="A51">
        <v>50</v>
      </c>
      <c r="B51" s="1" t="s">
        <v>117</v>
      </c>
      <c r="C51" s="1" t="s">
        <v>11</v>
      </c>
      <c r="D51">
        <v>422</v>
      </c>
      <c r="E51" s="1" t="s">
        <v>25</v>
      </c>
      <c r="F51" s="1" t="s">
        <v>118</v>
      </c>
      <c r="G51" s="1" t="str">
        <f>IF(tblProducts[[#This Row],[Price (INR)]]&lt;=0,"Check","OK")</f>
        <v>OK</v>
      </c>
    </row>
    <row r="52" spans="1:7" x14ac:dyDescent="0.25">
      <c r="A52">
        <v>51</v>
      </c>
      <c r="B52" s="1" t="s">
        <v>119</v>
      </c>
      <c r="C52" s="1" t="s">
        <v>7</v>
      </c>
      <c r="D52">
        <v>1084</v>
      </c>
      <c r="E52" s="1" t="s">
        <v>8</v>
      </c>
      <c r="F52" s="1" t="s">
        <v>120</v>
      </c>
      <c r="G52" s="1" t="str">
        <f>IF(tblProducts[[#This Row],[Price (INR)]]&lt;=0,"Check","OK")</f>
        <v>OK</v>
      </c>
    </row>
    <row r="53" spans="1:7" x14ac:dyDescent="0.25">
      <c r="A53">
        <v>52</v>
      </c>
      <c r="B53" s="1" t="s">
        <v>121</v>
      </c>
      <c r="C53" s="1" t="s">
        <v>33</v>
      </c>
      <c r="D53">
        <v>236</v>
      </c>
      <c r="E53" s="1" t="s">
        <v>12</v>
      </c>
      <c r="F53" s="1" t="s">
        <v>122</v>
      </c>
      <c r="G53" s="1" t="str">
        <f>IF(tblProducts[[#This Row],[Price (INR)]]&lt;=0,"Check","OK")</f>
        <v>OK</v>
      </c>
    </row>
    <row r="54" spans="1:7" x14ac:dyDescent="0.25">
      <c r="A54">
        <v>53</v>
      </c>
      <c r="B54" s="1" t="s">
        <v>123</v>
      </c>
      <c r="C54" s="1" t="s">
        <v>18</v>
      </c>
      <c r="D54">
        <v>1672</v>
      </c>
      <c r="E54" s="1" t="s">
        <v>33</v>
      </c>
      <c r="F54" s="1" t="s">
        <v>124</v>
      </c>
      <c r="G54" s="1" t="str">
        <f>IF(tblProducts[[#This Row],[Price (INR)]]&lt;=0,"Check","OK")</f>
        <v>OK</v>
      </c>
    </row>
    <row r="55" spans="1:7" x14ac:dyDescent="0.25">
      <c r="A55">
        <v>54</v>
      </c>
      <c r="B55" s="1" t="s">
        <v>125</v>
      </c>
      <c r="C55" s="1" t="s">
        <v>24</v>
      </c>
      <c r="D55">
        <v>1236</v>
      </c>
      <c r="E55" s="1" t="s">
        <v>30</v>
      </c>
      <c r="F55" s="1" t="s">
        <v>126</v>
      </c>
      <c r="G55" s="1" t="str">
        <f>IF(tblProducts[[#This Row],[Price (INR)]]&lt;=0,"Check","OK")</f>
        <v>OK</v>
      </c>
    </row>
    <row r="56" spans="1:7" x14ac:dyDescent="0.25">
      <c r="A56">
        <v>55</v>
      </c>
      <c r="B56" s="1" t="s">
        <v>127</v>
      </c>
      <c r="C56" s="1" t="s">
        <v>7</v>
      </c>
      <c r="D56">
        <v>1904</v>
      </c>
      <c r="E56" s="1" t="s">
        <v>33</v>
      </c>
      <c r="F56" s="1" t="s">
        <v>128</v>
      </c>
      <c r="G56" s="1" t="str">
        <f>IF(tblProducts[[#This Row],[Price (INR)]]&lt;=0,"Check","OK")</f>
        <v>OK</v>
      </c>
    </row>
    <row r="57" spans="1:7" x14ac:dyDescent="0.25">
      <c r="A57">
        <v>56</v>
      </c>
      <c r="B57" s="1" t="s">
        <v>59</v>
      </c>
      <c r="C57" s="1" t="s">
        <v>33</v>
      </c>
      <c r="D57">
        <v>1272</v>
      </c>
      <c r="E57" s="1" t="s">
        <v>30</v>
      </c>
      <c r="F57" s="1" t="s">
        <v>129</v>
      </c>
      <c r="G57" s="1" t="str">
        <f>IF(tblProducts[[#This Row],[Price (INR)]]&lt;=0,"Check","OK")</f>
        <v>OK</v>
      </c>
    </row>
    <row r="58" spans="1:7" x14ac:dyDescent="0.25">
      <c r="A58">
        <v>57</v>
      </c>
      <c r="B58" s="1" t="s">
        <v>130</v>
      </c>
      <c r="C58" s="1" t="s">
        <v>15</v>
      </c>
      <c r="D58">
        <v>1582</v>
      </c>
      <c r="E58" s="1" t="s">
        <v>36</v>
      </c>
      <c r="F58" s="1" t="s">
        <v>131</v>
      </c>
      <c r="G58" s="1" t="str">
        <f>IF(tblProducts[[#This Row],[Price (INR)]]&lt;=0,"Check","OK")</f>
        <v>OK</v>
      </c>
    </row>
    <row r="59" spans="1:7" x14ac:dyDescent="0.25">
      <c r="A59">
        <v>58</v>
      </c>
      <c r="B59" s="1" t="s">
        <v>132</v>
      </c>
      <c r="C59" s="1" t="s">
        <v>24</v>
      </c>
      <c r="D59">
        <v>1492</v>
      </c>
      <c r="E59" s="1" t="s">
        <v>12</v>
      </c>
      <c r="F59" s="1" t="s">
        <v>133</v>
      </c>
      <c r="G59" s="1" t="str">
        <f>IF(tblProducts[[#This Row],[Price (INR)]]&lt;=0,"Check","OK")</f>
        <v>OK</v>
      </c>
    </row>
    <row r="60" spans="1:7" x14ac:dyDescent="0.25">
      <c r="A60">
        <v>59</v>
      </c>
      <c r="B60" s="1" t="s">
        <v>134</v>
      </c>
      <c r="C60" s="1" t="s">
        <v>24</v>
      </c>
      <c r="D60">
        <v>811</v>
      </c>
      <c r="E60" s="1" t="s">
        <v>33</v>
      </c>
      <c r="F60" s="1" t="s">
        <v>135</v>
      </c>
      <c r="G60" s="1" t="str">
        <f>IF(tblProducts[[#This Row],[Price (INR)]]&lt;=0,"Check","OK")</f>
        <v>OK</v>
      </c>
    </row>
    <row r="61" spans="1:7" x14ac:dyDescent="0.25">
      <c r="A61">
        <v>60</v>
      </c>
      <c r="B61" s="1" t="s">
        <v>136</v>
      </c>
      <c r="C61" s="1" t="s">
        <v>18</v>
      </c>
      <c r="D61">
        <v>827</v>
      </c>
      <c r="E61" s="1" t="s">
        <v>19</v>
      </c>
      <c r="F61" s="1" t="s">
        <v>137</v>
      </c>
      <c r="G61" s="1" t="str">
        <f>IF(tblProducts[[#This Row],[Price (INR)]]&lt;=0,"Check","OK")</f>
        <v>OK</v>
      </c>
    </row>
    <row r="62" spans="1:7" x14ac:dyDescent="0.25">
      <c r="A62">
        <v>61</v>
      </c>
      <c r="B62" s="1" t="s">
        <v>138</v>
      </c>
      <c r="C62" s="1" t="s">
        <v>11</v>
      </c>
      <c r="D62">
        <v>810</v>
      </c>
      <c r="E62" s="1" t="s">
        <v>30</v>
      </c>
      <c r="F62" s="1" t="s">
        <v>139</v>
      </c>
      <c r="G62" s="1" t="str">
        <f>IF(tblProducts[[#This Row],[Price (INR)]]&lt;=0,"Check","OK")</f>
        <v>OK</v>
      </c>
    </row>
    <row r="63" spans="1:7" x14ac:dyDescent="0.25">
      <c r="A63">
        <v>62</v>
      </c>
      <c r="B63" s="1" t="s">
        <v>140</v>
      </c>
      <c r="C63" s="1" t="s">
        <v>15</v>
      </c>
      <c r="D63">
        <v>1356</v>
      </c>
      <c r="E63" s="1" t="s">
        <v>25</v>
      </c>
      <c r="F63" s="1" t="s">
        <v>141</v>
      </c>
      <c r="G63" s="1" t="str">
        <f>IF(tblProducts[[#This Row],[Price (INR)]]&lt;=0,"Check","OK")</f>
        <v>OK</v>
      </c>
    </row>
    <row r="64" spans="1:7" x14ac:dyDescent="0.25">
      <c r="A64">
        <v>63</v>
      </c>
      <c r="B64" s="1" t="s">
        <v>142</v>
      </c>
      <c r="C64" s="1" t="s">
        <v>18</v>
      </c>
      <c r="D64">
        <v>1348</v>
      </c>
      <c r="E64" s="1" t="s">
        <v>8</v>
      </c>
      <c r="F64" s="1" t="s">
        <v>143</v>
      </c>
      <c r="G64" s="1" t="str">
        <f>IF(tblProducts[[#This Row],[Price (INR)]]&lt;=0,"Check","OK")</f>
        <v>OK</v>
      </c>
    </row>
    <row r="65" spans="1:7" x14ac:dyDescent="0.25">
      <c r="A65">
        <v>64</v>
      </c>
      <c r="B65" s="1" t="s">
        <v>144</v>
      </c>
      <c r="C65" s="1" t="s">
        <v>7</v>
      </c>
      <c r="D65">
        <v>1878</v>
      </c>
      <c r="E65" s="1" t="s">
        <v>33</v>
      </c>
      <c r="F65" s="1" t="s">
        <v>145</v>
      </c>
      <c r="G65" s="1" t="str">
        <f>IF(tblProducts[[#This Row],[Price (INR)]]&lt;=0,"Check","OK")</f>
        <v>OK</v>
      </c>
    </row>
    <row r="66" spans="1:7" x14ac:dyDescent="0.25">
      <c r="A66">
        <v>65</v>
      </c>
      <c r="B66" s="1" t="s">
        <v>146</v>
      </c>
      <c r="C66" s="1" t="s">
        <v>33</v>
      </c>
      <c r="D66">
        <v>1895</v>
      </c>
      <c r="E66" s="1" t="s">
        <v>8</v>
      </c>
      <c r="F66" s="1" t="s">
        <v>147</v>
      </c>
      <c r="G66" s="1" t="str">
        <f>IF(tblProducts[[#This Row],[Price (INR)]]&lt;=0,"Check","OK")</f>
        <v>OK</v>
      </c>
    </row>
    <row r="67" spans="1:7" x14ac:dyDescent="0.25">
      <c r="A67">
        <v>66</v>
      </c>
      <c r="B67" s="1" t="s">
        <v>148</v>
      </c>
      <c r="C67" s="1" t="s">
        <v>15</v>
      </c>
      <c r="D67">
        <v>610</v>
      </c>
      <c r="E67" s="1" t="s">
        <v>25</v>
      </c>
      <c r="F67" s="1" t="s">
        <v>149</v>
      </c>
      <c r="G67" s="1" t="str">
        <f>IF(tblProducts[[#This Row],[Price (INR)]]&lt;=0,"Check","OK")</f>
        <v>OK</v>
      </c>
    </row>
    <row r="68" spans="1:7" x14ac:dyDescent="0.25">
      <c r="A68">
        <v>67</v>
      </c>
      <c r="B68" s="1" t="s">
        <v>150</v>
      </c>
      <c r="C68" s="1" t="s">
        <v>33</v>
      </c>
      <c r="D68">
        <v>1374</v>
      </c>
      <c r="E68" s="1" t="s">
        <v>30</v>
      </c>
      <c r="F68" s="1" t="s">
        <v>151</v>
      </c>
      <c r="G68" s="1" t="str">
        <f>IF(tblProducts[[#This Row],[Price (INR)]]&lt;=0,"Check","OK")</f>
        <v>OK</v>
      </c>
    </row>
    <row r="69" spans="1:7" x14ac:dyDescent="0.25">
      <c r="A69">
        <v>68</v>
      </c>
      <c r="B69" s="1" t="s">
        <v>152</v>
      </c>
      <c r="C69" s="1" t="s">
        <v>7</v>
      </c>
      <c r="D69">
        <v>597</v>
      </c>
      <c r="E69" s="1" t="s">
        <v>12</v>
      </c>
      <c r="F69" s="1" t="s">
        <v>153</v>
      </c>
      <c r="G69" s="1" t="str">
        <f>IF(tblProducts[[#This Row],[Price (INR)]]&lt;=0,"Check","OK")</f>
        <v>OK</v>
      </c>
    </row>
    <row r="70" spans="1:7" x14ac:dyDescent="0.25">
      <c r="A70">
        <v>69</v>
      </c>
      <c r="B70" s="1" t="s">
        <v>154</v>
      </c>
      <c r="C70" s="1" t="s">
        <v>24</v>
      </c>
      <c r="D70">
        <v>998</v>
      </c>
      <c r="E70" s="1" t="s">
        <v>25</v>
      </c>
      <c r="F70" s="1" t="s">
        <v>155</v>
      </c>
      <c r="G70" s="1" t="str">
        <f>IF(tblProducts[[#This Row],[Price (INR)]]&lt;=0,"Check","OK")</f>
        <v>OK</v>
      </c>
    </row>
    <row r="71" spans="1:7" x14ac:dyDescent="0.25">
      <c r="A71">
        <v>70</v>
      </c>
      <c r="B71" s="1" t="s">
        <v>146</v>
      </c>
      <c r="C71" s="1" t="s">
        <v>18</v>
      </c>
      <c r="D71">
        <v>866</v>
      </c>
      <c r="E71" s="1" t="s">
        <v>36</v>
      </c>
      <c r="F71" s="1" t="s">
        <v>156</v>
      </c>
      <c r="G71" s="1" t="str">
        <f>IF(tblProducts[[#This Row],[Price (INR)]]&lt;=0,"Check","OK")</f>
        <v>OK</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56369-3D1F-4445-913C-338E3BC16A84}">
  <dimension ref="A1:B25"/>
  <sheetViews>
    <sheetView tabSelected="1" topLeftCell="A3" workbookViewId="0">
      <selection activeCell="D22" sqref="D22"/>
    </sheetView>
  </sheetViews>
  <sheetFormatPr defaultRowHeight="15" x14ac:dyDescent="0.25"/>
  <cols>
    <col min="1" max="1" width="28.28515625" bestFit="1" customWidth="1"/>
    <col min="2" max="2" width="9.7109375" bestFit="1" customWidth="1"/>
  </cols>
  <sheetData>
    <row r="1" spans="1:2" ht="22.5" x14ac:dyDescent="0.45">
      <c r="A1" s="24" t="s">
        <v>987</v>
      </c>
      <c r="B1" s="24"/>
    </row>
    <row r="2" spans="1:2" x14ac:dyDescent="0.25">
      <c r="A2" s="6"/>
      <c r="B2" s="6"/>
    </row>
    <row r="3" spans="1:2" x14ac:dyDescent="0.25">
      <c r="A3" t="s">
        <v>978</v>
      </c>
      <c r="B3" t="s">
        <v>979</v>
      </c>
    </row>
    <row r="4" spans="1:2" x14ac:dyDescent="0.25">
      <c r="A4" t="s">
        <v>980</v>
      </c>
      <c r="B4">
        <f>ROWS(tblOrders[])</f>
        <v>1000</v>
      </c>
    </row>
    <row r="5" spans="1:2" x14ac:dyDescent="0.25">
      <c r="A5" t="s">
        <v>981</v>
      </c>
      <c r="B5">
        <f>ROWS(tblCustomers[])</f>
        <v>100</v>
      </c>
    </row>
    <row r="6" spans="1:2" x14ac:dyDescent="0.25">
      <c r="A6" t="s">
        <v>982</v>
      </c>
      <c r="B6">
        <f>ROWS(tblProducts[])</f>
        <v>70</v>
      </c>
    </row>
    <row r="7" spans="1:2" x14ac:dyDescent="0.25">
      <c r="A7" t="s">
        <v>983</v>
      </c>
    </row>
    <row r="8" spans="1:2" x14ac:dyDescent="0.25">
      <c r="A8" t="s">
        <v>984</v>
      </c>
      <c r="B8">
        <f>COUNTA(_xlfn.UNIQUE(tblCustomers[City]))</f>
        <v>86</v>
      </c>
    </row>
    <row r="9" spans="1:2" x14ac:dyDescent="0.25">
      <c r="A9" t="s">
        <v>985</v>
      </c>
      <c r="B9">
        <f>COUNTA(_xlfn.UNIQUE(tblProducts[Category]))</f>
        <v>7</v>
      </c>
    </row>
    <row r="10" spans="1:2" x14ac:dyDescent="0.25">
      <c r="A10" t="s">
        <v>986</v>
      </c>
      <c r="B10">
        <f>COUNTA(_xlfn.UNIQUE(tblOrders[Occasion]))</f>
        <v>7</v>
      </c>
    </row>
    <row r="13" spans="1:2" x14ac:dyDescent="0.25">
      <c r="A13" t="s">
        <v>991</v>
      </c>
      <c r="B13" t="s">
        <v>992</v>
      </c>
    </row>
    <row r="14" spans="1:2" x14ac:dyDescent="0.25">
      <c r="A14" t="s">
        <v>988</v>
      </c>
      <c r="B14">
        <v>0</v>
      </c>
    </row>
    <row r="15" spans="1:2" x14ac:dyDescent="0.25">
      <c r="A15" t="s">
        <v>990</v>
      </c>
      <c r="B15">
        <v>0</v>
      </c>
    </row>
    <row r="16" spans="1:2" x14ac:dyDescent="0.25">
      <c r="A16" t="s">
        <v>989</v>
      </c>
      <c r="B16">
        <v>0</v>
      </c>
    </row>
    <row r="17" spans="1:2" x14ac:dyDescent="0.25">
      <c r="A17" t="s">
        <v>993</v>
      </c>
      <c r="B17">
        <f>COUNTBLANK(tblOrders[Order_ID])</f>
        <v>0</v>
      </c>
    </row>
    <row r="18" spans="1:2" x14ac:dyDescent="0.25">
      <c r="A18" t="s">
        <v>995</v>
      </c>
      <c r="B18">
        <f>COUNTBLANK(tblCustomers[Customer_ID])</f>
        <v>0</v>
      </c>
    </row>
    <row r="19" spans="1:2" x14ac:dyDescent="0.25">
      <c r="A19" t="s">
        <v>994</v>
      </c>
      <c r="B19">
        <f>COUNTBLANK(tblProducts[Product_ID])</f>
        <v>0</v>
      </c>
    </row>
    <row r="20" spans="1:2" x14ac:dyDescent="0.25">
      <c r="A20" t="s">
        <v>996</v>
      </c>
      <c r="B20">
        <f>COUNTBLANK(tblOrders[Quantity])</f>
        <v>0</v>
      </c>
    </row>
    <row r="21" spans="1:2" x14ac:dyDescent="0.25">
      <c r="A21" t="s">
        <v>997</v>
      </c>
      <c r="B21">
        <f>COUNTBLANK(tblOrders[Order_Date])</f>
        <v>0</v>
      </c>
    </row>
    <row r="22" spans="1:2" x14ac:dyDescent="0.25">
      <c r="A22" t="s">
        <v>998</v>
      </c>
      <c r="B22">
        <f>COUNTBLANK(tblOrders[Delivery_Date])</f>
        <v>0</v>
      </c>
    </row>
    <row r="23" spans="1:2" x14ac:dyDescent="0.25">
      <c r="A23" t="s">
        <v>999</v>
      </c>
      <c r="B23">
        <v>0</v>
      </c>
    </row>
    <row r="24" spans="1:2" x14ac:dyDescent="0.25">
      <c r="A24" t="s">
        <v>1000</v>
      </c>
      <c r="B24">
        <v>0</v>
      </c>
    </row>
    <row r="25" spans="1:2" x14ac:dyDescent="0.25">
      <c r="A25" t="s">
        <v>1001</v>
      </c>
      <c r="B25">
        <v>0</v>
      </c>
    </row>
  </sheetData>
  <mergeCells count="1">
    <mergeCell ref="A1:B1"/>
  </mergeCell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5BDE9-162D-47C3-852A-EA766C1B12B0}">
  <dimension ref="A1:AB1001"/>
  <sheetViews>
    <sheetView topLeftCell="A675" workbookViewId="0">
      <selection activeCell="I12" sqref="I12"/>
    </sheetView>
  </sheetViews>
  <sheetFormatPr defaultRowHeight="15" x14ac:dyDescent="0.25"/>
  <cols>
    <col min="1" max="1" width="11.140625" customWidth="1"/>
    <col min="2" max="2" width="14.5703125" customWidth="1"/>
    <col min="3" max="3" width="12.85546875" customWidth="1"/>
    <col min="4" max="4" width="10.85546875" customWidth="1"/>
    <col min="5" max="5" width="13.42578125" customWidth="1"/>
    <col min="6" max="6" width="13.7109375" customWidth="1"/>
    <col min="7" max="7" width="15.7109375" customWidth="1"/>
    <col min="8" max="8" width="16" customWidth="1"/>
    <col min="9" max="9" width="27.140625" bestFit="1" customWidth="1"/>
    <col min="10" max="10" width="15.42578125" bestFit="1" customWidth="1"/>
    <col min="11" max="11" width="27.140625" bestFit="1" customWidth="1"/>
    <col min="12" max="12" width="23.140625" bestFit="1" customWidth="1"/>
    <col min="14" max="14" width="19.140625" bestFit="1" customWidth="1"/>
    <col min="15" max="16" width="15.42578125" bestFit="1" customWidth="1"/>
    <col min="18" max="18" width="11.140625" bestFit="1" customWidth="1"/>
    <col min="19" max="19" width="24.85546875" bestFit="1" customWidth="1"/>
    <col min="21" max="21" width="15" bestFit="1" customWidth="1"/>
    <col min="22" max="22" width="15.7109375" bestFit="1" customWidth="1"/>
    <col min="23" max="23" width="10.85546875" bestFit="1" customWidth="1"/>
    <col min="24" max="24" width="17.140625" bestFit="1" customWidth="1"/>
    <col min="25" max="25" width="10.140625" bestFit="1" customWidth="1"/>
    <col min="27" max="27" width="14.5703125" bestFit="1" customWidth="1"/>
    <col min="28" max="28" width="22.5703125" bestFit="1" customWidth="1"/>
  </cols>
  <sheetData>
    <row r="1" spans="1:28" x14ac:dyDescent="0.25">
      <c r="A1" s="13" t="s">
        <v>157</v>
      </c>
      <c r="B1" s="13" t="s">
        <v>158</v>
      </c>
      <c r="C1" s="13" t="s">
        <v>0</v>
      </c>
      <c r="D1" s="13" t="s">
        <v>159</v>
      </c>
      <c r="E1" s="13" t="s">
        <v>160</v>
      </c>
      <c r="F1" s="13" t="s">
        <v>161</v>
      </c>
      <c r="G1" s="13" t="s">
        <v>162</v>
      </c>
      <c r="H1" s="13" t="s">
        <v>163</v>
      </c>
      <c r="I1" s="13" t="s">
        <v>164</v>
      </c>
      <c r="J1" s="13" t="s">
        <v>4</v>
      </c>
      <c r="K1" s="13" t="s">
        <v>568</v>
      </c>
      <c r="L1" s="13" t="s">
        <v>1005</v>
      </c>
      <c r="M1" s="13" t="s">
        <v>571</v>
      </c>
      <c r="N1" s="13" t="s">
        <v>1006</v>
      </c>
      <c r="O1" s="13" t="s">
        <v>2</v>
      </c>
      <c r="P1" s="13" t="s">
        <v>1007</v>
      </c>
      <c r="Q1" s="13" t="s">
        <v>1008</v>
      </c>
      <c r="R1" s="13" t="s">
        <v>1009</v>
      </c>
      <c r="S1" s="13" t="s">
        <v>1011</v>
      </c>
      <c r="T1" s="13" t="s">
        <v>1010</v>
      </c>
      <c r="U1" s="13" t="s">
        <v>1012</v>
      </c>
      <c r="V1" s="13" t="s">
        <v>1013</v>
      </c>
      <c r="W1" s="13" t="s">
        <v>1014</v>
      </c>
      <c r="X1" s="13" t="s">
        <v>1015</v>
      </c>
      <c r="Y1" s="13" t="s">
        <v>1016</v>
      </c>
      <c r="Z1" s="13" t="s">
        <v>1017</v>
      </c>
      <c r="AA1" s="13" t="s">
        <v>1018</v>
      </c>
      <c r="AB1" s="13" t="s">
        <v>1019</v>
      </c>
    </row>
    <row r="2" spans="1:28" x14ac:dyDescent="0.25">
      <c r="A2" s="7">
        <v>1</v>
      </c>
      <c r="B2" s="7" t="s">
        <v>166</v>
      </c>
      <c r="C2" s="4">
        <v>67</v>
      </c>
      <c r="D2" s="4">
        <v>5</v>
      </c>
      <c r="E2" s="8">
        <v>44981</v>
      </c>
      <c r="F2" s="9">
        <v>0.99181712962962965</v>
      </c>
      <c r="G2" s="8">
        <v>44990</v>
      </c>
      <c r="H2" s="9">
        <v>0.3105324074074074</v>
      </c>
      <c r="I2" s="7" t="s">
        <v>167</v>
      </c>
      <c r="J2" s="7" t="s">
        <v>30</v>
      </c>
      <c r="K2" t="str">
        <f>_xlfn.XLOOKUP(tblMaster[[#This Row],[Customer_ID]],tblCustomers[Customer_ID],tblCustomers[City],"Not Found",0)</f>
        <v>Davanagere</v>
      </c>
      <c r="L2" t="str">
        <f>_xlfn.XLOOKUP(tblMaster[[#This Row],[Customer_ID]],tblCustomers[Customer_ID],tblCustomers[Name],"Not Found",0)</f>
        <v>Aradhya Kumar</v>
      </c>
      <c r="M2" s="18" t="str">
        <f>_xlfn.XLOOKUP(tblMaster[[#This Row],[Customer_ID]],tblCustomers[Customer_ID],tblCustomers[Gender],"Not Found",0)</f>
        <v>Male</v>
      </c>
      <c r="N2" s="18" t="str">
        <f>_xlfn.XLOOKUP(tblMaster[[#This Row],[Product_ID]],tblProducts[Product_ID],tblProducts[Product_Name],"Not Found",0)</f>
        <v>Maiores Box</v>
      </c>
      <c r="O2" s="18" t="str">
        <f>_xlfn.XLOOKUP(tblMaster[[#This Row],[Product_ID]],tblProducts[Product_ID],tblProducts[Category],"Not Found",0)</f>
        <v>Raksha Bandhan</v>
      </c>
      <c r="P2" s="18" t="str">
        <f>_xlfn.XLOOKUP(tblMaster[[#This Row],[Product_ID]],tblProducts[Product_ID],tblProducts[Occasion],"Not Found",0)</f>
        <v>Anniversary</v>
      </c>
      <c r="Q2" s="18">
        <f>_xlfn.XLOOKUP(tblMaster[[#This Row],[Product_ID]],tblProducts[Product_ID],tblProducts[Price (INR)],"Not Found",0)</f>
        <v>1374</v>
      </c>
      <c r="R2" s="19">
        <f>tblMaster[[#This Row],[Price]]*tblMaster[[#This Row],[Quantity]]</f>
        <v>6870</v>
      </c>
      <c r="S2" s="19">
        <f>tblMaster[[#This Row],[Price]]*0.7*tblMaster[[#This Row],[Quantity]]</f>
        <v>4809</v>
      </c>
      <c r="T2" s="19">
        <f>tblMaster[[#This Row],[Revenue]]-tblMaster[[#This Row],[Estimated Cost (at 70%) ]]</f>
        <v>2061</v>
      </c>
      <c r="U2" s="19">
        <f>tblMaster[[#This Row],[Profit]]/tblMaster[[#This Row],[Revenue]]</f>
        <v>0.3</v>
      </c>
      <c r="V2" s="19">
        <f>tblMaster[[#This Row],[Delivery_Date]]-tblMaster[[#This Row],[Order_Date]]</f>
        <v>9</v>
      </c>
      <c r="W2" s="19" t="str">
        <f>TEXT(tblMaster[[#This Row],[Order_Date]],"mmmm")</f>
        <v>February</v>
      </c>
      <c r="X2" s="19">
        <f>MONTH(tblMaster[[#This Row],[Order_Date]])</f>
        <v>2</v>
      </c>
      <c r="Y2" s="19" t="str">
        <f>"Q"&amp;ROUNDUP(tblMaster[[#This Row],[Month Number]]/3,0)</f>
        <v>Q1</v>
      </c>
      <c r="Z2" s="19">
        <f>YEAR(tblMaster[[#This Row],[Order_Date]])</f>
        <v>2023</v>
      </c>
      <c r="AA2" s="19" t="str">
        <f>TEXT(DAY(tblMaster[[#This Row],[Order_Date]]),"dddd")</f>
        <v>Tuesday</v>
      </c>
      <c r="AB2" s="19" t="str">
        <f>IF(tblMaster[[#This Row],[Revenue]]&gt;=5000,"High",IF(tblMaster[[#This Row],[Revenue]]&lt;2000,"Low","Medium"))</f>
        <v>High</v>
      </c>
    </row>
    <row r="3" spans="1:28" x14ac:dyDescent="0.25">
      <c r="A3" s="10">
        <v>2</v>
      </c>
      <c r="B3" s="10" t="s">
        <v>168</v>
      </c>
      <c r="C3" s="5">
        <v>41</v>
      </c>
      <c r="D3" s="5">
        <v>2</v>
      </c>
      <c r="E3" s="11">
        <v>45237</v>
      </c>
      <c r="F3" s="12">
        <v>0.979375</v>
      </c>
      <c r="G3" s="11">
        <v>45243</v>
      </c>
      <c r="H3" s="12">
        <v>0.30297453703703703</v>
      </c>
      <c r="I3" s="10" t="s">
        <v>169</v>
      </c>
      <c r="J3" s="10" t="s">
        <v>19</v>
      </c>
      <c r="K3" s="18" t="str">
        <f>_xlfn.XLOOKUP(tblMaster[[#This Row],[Customer_ID]],tblCustomers[Customer_ID],tblCustomers[City],"Not Found",0)</f>
        <v>Danapur</v>
      </c>
      <c r="L3" s="18" t="str">
        <f>_xlfn.XLOOKUP(tblMaster[[#This Row],[Customer_ID]],tblCustomers[Customer_ID],tblCustomers[Name],"Not Found",0)</f>
        <v>Amira Sengupta</v>
      </c>
      <c r="M3" s="18" t="str">
        <f>_xlfn.XLOOKUP(tblMaster[[#This Row],[Customer_ID]],tblCustomers[Customer_ID],tblCustomers[Gender],"Not Found",0)</f>
        <v>Male</v>
      </c>
      <c r="N3" s="18" t="str">
        <f>_xlfn.XLOOKUP(tblMaster[[#This Row],[Product_ID]],tblProducts[Product_ID],tblProducts[Product_Name],"Not Found",0)</f>
        <v>Aut Box</v>
      </c>
      <c r="O3" s="18" t="str">
        <f>_xlfn.XLOOKUP(tblMaster[[#This Row],[Product_ID]],tblProducts[Product_ID],tblProducts[Category],"Not Found",0)</f>
        <v>Sweets</v>
      </c>
      <c r="P3" s="18" t="str">
        <f>_xlfn.XLOOKUP(tblMaster[[#This Row],[Product_ID]],tblProducts[Product_ID],tblProducts[Occasion],"Not Found",0)</f>
        <v>Diwali</v>
      </c>
      <c r="Q3" s="18">
        <f>_xlfn.XLOOKUP(tblMaster[[#This Row],[Product_ID]],tblProducts[Product_ID],tblProducts[Price (INR)],"Not Found",0)</f>
        <v>1977</v>
      </c>
      <c r="R3" s="19">
        <f>tblMaster[[#This Row],[Price]]*tblMaster[[#This Row],[Quantity]]</f>
        <v>3954</v>
      </c>
      <c r="S3" s="19">
        <f>tblMaster[[#This Row],[Price]]*0.7*tblMaster[[#This Row],[Quantity]]</f>
        <v>2767.7999999999997</v>
      </c>
      <c r="T3" s="19">
        <f>tblMaster[[#This Row],[Revenue]]-tblMaster[[#This Row],[Estimated Cost (at 70%) ]]</f>
        <v>1186.2000000000003</v>
      </c>
      <c r="U3" s="19">
        <f>tblMaster[[#This Row],[Profit]]/tblMaster[[#This Row],[Revenue]]</f>
        <v>0.30000000000000004</v>
      </c>
      <c r="V3" s="19">
        <f>tblMaster[[#This Row],[Delivery_Date]]-tblMaster[[#This Row],[Order_Date]]</f>
        <v>6</v>
      </c>
      <c r="W3" s="19" t="str">
        <f>TEXT(tblMaster[[#This Row],[Order_Date]],"mmmm")</f>
        <v>November</v>
      </c>
      <c r="X3" s="19">
        <f>MONTH(tblMaster[[#This Row],[Order_Date]])</f>
        <v>11</v>
      </c>
      <c r="Y3" s="19" t="str">
        <f>"Q"&amp;ROUNDUP(tblMaster[[#This Row],[Month Number]]/3,0)</f>
        <v>Q4</v>
      </c>
      <c r="Z3" s="19">
        <f>YEAR(tblMaster[[#This Row],[Order_Date]])</f>
        <v>2023</v>
      </c>
      <c r="AA3" s="19" t="str">
        <f>TEXT(DAY(tblMaster[[#This Row],[Order_Date]]),"dddd")</f>
        <v>Saturday</v>
      </c>
      <c r="AB3" s="19" t="str">
        <f>IF(tblMaster[[#This Row],[Revenue]]&gt;=5000,"High",IF(tblMaster[[#This Row],[Revenue]]&lt;2000,"Low","Medium"))</f>
        <v>Medium</v>
      </c>
    </row>
    <row r="4" spans="1:28" x14ac:dyDescent="0.25">
      <c r="A4" s="7">
        <v>3</v>
      </c>
      <c r="B4" s="7" t="s">
        <v>170</v>
      </c>
      <c r="C4" s="4">
        <v>67</v>
      </c>
      <c r="D4" s="4">
        <v>5</v>
      </c>
      <c r="E4" s="8">
        <v>45121</v>
      </c>
      <c r="F4" s="9">
        <v>0.80003472222222227</v>
      </c>
      <c r="G4" s="8">
        <v>45126</v>
      </c>
      <c r="H4" s="9">
        <v>0.73541666666666672</v>
      </c>
      <c r="I4" s="7" t="s">
        <v>171</v>
      </c>
      <c r="J4" s="7" t="s">
        <v>30</v>
      </c>
      <c r="K4" s="18" t="str">
        <f>_xlfn.XLOOKUP(tblMaster[[#This Row],[Customer_ID]],tblCustomers[Customer_ID],tblCustomers[City],"Not Found",0)</f>
        <v>Haridwar</v>
      </c>
      <c r="L4" s="18" t="str">
        <f>_xlfn.XLOOKUP(tblMaster[[#This Row],[Customer_ID]],tblCustomers[Customer_ID],tblCustomers[Name],"Not Found",0)</f>
        <v>Badal Sathe</v>
      </c>
      <c r="M4" s="18" t="str">
        <f>_xlfn.XLOOKUP(tblMaster[[#This Row],[Customer_ID]],tblCustomers[Customer_ID],tblCustomers[Gender],"Not Found",0)</f>
        <v>Female</v>
      </c>
      <c r="N4" s="18" t="str">
        <f>_xlfn.XLOOKUP(tblMaster[[#This Row],[Product_ID]],tblProducts[Product_ID],tblProducts[Product_Name],"Not Found",0)</f>
        <v>Maiores Box</v>
      </c>
      <c r="O4" s="18" t="str">
        <f>_xlfn.XLOOKUP(tblMaster[[#This Row],[Product_ID]],tblProducts[Product_ID],tblProducts[Category],"Not Found",0)</f>
        <v>Raksha Bandhan</v>
      </c>
      <c r="P4" s="18" t="str">
        <f>_xlfn.XLOOKUP(tblMaster[[#This Row],[Product_ID]],tblProducts[Product_ID],tblProducts[Occasion],"Not Found",0)</f>
        <v>Anniversary</v>
      </c>
      <c r="Q4" s="18">
        <f>_xlfn.XLOOKUP(tblMaster[[#This Row],[Product_ID]],tblProducts[Product_ID],tblProducts[Price (INR)],"Not Found",0)</f>
        <v>1374</v>
      </c>
      <c r="R4" s="19">
        <f>tblMaster[[#This Row],[Price]]*tblMaster[[#This Row],[Quantity]]</f>
        <v>6870</v>
      </c>
      <c r="S4" s="19">
        <f>tblMaster[[#This Row],[Price]]*0.7*tblMaster[[#This Row],[Quantity]]</f>
        <v>4809</v>
      </c>
      <c r="T4" s="19">
        <f>tblMaster[[#This Row],[Revenue]]-tblMaster[[#This Row],[Estimated Cost (at 70%) ]]</f>
        <v>2061</v>
      </c>
      <c r="U4" s="19">
        <f>tblMaster[[#This Row],[Profit]]/tblMaster[[#This Row],[Revenue]]</f>
        <v>0.3</v>
      </c>
      <c r="V4" s="19">
        <f>tblMaster[[#This Row],[Delivery_Date]]-tblMaster[[#This Row],[Order_Date]]</f>
        <v>5</v>
      </c>
      <c r="W4" s="19" t="str">
        <f>TEXT(tblMaster[[#This Row],[Order_Date]],"mmmm")</f>
        <v>July</v>
      </c>
      <c r="X4" s="19">
        <f>MONTH(tblMaster[[#This Row],[Order_Date]])</f>
        <v>7</v>
      </c>
      <c r="Y4" s="19" t="str">
        <f>"Q"&amp;ROUNDUP(tblMaster[[#This Row],[Month Number]]/3,0)</f>
        <v>Q3</v>
      </c>
      <c r="Z4" s="19">
        <f>YEAR(tblMaster[[#This Row],[Order_Date]])</f>
        <v>2023</v>
      </c>
      <c r="AA4" s="19" t="str">
        <f>TEXT(DAY(tblMaster[[#This Row],[Order_Date]]),"dddd")</f>
        <v>Saturday</v>
      </c>
      <c r="AB4" s="19" t="str">
        <f>IF(tblMaster[[#This Row],[Revenue]]&gt;=5000,"High",IF(tblMaster[[#This Row],[Revenue]]&lt;2000,"Low","Medium"))</f>
        <v>High</v>
      </c>
    </row>
    <row r="5" spans="1:28" x14ac:dyDescent="0.25">
      <c r="A5" s="10">
        <v>4</v>
      </c>
      <c r="B5" s="10" t="s">
        <v>172</v>
      </c>
      <c r="C5" s="5">
        <v>14</v>
      </c>
      <c r="D5" s="5">
        <v>5</v>
      </c>
      <c r="E5" s="11">
        <v>45117</v>
      </c>
      <c r="F5" s="12">
        <v>0.19755787037037037</v>
      </c>
      <c r="G5" s="11">
        <v>45126</v>
      </c>
      <c r="H5" s="12">
        <v>0.27318287037037037</v>
      </c>
      <c r="I5" s="10" t="s">
        <v>173</v>
      </c>
      <c r="J5" s="10" t="s">
        <v>36</v>
      </c>
      <c r="K5" s="18" t="str">
        <f>_xlfn.XLOOKUP(tblMaster[[#This Row],[Customer_ID]],tblCustomers[Customer_ID],tblCustomers[City],"Not Found",0)</f>
        <v>Bilaspur</v>
      </c>
      <c r="L5" s="18" t="str">
        <f>_xlfn.XLOOKUP(tblMaster[[#This Row],[Customer_ID]],tblCustomers[Customer_ID],tblCustomers[Name],"Not Found",0)</f>
        <v>Onkar Mangat</v>
      </c>
      <c r="M5" s="18" t="str">
        <f>_xlfn.XLOOKUP(tblMaster[[#This Row],[Customer_ID]],tblCustomers[Customer_ID],tblCustomers[Gender],"Not Found",0)</f>
        <v>Male</v>
      </c>
      <c r="N5" s="18" t="str">
        <f>_xlfn.XLOOKUP(tblMaster[[#This Row],[Product_ID]],tblProducts[Product_ID],tblProducts[Product_Name],"Not Found",0)</f>
        <v>Deserunt Box</v>
      </c>
      <c r="O5" s="18" t="str">
        <f>_xlfn.XLOOKUP(tblMaster[[#This Row],[Product_ID]],tblProducts[Product_ID],tblProducts[Category],"Not Found",0)</f>
        <v>Colors</v>
      </c>
      <c r="P5" s="18" t="str">
        <f>_xlfn.XLOOKUP(tblMaster[[#This Row],[Product_ID]],tblProducts[Product_ID],tblProducts[Occasion],"Not Found",0)</f>
        <v>Birthday</v>
      </c>
      <c r="Q5" s="18">
        <f>_xlfn.XLOOKUP(tblMaster[[#This Row],[Product_ID]],tblProducts[Product_ID],tblProducts[Price (INR)],"Not Found",0)</f>
        <v>1915</v>
      </c>
      <c r="R5" s="19">
        <f>tblMaster[[#This Row],[Price]]*tblMaster[[#This Row],[Quantity]]</f>
        <v>9575</v>
      </c>
      <c r="S5" s="20">
        <f>tblMaster[[#This Row],[Price]]*0.7*tblMaster[[#This Row],[Quantity]]</f>
        <v>6702.5</v>
      </c>
      <c r="T5" s="19">
        <f>tblMaster[[#This Row],[Revenue]]-tblMaster[[#This Row],[Estimated Cost (at 70%) ]]</f>
        <v>2872.5</v>
      </c>
      <c r="U5" s="19">
        <f>tblMaster[[#This Row],[Profit]]/tblMaster[[#This Row],[Revenue]]</f>
        <v>0.3</v>
      </c>
      <c r="V5" s="19">
        <f>tblMaster[[#This Row],[Delivery_Date]]-tblMaster[[#This Row],[Order_Date]]</f>
        <v>9</v>
      </c>
      <c r="W5" s="19" t="str">
        <f>TEXT(tblMaster[[#This Row],[Order_Date]],"mmmm")</f>
        <v>July</v>
      </c>
      <c r="X5" s="19">
        <f>MONTH(tblMaster[[#This Row],[Order_Date]])</f>
        <v>7</v>
      </c>
      <c r="Y5" s="19" t="str">
        <f>"Q"&amp;ROUNDUP(tblMaster[[#This Row],[Month Number]]/3,0)</f>
        <v>Q3</v>
      </c>
      <c r="Z5" s="19">
        <f>YEAR(tblMaster[[#This Row],[Order_Date]])</f>
        <v>2023</v>
      </c>
      <c r="AA5" s="19" t="str">
        <f>TEXT(DAY(tblMaster[[#This Row],[Order_Date]]),"dddd")</f>
        <v>Tuesday</v>
      </c>
      <c r="AB5" s="19" t="str">
        <f>IF(tblMaster[[#This Row],[Revenue]]&gt;=5000,"High",IF(tblMaster[[#This Row],[Revenue]]&lt;2000,"Low","Medium"))</f>
        <v>High</v>
      </c>
    </row>
    <row r="6" spans="1:28" x14ac:dyDescent="0.25">
      <c r="A6" s="7">
        <v>5</v>
      </c>
      <c r="B6" s="7" t="s">
        <v>174</v>
      </c>
      <c r="C6" s="4">
        <v>58</v>
      </c>
      <c r="D6" s="4">
        <v>2</v>
      </c>
      <c r="E6" s="8">
        <v>44968</v>
      </c>
      <c r="F6" s="9">
        <v>0.82277777777777783</v>
      </c>
      <c r="G6" s="8">
        <v>44975</v>
      </c>
      <c r="H6" s="9">
        <v>0.46449074074074076</v>
      </c>
      <c r="I6" s="7" t="s">
        <v>175</v>
      </c>
      <c r="J6" s="7" t="s">
        <v>12</v>
      </c>
      <c r="K6" s="18" t="str">
        <f>_xlfn.XLOOKUP(tblMaster[[#This Row],[Customer_ID]],tblCustomers[Customer_ID],tblCustomers[City],"Not Found",0)</f>
        <v>Bhubaneswar</v>
      </c>
      <c r="L6" s="18" t="str">
        <f>_xlfn.XLOOKUP(tblMaster[[#This Row],[Customer_ID]],tblCustomers[Customer_ID],tblCustomers[Name],"Not Found",0)</f>
        <v>Jivika Rajan</v>
      </c>
      <c r="M6" s="18" t="str">
        <f>_xlfn.XLOOKUP(tblMaster[[#This Row],[Customer_ID]],tblCustomers[Customer_ID],tblCustomers[Gender],"Not Found",0)</f>
        <v>Female</v>
      </c>
      <c r="N6" s="18" t="str">
        <f>_xlfn.XLOOKUP(tblMaster[[#This Row],[Product_ID]],tblProducts[Product_ID],tblProducts[Product_Name],"Not Found",0)</f>
        <v>Sed Pack</v>
      </c>
      <c r="O6" s="18" t="str">
        <f>_xlfn.XLOOKUP(tblMaster[[#This Row],[Product_ID]],tblProducts[Product_ID],tblProducts[Category],"Not Found",0)</f>
        <v>Cake</v>
      </c>
      <c r="P6" s="18" t="str">
        <f>_xlfn.XLOOKUP(tblMaster[[#This Row],[Product_ID]],tblProducts[Product_ID],tblProducts[Occasion],"Not Found",0)</f>
        <v>Valentine's Day</v>
      </c>
      <c r="Q6" s="18">
        <f>_xlfn.XLOOKUP(tblMaster[[#This Row],[Product_ID]],tblProducts[Product_ID],tblProducts[Price (INR)],"Not Found",0)</f>
        <v>1492</v>
      </c>
      <c r="R6" s="19">
        <f>tblMaster[[#This Row],[Price]]*tblMaster[[#This Row],[Quantity]]</f>
        <v>2984</v>
      </c>
      <c r="S6" s="19">
        <f>tblMaster[[#This Row],[Price]]*0.7*tblMaster[[#This Row],[Quantity]]</f>
        <v>2088.7999999999997</v>
      </c>
      <c r="T6" s="19">
        <f>tblMaster[[#This Row],[Revenue]]-tblMaster[[#This Row],[Estimated Cost (at 70%) ]]</f>
        <v>895.20000000000027</v>
      </c>
      <c r="U6" s="19">
        <f>tblMaster[[#This Row],[Profit]]/tblMaster[[#This Row],[Revenue]]</f>
        <v>0.3000000000000001</v>
      </c>
      <c r="V6" s="19">
        <f>tblMaster[[#This Row],[Delivery_Date]]-tblMaster[[#This Row],[Order_Date]]</f>
        <v>7</v>
      </c>
      <c r="W6" s="19" t="str">
        <f>TEXT(tblMaster[[#This Row],[Order_Date]],"mmmm")</f>
        <v>February</v>
      </c>
      <c r="X6" s="19">
        <f>MONTH(tblMaster[[#This Row],[Order_Date]])</f>
        <v>2</v>
      </c>
      <c r="Y6" s="19" t="str">
        <f>"Q"&amp;ROUNDUP(tblMaster[[#This Row],[Month Number]]/3,0)</f>
        <v>Q1</v>
      </c>
      <c r="Z6" s="19">
        <f>YEAR(tblMaster[[#This Row],[Order_Date]])</f>
        <v>2023</v>
      </c>
      <c r="AA6" s="19" t="str">
        <f>TEXT(DAY(tblMaster[[#This Row],[Order_Date]]),"dddd")</f>
        <v>Wednesday</v>
      </c>
      <c r="AB6" s="19" t="str">
        <f>IF(tblMaster[[#This Row],[Revenue]]&gt;=5000,"High",IF(tblMaster[[#This Row],[Revenue]]&lt;2000,"Low","Medium"))</f>
        <v>Medium</v>
      </c>
    </row>
    <row r="7" spans="1:28" x14ac:dyDescent="0.25">
      <c r="A7" s="10">
        <v>6</v>
      </c>
      <c r="B7" s="10" t="s">
        <v>176</v>
      </c>
      <c r="C7" s="5">
        <v>28</v>
      </c>
      <c r="D7" s="5">
        <v>4</v>
      </c>
      <c r="E7" s="11">
        <v>45158</v>
      </c>
      <c r="F7" s="12">
        <v>0.92471064814814818</v>
      </c>
      <c r="G7" s="11">
        <v>45164</v>
      </c>
      <c r="H7" s="12">
        <v>0.79636574074074074</v>
      </c>
      <c r="I7" s="10" t="s">
        <v>177</v>
      </c>
      <c r="J7" s="10" t="s">
        <v>33</v>
      </c>
      <c r="K7" s="18" t="str">
        <f>_xlfn.XLOOKUP(tblMaster[[#This Row],[Customer_ID]],tblCustomers[Customer_ID],tblCustomers[City],"Not Found",0)</f>
        <v>Pallavaram</v>
      </c>
      <c r="L7" s="18" t="str">
        <f>_xlfn.XLOOKUP(tblMaster[[#This Row],[Customer_ID]],tblCustomers[Customer_ID],tblCustomers[Name],"Not Found",0)</f>
        <v>Hazel Mangat</v>
      </c>
      <c r="M7" s="18" t="str">
        <f>_xlfn.XLOOKUP(tblMaster[[#This Row],[Customer_ID]],tblCustomers[Customer_ID],tblCustomers[Gender],"Not Found",0)</f>
        <v>Female</v>
      </c>
      <c r="N7" s="18" t="str">
        <f>_xlfn.XLOOKUP(tblMaster[[#This Row],[Product_ID]],tblProducts[Product_ID],tblProducts[Product_Name],"Not Found",0)</f>
        <v>Velit Set</v>
      </c>
      <c r="O7" s="18" t="str">
        <f>_xlfn.XLOOKUP(tblMaster[[#This Row],[Product_ID]],tblProducts[Product_ID],tblProducts[Category],"Not Found",0)</f>
        <v>Sweets</v>
      </c>
      <c r="P7" s="18" t="str">
        <f>_xlfn.XLOOKUP(tblMaster[[#This Row],[Product_ID]],tblProducts[Product_ID],tblProducts[Occasion],"Not Found",0)</f>
        <v>Raksha Bandhan</v>
      </c>
      <c r="Q7" s="18">
        <f>_xlfn.XLOOKUP(tblMaster[[#This Row],[Product_ID]],tblProducts[Product_ID],tblProducts[Price (INR)],"Not Found",0)</f>
        <v>1778</v>
      </c>
      <c r="R7" s="19">
        <f>tblMaster[[#This Row],[Price]]*tblMaster[[#This Row],[Quantity]]</f>
        <v>7112</v>
      </c>
      <c r="S7" s="19">
        <f>tblMaster[[#This Row],[Price]]*0.7*tblMaster[[#This Row],[Quantity]]</f>
        <v>4978.3999999999996</v>
      </c>
      <c r="T7" s="19">
        <f>tblMaster[[#This Row],[Revenue]]-tblMaster[[#This Row],[Estimated Cost (at 70%) ]]</f>
        <v>2133.6000000000004</v>
      </c>
      <c r="U7" s="19">
        <f>tblMaster[[#This Row],[Profit]]/tblMaster[[#This Row],[Revenue]]</f>
        <v>0.30000000000000004</v>
      </c>
      <c r="V7" s="19">
        <f>tblMaster[[#This Row],[Delivery_Date]]-tblMaster[[#This Row],[Order_Date]]</f>
        <v>6</v>
      </c>
      <c r="W7" s="19" t="str">
        <f>TEXT(tblMaster[[#This Row],[Order_Date]],"mmmm")</f>
        <v>August</v>
      </c>
      <c r="X7" s="19">
        <f>MONTH(tblMaster[[#This Row],[Order_Date]])</f>
        <v>8</v>
      </c>
      <c r="Y7" s="19" t="str">
        <f>"Q"&amp;ROUNDUP(tblMaster[[#This Row],[Month Number]]/3,0)</f>
        <v>Q3</v>
      </c>
      <c r="Z7" s="19">
        <f>YEAR(tblMaster[[#This Row],[Order_Date]])</f>
        <v>2023</v>
      </c>
      <c r="AA7" s="19" t="str">
        <f>TEXT(DAY(tblMaster[[#This Row],[Order_Date]]),"dddd")</f>
        <v>Friday</v>
      </c>
      <c r="AB7" s="19" t="str">
        <f>IF(tblMaster[[#This Row],[Revenue]]&gt;=5000,"High",IF(tblMaster[[#This Row],[Revenue]]&lt;2000,"Low","Medium"))</f>
        <v>High</v>
      </c>
    </row>
    <row r="8" spans="1:28" x14ac:dyDescent="0.25">
      <c r="A8" s="7">
        <v>7</v>
      </c>
      <c r="B8" s="7" t="s">
        <v>178</v>
      </c>
      <c r="C8" s="4">
        <v>45</v>
      </c>
      <c r="D8" s="4">
        <v>2</v>
      </c>
      <c r="E8" s="8">
        <v>45054</v>
      </c>
      <c r="F8" s="9">
        <v>7.3067129629629635E-2</v>
      </c>
      <c r="G8" s="8">
        <v>45059</v>
      </c>
      <c r="H8" s="9">
        <v>0.42172453703703705</v>
      </c>
      <c r="I8" s="7" t="s">
        <v>179</v>
      </c>
      <c r="J8" s="7" t="s">
        <v>36</v>
      </c>
      <c r="K8" s="18" t="str">
        <f>_xlfn.XLOOKUP(tblMaster[[#This Row],[Customer_ID]],tblCustomers[Customer_ID],tblCustomers[City],"Not Found",0)</f>
        <v>Madurai</v>
      </c>
      <c r="L8" s="18" t="str">
        <f>_xlfn.XLOOKUP(tblMaster[[#This Row],[Customer_ID]],tblCustomers[Customer_ID],tblCustomers[Name],"Not Found",0)</f>
        <v>Ritvik Borah</v>
      </c>
      <c r="M8" s="18" t="str">
        <f>_xlfn.XLOOKUP(tblMaster[[#This Row],[Customer_ID]],tblCustomers[Customer_ID],tblCustomers[Gender],"Not Found",0)</f>
        <v>Female</v>
      </c>
      <c r="N8" s="18" t="str">
        <f>_xlfn.XLOOKUP(tblMaster[[#This Row],[Product_ID]],tblProducts[Product_ID],tblProducts[Product_Name],"Not Found",0)</f>
        <v>Iusto Set</v>
      </c>
      <c r="O8" s="18" t="str">
        <f>_xlfn.XLOOKUP(tblMaster[[#This Row],[Product_ID]],tblProducts[Product_ID],tblProducts[Category],"Not Found",0)</f>
        <v>Raksha Bandhan</v>
      </c>
      <c r="P8" s="18" t="str">
        <f>_xlfn.XLOOKUP(tblMaster[[#This Row],[Product_ID]],tblProducts[Product_ID],tblProducts[Occasion],"Not Found",0)</f>
        <v>Birthday</v>
      </c>
      <c r="Q8" s="18">
        <f>_xlfn.XLOOKUP(tblMaster[[#This Row],[Product_ID]],tblProducts[Product_ID],tblProducts[Price (INR)],"Not Found",0)</f>
        <v>722</v>
      </c>
      <c r="R8" s="19">
        <f>tblMaster[[#This Row],[Price]]*tblMaster[[#This Row],[Quantity]]</f>
        <v>1444</v>
      </c>
      <c r="S8" s="19">
        <f>tblMaster[[#This Row],[Price]]*0.7*tblMaster[[#This Row],[Quantity]]</f>
        <v>1010.8</v>
      </c>
      <c r="T8" s="19">
        <f>tblMaster[[#This Row],[Revenue]]-tblMaster[[#This Row],[Estimated Cost (at 70%) ]]</f>
        <v>433.20000000000005</v>
      </c>
      <c r="U8" s="19">
        <f>tblMaster[[#This Row],[Profit]]/tblMaster[[#This Row],[Revenue]]</f>
        <v>0.30000000000000004</v>
      </c>
      <c r="V8" s="19">
        <f>tblMaster[[#This Row],[Delivery_Date]]-tblMaster[[#This Row],[Order_Date]]</f>
        <v>5</v>
      </c>
      <c r="W8" s="19" t="str">
        <f>TEXT(tblMaster[[#This Row],[Order_Date]],"mmmm")</f>
        <v>May</v>
      </c>
      <c r="X8" s="19">
        <f>MONTH(tblMaster[[#This Row],[Order_Date]])</f>
        <v>5</v>
      </c>
      <c r="Y8" s="19" t="str">
        <f>"Q"&amp;ROUNDUP(tblMaster[[#This Row],[Month Number]]/3,0)</f>
        <v>Q2</v>
      </c>
      <c r="Z8" s="19">
        <f>YEAR(tblMaster[[#This Row],[Order_Date]])</f>
        <v>2023</v>
      </c>
      <c r="AA8" s="19" t="str">
        <f>TEXT(DAY(tblMaster[[#This Row],[Order_Date]]),"dddd")</f>
        <v>Sunday</v>
      </c>
      <c r="AB8" s="19" t="str">
        <f>IF(tblMaster[[#This Row],[Revenue]]&gt;=5000,"High",IF(tblMaster[[#This Row],[Revenue]]&lt;2000,"Low","Medium"))</f>
        <v>Low</v>
      </c>
    </row>
    <row r="9" spans="1:28" x14ac:dyDescent="0.25">
      <c r="A9" s="10">
        <v>8</v>
      </c>
      <c r="B9" s="10" t="s">
        <v>180</v>
      </c>
      <c r="C9" s="5">
        <v>43</v>
      </c>
      <c r="D9" s="5">
        <v>3</v>
      </c>
      <c r="E9" s="11">
        <v>45238</v>
      </c>
      <c r="F9" s="12">
        <v>0.80557870370370366</v>
      </c>
      <c r="G9" s="11">
        <v>45244</v>
      </c>
      <c r="H9" s="12">
        <v>0.36440972222222223</v>
      </c>
      <c r="I9" s="10" t="s">
        <v>181</v>
      </c>
      <c r="J9" s="10" t="s">
        <v>19</v>
      </c>
      <c r="K9" s="18" t="str">
        <f>_xlfn.XLOOKUP(tblMaster[[#This Row],[Customer_ID]],tblCustomers[Customer_ID],tblCustomers[City],"Not Found",0)</f>
        <v>Sri Ganganagar</v>
      </c>
      <c r="L9" s="18" t="str">
        <f>_xlfn.XLOOKUP(tblMaster[[#This Row],[Customer_ID]],tblCustomers[Customer_ID],tblCustomers[Name],"Not Found",0)</f>
        <v>Nakul Randhawa</v>
      </c>
      <c r="M9" s="18" t="str">
        <f>_xlfn.XLOOKUP(tblMaster[[#This Row],[Customer_ID]],tblCustomers[Customer_ID],tblCustomers[Gender],"Not Found",0)</f>
        <v>Female</v>
      </c>
      <c r="N9" s="18" t="str">
        <f>_xlfn.XLOOKUP(tblMaster[[#This Row],[Product_ID]],tblProducts[Product_ID],tblProducts[Product_Name],"Not Found",0)</f>
        <v>Quisquam Pack</v>
      </c>
      <c r="O9" s="18" t="str">
        <f>_xlfn.XLOOKUP(tblMaster[[#This Row],[Product_ID]],tblProducts[Product_ID],tblProducts[Category],"Not Found",0)</f>
        <v>Raksha Bandhan</v>
      </c>
      <c r="P9" s="18" t="str">
        <f>_xlfn.XLOOKUP(tblMaster[[#This Row],[Product_ID]],tblProducts[Product_ID],tblProducts[Occasion],"Not Found",0)</f>
        <v>Diwali</v>
      </c>
      <c r="Q9" s="18">
        <f>_xlfn.XLOOKUP(tblMaster[[#This Row],[Product_ID]],tblProducts[Product_ID],tblProducts[Price (INR)],"Not Found",0)</f>
        <v>750</v>
      </c>
      <c r="R9" s="19">
        <f>tblMaster[[#This Row],[Price]]*tblMaster[[#This Row],[Quantity]]</f>
        <v>2250</v>
      </c>
      <c r="S9" s="19">
        <f>tblMaster[[#This Row],[Price]]*0.7*tblMaster[[#This Row],[Quantity]]</f>
        <v>1575</v>
      </c>
      <c r="T9" s="19">
        <f>tblMaster[[#This Row],[Revenue]]-tblMaster[[#This Row],[Estimated Cost (at 70%) ]]</f>
        <v>675</v>
      </c>
      <c r="U9" s="19">
        <f>tblMaster[[#This Row],[Profit]]/tblMaster[[#This Row],[Revenue]]</f>
        <v>0.3</v>
      </c>
      <c r="V9" s="19">
        <f>tblMaster[[#This Row],[Delivery_Date]]-tblMaster[[#This Row],[Order_Date]]</f>
        <v>6</v>
      </c>
      <c r="W9" s="19" t="str">
        <f>TEXT(tblMaster[[#This Row],[Order_Date]],"mmmm")</f>
        <v>November</v>
      </c>
      <c r="X9" s="19">
        <f>MONTH(tblMaster[[#This Row],[Order_Date]])</f>
        <v>11</v>
      </c>
      <c r="Y9" s="19" t="str">
        <f>"Q"&amp;ROUNDUP(tblMaster[[#This Row],[Month Number]]/3,0)</f>
        <v>Q4</v>
      </c>
      <c r="Z9" s="19">
        <f>YEAR(tblMaster[[#This Row],[Order_Date]])</f>
        <v>2023</v>
      </c>
      <c r="AA9" s="19" t="str">
        <f>TEXT(DAY(tblMaster[[#This Row],[Order_Date]]),"dddd")</f>
        <v>Sunday</v>
      </c>
      <c r="AB9" s="19" t="str">
        <f>IF(tblMaster[[#This Row],[Revenue]]&gt;=5000,"High",IF(tblMaster[[#This Row],[Revenue]]&lt;2000,"Low","Medium"))</f>
        <v>Medium</v>
      </c>
    </row>
    <row r="10" spans="1:28" x14ac:dyDescent="0.25">
      <c r="A10" s="7">
        <v>9</v>
      </c>
      <c r="B10" s="7" t="s">
        <v>182</v>
      </c>
      <c r="C10" s="4">
        <v>27</v>
      </c>
      <c r="D10" s="4">
        <v>4</v>
      </c>
      <c r="E10" s="8">
        <v>45158</v>
      </c>
      <c r="F10" s="9">
        <v>0.98600694444444448</v>
      </c>
      <c r="G10" s="8">
        <v>45167</v>
      </c>
      <c r="H10" s="9">
        <v>0.99993055555555554</v>
      </c>
      <c r="I10" s="7" t="s">
        <v>175</v>
      </c>
      <c r="J10" s="7" t="s">
        <v>33</v>
      </c>
      <c r="K10" s="18" t="str">
        <f>_xlfn.XLOOKUP(tblMaster[[#This Row],[Customer_ID]],tblCustomers[Customer_ID],tblCustomers[City],"Not Found",0)</f>
        <v>Agra</v>
      </c>
      <c r="L10" s="18" t="str">
        <f>_xlfn.XLOOKUP(tblMaster[[#This Row],[Customer_ID]],tblCustomers[Customer_ID],tblCustomers[Name],"Not Found",0)</f>
        <v>Seher Mann</v>
      </c>
      <c r="M10" s="18" t="str">
        <f>_xlfn.XLOOKUP(tblMaster[[#This Row],[Customer_ID]],tblCustomers[Customer_ID],tblCustomers[Gender],"Not Found",0)</f>
        <v>Male</v>
      </c>
      <c r="N10" s="18" t="str">
        <f>_xlfn.XLOOKUP(tblMaster[[#This Row],[Product_ID]],tblProducts[Product_ID],tblProducts[Product_Name],"Not Found",0)</f>
        <v>Architecto Gift</v>
      </c>
      <c r="O10" s="18" t="str">
        <f>_xlfn.XLOOKUP(tblMaster[[#This Row],[Product_ID]],tblProducts[Product_ID],tblProducts[Category],"Not Found",0)</f>
        <v>Cake</v>
      </c>
      <c r="P10" s="18" t="str">
        <f>_xlfn.XLOOKUP(tblMaster[[#This Row],[Product_ID]],tblProducts[Product_ID],tblProducts[Occasion],"Not Found",0)</f>
        <v>Raksha Bandhan</v>
      </c>
      <c r="Q10" s="18">
        <f>_xlfn.XLOOKUP(tblMaster[[#This Row],[Product_ID]],tblProducts[Product_ID],tblProducts[Price (INR)],"Not Found",0)</f>
        <v>548</v>
      </c>
      <c r="R10" s="19">
        <f>tblMaster[[#This Row],[Price]]*tblMaster[[#This Row],[Quantity]]</f>
        <v>2192</v>
      </c>
      <c r="S10" s="19">
        <f>tblMaster[[#This Row],[Price]]*0.7*tblMaster[[#This Row],[Quantity]]</f>
        <v>1534.3999999999999</v>
      </c>
      <c r="T10" s="19">
        <f>tblMaster[[#This Row],[Revenue]]-tblMaster[[#This Row],[Estimated Cost (at 70%) ]]</f>
        <v>657.60000000000014</v>
      </c>
      <c r="U10" s="19">
        <f>tblMaster[[#This Row],[Profit]]/tblMaster[[#This Row],[Revenue]]</f>
        <v>0.30000000000000004</v>
      </c>
      <c r="V10" s="19">
        <f>tblMaster[[#This Row],[Delivery_Date]]-tblMaster[[#This Row],[Order_Date]]</f>
        <v>9</v>
      </c>
      <c r="W10" s="19" t="str">
        <f>TEXT(tblMaster[[#This Row],[Order_Date]],"mmmm")</f>
        <v>August</v>
      </c>
      <c r="X10" s="19">
        <f>MONTH(tblMaster[[#This Row],[Order_Date]])</f>
        <v>8</v>
      </c>
      <c r="Y10" s="19" t="str">
        <f>"Q"&amp;ROUNDUP(tblMaster[[#This Row],[Month Number]]/3,0)</f>
        <v>Q3</v>
      </c>
      <c r="Z10" s="19">
        <f>YEAR(tblMaster[[#This Row],[Order_Date]])</f>
        <v>2023</v>
      </c>
      <c r="AA10" s="19" t="str">
        <f>TEXT(DAY(tblMaster[[#This Row],[Order_Date]]),"dddd")</f>
        <v>Friday</v>
      </c>
      <c r="AB10" s="19" t="str">
        <f>IF(tblMaster[[#This Row],[Revenue]]&gt;=5000,"High",IF(tblMaster[[#This Row],[Revenue]]&lt;2000,"Low","Medium"))</f>
        <v>Medium</v>
      </c>
    </row>
    <row r="11" spans="1:28" x14ac:dyDescent="0.25">
      <c r="A11" s="10">
        <v>10</v>
      </c>
      <c r="B11" s="10" t="s">
        <v>183</v>
      </c>
      <c r="C11" s="5">
        <v>56</v>
      </c>
      <c r="D11" s="5">
        <v>3</v>
      </c>
      <c r="E11" s="11">
        <v>44983</v>
      </c>
      <c r="F11" s="12">
        <v>1.2106481481481482E-2</v>
      </c>
      <c r="G11" s="11">
        <v>44993</v>
      </c>
      <c r="H11" s="12">
        <v>0.86646990740740737</v>
      </c>
      <c r="I11" s="10" t="s">
        <v>184</v>
      </c>
      <c r="J11" s="10" t="s">
        <v>30</v>
      </c>
      <c r="K11" s="18" t="str">
        <f>_xlfn.XLOOKUP(tblMaster[[#This Row],[Customer_ID]],tblCustomers[Customer_ID],tblCustomers[City],"Not Found",0)</f>
        <v>Dhanbad</v>
      </c>
      <c r="L11" s="18" t="str">
        <f>_xlfn.XLOOKUP(tblMaster[[#This Row],[Customer_ID]],tblCustomers[Customer_ID],tblCustomers[Name],"Not Found",0)</f>
        <v>Ranbir Loyal</v>
      </c>
      <c r="M11" s="18" t="str">
        <f>_xlfn.XLOOKUP(tblMaster[[#This Row],[Customer_ID]],tblCustomers[Customer_ID],tblCustomers[Gender],"Not Found",0)</f>
        <v>Female</v>
      </c>
      <c r="N11" s="18" t="str">
        <f>_xlfn.XLOOKUP(tblMaster[[#This Row],[Product_ID]],tblProducts[Product_ID],tblProducts[Product_Name],"Not Found",0)</f>
        <v>Quia Gift</v>
      </c>
      <c r="O11" s="18" t="str">
        <f>_xlfn.XLOOKUP(tblMaster[[#This Row],[Product_ID]],tblProducts[Product_ID],tblProducts[Category],"Not Found",0)</f>
        <v>Raksha Bandhan</v>
      </c>
      <c r="P11" s="18" t="str">
        <f>_xlfn.XLOOKUP(tblMaster[[#This Row],[Product_ID]],tblProducts[Product_ID],tblProducts[Occasion],"Not Found",0)</f>
        <v>Anniversary</v>
      </c>
      <c r="Q11" s="18">
        <f>_xlfn.XLOOKUP(tblMaster[[#This Row],[Product_ID]],tblProducts[Product_ID],tblProducts[Price (INR)],"Not Found",0)</f>
        <v>1272</v>
      </c>
      <c r="R11" s="19">
        <f>tblMaster[[#This Row],[Price]]*tblMaster[[#This Row],[Quantity]]</f>
        <v>3816</v>
      </c>
      <c r="S11" s="19">
        <f>tblMaster[[#This Row],[Price]]*0.7*tblMaster[[#This Row],[Quantity]]</f>
        <v>2671.2</v>
      </c>
      <c r="T11" s="19">
        <f>tblMaster[[#This Row],[Revenue]]-tblMaster[[#This Row],[Estimated Cost (at 70%) ]]</f>
        <v>1144.8000000000002</v>
      </c>
      <c r="U11" s="19">
        <f>tblMaster[[#This Row],[Profit]]/tblMaster[[#This Row],[Revenue]]</f>
        <v>0.30000000000000004</v>
      </c>
      <c r="V11" s="19">
        <f>tblMaster[[#This Row],[Delivery_Date]]-tblMaster[[#This Row],[Order_Date]]</f>
        <v>10</v>
      </c>
      <c r="W11" s="19" t="str">
        <f>TEXT(tblMaster[[#This Row],[Order_Date]],"mmmm")</f>
        <v>February</v>
      </c>
      <c r="X11" s="19">
        <f>MONTH(tblMaster[[#This Row],[Order_Date]])</f>
        <v>2</v>
      </c>
      <c r="Y11" s="19" t="str">
        <f>"Q"&amp;ROUNDUP(tblMaster[[#This Row],[Month Number]]/3,0)</f>
        <v>Q1</v>
      </c>
      <c r="Z11" s="19">
        <f>YEAR(tblMaster[[#This Row],[Order_Date]])</f>
        <v>2023</v>
      </c>
      <c r="AA11" s="19" t="str">
        <f>TEXT(DAY(tblMaster[[#This Row],[Order_Date]]),"dddd")</f>
        <v>Thursday</v>
      </c>
      <c r="AB11" s="19" t="str">
        <f>IF(tblMaster[[#This Row],[Revenue]]&gt;=5000,"High",IF(tblMaster[[#This Row],[Revenue]]&lt;2000,"Low","Medium"))</f>
        <v>Medium</v>
      </c>
    </row>
    <row r="12" spans="1:28" x14ac:dyDescent="0.25">
      <c r="A12" s="7">
        <v>11</v>
      </c>
      <c r="B12" s="7" t="s">
        <v>185</v>
      </c>
      <c r="C12" s="4">
        <v>16</v>
      </c>
      <c r="D12" s="4">
        <v>4</v>
      </c>
      <c r="E12" s="8">
        <v>44987</v>
      </c>
      <c r="F12" s="9">
        <v>0.84369212962962958</v>
      </c>
      <c r="G12" s="8">
        <v>44988</v>
      </c>
      <c r="H12" s="9">
        <v>0.97207175925925926</v>
      </c>
      <c r="I12" s="7" t="s">
        <v>186</v>
      </c>
      <c r="J12" s="7" t="s">
        <v>25</v>
      </c>
      <c r="K12" s="18" t="str">
        <f>_xlfn.XLOOKUP(tblMaster[[#This Row],[Customer_ID]],tblCustomers[Customer_ID],tblCustomers[City],"Not Found",0)</f>
        <v>North Dumdum</v>
      </c>
      <c r="L12" s="18" t="str">
        <f>_xlfn.XLOOKUP(tblMaster[[#This Row],[Customer_ID]],tblCustomers[Customer_ID],tblCustomers[Name],"Not Found",0)</f>
        <v>Badal Vora</v>
      </c>
      <c r="M12" s="18" t="str">
        <f>_xlfn.XLOOKUP(tblMaster[[#This Row],[Customer_ID]],tblCustomers[Customer_ID],tblCustomers[Gender],"Not Found",0)</f>
        <v>Male</v>
      </c>
      <c r="N12" s="18" t="str">
        <f>_xlfn.XLOOKUP(tblMaster[[#This Row],[Product_ID]],tblProducts[Product_ID],tblProducts[Product_Name],"Not Found",0)</f>
        <v>Ut Pack</v>
      </c>
      <c r="O12" s="18" t="str">
        <f>_xlfn.XLOOKUP(tblMaster[[#This Row],[Product_ID]],tblProducts[Product_ID],tblProducts[Category],"Not Found",0)</f>
        <v>Sweets</v>
      </c>
      <c r="P12" s="18" t="str">
        <f>_xlfn.XLOOKUP(tblMaster[[#This Row],[Product_ID]],tblProducts[Product_ID],tblProducts[Occasion],"Not Found",0)</f>
        <v>Holi</v>
      </c>
      <c r="Q12" s="18">
        <f>_xlfn.XLOOKUP(tblMaster[[#This Row],[Product_ID]],tblProducts[Product_ID],tblProducts[Price (INR)],"Not Found",0)</f>
        <v>1721</v>
      </c>
      <c r="R12" s="19">
        <f>tblMaster[[#This Row],[Price]]*tblMaster[[#This Row],[Quantity]]</f>
        <v>6884</v>
      </c>
      <c r="S12" s="19">
        <f>tblMaster[[#This Row],[Price]]*0.7*tblMaster[[#This Row],[Quantity]]</f>
        <v>4818.7999999999993</v>
      </c>
      <c r="T12" s="19">
        <f>tblMaster[[#This Row],[Revenue]]-tblMaster[[#This Row],[Estimated Cost (at 70%) ]]</f>
        <v>2065.2000000000007</v>
      </c>
      <c r="U12" s="19">
        <f>tblMaster[[#This Row],[Profit]]/tblMaster[[#This Row],[Revenue]]</f>
        <v>0.3000000000000001</v>
      </c>
      <c r="V12" s="19">
        <f>tblMaster[[#This Row],[Delivery_Date]]-tblMaster[[#This Row],[Order_Date]]</f>
        <v>1</v>
      </c>
      <c r="W12" s="19" t="str">
        <f>TEXT(tblMaster[[#This Row],[Order_Date]],"mmmm")</f>
        <v>March</v>
      </c>
      <c r="X12" s="19">
        <f>MONTH(tblMaster[[#This Row],[Order_Date]])</f>
        <v>3</v>
      </c>
      <c r="Y12" s="19" t="str">
        <f>"Q"&amp;ROUNDUP(tblMaster[[#This Row],[Month Number]]/3,0)</f>
        <v>Q1</v>
      </c>
      <c r="Z12" s="19">
        <f>YEAR(tblMaster[[#This Row],[Order_Date]])</f>
        <v>2023</v>
      </c>
      <c r="AA12" s="19" t="str">
        <f>TEXT(DAY(tblMaster[[#This Row],[Order_Date]]),"dddd")</f>
        <v>Monday</v>
      </c>
      <c r="AB12" s="19" t="str">
        <f>IF(tblMaster[[#This Row],[Revenue]]&gt;=5000,"High",IF(tblMaster[[#This Row],[Revenue]]&lt;2000,"Low","Medium"))</f>
        <v>High</v>
      </c>
    </row>
    <row r="13" spans="1:28" x14ac:dyDescent="0.25">
      <c r="A13" s="10">
        <v>12</v>
      </c>
      <c r="B13" s="10" t="s">
        <v>180</v>
      </c>
      <c r="C13" s="5">
        <v>38</v>
      </c>
      <c r="D13" s="5">
        <v>3</v>
      </c>
      <c r="E13" s="11">
        <v>45119</v>
      </c>
      <c r="F13" s="12">
        <v>0.35342592592592592</v>
      </c>
      <c r="G13" s="11">
        <v>45127</v>
      </c>
      <c r="H13" s="12">
        <v>0.98260416666666661</v>
      </c>
      <c r="I13" s="10" t="s">
        <v>187</v>
      </c>
      <c r="J13" s="10" t="s">
        <v>36</v>
      </c>
      <c r="K13" s="18" t="str">
        <f>_xlfn.XLOOKUP(tblMaster[[#This Row],[Customer_ID]],tblCustomers[Customer_ID],tblCustomers[City],"Not Found",0)</f>
        <v>Sri Ganganagar</v>
      </c>
      <c r="L13" s="18" t="str">
        <f>_xlfn.XLOOKUP(tblMaster[[#This Row],[Customer_ID]],tblCustomers[Customer_ID],tblCustomers[Name],"Not Found",0)</f>
        <v>Nakul Randhawa</v>
      </c>
      <c r="M13" s="18" t="str">
        <f>_xlfn.XLOOKUP(tblMaster[[#This Row],[Customer_ID]],tblCustomers[Customer_ID],tblCustomers[Gender],"Not Found",0)</f>
        <v>Female</v>
      </c>
      <c r="N13" s="18" t="str">
        <f>_xlfn.XLOOKUP(tblMaster[[#This Row],[Product_ID]],tblProducts[Product_ID],tblProducts[Product_Name],"Not Found",0)</f>
        <v>Mollitia Set</v>
      </c>
      <c r="O13" s="18" t="str">
        <f>_xlfn.XLOOKUP(tblMaster[[#This Row],[Product_ID]],tblProducts[Product_ID],tblProducts[Category],"Not Found",0)</f>
        <v>Cake</v>
      </c>
      <c r="P13" s="18" t="str">
        <f>_xlfn.XLOOKUP(tblMaster[[#This Row],[Product_ID]],tblProducts[Product_ID],tblProducts[Occasion],"Not Found",0)</f>
        <v>Birthday</v>
      </c>
      <c r="Q13" s="18">
        <f>_xlfn.XLOOKUP(tblMaster[[#This Row],[Product_ID]],tblProducts[Product_ID],tblProducts[Price (INR)],"Not Found",0)</f>
        <v>562</v>
      </c>
      <c r="R13" s="19">
        <f>tblMaster[[#This Row],[Price]]*tblMaster[[#This Row],[Quantity]]</f>
        <v>1686</v>
      </c>
      <c r="S13" s="19">
        <f>tblMaster[[#This Row],[Price]]*0.7*tblMaster[[#This Row],[Quantity]]</f>
        <v>1180.1999999999998</v>
      </c>
      <c r="T13" s="19">
        <f>tblMaster[[#This Row],[Revenue]]-tblMaster[[#This Row],[Estimated Cost (at 70%) ]]</f>
        <v>505.80000000000018</v>
      </c>
      <c r="U13" s="19">
        <f>tblMaster[[#This Row],[Profit]]/tblMaster[[#This Row],[Revenue]]</f>
        <v>0.3000000000000001</v>
      </c>
      <c r="V13" s="19">
        <f>tblMaster[[#This Row],[Delivery_Date]]-tblMaster[[#This Row],[Order_Date]]</f>
        <v>8</v>
      </c>
      <c r="W13" s="19" t="str">
        <f>TEXT(tblMaster[[#This Row],[Order_Date]],"mmmm")</f>
        <v>July</v>
      </c>
      <c r="X13" s="19">
        <f>MONTH(tblMaster[[#This Row],[Order_Date]])</f>
        <v>7</v>
      </c>
      <c r="Y13" s="19" t="str">
        <f>"Q"&amp;ROUNDUP(tblMaster[[#This Row],[Month Number]]/3,0)</f>
        <v>Q3</v>
      </c>
      <c r="Z13" s="19">
        <f>YEAR(tblMaster[[#This Row],[Order_Date]])</f>
        <v>2023</v>
      </c>
      <c r="AA13" s="19" t="str">
        <f>TEXT(DAY(tblMaster[[#This Row],[Order_Date]]),"dddd")</f>
        <v>Thursday</v>
      </c>
      <c r="AB13" s="19" t="str">
        <f>IF(tblMaster[[#This Row],[Revenue]]&gt;=5000,"High",IF(tblMaster[[#This Row],[Revenue]]&lt;2000,"Low","Medium"))</f>
        <v>Low</v>
      </c>
    </row>
    <row r="14" spans="1:28" x14ac:dyDescent="0.25">
      <c r="A14" s="7">
        <v>13</v>
      </c>
      <c r="B14" s="7" t="s">
        <v>188</v>
      </c>
      <c r="C14" s="4">
        <v>20</v>
      </c>
      <c r="D14" s="4">
        <v>3</v>
      </c>
      <c r="E14" s="8">
        <v>44981</v>
      </c>
      <c r="F14" s="9">
        <v>0.69949074074074069</v>
      </c>
      <c r="G14" s="8">
        <v>44989</v>
      </c>
      <c r="H14" s="9">
        <v>0.10251157407407407</v>
      </c>
      <c r="I14" s="7" t="s">
        <v>189</v>
      </c>
      <c r="J14" s="7" t="s">
        <v>30</v>
      </c>
      <c r="K14" s="18" t="str">
        <f>_xlfn.XLOOKUP(tblMaster[[#This Row],[Customer_ID]],tblCustomers[Customer_ID],tblCustomers[City],"Not Found",0)</f>
        <v>Kavali</v>
      </c>
      <c r="L14" s="18" t="str">
        <f>_xlfn.XLOOKUP(tblMaster[[#This Row],[Customer_ID]],tblCustomers[Customer_ID],tblCustomers[Name],"Not Found",0)</f>
        <v>Jhanvi Chowdhury</v>
      </c>
      <c r="M14" s="18" t="str">
        <f>_xlfn.XLOOKUP(tblMaster[[#This Row],[Customer_ID]],tblCustomers[Customer_ID],tblCustomers[Gender],"Not Found",0)</f>
        <v>Female</v>
      </c>
      <c r="N14" s="18" t="str">
        <f>_xlfn.XLOOKUP(tblMaster[[#This Row],[Product_ID]],tblProducts[Product_ID],tblProducts[Product_Name],"Not Found",0)</f>
        <v>Reiciendis Box</v>
      </c>
      <c r="O14" s="18" t="str">
        <f>_xlfn.XLOOKUP(tblMaster[[#This Row],[Product_ID]],tblProducts[Product_ID],tblProducts[Category],"Not Found",0)</f>
        <v>Colors</v>
      </c>
      <c r="P14" s="18" t="str">
        <f>_xlfn.XLOOKUP(tblMaster[[#This Row],[Product_ID]],tblProducts[Product_ID],tblProducts[Occasion],"Not Found",0)</f>
        <v>Anniversary</v>
      </c>
      <c r="Q14" s="18">
        <f>_xlfn.XLOOKUP(tblMaster[[#This Row],[Product_ID]],tblProducts[Product_ID],tblProducts[Price (INR)],"Not Found",0)</f>
        <v>697</v>
      </c>
      <c r="R14" s="19">
        <f>tblMaster[[#This Row],[Price]]*tblMaster[[#This Row],[Quantity]]</f>
        <v>2091</v>
      </c>
      <c r="S14" s="19">
        <f>tblMaster[[#This Row],[Price]]*0.7*tblMaster[[#This Row],[Quantity]]</f>
        <v>1463.6999999999998</v>
      </c>
      <c r="T14" s="19">
        <f>tblMaster[[#This Row],[Revenue]]-tblMaster[[#This Row],[Estimated Cost (at 70%) ]]</f>
        <v>627.30000000000018</v>
      </c>
      <c r="U14" s="19">
        <f>tblMaster[[#This Row],[Profit]]/tblMaster[[#This Row],[Revenue]]</f>
        <v>0.3000000000000001</v>
      </c>
      <c r="V14" s="19">
        <f>tblMaster[[#This Row],[Delivery_Date]]-tblMaster[[#This Row],[Order_Date]]</f>
        <v>8</v>
      </c>
      <c r="W14" s="19" t="str">
        <f>TEXT(tblMaster[[#This Row],[Order_Date]],"mmmm")</f>
        <v>February</v>
      </c>
      <c r="X14" s="19">
        <f>MONTH(tblMaster[[#This Row],[Order_Date]])</f>
        <v>2</v>
      </c>
      <c r="Y14" s="19" t="str">
        <f>"Q"&amp;ROUNDUP(tblMaster[[#This Row],[Month Number]]/3,0)</f>
        <v>Q1</v>
      </c>
      <c r="Z14" s="19">
        <f>YEAR(tblMaster[[#This Row],[Order_Date]])</f>
        <v>2023</v>
      </c>
      <c r="AA14" s="19" t="str">
        <f>TEXT(DAY(tblMaster[[#This Row],[Order_Date]]),"dddd")</f>
        <v>Tuesday</v>
      </c>
      <c r="AB14" s="19" t="str">
        <f>IF(tblMaster[[#This Row],[Revenue]]&gt;=5000,"High",IF(tblMaster[[#This Row],[Revenue]]&lt;2000,"Low","Medium"))</f>
        <v>Medium</v>
      </c>
    </row>
    <row r="15" spans="1:28" x14ac:dyDescent="0.25">
      <c r="A15" s="10">
        <v>14</v>
      </c>
      <c r="B15" s="10" t="s">
        <v>190</v>
      </c>
      <c r="C15" s="5">
        <v>60</v>
      </c>
      <c r="D15" s="5">
        <v>1</v>
      </c>
      <c r="E15" s="11">
        <v>45238</v>
      </c>
      <c r="F15" s="12">
        <v>0.1570138888888889</v>
      </c>
      <c r="G15" s="11">
        <v>45245</v>
      </c>
      <c r="H15" s="12">
        <v>0.50557870370370372</v>
      </c>
      <c r="I15" s="10" t="s">
        <v>171</v>
      </c>
      <c r="J15" s="10" t="s">
        <v>19</v>
      </c>
      <c r="K15" s="18" t="str">
        <f>_xlfn.XLOOKUP(tblMaster[[#This Row],[Customer_ID]],tblCustomers[Customer_ID],tblCustomers[City],"Not Found",0)</f>
        <v>Ajmer</v>
      </c>
      <c r="L15" s="18" t="str">
        <f>_xlfn.XLOOKUP(tblMaster[[#This Row],[Customer_ID]],tblCustomers[Customer_ID],tblCustomers[Name],"Not Found",0)</f>
        <v>Eshani Sharma</v>
      </c>
      <c r="M15" s="18" t="str">
        <f>_xlfn.XLOOKUP(tblMaster[[#This Row],[Customer_ID]],tblCustomers[Customer_ID],tblCustomers[Gender],"Not Found",0)</f>
        <v>Male</v>
      </c>
      <c r="N15" s="18" t="str">
        <f>_xlfn.XLOOKUP(tblMaster[[#This Row],[Product_ID]],tblProducts[Product_ID],tblProducts[Product_Name],"Not Found",0)</f>
        <v>Ea Set</v>
      </c>
      <c r="O15" s="18" t="str">
        <f>_xlfn.XLOOKUP(tblMaster[[#This Row],[Product_ID]],tblProducts[Product_ID],tblProducts[Category],"Not Found",0)</f>
        <v>Sweets</v>
      </c>
      <c r="P15" s="18" t="str">
        <f>_xlfn.XLOOKUP(tblMaster[[#This Row],[Product_ID]],tblProducts[Product_ID],tblProducts[Occasion],"Not Found",0)</f>
        <v>Diwali</v>
      </c>
      <c r="Q15" s="18">
        <f>_xlfn.XLOOKUP(tblMaster[[#This Row],[Product_ID]],tblProducts[Product_ID],tblProducts[Price (INR)],"Not Found",0)</f>
        <v>827</v>
      </c>
      <c r="R15" s="19">
        <f>tblMaster[[#This Row],[Price]]*tblMaster[[#This Row],[Quantity]]</f>
        <v>827</v>
      </c>
      <c r="S15" s="19">
        <f>tblMaster[[#This Row],[Price]]*0.7*tblMaster[[#This Row],[Quantity]]</f>
        <v>578.9</v>
      </c>
      <c r="T15" s="19">
        <f>tblMaster[[#This Row],[Revenue]]-tblMaster[[#This Row],[Estimated Cost (at 70%) ]]</f>
        <v>248.10000000000002</v>
      </c>
      <c r="U15" s="19">
        <f>tblMaster[[#This Row],[Profit]]/tblMaster[[#This Row],[Revenue]]</f>
        <v>0.30000000000000004</v>
      </c>
      <c r="V15" s="19">
        <f>tblMaster[[#This Row],[Delivery_Date]]-tblMaster[[#This Row],[Order_Date]]</f>
        <v>7</v>
      </c>
      <c r="W15" s="19" t="str">
        <f>TEXT(tblMaster[[#This Row],[Order_Date]],"mmmm")</f>
        <v>November</v>
      </c>
      <c r="X15" s="19">
        <f>MONTH(tblMaster[[#This Row],[Order_Date]])</f>
        <v>11</v>
      </c>
      <c r="Y15" s="19" t="str">
        <f>"Q"&amp;ROUNDUP(tblMaster[[#This Row],[Month Number]]/3,0)</f>
        <v>Q4</v>
      </c>
      <c r="Z15" s="19">
        <f>YEAR(tblMaster[[#This Row],[Order_Date]])</f>
        <v>2023</v>
      </c>
      <c r="AA15" s="19" t="str">
        <f>TEXT(DAY(tblMaster[[#This Row],[Order_Date]]),"dddd")</f>
        <v>Sunday</v>
      </c>
      <c r="AB15" s="19" t="str">
        <f>IF(tblMaster[[#This Row],[Revenue]]&gt;=5000,"High",IF(tblMaster[[#This Row],[Revenue]]&lt;2000,"Low","Medium"))</f>
        <v>Low</v>
      </c>
    </row>
    <row r="16" spans="1:28" x14ac:dyDescent="0.25">
      <c r="A16" s="7">
        <v>15</v>
      </c>
      <c r="B16" s="7" t="s">
        <v>191</v>
      </c>
      <c r="C16" s="4">
        <v>21</v>
      </c>
      <c r="D16" s="4">
        <v>5</v>
      </c>
      <c r="E16" s="8">
        <v>45164</v>
      </c>
      <c r="F16" s="9">
        <v>0.11989583333333333</v>
      </c>
      <c r="G16" s="8">
        <v>45168</v>
      </c>
      <c r="H16" s="9">
        <v>0.56024305555555554</v>
      </c>
      <c r="I16" s="7" t="s">
        <v>192</v>
      </c>
      <c r="J16" s="7" t="s">
        <v>33</v>
      </c>
      <c r="K16" s="18" t="str">
        <f>_xlfn.XLOOKUP(tblMaster[[#This Row],[Customer_ID]],tblCustomers[Customer_ID],tblCustomers[City],"Not Found",0)</f>
        <v>Madhyamgram</v>
      </c>
      <c r="L16" s="18" t="str">
        <f>_xlfn.XLOOKUP(tblMaster[[#This Row],[Customer_ID]],tblCustomers[Customer_ID],tblCustomers[Name],"Not Found",0)</f>
        <v>Hunar Tripathi</v>
      </c>
      <c r="M16" s="18" t="str">
        <f>_xlfn.XLOOKUP(tblMaster[[#This Row],[Customer_ID]],tblCustomers[Customer_ID],tblCustomers[Gender],"Not Found",0)</f>
        <v>Female</v>
      </c>
      <c r="N16" s="18" t="str">
        <f>_xlfn.XLOOKUP(tblMaster[[#This Row],[Product_ID]],tblProducts[Product_ID],tblProducts[Product_Name],"Not Found",0)</f>
        <v>Quia Gift</v>
      </c>
      <c r="O16" s="18" t="str">
        <f>_xlfn.XLOOKUP(tblMaster[[#This Row],[Product_ID]],tblProducts[Product_ID],tblProducts[Category],"Not Found",0)</f>
        <v>Colors</v>
      </c>
      <c r="P16" s="18" t="str">
        <f>_xlfn.XLOOKUP(tblMaster[[#This Row],[Product_ID]],tblProducts[Product_ID],tblProducts[Occasion],"Not Found",0)</f>
        <v>Raksha Bandhan</v>
      </c>
      <c r="Q16" s="18">
        <f>_xlfn.XLOOKUP(tblMaster[[#This Row],[Product_ID]],tblProducts[Product_ID],tblProducts[Price (INR)],"Not Found",0)</f>
        <v>1561</v>
      </c>
      <c r="R16" s="19">
        <f>tblMaster[[#This Row],[Price]]*tblMaster[[#This Row],[Quantity]]</f>
        <v>7805</v>
      </c>
      <c r="S16" s="19">
        <f>tblMaster[[#This Row],[Price]]*0.7*tblMaster[[#This Row],[Quantity]]</f>
        <v>5463.4999999999991</v>
      </c>
      <c r="T16" s="19">
        <f>tblMaster[[#This Row],[Revenue]]-tblMaster[[#This Row],[Estimated Cost (at 70%) ]]</f>
        <v>2341.5000000000009</v>
      </c>
      <c r="U16" s="19">
        <f>tblMaster[[#This Row],[Profit]]/tblMaster[[#This Row],[Revenue]]</f>
        <v>0.3000000000000001</v>
      </c>
      <c r="V16" s="19">
        <f>tblMaster[[#This Row],[Delivery_Date]]-tblMaster[[#This Row],[Order_Date]]</f>
        <v>4</v>
      </c>
      <c r="W16" s="19" t="str">
        <f>TEXT(tblMaster[[#This Row],[Order_Date]],"mmmm")</f>
        <v>August</v>
      </c>
      <c r="X16" s="19">
        <f>MONTH(tblMaster[[#This Row],[Order_Date]])</f>
        <v>8</v>
      </c>
      <c r="Y16" s="19" t="str">
        <f>"Q"&amp;ROUNDUP(tblMaster[[#This Row],[Month Number]]/3,0)</f>
        <v>Q3</v>
      </c>
      <c r="Z16" s="19">
        <f>YEAR(tblMaster[[#This Row],[Order_Date]])</f>
        <v>2023</v>
      </c>
      <c r="AA16" s="19" t="str">
        <f>TEXT(DAY(tblMaster[[#This Row],[Order_Date]]),"dddd")</f>
        <v>Thursday</v>
      </c>
      <c r="AB16" s="19" t="str">
        <f>IF(tblMaster[[#This Row],[Revenue]]&gt;=5000,"High",IF(tblMaster[[#This Row],[Revenue]]&lt;2000,"Low","Medium"))</f>
        <v>High</v>
      </c>
    </row>
    <row r="17" spans="1:28" x14ac:dyDescent="0.25">
      <c r="A17" s="10">
        <v>16</v>
      </c>
      <c r="B17" s="10" t="s">
        <v>193</v>
      </c>
      <c r="C17" s="5">
        <v>20</v>
      </c>
      <c r="D17" s="5">
        <v>3</v>
      </c>
      <c r="E17" s="11">
        <v>44973</v>
      </c>
      <c r="F17" s="12">
        <v>0.62929398148148152</v>
      </c>
      <c r="G17" s="11">
        <v>44977</v>
      </c>
      <c r="H17" s="12">
        <v>0.92663194444444441</v>
      </c>
      <c r="I17" s="10" t="s">
        <v>194</v>
      </c>
      <c r="J17" s="10" t="s">
        <v>30</v>
      </c>
      <c r="K17" s="18" t="str">
        <f>_xlfn.XLOOKUP(tblMaster[[#This Row],[Customer_ID]],tblCustomers[Customer_ID],tblCustomers[City],"Not Found",0)</f>
        <v>Mangalore</v>
      </c>
      <c r="L17" s="18" t="str">
        <f>_xlfn.XLOOKUP(tblMaster[[#This Row],[Customer_ID]],tblCustomers[Customer_ID],tblCustomers[Name],"Not Found",0)</f>
        <v>Manikya Goswami</v>
      </c>
      <c r="M17" s="18" t="str">
        <f>_xlfn.XLOOKUP(tblMaster[[#This Row],[Customer_ID]],tblCustomers[Customer_ID],tblCustomers[Gender],"Not Found",0)</f>
        <v>Female</v>
      </c>
      <c r="N17" s="18" t="str">
        <f>_xlfn.XLOOKUP(tblMaster[[#This Row],[Product_ID]],tblProducts[Product_ID],tblProducts[Product_Name],"Not Found",0)</f>
        <v>Reiciendis Box</v>
      </c>
      <c r="O17" s="18" t="str">
        <f>_xlfn.XLOOKUP(tblMaster[[#This Row],[Product_ID]],tblProducts[Product_ID],tblProducts[Category],"Not Found",0)</f>
        <v>Colors</v>
      </c>
      <c r="P17" s="18" t="str">
        <f>_xlfn.XLOOKUP(tblMaster[[#This Row],[Product_ID]],tblProducts[Product_ID],tblProducts[Occasion],"Not Found",0)</f>
        <v>Anniversary</v>
      </c>
      <c r="Q17" s="18">
        <f>_xlfn.XLOOKUP(tblMaster[[#This Row],[Product_ID]],tblProducts[Product_ID],tblProducts[Price (INR)],"Not Found",0)</f>
        <v>697</v>
      </c>
      <c r="R17" s="19">
        <f>tblMaster[[#This Row],[Price]]*tblMaster[[#This Row],[Quantity]]</f>
        <v>2091</v>
      </c>
      <c r="S17" s="19">
        <f>tblMaster[[#This Row],[Price]]*0.7*tblMaster[[#This Row],[Quantity]]</f>
        <v>1463.6999999999998</v>
      </c>
      <c r="T17" s="19">
        <f>tblMaster[[#This Row],[Revenue]]-tblMaster[[#This Row],[Estimated Cost (at 70%) ]]</f>
        <v>627.30000000000018</v>
      </c>
      <c r="U17" s="19">
        <f>tblMaster[[#This Row],[Profit]]/tblMaster[[#This Row],[Revenue]]</f>
        <v>0.3000000000000001</v>
      </c>
      <c r="V17" s="19">
        <f>tblMaster[[#This Row],[Delivery_Date]]-tblMaster[[#This Row],[Order_Date]]</f>
        <v>4</v>
      </c>
      <c r="W17" s="19" t="str">
        <f>TEXT(tblMaster[[#This Row],[Order_Date]],"mmmm")</f>
        <v>February</v>
      </c>
      <c r="X17" s="19">
        <f>MONTH(tblMaster[[#This Row],[Order_Date]])</f>
        <v>2</v>
      </c>
      <c r="Y17" s="19" t="str">
        <f>"Q"&amp;ROUNDUP(tblMaster[[#This Row],[Month Number]]/3,0)</f>
        <v>Q1</v>
      </c>
      <c r="Z17" s="19">
        <f>YEAR(tblMaster[[#This Row],[Order_Date]])</f>
        <v>2023</v>
      </c>
      <c r="AA17" s="19" t="str">
        <f>TEXT(DAY(tblMaster[[#This Row],[Order_Date]]),"dddd")</f>
        <v>Monday</v>
      </c>
      <c r="AB17" s="19" t="str">
        <f>IF(tblMaster[[#This Row],[Revenue]]&gt;=5000,"High",IF(tblMaster[[#This Row],[Revenue]]&lt;2000,"Low","Medium"))</f>
        <v>Medium</v>
      </c>
    </row>
    <row r="18" spans="1:28" x14ac:dyDescent="0.25">
      <c r="A18" s="7">
        <v>17</v>
      </c>
      <c r="B18" s="7" t="s">
        <v>195</v>
      </c>
      <c r="C18" s="4">
        <v>60</v>
      </c>
      <c r="D18" s="4">
        <v>2</v>
      </c>
      <c r="E18" s="8">
        <v>45234</v>
      </c>
      <c r="F18" s="9">
        <v>0.48024305555555558</v>
      </c>
      <c r="G18" s="8">
        <v>45243</v>
      </c>
      <c r="H18" s="9">
        <v>0.77792824074074074</v>
      </c>
      <c r="I18" s="7" t="s">
        <v>196</v>
      </c>
      <c r="J18" s="7" t="s">
        <v>19</v>
      </c>
      <c r="K18" s="18" t="str">
        <f>_xlfn.XLOOKUP(tblMaster[[#This Row],[Customer_ID]],tblCustomers[Customer_ID],tblCustomers[City],"Not Found",0)</f>
        <v>Haridwar</v>
      </c>
      <c r="L18" s="18" t="str">
        <f>_xlfn.XLOOKUP(tblMaster[[#This Row],[Customer_ID]],tblCustomers[Customer_ID],tblCustomers[Name],"Not Found",0)</f>
        <v>Pihu Choudhury</v>
      </c>
      <c r="M18" s="18" t="str">
        <f>_xlfn.XLOOKUP(tblMaster[[#This Row],[Customer_ID]],tblCustomers[Customer_ID],tblCustomers[Gender],"Not Found",0)</f>
        <v>Male</v>
      </c>
      <c r="N18" s="18" t="str">
        <f>_xlfn.XLOOKUP(tblMaster[[#This Row],[Product_ID]],tblProducts[Product_ID],tblProducts[Product_Name],"Not Found",0)</f>
        <v>Ea Set</v>
      </c>
      <c r="O18" s="18" t="str">
        <f>_xlfn.XLOOKUP(tblMaster[[#This Row],[Product_ID]],tblProducts[Product_ID],tblProducts[Category],"Not Found",0)</f>
        <v>Sweets</v>
      </c>
      <c r="P18" s="18" t="str">
        <f>_xlfn.XLOOKUP(tblMaster[[#This Row],[Product_ID]],tblProducts[Product_ID],tblProducts[Occasion],"Not Found",0)</f>
        <v>Diwali</v>
      </c>
      <c r="Q18" s="18">
        <f>_xlfn.XLOOKUP(tblMaster[[#This Row],[Product_ID]],tblProducts[Product_ID],tblProducts[Price (INR)],"Not Found",0)</f>
        <v>827</v>
      </c>
      <c r="R18" s="19">
        <f>tblMaster[[#This Row],[Price]]*tblMaster[[#This Row],[Quantity]]</f>
        <v>1654</v>
      </c>
      <c r="S18" s="19">
        <f>tblMaster[[#This Row],[Price]]*0.7*tblMaster[[#This Row],[Quantity]]</f>
        <v>1157.8</v>
      </c>
      <c r="T18" s="19">
        <f>tblMaster[[#This Row],[Revenue]]-tblMaster[[#This Row],[Estimated Cost (at 70%) ]]</f>
        <v>496.20000000000005</v>
      </c>
      <c r="U18" s="19">
        <f>tblMaster[[#This Row],[Profit]]/tblMaster[[#This Row],[Revenue]]</f>
        <v>0.30000000000000004</v>
      </c>
      <c r="V18" s="19">
        <f>tblMaster[[#This Row],[Delivery_Date]]-tblMaster[[#This Row],[Order_Date]]</f>
        <v>9</v>
      </c>
      <c r="W18" s="19" t="str">
        <f>TEXT(tblMaster[[#This Row],[Order_Date]],"mmmm")</f>
        <v>November</v>
      </c>
      <c r="X18" s="19">
        <f>MONTH(tblMaster[[#This Row],[Order_Date]])</f>
        <v>11</v>
      </c>
      <c r="Y18" s="19" t="str">
        <f>"Q"&amp;ROUNDUP(tblMaster[[#This Row],[Month Number]]/3,0)</f>
        <v>Q4</v>
      </c>
      <c r="Z18" s="19">
        <f>YEAR(tblMaster[[#This Row],[Order_Date]])</f>
        <v>2023</v>
      </c>
      <c r="AA18" s="19" t="str">
        <f>TEXT(DAY(tblMaster[[#This Row],[Order_Date]]),"dddd")</f>
        <v>Wednesday</v>
      </c>
      <c r="AB18" s="19" t="str">
        <f>IF(tblMaster[[#This Row],[Revenue]]&gt;=5000,"High",IF(tblMaster[[#This Row],[Revenue]]&lt;2000,"Low","Medium"))</f>
        <v>Low</v>
      </c>
    </row>
    <row r="19" spans="1:28" x14ac:dyDescent="0.25">
      <c r="A19" s="10">
        <v>18</v>
      </c>
      <c r="B19" s="10" t="s">
        <v>197</v>
      </c>
      <c r="C19" s="5">
        <v>23</v>
      </c>
      <c r="D19" s="5">
        <v>4</v>
      </c>
      <c r="E19" s="11">
        <v>45270</v>
      </c>
      <c r="F19" s="12">
        <v>0.44878472222222221</v>
      </c>
      <c r="G19" s="11">
        <v>45271</v>
      </c>
      <c r="H19" s="12">
        <v>1.4224537037037037E-2</v>
      </c>
      <c r="I19" s="10" t="s">
        <v>198</v>
      </c>
      <c r="J19" s="10" t="s">
        <v>30</v>
      </c>
      <c r="K19" s="18" t="str">
        <f>_xlfn.XLOOKUP(tblMaster[[#This Row],[Customer_ID]],tblCustomers[Customer_ID],tblCustomers[City],"Not Found",0)</f>
        <v>Hyderabad</v>
      </c>
      <c r="L19" s="18" t="str">
        <f>_xlfn.XLOOKUP(tblMaster[[#This Row],[Customer_ID]],tblCustomers[Customer_ID],tblCustomers[Name],"Not Found",0)</f>
        <v>Charvi Karnik</v>
      </c>
      <c r="M19" s="18" t="str">
        <f>_xlfn.XLOOKUP(tblMaster[[#This Row],[Customer_ID]],tblCustomers[Customer_ID],tblCustomers[Gender],"Not Found",0)</f>
        <v>Male</v>
      </c>
      <c r="N19" s="18" t="str">
        <f>_xlfn.XLOOKUP(tblMaster[[#This Row],[Product_ID]],tblProducts[Product_ID],tblProducts[Product_Name],"Not Found",0)</f>
        <v>Dignissimos Pack</v>
      </c>
      <c r="O19" s="18" t="str">
        <f>_xlfn.XLOOKUP(tblMaster[[#This Row],[Product_ID]],tblProducts[Product_ID],tblProducts[Category],"Not Found",0)</f>
        <v>Sweets</v>
      </c>
      <c r="P19" s="18" t="str">
        <f>_xlfn.XLOOKUP(tblMaster[[#This Row],[Product_ID]],tblProducts[Product_ID],tblProducts[Occasion],"Not Found",0)</f>
        <v>Anniversary</v>
      </c>
      <c r="Q19" s="18">
        <f>_xlfn.XLOOKUP(tblMaster[[#This Row],[Product_ID]],tblProducts[Product_ID],tblProducts[Price (INR)],"Not Found",0)</f>
        <v>1098</v>
      </c>
      <c r="R19" s="19">
        <f>tblMaster[[#This Row],[Price]]*tblMaster[[#This Row],[Quantity]]</f>
        <v>4392</v>
      </c>
      <c r="S19" s="19">
        <f>tblMaster[[#This Row],[Price]]*0.7*tblMaster[[#This Row],[Quantity]]</f>
        <v>3074.3999999999996</v>
      </c>
      <c r="T19" s="19">
        <f>tblMaster[[#This Row],[Revenue]]-tblMaster[[#This Row],[Estimated Cost (at 70%) ]]</f>
        <v>1317.6000000000004</v>
      </c>
      <c r="U19" s="19">
        <f>tblMaster[[#This Row],[Profit]]/tblMaster[[#This Row],[Revenue]]</f>
        <v>0.3000000000000001</v>
      </c>
      <c r="V19" s="19">
        <f>tblMaster[[#This Row],[Delivery_Date]]-tblMaster[[#This Row],[Order_Date]]</f>
        <v>1</v>
      </c>
      <c r="W19" s="19" t="str">
        <f>TEXT(tblMaster[[#This Row],[Order_Date]],"mmmm")</f>
        <v>December</v>
      </c>
      <c r="X19" s="19">
        <f>MONTH(tblMaster[[#This Row],[Order_Date]])</f>
        <v>12</v>
      </c>
      <c r="Y19" s="19" t="str">
        <f>"Q"&amp;ROUNDUP(tblMaster[[#This Row],[Month Number]]/3,0)</f>
        <v>Q4</v>
      </c>
      <c r="Z19" s="19">
        <f>YEAR(tblMaster[[#This Row],[Order_Date]])</f>
        <v>2023</v>
      </c>
      <c r="AA19" s="19" t="str">
        <f>TEXT(DAY(tblMaster[[#This Row],[Order_Date]]),"dddd")</f>
        <v>Tuesday</v>
      </c>
      <c r="AB19" s="19" t="str">
        <f>IF(tblMaster[[#This Row],[Revenue]]&gt;=5000,"High",IF(tblMaster[[#This Row],[Revenue]]&lt;2000,"Low","Medium"))</f>
        <v>Medium</v>
      </c>
    </row>
    <row r="20" spans="1:28" x14ac:dyDescent="0.25">
      <c r="A20" s="7">
        <v>19</v>
      </c>
      <c r="B20" s="7" t="s">
        <v>197</v>
      </c>
      <c r="C20" s="4">
        <v>62</v>
      </c>
      <c r="D20" s="4">
        <v>4</v>
      </c>
      <c r="E20" s="8">
        <v>44992</v>
      </c>
      <c r="F20" s="9">
        <v>0.33319444444444446</v>
      </c>
      <c r="G20" s="8">
        <v>44993</v>
      </c>
      <c r="H20" s="9">
        <v>0.12817129629629628</v>
      </c>
      <c r="I20" s="7" t="s">
        <v>199</v>
      </c>
      <c r="J20" s="7" t="s">
        <v>25</v>
      </c>
      <c r="K20" s="18" t="str">
        <f>_xlfn.XLOOKUP(tblMaster[[#This Row],[Customer_ID]],tblCustomers[Customer_ID],tblCustomers[City],"Not Found",0)</f>
        <v>Hyderabad</v>
      </c>
      <c r="L20" s="18" t="str">
        <f>_xlfn.XLOOKUP(tblMaster[[#This Row],[Customer_ID]],tblCustomers[Customer_ID],tblCustomers[Name],"Not Found",0)</f>
        <v>Charvi Karnik</v>
      </c>
      <c r="M20" s="18" t="str">
        <f>_xlfn.XLOOKUP(tblMaster[[#This Row],[Customer_ID]],tblCustomers[Customer_ID],tblCustomers[Gender],"Not Found",0)</f>
        <v>Male</v>
      </c>
      <c r="N20" s="18" t="str">
        <f>_xlfn.XLOOKUP(tblMaster[[#This Row],[Product_ID]],tblProducts[Product_ID],tblProducts[Product_Name],"Not Found",0)</f>
        <v>Sed Set</v>
      </c>
      <c r="O20" s="18" t="str">
        <f>_xlfn.XLOOKUP(tblMaster[[#This Row],[Product_ID]],tblProducts[Product_ID],tblProducts[Category],"Not Found",0)</f>
        <v>Colors</v>
      </c>
      <c r="P20" s="18" t="str">
        <f>_xlfn.XLOOKUP(tblMaster[[#This Row],[Product_ID]],tblProducts[Product_ID],tblProducts[Occasion],"Not Found",0)</f>
        <v>Holi</v>
      </c>
      <c r="Q20" s="18">
        <f>_xlfn.XLOOKUP(tblMaster[[#This Row],[Product_ID]],tblProducts[Product_ID],tblProducts[Price (INR)],"Not Found",0)</f>
        <v>1356</v>
      </c>
      <c r="R20" s="19">
        <f>tblMaster[[#This Row],[Price]]*tblMaster[[#This Row],[Quantity]]</f>
        <v>5424</v>
      </c>
      <c r="S20" s="19">
        <f>tblMaster[[#This Row],[Price]]*0.7*tblMaster[[#This Row],[Quantity]]</f>
        <v>3796.7999999999997</v>
      </c>
      <c r="T20" s="19">
        <f>tblMaster[[#This Row],[Revenue]]-tblMaster[[#This Row],[Estimated Cost (at 70%) ]]</f>
        <v>1627.2000000000003</v>
      </c>
      <c r="U20" s="19">
        <f>tblMaster[[#This Row],[Profit]]/tblMaster[[#This Row],[Revenue]]</f>
        <v>0.30000000000000004</v>
      </c>
      <c r="V20" s="19">
        <f>tblMaster[[#This Row],[Delivery_Date]]-tblMaster[[#This Row],[Order_Date]]</f>
        <v>1</v>
      </c>
      <c r="W20" s="19" t="str">
        <f>TEXT(tblMaster[[#This Row],[Order_Date]],"mmmm")</f>
        <v>March</v>
      </c>
      <c r="X20" s="19">
        <f>MONTH(tblMaster[[#This Row],[Order_Date]])</f>
        <v>3</v>
      </c>
      <c r="Y20" s="19" t="str">
        <f>"Q"&amp;ROUNDUP(tblMaster[[#This Row],[Month Number]]/3,0)</f>
        <v>Q1</v>
      </c>
      <c r="Z20" s="19">
        <f>YEAR(tblMaster[[#This Row],[Order_Date]])</f>
        <v>2023</v>
      </c>
      <c r="AA20" s="19" t="str">
        <f>TEXT(DAY(tblMaster[[#This Row],[Order_Date]]),"dddd")</f>
        <v>Saturday</v>
      </c>
      <c r="AB20" s="19" t="str">
        <f>IF(tblMaster[[#This Row],[Revenue]]&gt;=5000,"High",IF(tblMaster[[#This Row],[Revenue]]&lt;2000,"Low","Medium"))</f>
        <v>High</v>
      </c>
    </row>
    <row r="21" spans="1:28" x14ac:dyDescent="0.25">
      <c r="A21" s="10">
        <v>20</v>
      </c>
      <c r="B21" s="10" t="s">
        <v>200</v>
      </c>
      <c r="C21" s="5">
        <v>52</v>
      </c>
      <c r="D21" s="5">
        <v>1</v>
      </c>
      <c r="E21" s="11">
        <v>44968</v>
      </c>
      <c r="F21" s="12">
        <v>0.60899305555555561</v>
      </c>
      <c r="G21" s="11">
        <v>44971</v>
      </c>
      <c r="H21" s="12">
        <v>6.5462962962962959E-2</v>
      </c>
      <c r="I21" s="10" t="s">
        <v>201</v>
      </c>
      <c r="J21" s="10" t="s">
        <v>12</v>
      </c>
      <c r="K21" s="18" t="str">
        <f>_xlfn.XLOOKUP(tblMaster[[#This Row],[Customer_ID]],tblCustomers[Customer_ID],tblCustomers[City],"Not Found",0)</f>
        <v>Orai</v>
      </c>
      <c r="L21" s="18" t="str">
        <f>_xlfn.XLOOKUP(tblMaster[[#This Row],[Customer_ID]],tblCustomers[Customer_ID],tblCustomers[Name],"Not Found",0)</f>
        <v>Lagan Kapoor</v>
      </c>
      <c r="M21" s="18" t="str">
        <f>_xlfn.XLOOKUP(tblMaster[[#This Row],[Customer_ID]],tblCustomers[Customer_ID],tblCustomers[Gender],"Not Found",0)</f>
        <v>Female</v>
      </c>
      <c r="N21" s="18" t="str">
        <f>_xlfn.XLOOKUP(tblMaster[[#This Row],[Product_ID]],tblProducts[Product_ID],tblProducts[Product_Name],"Not Found",0)</f>
        <v>Dolorum Box</v>
      </c>
      <c r="O21" s="18" t="str">
        <f>_xlfn.XLOOKUP(tblMaster[[#This Row],[Product_ID]],tblProducts[Product_ID],tblProducts[Category],"Not Found",0)</f>
        <v>Raksha Bandhan</v>
      </c>
      <c r="P21" s="18" t="str">
        <f>_xlfn.XLOOKUP(tblMaster[[#This Row],[Product_ID]],tblProducts[Product_ID],tblProducts[Occasion],"Not Found",0)</f>
        <v>Valentine's Day</v>
      </c>
      <c r="Q21" s="18">
        <f>_xlfn.XLOOKUP(tblMaster[[#This Row],[Product_ID]],tblProducts[Product_ID],tblProducts[Price (INR)],"Not Found",0)</f>
        <v>236</v>
      </c>
      <c r="R21" s="19">
        <f>tblMaster[[#This Row],[Price]]*tblMaster[[#This Row],[Quantity]]</f>
        <v>236</v>
      </c>
      <c r="S21" s="19">
        <f>tblMaster[[#This Row],[Price]]*0.7*tblMaster[[#This Row],[Quantity]]</f>
        <v>165.2</v>
      </c>
      <c r="T21" s="19">
        <f>tblMaster[[#This Row],[Revenue]]-tblMaster[[#This Row],[Estimated Cost (at 70%) ]]</f>
        <v>70.800000000000011</v>
      </c>
      <c r="U21" s="19">
        <f>tblMaster[[#This Row],[Profit]]/tblMaster[[#This Row],[Revenue]]</f>
        <v>0.30000000000000004</v>
      </c>
      <c r="V21" s="19">
        <f>tblMaster[[#This Row],[Delivery_Date]]-tblMaster[[#This Row],[Order_Date]]</f>
        <v>3</v>
      </c>
      <c r="W21" s="19" t="str">
        <f>TEXT(tblMaster[[#This Row],[Order_Date]],"mmmm")</f>
        <v>February</v>
      </c>
      <c r="X21" s="19">
        <f>MONTH(tblMaster[[#This Row],[Order_Date]])</f>
        <v>2</v>
      </c>
      <c r="Y21" s="19" t="str">
        <f>"Q"&amp;ROUNDUP(tblMaster[[#This Row],[Month Number]]/3,0)</f>
        <v>Q1</v>
      </c>
      <c r="Z21" s="19">
        <f>YEAR(tblMaster[[#This Row],[Order_Date]])</f>
        <v>2023</v>
      </c>
      <c r="AA21" s="19" t="str">
        <f>TEXT(DAY(tblMaster[[#This Row],[Order_Date]]),"dddd")</f>
        <v>Wednesday</v>
      </c>
      <c r="AB21" s="19" t="str">
        <f>IF(tblMaster[[#This Row],[Revenue]]&gt;=5000,"High",IF(tblMaster[[#This Row],[Revenue]]&lt;2000,"Low","Medium"))</f>
        <v>Low</v>
      </c>
    </row>
    <row r="22" spans="1:28" x14ac:dyDescent="0.25">
      <c r="A22" s="7">
        <v>21</v>
      </c>
      <c r="B22" s="7" t="s">
        <v>202</v>
      </c>
      <c r="C22" s="4">
        <v>32</v>
      </c>
      <c r="D22" s="4">
        <v>1</v>
      </c>
      <c r="E22" s="8">
        <v>44966</v>
      </c>
      <c r="F22" s="9">
        <v>0.47282407407407406</v>
      </c>
      <c r="G22" s="8">
        <v>44969</v>
      </c>
      <c r="H22" s="9">
        <v>0.48363425925925924</v>
      </c>
      <c r="I22" s="7" t="s">
        <v>203</v>
      </c>
      <c r="J22" s="7" t="s">
        <v>36</v>
      </c>
      <c r="K22" s="18" t="str">
        <f>_xlfn.XLOOKUP(tblMaster[[#This Row],[Customer_ID]],tblCustomers[Customer_ID],tblCustomers[City],"Not Found",0)</f>
        <v>Anantapuram</v>
      </c>
      <c r="L22" s="18" t="str">
        <f>_xlfn.XLOOKUP(tblMaster[[#This Row],[Customer_ID]],tblCustomers[Customer_ID],tblCustomers[Name],"Not Found",0)</f>
        <v>Drishya De</v>
      </c>
      <c r="M22" s="18" t="str">
        <f>_xlfn.XLOOKUP(tblMaster[[#This Row],[Customer_ID]],tblCustomers[Customer_ID],tblCustomers[Gender],"Not Found",0)</f>
        <v>Female</v>
      </c>
      <c r="N22" s="18" t="str">
        <f>_xlfn.XLOOKUP(tblMaster[[#This Row],[Product_ID]],tblProducts[Product_ID],tblProducts[Product_Name],"Not Found",0)</f>
        <v>Fuga Set</v>
      </c>
      <c r="O22" s="18" t="str">
        <f>_xlfn.XLOOKUP(tblMaster[[#This Row],[Product_ID]],tblProducts[Product_ID],tblProducts[Category],"Not Found",0)</f>
        <v>Soft Toys</v>
      </c>
      <c r="P22" s="18" t="str">
        <f>_xlfn.XLOOKUP(tblMaster[[#This Row],[Product_ID]],tblProducts[Product_ID],tblProducts[Occasion],"Not Found",0)</f>
        <v>Birthday</v>
      </c>
      <c r="Q22" s="18">
        <f>_xlfn.XLOOKUP(tblMaster[[#This Row],[Product_ID]],tblProducts[Product_ID],tblProducts[Price (INR)],"Not Found",0)</f>
        <v>1792</v>
      </c>
      <c r="R22" s="19">
        <f>tblMaster[[#This Row],[Price]]*tblMaster[[#This Row],[Quantity]]</f>
        <v>1792</v>
      </c>
      <c r="S22" s="19">
        <f>tblMaster[[#This Row],[Price]]*0.7*tblMaster[[#This Row],[Quantity]]</f>
        <v>1254.3999999999999</v>
      </c>
      <c r="T22" s="19">
        <f>tblMaster[[#This Row],[Revenue]]-tblMaster[[#This Row],[Estimated Cost (at 70%) ]]</f>
        <v>537.60000000000014</v>
      </c>
      <c r="U22" s="19">
        <f>tblMaster[[#This Row],[Profit]]/tblMaster[[#This Row],[Revenue]]</f>
        <v>0.3000000000000001</v>
      </c>
      <c r="V22" s="19">
        <f>tblMaster[[#This Row],[Delivery_Date]]-tblMaster[[#This Row],[Order_Date]]</f>
        <v>3</v>
      </c>
      <c r="W22" s="19" t="str">
        <f>TEXT(tblMaster[[#This Row],[Order_Date]],"mmmm")</f>
        <v>February</v>
      </c>
      <c r="X22" s="19">
        <f>MONTH(tblMaster[[#This Row],[Order_Date]])</f>
        <v>2</v>
      </c>
      <c r="Y22" s="19" t="str">
        <f>"Q"&amp;ROUNDUP(tblMaster[[#This Row],[Month Number]]/3,0)</f>
        <v>Q1</v>
      </c>
      <c r="Z22" s="19">
        <f>YEAR(tblMaster[[#This Row],[Order_Date]])</f>
        <v>2023</v>
      </c>
      <c r="AA22" s="19" t="str">
        <f>TEXT(DAY(tblMaster[[#This Row],[Order_Date]]),"dddd")</f>
        <v>Monday</v>
      </c>
      <c r="AB22" s="19" t="str">
        <f>IF(tblMaster[[#This Row],[Revenue]]&gt;=5000,"High",IF(tblMaster[[#This Row],[Revenue]]&lt;2000,"Low","Medium"))</f>
        <v>Low</v>
      </c>
    </row>
    <row r="23" spans="1:28" x14ac:dyDescent="0.25">
      <c r="A23" s="10">
        <v>22</v>
      </c>
      <c r="B23" s="10" t="s">
        <v>204</v>
      </c>
      <c r="C23" s="5">
        <v>43</v>
      </c>
      <c r="D23" s="5">
        <v>1</v>
      </c>
      <c r="E23" s="11">
        <v>45239</v>
      </c>
      <c r="F23" s="12">
        <v>4.5462962962962962E-2</v>
      </c>
      <c r="G23" s="11">
        <v>45244</v>
      </c>
      <c r="H23" s="12">
        <v>0.40957175925925926</v>
      </c>
      <c r="I23" s="10" t="s">
        <v>205</v>
      </c>
      <c r="J23" s="10" t="s">
        <v>19</v>
      </c>
      <c r="K23" s="18" t="str">
        <f>_xlfn.XLOOKUP(tblMaster[[#This Row],[Customer_ID]],tblCustomers[Customer_ID],tblCustomers[City],"Not Found",0)</f>
        <v>Bidhannagar</v>
      </c>
      <c r="L23" s="18" t="str">
        <f>_xlfn.XLOOKUP(tblMaster[[#This Row],[Customer_ID]],tblCustomers[Customer_ID],tblCustomers[Name],"Not Found",0)</f>
        <v>Umang Ahuja</v>
      </c>
      <c r="M23" s="18" t="str">
        <f>_xlfn.XLOOKUP(tblMaster[[#This Row],[Customer_ID]],tblCustomers[Customer_ID],tblCustomers[Gender],"Not Found",0)</f>
        <v>Female</v>
      </c>
      <c r="N23" s="18" t="str">
        <f>_xlfn.XLOOKUP(tblMaster[[#This Row],[Product_ID]],tblProducts[Product_ID],tblProducts[Product_Name],"Not Found",0)</f>
        <v>Quisquam Pack</v>
      </c>
      <c r="O23" s="18" t="str">
        <f>_xlfn.XLOOKUP(tblMaster[[#This Row],[Product_ID]],tblProducts[Product_ID],tblProducts[Category],"Not Found",0)</f>
        <v>Raksha Bandhan</v>
      </c>
      <c r="P23" s="18" t="str">
        <f>_xlfn.XLOOKUP(tblMaster[[#This Row],[Product_ID]],tblProducts[Product_ID],tblProducts[Occasion],"Not Found",0)</f>
        <v>Diwali</v>
      </c>
      <c r="Q23" s="18">
        <f>_xlfn.XLOOKUP(tblMaster[[#This Row],[Product_ID]],tblProducts[Product_ID],tblProducts[Price (INR)],"Not Found",0)</f>
        <v>750</v>
      </c>
      <c r="R23" s="19">
        <f>tblMaster[[#This Row],[Price]]*tblMaster[[#This Row],[Quantity]]</f>
        <v>750</v>
      </c>
      <c r="S23" s="19">
        <f>tblMaster[[#This Row],[Price]]*0.7*tblMaster[[#This Row],[Quantity]]</f>
        <v>525</v>
      </c>
      <c r="T23" s="19">
        <f>tblMaster[[#This Row],[Revenue]]-tblMaster[[#This Row],[Estimated Cost (at 70%) ]]</f>
        <v>225</v>
      </c>
      <c r="U23" s="19">
        <f>tblMaster[[#This Row],[Profit]]/tblMaster[[#This Row],[Revenue]]</f>
        <v>0.3</v>
      </c>
      <c r="V23" s="19">
        <f>tblMaster[[#This Row],[Delivery_Date]]-tblMaster[[#This Row],[Order_Date]]</f>
        <v>5</v>
      </c>
      <c r="W23" s="19" t="str">
        <f>TEXT(tblMaster[[#This Row],[Order_Date]],"mmmm")</f>
        <v>November</v>
      </c>
      <c r="X23" s="19">
        <f>MONTH(tblMaster[[#This Row],[Order_Date]])</f>
        <v>11</v>
      </c>
      <c r="Y23" s="19" t="str">
        <f>"Q"&amp;ROUNDUP(tblMaster[[#This Row],[Month Number]]/3,0)</f>
        <v>Q4</v>
      </c>
      <c r="Z23" s="19">
        <f>YEAR(tblMaster[[#This Row],[Order_Date]])</f>
        <v>2023</v>
      </c>
      <c r="AA23" s="19" t="str">
        <f>TEXT(DAY(tblMaster[[#This Row],[Order_Date]]),"dddd")</f>
        <v>Monday</v>
      </c>
      <c r="AB23" s="19" t="str">
        <f>IF(tblMaster[[#This Row],[Revenue]]&gt;=5000,"High",IF(tblMaster[[#This Row],[Revenue]]&lt;2000,"Low","Medium"))</f>
        <v>Low</v>
      </c>
    </row>
    <row r="24" spans="1:28" x14ac:dyDescent="0.25">
      <c r="A24" s="7">
        <v>23</v>
      </c>
      <c r="B24" s="7" t="s">
        <v>206</v>
      </c>
      <c r="C24" s="4">
        <v>12</v>
      </c>
      <c r="D24" s="4">
        <v>3</v>
      </c>
      <c r="E24" s="8">
        <v>45051</v>
      </c>
      <c r="F24" s="9">
        <v>0.22815972222222222</v>
      </c>
      <c r="G24" s="8">
        <v>45052</v>
      </c>
      <c r="H24" s="9">
        <v>0.50861111111111112</v>
      </c>
      <c r="I24" s="7" t="s">
        <v>207</v>
      </c>
      <c r="J24" s="7" t="s">
        <v>30</v>
      </c>
      <c r="K24" s="18" t="str">
        <f>_xlfn.XLOOKUP(tblMaster[[#This Row],[Customer_ID]],tblCustomers[Customer_ID],tblCustomers[City],"Not Found",0)</f>
        <v>Karaikudi</v>
      </c>
      <c r="L24" s="18" t="str">
        <f>_xlfn.XLOOKUP(tblMaster[[#This Row],[Customer_ID]],tblCustomers[Customer_ID],tblCustomers[Name],"Not Found",0)</f>
        <v>Rati Dhingra</v>
      </c>
      <c r="M24" s="18" t="str">
        <f>_xlfn.XLOOKUP(tblMaster[[#This Row],[Customer_ID]],tblCustomers[Customer_ID],tblCustomers[Gender],"Not Found",0)</f>
        <v>Male</v>
      </c>
      <c r="N24" s="18" t="str">
        <f>_xlfn.XLOOKUP(tblMaster[[#This Row],[Product_ID]],tblProducts[Product_ID],tblProducts[Product_Name],"Not Found",0)</f>
        <v>Non Set</v>
      </c>
      <c r="O24" s="18" t="str">
        <f>_xlfn.XLOOKUP(tblMaster[[#This Row],[Product_ID]],tblProducts[Product_ID],tblProducts[Category],"Not Found",0)</f>
        <v>Plants</v>
      </c>
      <c r="P24" s="18" t="str">
        <f>_xlfn.XLOOKUP(tblMaster[[#This Row],[Product_ID]],tblProducts[Product_ID],tblProducts[Occasion],"Not Found",0)</f>
        <v>Anniversary</v>
      </c>
      <c r="Q24" s="18">
        <f>_xlfn.XLOOKUP(tblMaster[[#This Row],[Product_ID]],tblProducts[Product_ID],tblProducts[Price (INR)],"Not Found",0)</f>
        <v>672</v>
      </c>
      <c r="R24" s="19">
        <f>tblMaster[[#This Row],[Price]]*tblMaster[[#This Row],[Quantity]]</f>
        <v>2016</v>
      </c>
      <c r="S24" s="19">
        <f>tblMaster[[#This Row],[Price]]*0.7*tblMaster[[#This Row],[Quantity]]</f>
        <v>1411.1999999999998</v>
      </c>
      <c r="T24" s="19">
        <f>tblMaster[[#This Row],[Revenue]]-tblMaster[[#This Row],[Estimated Cost (at 70%) ]]</f>
        <v>604.80000000000018</v>
      </c>
      <c r="U24" s="19">
        <f>tblMaster[[#This Row],[Profit]]/tblMaster[[#This Row],[Revenue]]</f>
        <v>0.3000000000000001</v>
      </c>
      <c r="V24" s="19">
        <f>tblMaster[[#This Row],[Delivery_Date]]-tblMaster[[#This Row],[Order_Date]]</f>
        <v>1</v>
      </c>
      <c r="W24" s="19" t="str">
        <f>TEXT(tblMaster[[#This Row],[Order_Date]],"mmmm")</f>
        <v>May</v>
      </c>
      <c r="X24" s="19">
        <f>MONTH(tblMaster[[#This Row],[Order_Date]])</f>
        <v>5</v>
      </c>
      <c r="Y24" s="19" t="str">
        <f>"Q"&amp;ROUNDUP(tblMaster[[#This Row],[Month Number]]/3,0)</f>
        <v>Q2</v>
      </c>
      <c r="Z24" s="19">
        <f>YEAR(tblMaster[[#This Row],[Order_Date]])</f>
        <v>2023</v>
      </c>
      <c r="AA24" s="19" t="str">
        <f>TEXT(DAY(tblMaster[[#This Row],[Order_Date]]),"dddd")</f>
        <v>Thursday</v>
      </c>
      <c r="AB24" s="19" t="str">
        <f>IF(tblMaster[[#This Row],[Revenue]]&gt;=5000,"High",IF(tblMaster[[#This Row],[Revenue]]&lt;2000,"Low","Medium"))</f>
        <v>Medium</v>
      </c>
    </row>
    <row r="25" spans="1:28" x14ac:dyDescent="0.25">
      <c r="A25" s="10">
        <v>24</v>
      </c>
      <c r="B25" s="10" t="s">
        <v>208</v>
      </c>
      <c r="C25" s="5">
        <v>42</v>
      </c>
      <c r="D25" s="5">
        <v>3</v>
      </c>
      <c r="E25" s="11">
        <v>45132</v>
      </c>
      <c r="F25" s="12">
        <v>0.21576388888888889</v>
      </c>
      <c r="G25" s="11">
        <v>45141</v>
      </c>
      <c r="H25" s="12">
        <v>0.33165509259259257</v>
      </c>
      <c r="I25" s="10" t="s">
        <v>209</v>
      </c>
      <c r="J25" s="10" t="s">
        <v>8</v>
      </c>
      <c r="K25" s="18" t="str">
        <f>_xlfn.XLOOKUP(tblMaster[[#This Row],[Customer_ID]],tblCustomers[Customer_ID],tblCustomers[City],"Not Found",0)</f>
        <v>Nizamabad</v>
      </c>
      <c r="L25" s="18" t="str">
        <f>_xlfn.XLOOKUP(tblMaster[[#This Row],[Customer_ID]],tblCustomers[Customer_ID],tblCustomers[Name],"Not Found",0)</f>
        <v>Eva Vaidya</v>
      </c>
      <c r="M25" s="18" t="str">
        <f>_xlfn.XLOOKUP(tblMaster[[#This Row],[Customer_ID]],tblCustomers[Customer_ID],tblCustomers[Gender],"Not Found",0)</f>
        <v>Male</v>
      </c>
      <c r="N25" s="18" t="str">
        <f>_xlfn.XLOOKUP(tblMaster[[#This Row],[Product_ID]],tblProducts[Product_ID],tblProducts[Product_Name],"Not Found",0)</f>
        <v>Expedita Gift</v>
      </c>
      <c r="O25" s="18" t="str">
        <f>_xlfn.XLOOKUP(tblMaster[[#This Row],[Product_ID]],tblProducts[Product_ID],tblProducts[Category],"Not Found",0)</f>
        <v>Sweets</v>
      </c>
      <c r="P25" s="18" t="str">
        <f>_xlfn.XLOOKUP(tblMaster[[#This Row],[Product_ID]],tblProducts[Product_ID],tblProducts[Occasion],"Not Found",0)</f>
        <v>All Occasions</v>
      </c>
      <c r="Q25" s="18">
        <f>_xlfn.XLOOKUP(tblMaster[[#This Row],[Product_ID]],tblProducts[Product_ID],tblProducts[Price (INR)],"Not Found",0)</f>
        <v>1744</v>
      </c>
      <c r="R25" s="19">
        <f>tblMaster[[#This Row],[Price]]*tblMaster[[#This Row],[Quantity]]</f>
        <v>5232</v>
      </c>
      <c r="S25" s="19">
        <f>tblMaster[[#This Row],[Price]]*0.7*tblMaster[[#This Row],[Quantity]]</f>
        <v>3662.3999999999996</v>
      </c>
      <c r="T25" s="19">
        <f>tblMaster[[#This Row],[Revenue]]-tblMaster[[#This Row],[Estimated Cost (at 70%) ]]</f>
        <v>1569.6000000000004</v>
      </c>
      <c r="U25" s="19">
        <f>tblMaster[[#This Row],[Profit]]/tblMaster[[#This Row],[Revenue]]</f>
        <v>0.30000000000000004</v>
      </c>
      <c r="V25" s="19">
        <f>tblMaster[[#This Row],[Delivery_Date]]-tblMaster[[#This Row],[Order_Date]]</f>
        <v>9</v>
      </c>
      <c r="W25" s="19" t="str">
        <f>TEXT(tblMaster[[#This Row],[Order_Date]],"mmmm")</f>
        <v>July</v>
      </c>
      <c r="X25" s="19">
        <f>MONTH(tblMaster[[#This Row],[Order_Date]])</f>
        <v>7</v>
      </c>
      <c r="Y25" s="19" t="str">
        <f>"Q"&amp;ROUNDUP(tblMaster[[#This Row],[Month Number]]/3,0)</f>
        <v>Q3</v>
      </c>
      <c r="Z25" s="19">
        <f>YEAR(tblMaster[[#This Row],[Order_Date]])</f>
        <v>2023</v>
      </c>
      <c r="AA25" s="19" t="str">
        <f>TEXT(DAY(tblMaster[[#This Row],[Order_Date]]),"dddd")</f>
        <v>Wednesday</v>
      </c>
      <c r="AB25" s="19" t="str">
        <f>IF(tblMaster[[#This Row],[Revenue]]&gt;=5000,"High",IF(tblMaster[[#This Row],[Revenue]]&lt;2000,"Low","Medium"))</f>
        <v>High</v>
      </c>
    </row>
    <row r="26" spans="1:28" x14ac:dyDescent="0.25">
      <c r="A26" s="7">
        <v>25</v>
      </c>
      <c r="B26" s="7" t="s">
        <v>210</v>
      </c>
      <c r="C26" s="4">
        <v>30</v>
      </c>
      <c r="D26" s="4">
        <v>3</v>
      </c>
      <c r="E26" s="8">
        <v>45128</v>
      </c>
      <c r="F26" s="9">
        <v>0.44927083333333334</v>
      </c>
      <c r="G26" s="8">
        <v>45131</v>
      </c>
      <c r="H26" s="9">
        <v>0.60326388888888893</v>
      </c>
      <c r="I26" s="7" t="s">
        <v>211</v>
      </c>
      <c r="J26" s="7" t="s">
        <v>30</v>
      </c>
      <c r="K26" s="18" t="str">
        <f>_xlfn.XLOOKUP(tblMaster[[#This Row],[Customer_ID]],tblCustomers[Customer_ID],tblCustomers[City],"Not Found",0)</f>
        <v>New Delhi</v>
      </c>
      <c r="L26" s="18" t="str">
        <f>_xlfn.XLOOKUP(tblMaster[[#This Row],[Customer_ID]],tblCustomers[Customer_ID],tblCustomers[Name],"Not Found",0)</f>
        <v>Adira Rajan</v>
      </c>
      <c r="M26" s="18" t="str">
        <f>_xlfn.XLOOKUP(tblMaster[[#This Row],[Customer_ID]],tblCustomers[Customer_ID],tblCustomers[Gender],"Not Found",0)</f>
        <v>Female</v>
      </c>
      <c r="N26" s="18" t="str">
        <f>_xlfn.XLOOKUP(tblMaster[[#This Row],[Product_ID]],tblProducts[Product_ID],tblProducts[Product_Name],"Not Found",0)</f>
        <v>Recusandae Pack</v>
      </c>
      <c r="O26" s="18" t="str">
        <f>_xlfn.XLOOKUP(tblMaster[[#This Row],[Product_ID]],tblProducts[Product_ID],tblProducts[Category],"Not Found",0)</f>
        <v>Colors</v>
      </c>
      <c r="P26" s="18" t="str">
        <f>_xlfn.XLOOKUP(tblMaster[[#This Row],[Product_ID]],tblProducts[Product_ID],tblProducts[Occasion],"Not Found",0)</f>
        <v>Anniversary</v>
      </c>
      <c r="Q26" s="18">
        <f>_xlfn.XLOOKUP(tblMaster[[#This Row],[Product_ID]],tblProducts[Product_ID],tblProducts[Price (INR)],"Not Found",0)</f>
        <v>751</v>
      </c>
      <c r="R26" s="19">
        <f>tblMaster[[#This Row],[Price]]*tblMaster[[#This Row],[Quantity]]</f>
        <v>2253</v>
      </c>
      <c r="S26" s="19">
        <f>tblMaster[[#This Row],[Price]]*0.7*tblMaster[[#This Row],[Quantity]]</f>
        <v>1577.1</v>
      </c>
      <c r="T26" s="19">
        <f>tblMaster[[#This Row],[Revenue]]-tblMaster[[#This Row],[Estimated Cost (at 70%) ]]</f>
        <v>675.90000000000009</v>
      </c>
      <c r="U26" s="19">
        <f>tblMaster[[#This Row],[Profit]]/tblMaster[[#This Row],[Revenue]]</f>
        <v>0.30000000000000004</v>
      </c>
      <c r="V26" s="19">
        <f>tblMaster[[#This Row],[Delivery_Date]]-tblMaster[[#This Row],[Order_Date]]</f>
        <v>3</v>
      </c>
      <c r="W26" s="19" t="str">
        <f>TEXT(tblMaster[[#This Row],[Order_Date]],"mmmm")</f>
        <v>July</v>
      </c>
      <c r="X26" s="19">
        <f>MONTH(tblMaster[[#This Row],[Order_Date]])</f>
        <v>7</v>
      </c>
      <c r="Y26" s="19" t="str">
        <f>"Q"&amp;ROUNDUP(tblMaster[[#This Row],[Month Number]]/3,0)</f>
        <v>Q3</v>
      </c>
      <c r="Z26" s="19">
        <f>YEAR(tblMaster[[#This Row],[Order_Date]])</f>
        <v>2023</v>
      </c>
      <c r="AA26" s="19" t="str">
        <f>TEXT(DAY(tblMaster[[#This Row],[Order_Date]]),"dddd")</f>
        <v>Saturday</v>
      </c>
      <c r="AB26" s="19" t="str">
        <f>IF(tblMaster[[#This Row],[Revenue]]&gt;=5000,"High",IF(tblMaster[[#This Row],[Revenue]]&lt;2000,"Low","Medium"))</f>
        <v>Medium</v>
      </c>
    </row>
    <row r="27" spans="1:28" x14ac:dyDescent="0.25">
      <c r="A27" s="10">
        <v>26</v>
      </c>
      <c r="B27" s="10" t="s">
        <v>176</v>
      </c>
      <c r="C27" s="5">
        <v>6</v>
      </c>
      <c r="D27" s="5">
        <v>3</v>
      </c>
      <c r="E27" s="11">
        <v>44991</v>
      </c>
      <c r="F27" s="12">
        <v>0.21048611111111112</v>
      </c>
      <c r="G27" s="11">
        <v>44997</v>
      </c>
      <c r="H27" s="12">
        <v>0.25429398148148147</v>
      </c>
      <c r="I27" s="10" t="s">
        <v>212</v>
      </c>
      <c r="J27" s="10" t="s">
        <v>25</v>
      </c>
      <c r="K27" s="18" t="str">
        <f>_xlfn.XLOOKUP(tblMaster[[#This Row],[Customer_ID]],tblCustomers[Customer_ID],tblCustomers[City],"Not Found",0)</f>
        <v>Pallavaram</v>
      </c>
      <c r="L27" s="18" t="str">
        <f>_xlfn.XLOOKUP(tblMaster[[#This Row],[Customer_ID]],tblCustomers[Customer_ID],tblCustomers[Name],"Not Found",0)</f>
        <v>Hazel Mangat</v>
      </c>
      <c r="M27" s="18" t="str">
        <f>_xlfn.XLOOKUP(tblMaster[[#This Row],[Customer_ID]],tblCustomers[Customer_ID],tblCustomers[Gender],"Not Found",0)</f>
        <v>Female</v>
      </c>
      <c r="N27" s="18" t="str">
        <f>_xlfn.XLOOKUP(tblMaster[[#This Row],[Product_ID]],tblProducts[Product_ID],tblProducts[Product_Name],"Not Found",0)</f>
        <v>Quos Box</v>
      </c>
      <c r="O27" s="18" t="str">
        <f>_xlfn.XLOOKUP(tblMaster[[#This Row],[Product_ID]],tblProducts[Product_ID],tblProducts[Category],"Not Found",0)</f>
        <v>Cake</v>
      </c>
      <c r="P27" s="18" t="str">
        <f>_xlfn.XLOOKUP(tblMaster[[#This Row],[Product_ID]],tblProducts[Product_ID],tblProducts[Occasion],"Not Found",0)</f>
        <v>Holi</v>
      </c>
      <c r="Q27" s="18">
        <f>_xlfn.XLOOKUP(tblMaster[[#This Row],[Product_ID]],tblProducts[Product_ID],tblProducts[Price (INR)],"Not Found",0)</f>
        <v>1112</v>
      </c>
      <c r="R27" s="19">
        <f>tblMaster[[#This Row],[Price]]*tblMaster[[#This Row],[Quantity]]</f>
        <v>3336</v>
      </c>
      <c r="S27" s="19">
        <f>tblMaster[[#This Row],[Price]]*0.7*tblMaster[[#This Row],[Quantity]]</f>
        <v>2335.1999999999998</v>
      </c>
      <c r="T27" s="19">
        <f>tblMaster[[#This Row],[Revenue]]-tblMaster[[#This Row],[Estimated Cost (at 70%) ]]</f>
        <v>1000.8000000000002</v>
      </c>
      <c r="U27" s="19">
        <f>tblMaster[[#This Row],[Profit]]/tblMaster[[#This Row],[Revenue]]</f>
        <v>0.30000000000000004</v>
      </c>
      <c r="V27" s="19">
        <f>tblMaster[[#This Row],[Delivery_Date]]-tblMaster[[#This Row],[Order_Date]]</f>
        <v>6</v>
      </c>
      <c r="W27" s="19" t="str">
        <f>TEXT(tblMaster[[#This Row],[Order_Date]],"mmmm")</f>
        <v>March</v>
      </c>
      <c r="X27" s="19">
        <f>MONTH(tblMaster[[#This Row],[Order_Date]])</f>
        <v>3</v>
      </c>
      <c r="Y27" s="19" t="str">
        <f>"Q"&amp;ROUNDUP(tblMaster[[#This Row],[Month Number]]/3,0)</f>
        <v>Q1</v>
      </c>
      <c r="Z27" s="19">
        <f>YEAR(tblMaster[[#This Row],[Order_Date]])</f>
        <v>2023</v>
      </c>
      <c r="AA27" s="19" t="str">
        <f>TEXT(DAY(tblMaster[[#This Row],[Order_Date]]),"dddd")</f>
        <v>Friday</v>
      </c>
      <c r="AB27" s="19" t="str">
        <f>IF(tblMaster[[#This Row],[Revenue]]&gt;=5000,"High",IF(tblMaster[[#This Row],[Revenue]]&lt;2000,"Low","Medium"))</f>
        <v>Medium</v>
      </c>
    </row>
    <row r="28" spans="1:28" x14ac:dyDescent="0.25">
      <c r="A28" s="7">
        <v>27</v>
      </c>
      <c r="B28" s="7" t="s">
        <v>213</v>
      </c>
      <c r="C28" s="4">
        <v>9</v>
      </c>
      <c r="D28" s="4">
        <v>2</v>
      </c>
      <c r="E28" s="8">
        <v>45160</v>
      </c>
      <c r="F28" s="9">
        <v>0.46976851851851853</v>
      </c>
      <c r="G28" s="8">
        <v>45168</v>
      </c>
      <c r="H28" s="9">
        <v>0.33277777777777778</v>
      </c>
      <c r="I28" s="7" t="s">
        <v>214</v>
      </c>
      <c r="J28" s="7" t="s">
        <v>33</v>
      </c>
      <c r="K28" s="18" t="str">
        <f>_xlfn.XLOOKUP(tblMaster[[#This Row],[Customer_ID]],tblCustomers[Customer_ID],tblCustomers[City],"Not Found",0)</f>
        <v>Jamnagar</v>
      </c>
      <c r="L28" s="18" t="str">
        <f>_xlfn.XLOOKUP(tblMaster[[#This Row],[Customer_ID]],tblCustomers[Customer_ID],tblCustomers[Name],"Not Found",0)</f>
        <v>Arhaan Ahluwalia</v>
      </c>
      <c r="M28" s="18" t="str">
        <f>_xlfn.XLOOKUP(tblMaster[[#This Row],[Customer_ID]],tblCustomers[Customer_ID],tblCustomers[Gender],"Not Found",0)</f>
        <v>Male</v>
      </c>
      <c r="N28" s="18" t="str">
        <f>_xlfn.XLOOKUP(tblMaster[[#This Row],[Product_ID]],tblProducts[Product_ID],tblProducts[Product_Name],"Not Found",0)</f>
        <v>Aperiam Box</v>
      </c>
      <c r="O28" s="18" t="str">
        <f>_xlfn.XLOOKUP(tblMaster[[#This Row],[Product_ID]],tblProducts[Product_ID],tblProducts[Category],"Not Found",0)</f>
        <v>Colors</v>
      </c>
      <c r="P28" s="18" t="str">
        <f>_xlfn.XLOOKUP(tblMaster[[#This Row],[Product_ID]],tblProducts[Product_ID],tblProducts[Occasion],"Not Found",0)</f>
        <v>Raksha Bandhan</v>
      </c>
      <c r="Q28" s="18">
        <f>_xlfn.XLOOKUP(tblMaster[[#This Row],[Product_ID]],tblProducts[Product_ID],tblProducts[Price (INR)],"Not Found",0)</f>
        <v>1605</v>
      </c>
      <c r="R28" s="19">
        <f>tblMaster[[#This Row],[Price]]*tblMaster[[#This Row],[Quantity]]</f>
        <v>3210</v>
      </c>
      <c r="S28" s="19">
        <f>tblMaster[[#This Row],[Price]]*0.7*tblMaster[[#This Row],[Quantity]]</f>
        <v>2247</v>
      </c>
      <c r="T28" s="19">
        <f>tblMaster[[#This Row],[Revenue]]-tblMaster[[#This Row],[Estimated Cost (at 70%) ]]</f>
        <v>963</v>
      </c>
      <c r="U28" s="19">
        <f>tblMaster[[#This Row],[Profit]]/tblMaster[[#This Row],[Revenue]]</f>
        <v>0.3</v>
      </c>
      <c r="V28" s="19">
        <f>tblMaster[[#This Row],[Delivery_Date]]-tblMaster[[#This Row],[Order_Date]]</f>
        <v>8</v>
      </c>
      <c r="W28" s="19" t="str">
        <f>TEXT(tblMaster[[#This Row],[Order_Date]],"mmmm")</f>
        <v>August</v>
      </c>
      <c r="X28" s="19">
        <f>MONTH(tblMaster[[#This Row],[Order_Date]])</f>
        <v>8</v>
      </c>
      <c r="Y28" s="19" t="str">
        <f>"Q"&amp;ROUNDUP(tblMaster[[#This Row],[Month Number]]/3,0)</f>
        <v>Q3</v>
      </c>
      <c r="Z28" s="19">
        <f>YEAR(tblMaster[[#This Row],[Order_Date]])</f>
        <v>2023</v>
      </c>
      <c r="AA28" s="19" t="str">
        <f>TEXT(DAY(tblMaster[[#This Row],[Order_Date]]),"dddd")</f>
        <v>Sunday</v>
      </c>
      <c r="AB28" s="19" t="str">
        <f>IF(tblMaster[[#This Row],[Revenue]]&gt;=5000,"High",IF(tblMaster[[#This Row],[Revenue]]&lt;2000,"Low","Medium"))</f>
        <v>Medium</v>
      </c>
    </row>
    <row r="29" spans="1:28" x14ac:dyDescent="0.25">
      <c r="A29" s="10">
        <v>28</v>
      </c>
      <c r="B29" s="10" t="s">
        <v>215</v>
      </c>
      <c r="C29" s="5">
        <v>42</v>
      </c>
      <c r="D29" s="5">
        <v>3</v>
      </c>
      <c r="E29" s="11">
        <v>45051</v>
      </c>
      <c r="F29" s="12">
        <v>0.14265046296296297</v>
      </c>
      <c r="G29" s="11">
        <v>45056</v>
      </c>
      <c r="H29" s="12">
        <v>0.32990740740740743</v>
      </c>
      <c r="I29" s="10" t="s">
        <v>173</v>
      </c>
      <c r="J29" s="10" t="s">
        <v>8</v>
      </c>
      <c r="K29" s="18" t="str">
        <f>_xlfn.XLOOKUP(tblMaster[[#This Row],[Customer_ID]],tblCustomers[Customer_ID],tblCustomers[City],"Not Found",0)</f>
        <v xml:space="preserve">Khora </v>
      </c>
      <c r="L29" s="18" t="str">
        <f>_xlfn.XLOOKUP(tblMaster[[#This Row],[Customer_ID]],tblCustomers[Customer_ID],tblCustomers[Name],"Not Found",0)</f>
        <v>Shalv Kulkarni</v>
      </c>
      <c r="M29" s="18" t="str">
        <f>_xlfn.XLOOKUP(tblMaster[[#This Row],[Customer_ID]],tblCustomers[Customer_ID],tblCustomers[Gender],"Not Found",0)</f>
        <v>Female</v>
      </c>
      <c r="N29" s="18" t="str">
        <f>_xlfn.XLOOKUP(tblMaster[[#This Row],[Product_ID]],tblProducts[Product_ID],tblProducts[Product_Name],"Not Found",0)</f>
        <v>Expedita Gift</v>
      </c>
      <c r="O29" s="18" t="str">
        <f>_xlfn.XLOOKUP(tblMaster[[#This Row],[Product_ID]],tblProducts[Product_ID],tblProducts[Category],"Not Found",0)</f>
        <v>Sweets</v>
      </c>
      <c r="P29" s="18" t="str">
        <f>_xlfn.XLOOKUP(tblMaster[[#This Row],[Product_ID]],tblProducts[Product_ID],tblProducts[Occasion],"Not Found",0)</f>
        <v>All Occasions</v>
      </c>
      <c r="Q29" s="18">
        <f>_xlfn.XLOOKUP(tblMaster[[#This Row],[Product_ID]],tblProducts[Product_ID],tblProducts[Price (INR)],"Not Found",0)</f>
        <v>1744</v>
      </c>
      <c r="R29" s="19">
        <f>tblMaster[[#This Row],[Price]]*tblMaster[[#This Row],[Quantity]]</f>
        <v>5232</v>
      </c>
      <c r="S29" s="19">
        <f>tblMaster[[#This Row],[Price]]*0.7*tblMaster[[#This Row],[Quantity]]</f>
        <v>3662.3999999999996</v>
      </c>
      <c r="T29" s="19">
        <f>tblMaster[[#This Row],[Revenue]]-tblMaster[[#This Row],[Estimated Cost (at 70%) ]]</f>
        <v>1569.6000000000004</v>
      </c>
      <c r="U29" s="19">
        <f>tblMaster[[#This Row],[Profit]]/tblMaster[[#This Row],[Revenue]]</f>
        <v>0.30000000000000004</v>
      </c>
      <c r="V29" s="19">
        <f>tblMaster[[#This Row],[Delivery_Date]]-tblMaster[[#This Row],[Order_Date]]</f>
        <v>5</v>
      </c>
      <c r="W29" s="19" t="str">
        <f>TEXT(tblMaster[[#This Row],[Order_Date]],"mmmm")</f>
        <v>May</v>
      </c>
      <c r="X29" s="19">
        <f>MONTH(tblMaster[[#This Row],[Order_Date]])</f>
        <v>5</v>
      </c>
      <c r="Y29" s="19" t="str">
        <f>"Q"&amp;ROUNDUP(tblMaster[[#This Row],[Month Number]]/3,0)</f>
        <v>Q2</v>
      </c>
      <c r="Z29" s="19">
        <f>YEAR(tblMaster[[#This Row],[Order_Date]])</f>
        <v>2023</v>
      </c>
      <c r="AA29" s="19" t="str">
        <f>TEXT(DAY(tblMaster[[#This Row],[Order_Date]]),"dddd")</f>
        <v>Thursday</v>
      </c>
      <c r="AB29" s="19" t="str">
        <f>IF(tblMaster[[#This Row],[Revenue]]&gt;=5000,"High",IF(tblMaster[[#This Row],[Revenue]]&lt;2000,"Low","Medium"))</f>
        <v>High</v>
      </c>
    </row>
    <row r="30" spans="1:28" x14ac:dyDescent="0.25">
      <c r="A30" s="7">
        <v>29</v>
      </c>
      <c r="B30" s="7" t="s">
        <v>216</v>
      </c>
      <c r="C30" s="4">
        <v>10</v>
      </c>
      <c r="D30" s="4">
        <v>5</v>
      </c>
      <c r="E30" s="8">
        <v>45191</v>
      </c>
      <c r="F30" s="9">
        <v>4.6087962962962963E-2</v>
      </c>
      <c r="G30" s="8">
        <v>45200</v>
      </c>
      <c r="H30" s="9">
        <v>0.60365740740740736</v>
      </c>
      <c r="I30" s="7" t="s">
        <v>217</v>
      </c>
      <c r="J30" s="7" t="s">
        <v>36</v>
      </c>
      <c r="K30" s="18" t="str">
        <f>_xlfn.XLOOKUP(tblMaster[[#This Row],[Customer_ID]],tblCustomers[Customer_ID],tblCustomers[City],"Not Found",0)</f>
        <v>Srikakulam</v>
      </c>
      <c r="L30" s="18" t="str">
        <f>_xlfn.XLOOKUP(tblMaster[[#This Row],[Customer_ID]],tblCustomers[Customer_ID],tblCustomers[Name],"Not Found",0)</f>
        <v>Indrajit Kale</v>
      </c>
      <c r="M30" s="18" t="str">
        <f>_xlfn.XLOOKUP(tblMaster[[#This Row],[Customer_ID]],tblCustomers[Customer_ID],tblCustomers[Gender],"Not Found",0)</f>
        <v>Male</v>
      </c>
      <c r="N30" s="18" t="str">
        <f>_xlfn.XLOOKUP(tblMaster[[#This Row],[Product_ID]],tblProducts[Product_ID],tblProducts[Product_Name],"Not Found",0)</f>
        <v>Accusantium Gift</v>
      </c>
      <c r="O30" s="18" t="str">
        <f>_xlfn.XLOOKUP(tblMaster[[#This Row],[Product_ID]],tblProducts[Product_ID],tblProducts[Category],"Not Found",0)</f>
        <v>Cake</v>
      </c>
      <c r="P30" s="18" t="str">
        <f>_xlfn.XLOOKUP(tblMaster[[#This Row],[Product_ID]],tblProducts[Product_ID],tblProducts[Occasion],"Not Found",0)</f>
        <v>Birthday</v>
      </c>
      <c r="Q30" s="18">
        <f>_xlfn.XLOOKUP(tblMaster[[#This Row],[Product_ID]],tblProducts[Product_ID],tblProducts[Price (INR)],"Not Found",0)</f>
        <v>259</v>
      </c>
      <c r="R30" s="19">
        <f>tblMaster[[#This Row],[Price]]*tblMaster[[#This Row],[Quantity]]</f>
        <v>1295</v>
      </c>
      <c r="S30" s="19">
        <f>tblMaster[[#This Row],[Price]]*0.7*tblMaster[[#This Row],[Quantity]]</f>
        <v>906.49999999999989</v>
      </c>
      <c r="T30" s="19">
        <f>tblMaster[[#This Row],[Revenue]]-tblMaster[[#This Row],[Estimated Cost (at 70%) ]]</f>
        <v>388.50000000000011</v>
      </c>
      <c r="U30" s="19">
        <f>tblMaster[[#This Row],[Profit]]/tblMaster[[#This Row],[Revenue]]</f>
        <v>0.3000000000000001</v>
      </c>
      <c r="V30" s="19">
        <f>tblMaster[[#This Row],[Delivery_Date]]-tblMaster[[#This Row],[Order_Date]]</f>
        <v>9</v>
      </c>
      <c r="W30" s="19" t="str">
        <f>TEXT(tblMaster[[#This Row],[Order_Date]],"mmmm")</f>
        <v>September</v>
      </c>
      <c r="X30" s="19">
        <f>MONTH(tblMaster[[#This Row],[Order_Date]])</f>
        <v>9</v>
      </c>
      <c r="Y30" s="19" t="str">
        <f>"Q"&amp;ROUNDUP(tblMaster[[#This Row],[Month Number]]/3,0)</f>
        <v>Q3</v>
      </c>
      <c r="Z30" s="19">
        <f>YEAR(tblMaster[[#This Row],[Order_Date]])</f>
        <v>2023</v>
      </c>
      <c r="AA30" s="19" t="str">
        <f>TEXT(DAY(tblMaster[[#This Row],[Order_Date]]),"dddd")</f>
        <v>Sunday</v>
      </c>
      <c r="AB30" s="19" t="str">
        <f>IF(tblMaster[[#This Row],[Revenue]]&gt;=5000,"High",IF(tblMaster[[#This Row],[Revenue]]&lt;2000,"Low","Medium"))</f>
        <v>Low</v>
      </c>
    </row>
    <row r="31" spans="1:28" x14ac:dyDescent="0.25">
      <c r="A31" s="10">
        <v>30</v>
      </c>
      <c r="B31" s="10" t="s">
        <v>182</v>
      </c>
      <c r="C31" s="5">
        <v>23</v>
      </c>
      <c r="D31" s="5">
        <v>4</v>
      </c>
      <c r="E31" s="11">
        <v>44939</v>
      </c>
      <c r="F31" s="12">
        <v>0.39135416666666667</v>
      </c>
      <c r="G31" s="11">
        <v>44941</v>
      </c>
      <c r="H31" s="12">
        <v>0.56733796296296302</v>
      </c>
      <c r="I31" s="10" t="s">
        <v>218</v>
      </c>
      <c r="J31" s="10" t="s">
        <v>30</v>
      </c>
      <c r="K31" s="18" t="str">
        <f>_xlfn.XLOOKUP(tblMaster[[#This Row],[Customer_ID]],tblCustomers[Customer_ID],tblCustomers[City],"Not Found",0)</f>
        <v>Agra</v>
      </c>
      <c r="L31" s="18" t="str">
        <f>_xlfn.XLOOKUP(tblMaster[[#This Row],[Customer_ID]],tblCustomers[Customer_ID],tblCustomers[Name],"Not Found",0)</f>
        <v>Seher Mann</v>
      </c>
      <c r="M31" s="18" t="str">
        <f>_xlfn.XLOOKUP(tblMaster[[#This Row],[Customer_ID]],tblCustomers[Customer_ID],tblCustomers[Gender],"Not Found",0)</f>
        <v>Male</v>
      </c>
      <c r="N31" s="18" t="str">
        <f>_xlfn.XLOOKUP(tblMaster[[#This Row],[Product_ID]],tblProducts[Product_ID],tblProducts[Product_Name],"Not Found",0)</f>
        <v>Dignissimos Pack</v>
      </c>
      <c r="O31" s="18" t="str">
        <f>_xlfn.XLOOKUP(tblMaster[[#This Row],[Product_ID]],tblProducts[Product_ID],tblProducts[Category],"Not Found",0)</f>
        <v>Sweets</v>
      </c>
      <c r="P31" s="18" t="str">
        <f>_xlfn.XLOOKUP(tblMaster[[#This Row],[Product_ID]],tblProducts[Product_ID],tblProducts[Occasion],"Not Found",0)</f>
        <v>Anniversary</v>
      </c>
      <c r="Q31" s="18">
        <f>_xlfn.XLOOKUP(tblMaster[[#This Row],[Product_ID]],tblProducts[Product_ID],tblProducts[Price (INR)],"Not Found",0)</f>
        <v>1098</v>
      </c>
      <c r="R31" s="19">
        <f>tblMaster[[#This Row],[Price]]*tblMaster[[#This Row],[Quantity]]</f>
        <v>4392</v>
      </c>
      <c r="S31" s="19">
        <f>tblMaster[[#This Row],[Price]]*0.7*tblMaster[[#This Row],[Quantity]]</f>
        <v>3074.3999999999996</v>
      </c>
      <c r="T31" s="19">
        <f>tblMaster[[#This Row],[Revenue]]-tblMaster[[#This Row],[Estimated Cost (at 70%) ]]</f>
        <v>1317.6000000000004</v>
      </c>
      <c r="U31" s="19">
        <f>tblMaster[[#This Row],[Profit]]/tblMaster[[#This Row],[Revenue]]</f>
        <v>0.3000000000000001</v>
      </c>
      <c r="V31" s="19">
        <f>tblMaster[[#This Row],[Delivery_Date]]-tblMaster[[#This Row],[Order_Date]]</f>
        <v>2</v>
      </c>
      <c r="W31" s="19" t="str">
        <f>TEXT(tblMaster[[#This Row],[Order_Date]],"mmmm")</f>
        <v>January</v>
      </c>
      <c r="X31" s="19">
        <f>MONTH(tblMaster[[#This Row],[Order_Date]])</f>
        <v>1</v>
      </c>
      <c r="Y31" s="19" t="str">
        <f>"Q"&amp;ROUNDUP(tblMaster[[#This Row],[Month Number]]/3,0)</f>
        <v>Q1</v>
      </c>
      <c r="Z31" s="19">
        <f>YEAR(tblMaster[[#This Row],[Order_Date]])</f>
        <v>2023</v>
      </c>
      <c r="AA31" s="19" t="str">
        <f>TEXT(DAY(tblMaster[[#This Row],[Order_Date]]),"dddd")</f>
        <v>Friday</v>
      </c>
      <c r="AB31" s="19" t="str">
        <f>IF(tblMaster[[#This Row],[Revenue]]&gt;=5000,"High",IF(tblMaster[[#This Row],[Revenue]]&lt;2000,"Low","Medium"))</f>
        <v>Medium</v>
      </c>
    </row>
    <row r="32" spans="1:28" x14ac:dyDescent="0.25">
      <c r="A32" s="7">
        <v>31</v>
      </c>
      <c r="B32" s="7" t="s">
        <v>170</v>
      </c>
      <c r="C32" s="4">
        <v>7</v>
      </c>
      <c r="D32" s="4">
        <v>5</v>
      </c>
      <c r="E32" s="8">
        <v>44985</v>
      </c>
      <c r="F32" s="9">
        <v>0.55094907407407412</v>
      </c>
      <c r="G32" s="8">
        <v>44988</v>
      </c>
      <c r="H32" s="9">
        <v>0.98320601851851852</v>
      </c>
      <c r="I32" s="7" t="s">
        <v>219</v>
      </c>
      <c r="J32" s="7" t="s">
        <v>25</v>
      </c>
      <c r="K32" s="18" t="str">
        <f>_xlfn.XLOOKUP(tblMaster[[#This Row],[Customer_ID]],tblCustomers[Customer_ID],tblCustomers[City],"Not Found",0)</f>
        <v>Haridwar</v>
      </c>
      <c r="L32" s="18" t="str">
        <f>_xlfn.XLOOKUP(tblMaster[[#This Row],[Customer_ID]],tblCustomers[Customer_ID],tblCustomers[Name],"Not Found",0)</f>
        <v>Badal Sathe</v>
      </c>
      <c r="M32" s="18" t="str">
        <f>_xlfn.XLOOKUP(tblMaster[[#This Row],[Customer_ID]],tblCustomers[Customer_ID],tblCustomers[Gender],"Not Found",0)</f>
        <v>Female</v>
      </c>
      <c r="N32" s="18" t="str">
        <f>_xlfn.XLOOKUP(tblMaster[[#This Row],[Product_ID]],tblProducts[Product_ID],tblProducts[Product_Name],"Not Found",0)</f>
        <v>Quos Set</v>
      </c>
      <c r="O32" s="18" t="str">
        <f>_xlfn.XLOOKUP(tblMaster[[#This Row],[Product_ID]],tblProducts[Product_ID],tblProducts[Category],"Not Found",0)</f>
        <v>Soft Toys</v>
      </c>
      <c r="P32" s="18" t="str">
        <f>_xlfn.XLOOKUP(tblMaster[[#This Row],[Product_ID]],tblProducts[Product_ID],tblProducts[Occasion],"Not Found",0)</f>
        <v>Holi</v>
      </c>
      <c r="Q32" s="18">
        <f>_xlfn.XLOOKUP(tblMaster[[#This Row],[Product_ID]],tblProducts[Product_ID],tblProducts[Price (INR)],"Not Found",0)</f>
        <v>409</v>
      </c>
      <c r="R32" s="19">
        <f>tblMaster[[#This Row],[Price]]*tblMaster[[#This Row],[Quantity]]</f>
        <v>2045</v>
      </c>
      <c r="S32" s="19">
        <f>tblMaster[[#This Row],[Price]]*0.7*tblMaster[[#This Row],[Quantity]]</f>
        <v>1431.4999999999998</v>
      </c>
      <c r="T32" s="19">
        <f>tblMaster[[#This Row],[Revenue]]-tblMaster[[#This Row],[Estimated Cost (at 70%) ]]</f>
        <v>613.50000000000023</v>
      </c>
      <c r="U32" s="19">
        <f>tblMaster[[#This Row],[Profit]]/tblMaster[[#This Row],[Revenue]]</f>
        <v>0.3000000000000001</v>
      </c>
      <c r="V32" s="19">
        <f>tblMaster[[#This Row],[Delivery_Date]]-tblMaster[[#This Row],[Order_Date]]</f>
        <v>3</v>
      </c>
      <c r="W32" s="19" t="str">
        <f>TEXT(tblMaster[[#This Row],[Order_Date]],"mmmm")</f>
        <v>February</v>
      </c>
      <c r="X32" s="19">
        <f>MONTH(tblMaster[[#This Row],[Order_Date]])</f>
        <v>2</v>
      </c>
      <c r="Y32" s="19" t="str">
        <f>"Q"&amp;ROUNDUP(tblMaster[[#This Row],[Month Number]]/3,0)</f>
        <v>Q1</v>
      </c>
      <c r="Z32" s="19">
        <f>YEAR(tblMaster[[#This Row],[Order_Date]])</f>
        <v>2023</v>
      </c>
      <c r="AA32" s="19" t="str">
        <f>TEXT(DAY(tblMaster[[#This Row],[Order_Date]]),"dddd")</f>
        <v>Saturday</v>
      </c>
      <c r="AB32" s="19" t="str">
        <f>IF(tblMaster[[#This Row],[Revenue]]&gt;=5000,"High",IF(tblMaster[[#This Row],[Revenue]]&lt;2000,"Low","Medium"))</f>
        <v>Medium</v>
      </c>
    </row>
    <row r="33" spans="1:28" x14ac:dyDescent="0.25">
      <c r="A33" s="10">
        <v>32</v>
      </c>
      <c r="B33" s="10" t="s">
        <v>185</v>
      </c>
      <c r="C33" s="5">
        <v>7</v>
      </c>
      <c r="D33" s="5">
        <v>5</v>
      </c>
      <c r="E33" s="11">
        <v>44989</v>
      </c>
      <c r="F33" s="12">
        <v>0.65047453703703706</v>
      </c>
      <c r="G33" s="11">
        <v>44990</v>
      </c>
      <c r="H33" s="12">
        <v>0.6626157407407407</v>
      </c>
      <c r="I33" s="10" t="s">
        <v>220</v>
      </c>
      <c r="J33" s="10" t="s">
        <v>25</v>
      </c>
      <c r="K33" s="18" t="str">
        <f>_xlfn.XLOOKUP(tblMaster[[#This Row],[Customer_ID]],tblCustomers[Customer_ID],tblCustomers[City],"Not Found",0)</f>
        <v>North Dumdum</v>
      </c>
      <c r="L33" s="18" t="str">
        <f>_xlfn.XLOOKUP(tblMaster[[#This Row],[Customer_ID]],tblCustomers[Customer_ID],tblCustomers[Name],"Not Found",0)</f>
        <v>Badal Vora</v>
      </c>
      <c r="M33" s="18" t="str">
        <f>_xlfn.XLOOKUP(tblMaster[[#This Row],[Customer_ID]],tblCustomers[Customer_ID],tblCustomers[Gender],"Not Found",0)</f>
        <v>Male</v>
      </c>
      <c r="N33" s="18" t="str">
        <f>_xlfn.XLOOKUP(tblMaster[[#This Row],[Product_ID]],tblProducts[Product_ID],tblProducts[Product_Name],"Not Found",0)</f>
        <v>Quos Set</v>
      </c>
      <c r="O33" s="18" t="str">
        <f>_xlfn.XLOOKUP(tblMaster[[#This Row],[Product_ID]],tblProducts[Product_ID],tblProducts[Category],"Not Found",0)</f>
        <v>Soft Toys</v>
      </c>
      <c r="P33" s="18" t="str">
        <f>_xlfn.XLOOKUP(tblMaster[[#This Row],[Product_ID]],tblProducts[Product_ID],tblProducts[Occasion],"Not Found",0)</f>
        <v>Holi</v>
      </c>
      <c r="Q33" s="18">
        <f>_xlfn.XLOOKUP(tblMaster[[#This Row],[Product_ID]],tblProducts[Product_ID],tblProducts[Price (INR)],"Not Found",0)</f>
        <v>409</v>
      </c>
      <c r="R33" s="19">
        <f>tblMaster[[#This Row],[Price]]*tblMaster[[#This Row],[Quantity]]</f>
        <v>2045</v>
      </c>
      <c r="S33" s="19">
        <f>tblMaster[[#This Row],[Price]]*0.7*tblMaster[[#This Row],[Quantity]]</f>
        <v>1431.4999999999998</v>
      </c>
      <c r="T33" s="19">
        <f>tblMaster[[#This Row],[Revenue]]-tblMaster[[#This Row],[Estimated Cost (at 70%) ]]</f>
        <v>613.50000000000023</v>
      </c>
      <c r="U33" s="19">
        <f>tblMaster[[#This Row],[Profit]]/tblMaster[[#This Row],[Revenue]]</f>
        <v>0.3000000000000001</v>
      </c>
      <c r="V33" s="19">
        <f>tblMaster[[#This Row],[Delivery_Date]]-tblMaster[[#This Row],[Order_Date]]</f>
        <v>1</v>
      </c>
      <c r="W33" s="19" t="str">
        <f>TEXT(tblMaster[[#This Row],[Order_Date]],"mmmm")</f>
        <v>March</v>
      </c>
      <c r="X33" s="19">
        <f>MONTH(tblMaster[[#This Row],[Order_Date]])</f>
        <v>3</v>
      </c>
      <c r="Y33" s="19" t="str">
        <f>"Q"&amp;ROUNDUP(tblMaster[[#This Row],[Month Number]]/3,0)</f>
        <v>Q1</v>
      </c>
      <c r="Z33" s="19">
        <f>YEAR(tblMaster[[#This Row],[Order_Date]])</f>
        <v>2023</v>
      </c>
      <c r="AA33" s="19" t="str">
        <f>TEXT(DAY(tblMaster[[#This Row],[Order_Date]]),"dddd")</f>
        <v>Wednesday</v>
      </c>
      <c r="AB33" s="19" t="str">
        <f>IF(tblMaster[[#This Row],[Revenue]]&gt;=5000,"High",IF(tblMaster[[#This Row],[Revenue]]&lt;2000,"Low","Medium"))</f>
        <v>Medium</v>
      </c>
    </row>
    <row r="34" spans="1:28" x14ac:dyDescent="0.25">
      <c r="A34" s="7">
        <v>33</v>
      </c>
      <c r="B34" s="7" t="s">
        <v>221</v>
      </c>
      <c r="C34" s="4">
        <v>8</v>
      </c>
      <c r="D34" s="4">
        <v>3</v>
      </c>
      <c r="E34" s="8">
        <v>45031</v>
      </c>
      <c r="F34" s="9">
        <v>6.7673611111111115E-2</v>
      </c>
      <c r="G34" s="8">
        <v>45041</v>
      </c>
      <c r="H34" s="9">
        <v>9.2673611111111109E-2</v>
      </c>
      <c r="I34" s="7" t="s">
        <v>212</v>
      </c>
      <c r="J34" s="7" t="s">
        <v>30</v>
      </c>
      <c r="K34" s="18" t="str">
        <f>_xlfn.XLOOKUP(tblMaster[[#This Row],[Customer_ID]],tblCustomers[Customer_ID],tblCustomers[City],"Not Found",0)</f>
        <v>Jorhat</v>
      </c>
      <c r="L34" s="18" t="str">
        <f>_xlfn.XLOOKUP(tblMaster[[#This Row],[Customer_ID]],tblCustomers[Customer_ID],tblCustomers[Name],"Not Found",0)</f>
        <v>Bhamini Ravi</v>
      </c>
      <c r="M34" s="18" t="str">
        <f>_xlfn.XLOOKUP(tblMaster[[#This Row],[Customer_ID]],tblCustomers[Customer_ID],tblCustomers[Gender],"Not Found",0)</f>
        <v>Male</v>
      </c>
      <c r="N34" s="18" t="str">
        <f>_xlfn.XLOOKUP(tblMaster[[#This Row],[Product_ID]],tblProducts[Product_ID],tblProducts[Product_Name],"Not Found",0)</f>
        <v>Qui Box</v>
      </c>
      <c r="O34" s="18" t="str">
        <f>_xlfn.XLOOKUP(tblMaster[[#This Row],[Product_ID]],tblProducts[Product_ID],tblProducts[Category],"Not Found",0)</f>
        <v>Sweets</v>
      </c>
      <c r="P34" s="18" t="str">
        <f>_xlfn.XLOOKUP(tblMaster[[#This Row],[Product_ID]],tblProducts[Product_ID],tblProducts[Occasion],"Not Found",0)</f>
        <v>Anniversary</v>
      </c>
      <c r="Q34" s="18">
        <f>_xlfn.XLOOKUP(tblMaster[[#This Row],[Product_ID]],tblProducts[Product_ID],tblProducts[Price (INR)],"Not Found",0)</f>
        <v>252</v>
      </c>
      <c r="R34" s="19">
        <f>tblMaster[[#This Row],[Price]]*tblMaster[[#This Row],[Quantity]]</f>
        <v>756</v>
      </c>
      <c r="S34" s="19">
        <f>tblMaster[[#This Row],[Price]]*0.7*tblMaster[[#This Row],[Quantity]]</f>
        <v>529.19999999999993</v>
      </c>
      <c r="T34" s="19">
        <f>tblMaster[[#This Row],[Revenue]]-tblMaster[[#This Row],[Estimated Cost (at 70%) ]]</f>
        <v>226.80000000000007</v>
      </c>
      <c r="U34" s="19">
        <f>tblMaster[[#This Row],[Profit]]/tblMaster[[#This Row],[Revenue]]</f>
        <v>0.3000000000000001</v>
      </c>
      <c r="V34" s="19">
        <f>tblMaster[[#This Row],[Delivery_Date]]-tblMaster[[#This Row],[Order_Date]]</f>
        <v>10</v>
      </c>
      <c r="W34" s="19" t="str">
        <f>TEXT(tblMaster[[#This Row],[Order_Date]],"mmmm")</f>
        <v>April</v>
      </c>
      <c r="X34" s="19">
        <f>MONTH(tblMaster[[#This Row],[Order_Date]])</f>
        <v>4</v>
      </c>
      <c r="Y34" s="19" t="str">
        <f>"Q"&amp;ROUNDUP(tblMaster[[#This Row],[Month Number]]/3,0)</f>
        <v>Q2</v>
      </c>
      <c r="Z34" s="19">
        <f>YEAR(tblMaster[[#This Row],[Order_Date]])</f>
        <v>2023</v>
      </c>
      <c r="AA34" s="19" t="str">
        <f>TEXT(DAY(tblMaster[[#This Row],[Order_Date]]),"dddd")</f>
        <v>Sunday</v>
      </c>
      <c r="AB34" s="19" t="str">
        <f>IF(tblMaster[[#This Row],[Revenue]]&gt;=5000,"High",IF(tblMaster[[#This Row],[Revenue]]&lt;2000,"Low","Medium"))</f>
        <v>Low</v>
      </c>
    </row>
    <row r="35" spans="1:28" x14ac:dyDescent="0.25">
      <c r="A35" s="10">
        <v>34</v>
      </c>
      <c r="B35" s="10" t="s">
        <v>222</v>
      </c>
      <c r="C35" s="5">
        <v>17</v>
      </c>
      <c r="D35" s="5">
        <v>2</v>
      </c>
      <c r="E35" s="11">
        <v>45200</v>
      </c>
      <c r="F35" s="12">
        <v>0.95711805555555551</v>
      </c>
      <c r="G35" s="11">
        <v>45204</v>
      </c>
      <c r="H35" s="12">
        <v>0.23386574074074074</v>
      </c>
      <c r="I35" s="10" t="s">
        <v>223</v>
      </c>
      <c r="J35" s="10" t="s">
        <v>30</v>
      </c>
      <c r="K35" s="18" t="str">
        <f>_xlfn.XLOOKUP(tblMaster[[#This Row],[Customer_ID]],tblCustomers[Customer_ID],tblCustomers[City],"Not Found",0)</f>
        <v>Tiruppur</v>
      </c>
      <c r="L35" s="18" t="str">
        <f>_xlfn.XLOOKUP(tblMaster[[#This Row],[Customer_ID]],tblCustomers[Customer_ID],tblCustomers[Name],"Not Found",0)</f>
        <v>Purab Sheth</v>
      </c>
      <c r="M35" s="18" t="str">
        <f>_xlfn.XLOOKUP(tblMaster[[#This Row],[Customer_ID]],tblCustomers[Customer_ID],tblCustomers[Gender],"Not Found",0)</f>
        <v>Male</v>
      </c>
      <c r="N35" s="18" t="str">
        <f>_xlfn.XLOOKUP(tblMaster[[#This Row],[Product_ID]],tblProducts[Product_ID],tblProducts[Product_Name],"Not Found",0)</f>
        <v>Delectus Gift</v>
      </c>
      <c r="O35" s="18" t="str">
        <f>_xlfn.XLOOKUP(tblMaster[[#This Row],[Product_ID]],tblProducts[Product_ID],tblProducts[Category],"Not Found",0)</f>
        <v>Soft Toys</v>
      </c>
      <c r="P35" s="18" t="str">
        <f>_xlfn.XLOOKUP(tblMaster[[#This Row],[Product_ID]],tblProducts[Product_ID],tblProducts[Occasion],"Not Found",0)</f>
        <v>Anniversary</v>
      </c>
      <c r="Q35" s="18">
        <f>_xlfn.XLOOKUP(tblMaster[[#This Row],[Product_ID]],tblProducts[Product_ID],tblProducts[Price (INR)],"Not Found",0)</f>
        <v>1899</v>
      </c>
      <c r="R35" s="19">
        <f>tblMaster[[#This Row],[Price]]*tblMaster[[#This Row],[Quantity]]</f>
        <v>3798</v>
      </c>
      <c r="S35" s="19">
        <f>tblMaster[[#This Row],[Price]]*0.7*tblMaster[[#This Row],[Quantity]]</f>
        <v>2658.6</v>
      </c>
      <c r="T35" s="19">
        <f>tblMaster[[#This Row],[Revenue]]-tblMaster[[#This Row],[Estimated Cost (at 70%) ]]</f>
        <v>1139.4000000000001</v>
      </c>
      <c r="U35" s="19">
        <f>tblMaster[[#This Row],[Profit]]/tblMaster[[#This Row],[Revenue]]</f>
        <v>0.30000000000000004</v>
      </c>
      <c r="V35" s="19">
        <f>tblMaster[[#This Row],[Delivery_Date]]-tblMaster[[#This Row],[Order_Date]]</f>
        <v>4</v>
      </c>
      <c r="W35" s="19" t="str">
        <f>TEXT(tblMaster[[#This Row],[Order_Date]],"mmmm")</f>
        <v>October</v>
      </c>
      <c r="X35" s="19">
        <f>MONTH(tblMaster[[#This Row],[Order_Date]])</f>
        <v>10</v>
      </c>
      <c r="Y35" s="19" t="str">
        <f>"Q"&amp;ROUNDUP(tblMaster[[#This Row],[Month Number]]/3,0)</f>
        <v>Q4</v>
      </c>
      <c r="Z35" s="19">
        <f>YEAR(tblMaster[[#This Row],[Order_Date]])</f>
        <v>2023</v>
      </c>
      <c r="AA35" s="19" t="str">
        <f>TEXT(DAY(tblMaster[[#This Row],[Order_Date]]),"dddd")</f>
        <v>Sunday</v>
      </c>
      <c r="AB35" s="19" t="str">
        <f>IF(tblMaster[[#This Row],[Revenue]]&gt;=5000,"High",IF(tblMaster[[#This Row],[Revenue]]&lt;2000,"Low","Medium"))</f>
        <v>Medium</v>
      </c>
    </row>
    <row r="36" spans="1:28" x14ac:dyDescent="0.25">
      <c r="A36" s="7">
        <v>35</v>
      </c>
      <c r="B36" s="7" t="s">
        <v>224</v>
      </c>
      <c r="C36" s="4">
        <v>7</v>
      </c>
      <c r="D36" s="4">
        <v>5</v>
      </c>
      <c r="E36" s="8">
        <v>44987</v>
      </c>
      <c r="F36" s="9">
        <v>0.67391203703703706</v>
      </c>
      <c r="G36" s="8">
        <v>44990</v>
      </c>
      <c r="H36" s="9">
        <v>0.625462962962963</v>
      </c>
      <c r="I36" s="7" t="s">
        <v>225</v>
      </c>
      <c r="J36" s="7" t="s">
        <v>25</v>
      </c>
      <c r="K36" s="18" t="str">
        <f>_xlfn.XLOOKUP(tblMaster[[#This Row],[Customer_ID]],tblCustomers[Customer_ID],tblCustomers[City],"Not Found",0)</f>
        <v>Imphal</v>
      </c>
      <c r="L36" s="18" t="str">
        <f>_xlfn.XLOOKUP(tblMaster[[#This Row],[Customer_ID]],tblCustomers[Customer_ID],tblCustomers[Name],"Not Found",0)</f>
        <v>Umang Luthra</v>
      </c>
      <c r="M36" s="18" t="str">
        <f>_xlfn.XLOOKUP(tblMaster[[#This Row],[Customer_ID]],tblCustomers[Customer_ID],tblCustomers[Gender],"Not Found",0)</f>
        <v>Male</v>
      </c>
      <c r="N36" s="18" t="str">
        <f>_xlfn.XLOOKUP(tblMaster[[#This Row],[Product_ID]],tblProducts[Product_ID],tblProducts[Product_Name],"Not Found",0)</f>
        <v>Quos Set</v>
      </c>
      <c r="O36" s="18" t="str">
        <f>_xlfn.XLOOKUP(tblMaster[[#This Row],[Product_ID]],tblProducts[Product_ID],tblProducts[Category],"Not Found",0)</f>
        <v>Soft Toys</v>
      </c>
      <c r="P36" s="18" t="str">
        <f>_xlfn.XLOOKUP(tblMaster[[#This Row],[Product_ID]],tblProducts[Product_ID],tblProducts[Occasion],"Not Found",0)</f>
        <v>Holi</v>
      </c>
      <c r="Q36" s="18">
        <f>_xlfn.XLOOKUP(tblMaster[[#This Row],[Product_ID]],tblProducts[Product_ID],tblProducts[Price (INR)],"Not Found",0)</f>
        <v>409</v>
      </c>
      <c r="R36" s="19">
        <f>tblMaster[[#This Row],[Price]]*tblMaster[[#This Row],[Quantity]]</f>
        <v>2045</v>
      </c>
      <c r="S36" s="19">
        <f>tblMaster[[#This Row],[Price]]*0.7*tblMaster[[#This Row],[Quantity]]</f>
        <v>1431.4999999999998</v>
      </c>
      <c r="T36" s="19">
        <f>tblMaster[[#This Row],[Revenue]]-tblMaster[[#This Row],[Estimated Cost (at 70%) ]]</f>
        <v>613.50000000000023</v>
      </c>
      <c r="U36" s="19">
        <f>tblMaster[[#This Row],[Profit]]/tblMaster[[#This Row],[Revenue]]</f>
        <v>0.3000000000000001</v>
      </c>
      <c r="V36" s="19">
        <f>tblMaster[[#This Row],[Delivery_Date]]-tblMaster[[#This Row],[Order_Date]]</f>
        <v>3</v>
      </c>
      <c r="W36" s="19" t="str">
        <f>TEXT(tblMaster[[#This Row],[Order_Date]],"mmmm")</f>
        <v>March</v>
      </c>
      <c r="X36" s="19">
        <f>MONTH(tblMaster[[#This Row],[Order_Date]])</f>
        <v>3</v>
      </c>
      <c r="Y36" s="19" t="str">
        <f>"Q"&amp;ROUNDUP(tblMaster[[#This Row],[Month Number]]/3,0)</f>
        <v>Q1</v>
      </c>
      <c r="Z36" s="19">
        <f>YEAR(tblMaster[[#This Row],[Order_Date]])</f>
        <v>2023</v>
      </c>
      <c r="AA36" s="19" t="str">
        <f>TEXT(DAY(tblMaster[[#This Row],[Order_Date]]),"dddd")</f>
        <v>Monday</v>
      </c>
      <c r="AB36" s="19" t="str">
        <f>IF(tblMaster[[#This Row],[Revenue]]&gt;=5000,"High",IF(tblMaster[[#This Row],[Revenue]]&lt;2000,"Low","Medium"))</f>
        <v>Medium</v>
      </c>
    </row>
    <row r="37" spans="1:28" x14ac:dyDescent="0.25">
      <c r="A37" s="10">
        <v>36</v>
      </c>
      <c r="B37" s="10" t="s">
        <v>170</v>
      </c>
      <c r="C37" s="5">
        <v>66</v>
      </c>
      <c r="D37" s="5">
        <v>1</v>
      </c>
      <c r="E37" s="11">
        <v>44989</v>
      </c>
      <c r="F37" s="12">
        <v>0.43672453703703706</v>
      </c>
      <c r="G37" s="11">
        <v>44999</v>
      </c>
      <c r="H37" s="12">
        <v>0.34362268518518518</v>
      </c>
      <c r="I37" s="10" t="s">
        <v>226</v>
      </c>
      <c r="J37" s="10" t="s">
        <v>25</v>
      </c>
      <c r="K37" s="18" t="str">
        <f>_xlfn.XLOOKUP(tblMaster[[#This Row],[Customer_ID]],tblCustomers[Customer_ID],tblCustomers[City],"Not Found",0)</f>
        <v>Haridwar</v>
      </c>
      <c r="L37" s="18" t="str">
        <f>_xlfn.XLOOKUP(tblMaster[[#This Row],[Customer_ID]],tblCustomers[Customer_ID],tblCustomers[Name],"Not Found",0)</f>
        <v>Badal Sathe</v>
      </c>
      <c r="M37" s="18" t="str">
        <f>_xlfn.XLOOKUP(tblMaster[[#This Row],[Customer_ID]],tblCustomers[Customer_ID],tblCustomers[Gender],"Not Found",0)</f>
        <v>Female</v>
      </c>
      <c r="N37" s="18" t="str">
        <f>_xlfn.XLOOKUP(tblMaster[[#This Row],[Product_ID]],tblProducts[Product_ID],tblProducts[Product_Name],"Not Found",0)</f>
        <v>Quas Box</v>
      </c>
      <c r="O37" s="18" t="str">
        <f>_xlfn.XLOOKUP(tblMaster[[#This Row],[Product_ID]],tblProducts[Product_ID],tblProducts[Category],"Not Found",0)</f>
        <v>Colors</v>
      </c>
      <c r="P37" s="18" t="str">
        <f>_xlfn.XLOOKUP(tblMaster[[#This Row],[Product_ID]],tblProducts[Product_ID],tblProducts[Occasion],"Not Found",0)</f>
        <v>Holi</v>
      </c>
      <c r="Q37" s="18">
        <f>_xlfn.XLOOKUP(tblMaster[[#This Row],[Product_ID]],tblProducts[Product_ID],tblProducts[Price (INR)],"Not Found",0)</f>
        <v>610</v>
      </c>
      <c r="R37" s="19">
        <f>tblMaster[[#This Row],[Price]]*tblMaster[[#This Row],[Quantity]]</f>
        <v>610</v>
      </c>
      <c r="S37" s="19">
        <f>tblMaster[[#This Row],[Price]]*0.7*tblMaster[[#This Row],[Quantity]]</f>
        <v>427</v>
      </c>
      <c r="T37" s="19">
        <f>tblMaster[[#This Row],[Revenue]]-tblMaster[[#This Row],[Estimated Cost (at 70%) ]]</f>
        <v>183</v>
      </c>
      <c r="U37" s="19">
        <f>tblMaster[[#This Row],[Profit]]/tblMaster[[#This Row],[Revenue]]</f>
        <v>0.3</v>
      </c>
      <c r="V37" s="19">
        <f>tblMaster[[#This Row],[Delivery_Date]]-tblMaster[[#This Row],[Order_Date]]</f>
        <v>10</v>
      </c>
      <c r="W37" s="19" t="str">
        <f>TEXT(tblMaster[[#This Row],[Order_Date]],"mmmm")</f>
        <v>March</v>
      </c>
      <c r="X37" s="19">
        <f>MONTH(tblMaster[[#This Row],[Order_Date]])</f>
        <v>3</v>
      </c>
      <c r="Y37" s="19" t="str">
        <f>"Q"&amp;ROUNDUP(tblMaster[[#This Row],[Month Number]]/3,0)</f>
        <v>Q1</v>
      </c>
      <c r="Z37" s="19">
        <f>YEAR(tblMaster[[#This Row],[Order_Date]])</f>
        <v>2023</v>
      </c>
      <c r="AA37" s="19" t="str">
        <f>TEXT(DAY(tblMaster[[#This Row],[Order_Date]]),"dddd")</f>
        <v>Wednesday</v>
      </c>
      <c r="AB37" s="19" t="str">
        <f>IF(tblMaster[[#This Row],[Revenue]]&gt;=5000,"High",IF(tblMaster[[#This Row],[Revenue]]&lt;2000,"Low","Medium"))</f>
        <v>Low</v>
      </c>
    </row>
    <row r="38" spans="1:28" x14ac:dyDescent="0.25">
      <c r="A38" s="7">
        <v>37</v>
      </c>
      <c r="B38" s="7" t="s">
        <v>227</v>
      </c>
      <c r="C38" s="4">
        <v>19</v>
      </c>
      <c r="D38" s="4">
        <v>5</v>
      </c>
      <c r="E38" s="8">
        <v>44967</v>
      </c>
      <c r="F38" s="9">
        <v>0.45907407407407408</v>
      </c>
      <c r="G38" s="8">
        <v>44972</v>
      </c>
      <c r="H38" s="9">
        <v>0.88861111111111113</v>
      </c>
      <c r="I38" s="7" t="s">
        <v>228</v>
      </c>
      <c r="J38" s="7" t="s">
        <v>12</v>
      </c>
      <c r="K38" s="18" t="str">
        <f>_xlfn.XLOOKUP(tblMaster[[#This Row],[Customer_ID]],tblCustomers[Customer_ID],tblCustomers[City],"Not Found",0)</f>
        <v>Medininagar</v>
      </c>
      <c r="L38" s="18" t="str">
        <f>_xlfn.XLOOKUP(tblMaster[[#This Row],[Customer_ID]],tblCustomers[Customer_ID],tblCustomers[Name],"Not Found",0)</f>
        <v>Kavya Reddy</v>
      </c>
      <c r="M38" s="18" t="str">
        <f>_xlfn.XLOOKUP(tblMaster[[#This Row],[Customer_ID]],tblCustomers[Customer_ID],tblCustomers[Gender],"Not Found",0)</f>
        <v>Male</v>
      </c>
      <c r="N38" s="18" t="str">
        <f>_xlfn.XLOOKUP(tblMaster[[#This Row],[Product_ID]],tblProducts[Product_ID],tblProducts[Product_Name],"Not Found",0)</f>
        <v>Iure Gift</v>
      </c>
      <c r="O38" s="18" t="str">
        <f>_xlfn.XLOOKUP(tblMaster[[#This Row],[Product_ID]],tblProducts[Product_ID],tblProducts[Category],"Not Found",0)</f>
        <v>Mugs</v>
      </c>
      <c r="P38" s="18" t="str">
        <f>_xlfn.XLOOKUP(tblMaster[[#This Row],[Product_ID]],tblProducts[Product_ID],tblProducts[Occasion],"Not Found",0)</f>
        <v>Valentine's Day</v>
      </c>
      <c r="Q38" s="18">
        <f>_xlfn.XLOOKUP(tblMaster[[#This Row],[Product_ID]],tblProducts[Product_ID],tblProducts[Price (INR)],"Not Found",0)</f>
        <v>1234</v>
      </c>
      <c r="R38" s="19">
        <f>tblMaster[[#This Row],[Price]]*tblMaster[[#This Row],[Quantity]]</f>
        <v>6170</v>
      </c>
      <c r="S38" s="19">
        <f>tblMaster[[#This Row],[Price]]*0.7*tblMaster[[#This Row],[Quantity]]</f>
        <v>4319</v>
      </c>
      <c r="T38" s="19">
        <f>tblMaster[[#This Row],[Revenue]]-tblMaster[[#This Row],[Estimated Cost (at 70%) ]]</f>
        <v>1851</v>
      </c>
      <c r="U38" s="19">
        <f>tblMaster[[#This Row],[Profit]]/tblMaster[[#This Row],[Revenue]]</f>
        <v>0.3</v>
      </c>
      <c r="V38" s="19">
        <f>tblMaster[[#This Row],[Delivery_Date]]-tblMaster[[#This Row],[Order_Date]]</f>
        <v>5</v>
      </c>
      <c r="W38" s="19" t="str">
        <f>TEXT(tblMaster[[#This Row],[Order_Date]],"mmmm")</f>
        <v>February</v>
      </c>
      <c r="X38" s="19">
        <f>MONTH(tblMaster[[#This Row],[Order_Date]])</f>
        <v>2</v>
      </c>
      <c r="Y38" s="19" t="str">
        <f>"Q"&amp;ROUNDUP(tblMaster[[#This Row],[Month Number]]/3,0)</f>
        <v>Q1</v>
      </c>
      <c r="Z38" s="19">
        <f>YEAR(tblMaster[[#This Row],[Order_Date]])</f>
        <v>2023</v>
      </c>
      <c r="AA38" s="19" t="str">
        <f>TEXT(DAY(tblMaster[[#This Row],[Order_Date]]),"dddd")</f>
        <v>Tuesday</v>
      </c>
      <c r="AB38" s="19" t="str">
        <f>IF(tblMaster[[#This Row],[Revenue]]&gt;=5000,"High",IF(tblMaster[[#This Row],[Revenue]]&lt;2000,"Low","Medium"))</f>
        <v>High</v>
      </c>
    </row>
    <row r="39" spans="1:28" x14ac:dyDescent="0.25">
      <c r="A39" s="10">
        <v>38</v>
      </c>
      <c r="B39" s="10" t="s">
        <v>229</v>
      </c>
      <c r="C39" s="5">
        <v>37</v>
      </c>
      <c r="D39" s="5">
        <v>3</v>
      </c>
      <c r="E39" s="11">
        <v>45241</v>
      </c>
      <c r="F39" s="12">
        <v>0.52115740740740746</v>
      </c>
      <c r="G39" s="11">
        <v>45244</v>
      </c>
      <c r="H39" s="12">
        <v>0.51725694444444448</v>
      </c>
      <c r="I39" s="10" t="s">
        <v>230</v>
      </c>
      <c r="J39" s="10" t="s">
        <v>19</v>
      </c>
      <c r="K39" s="18" t="str">
        <f>_xlfn.XLOOKUP(tblMaster[[#This Row],[Customer_ID]],tblCustomers[Customer_ID],tblCustomers[City],"Not Found",0)</f>
        <v>Anand</v>
      </c>
      <c r="L39" s="18" t="str">
        <f>_xlfn.XLOOKUP(tblMaster[[#This Row],[Customer_ID]],tblCustomers[Customer_ID],tblCustomers[Name],"Not Found",0)</f>
        <v>Eva Sankaran</v>
      </c>
      <c r="M39" s="18" t="str">
        <f>_xlfn.XLOOKUP(tblMaster[[#This Row],[Customer_ID]],tblCustomers[Customer_ID],tblCustomers[Gender],"Not Found",0)</f>
        <v>Male</v>
      </c>
      <c r="N39" s="18" t="str">
        <f>_xlfn.XLOOKUP(tblMaster[[#This Row],[Product_ID]],tblProducts[Product_ID],tblProducts[Product_Name],"Not Found",0)</f>
        <v>Officiis Pack</v>
      </c>
      <c r="O39" s="18" t="str">
        <f>_xlfn.XLOOKUP(tblMaster[[#This Row],[Product_ID]],tblProducts[Product_ID],tblProducts[Category],"Not Found",0)</f>
        <v>Colors</v>
      </c>
      <c r="P39" s="18" t="str">
        <f>_xlfn.XLOOKUP(tblMaster[[#This Row],[Product_ID]],tblProducts[Product_ID],tblProducts[Occasion],"Not Found",0)</f>
        <v>Diwali</v>
      </c>
      <c r="Q39" s="18">
        <f>_xlfn.XLOOKUP(tblMaster[[#This Row],[Product_ID]],tblProducts[Product_ID],tblProducts[Price (INR)],"Not Found",0)</f>
        <v>1428</v>
      </c>
      <c r="R39" s="19">
        <f>tblMaster[[#This Row],[Price]]*tblMaster[[#This Row],[Quantity]]</f>
        <v>4284</v>
      </c>
      <c r="S39" s="19">
        <f>tblMaster[[#This Row],[Price]]*0.7*tblMaster[[#This Row],[Quantity]]</f>
        <v>2998.7999999999997</v>
      </c>
      <c r="T39" s="19">
        <f>tblMaster[[#This Row],[Revenue]]-tblMaster[[#This Row],[Estimated Cost (at 70%) ]]</f>
        <v>1285.2000000000003</v>
      </c>
      <c r="U39" s="19">
        <f>tblMaster[[#This Row],[Profit]]/tblMaster[[#This Row],[Revenue]]</f>
        <v>0.30000000000000004</v>
      </c>
      <c r="V39" s="19">
        <f>tblMaster[[#This Row],[Delivery_Date]]-tblMaster[[#This Row],[Order_Date]]</f>
        <v>3</v>
      </c>
      <c r="W39" s="19" t="str">
        <f>TEXT(tblMaster[[#This Row],[Order_Date]],"mmmm")</f>
        <v>November</v>
      </c>
      <c r="X39" s="19">
        <f>MONTH(tblMaster[[#This Row],[Order_Date]])</f>
        <v>11</v>
      </c>
      <c r="Y39" s="19" t="str">
        <f>"Q"&amp;ROUNDUP(tblMaster[[#This Row],[Month Number]]/3,0)</f>
        <v>Q4</v>
      </c>
      <c r="Z39" s="19">
        <f>YEAR(tblMaster[[#This Row],[Order_Date]])</f>
        <v>2023</v>
      </c>
      <c r="AA39" s="19" t="str">
        <f>TEXT(DAY(tblMaster[[#This Row],[Order_Date]]),"dddd")</f>
        <v>Wednesday</v>
      </c>
      <c r="AB39" s="19" t="str">
        <f>IF(tblMaster[[#This Row],[Revenue]]&gt;=5000,"High",IF(tblMaster[[#This Row],[Revenue]]&lt;2000,"Low","Medium"))</f>
        <v>Medium</v>
      </c>
    </row>
    <row r="40" spans="1:28" x14ac:dyDescent="0.25">
      <c r="A40" s="7">
        <v>39</v>
      </c>
      <c r="B40" s="7" t="s">
        <v>204</v>
      </c>
      <c r="C40" s="4">
        <v>43</v>
      </c>
      <c r="D40" s="4">
        <v>2</v>
      </c>
      <c r="E40" s="8">
        <v>45232</v>
      </c>
      <c r="F40" s="9">
        <v>0.80969907407407404</v>
      </c>
      <c r="G40" s="8">
        <v>45234</v>
      </c>
      <c r="H40" s="9">
        <v>0.56159722222222219</v>
      </c>
      <c r="I40" s="7" t="s">
        <v>231</v>
      </c>
      <c r="J40" s="7" t="s">
        <v>19</v>
      </c>
      <c r="K40" s="18" t="str">
        <f>_xlfn.XLOOKUP(tblMaster[[#This Row],[Customer_ID]],tblCustomers[Customer_ID],tblCustomers[City],"Not Found",0)</f>
        <v>Bidhannagar</v>
      </c>
      <c r="L40" s="18" t="str">
        <f>_xlfn.XLOOKUP(tblMaster[[#This Row],[Customer_ID]],tblCustomers[Customer_ID],tblCustomers[Name],"Not Found",0)</f>
        <v>Umang Ahuja</v>
      </c>
      <c r="M40" s="18" t="str">
        <f>_xlfn.XLOOKUP(tblMaster[[#This Row],[Customer_ID]],tblCustomers[Customer_ID],tblCustomers[Gender],"Not Found",0)</f>
        <v>Female</v>
      </c>
      <c r="N40" s="18" t="str">
        <f>_xlfn.XLOOKUP(tblMaster[[#This Row],[Product_ID]],tblProducts[Product_ID],tblProducts[Product_Name],"Not Found",0)</f>
        <v>Quisquam Pack</v>
      </c>
      <c r="O40" s="18" t="str">
        <f>_xlfn.XLOOKUP(tblMaster[[#This Row],[Product_ID]],tblProducts[Product_ID],tblProducts[Category],"Not Found",0)</f>
        <v>Raksha Bandhan</v>
      </c>
      <c r="P40" s="18" t="str">
        <f>_xlfn.XLOOKUP(tblMaster[[#This Row],[Product_ID]],tblProducts[Product_ID],tblProducts[Occasion],"Not Found",0)</f>
        <v>Diwali</v>
      </c>
      <c r="Q40" s="18">
        <f>_xlfn.XLOOKUP(tblMaster[[#This Row],[Product_ID]],tblProducts[Product_ID],tblProducts[Price (INR)],"Not Found",0)</f>
        <v>750</v>
      </c>
      <c r="R40" s="19">
        <f>tblMaster[[#This Row],[Price]]*tblMaster[[#This Row],[Quantity]]</f>
        <v>1500</v>
      </c>
      <c r="S40" s="19">
        <f>tblMaster[[#This Row],[Price]]*0.7*tblMaster[[#This Row],[Quantity]]</f>
        <v>1050</v>
      </c>
      <c r="T40" s="19">
        <f>tblMaster[[#This Row],[Revenue]]-tblMaster[[#This Row],[Estimated Cost (at 70%) ]]</f>
        <v>450</v>
      </c>
      <c r="U40" s="19">
        <f>tblMaster[[#This Row],[Profit]]/tblMaster[[#This Row],[Revenue]]</f>
        <v>0.3</v>
      </c>
      <c r="V40" s="19">
        <f>tblMaster[[#This Row],[Delivery_Date]]-tblMaster[[#This Row],[Order_Date]]</f>
        <v>2</v>
      </c>
      <c r="W40" s="19" t="str">
        <f>TEXT(tblMaster[[#This Row],[Order_Date]],"mmmm")</f>
        <v>November</v>
      </c>
      <c r="X40" s="19">
        <f>MONTH(tblMaster[[#This Row],[Order_Date]])</f>
        <v>11</v>
      </c>
      <c r="Y40" s="19" t="str">
        <f>"Q"&amp;ROUNDUP(tblMaster[[#This Row],[Month Number]]/3,0)</f>
        <v>Q4</v>
      </c>
      <c r="Z40" s="19">
        <f>YEAR(tblMaster[[#This Row],[Order_Date]])</f>
        <v>2023</v>
      </c>
      <c r="AA40" s="19" t="str">
        <f>TEXT(DAY(tblMaster[[#This Row],[Order_Date]]),"dddd")</f>
        <v>Monday</v>
      </c>
      <c r="AB40" s="19" t="str">
        <f>IF(tblMaster[[#This Row],[Revenue]]&gt;=5000,"High",IF(tblMaster[[#This Row],[Revenue]]&lt;2000,"Low","Medium"))</f>
        <v>Low</v>
      </c>
    </row>
    <row r="41" spans="1:28" x14ac:dyDescent="0.25">
      <c r="A41" s="10">
        <v>40</v>
      </c>
      <c r="B41" s="10" t="s">
        <v>232</v>
      </c>
      <c r="C41" s="5">
        <v>48</v>
      </c>
      <c r="D41" s="5">
        <v>4</v>
      </c>
      <c r="E41" s="11">
        <v>45232</v>
      </c>
      <c r="F41" s="12">
        <v>0.59386574074074072</v>
      </c>
      <c r="G41" s="11">
        <v>45235</v>
      </c>
      <c r="H41" s="12">
        <v>0.18743055555555554</v>
      </c>
      <c r="I41" s="10" t="s">
        <v>233</v>
      </c>
      <c r="J41" s="10" t="s">
        <v>19</v>
      </c>
      <c r="K41" s="18" t="str">
        <f>_xlfn.XLOOKUP(tblMaster[[#This Row],[Customer_ID]],tblCustomers[Customer_ID],tblCustomers[City],"Not Found",0)</f>
        <v>Malegaon</v>
      </c>
      <c r="L41" s="18" t="str">
        <f>_xlfn.XLOOKUP(tblMaster[[#This Row],[Customer_ID]],tblCustomers[Customer_ID],tblCustomers[Name],"Not Found",0)</f>
        <v>Eshani Buch</v>
      </c>
      <c r="M41" s="18" t="str">
        <f>_xlfn.XLOOKUP(tblMaster[[#This Row],[Customer_ID]],tblCustomers[Customer_ID],tblCustomers[Gender],"Not Found",0)</f>
        <v>Female</v>
      </c>
      <c r="N41" s="18" t="str">
        <f>_xlfn.XLOOKUP(tblMaster[[#This Row],[Product_ID]],tblProducts[Product_ID],tblProducts[Product_Name],"Not Found",0)</f>
        <v>Maiores Gift</v>
      </c>
      <c r="O41" s="18" t="str">
        <f>_xlfn.XLOOKUP(tblMaster[[#This Row],[Product_ID]],tblProducts[Product_ID],tblProducts[Category],"Not Found",0)</f>
        <v>Colors</v>
      </c>
      <c r="P41" s="18" t="str">
        <f>_xlfn.XLOOKUP(tblMaster[[#This Row],[Product_ID]],tblProducts[Product_ID],tblProducts[Occasion],"Not Found",0)</f>
        <v>Diwali</v>
      </c>
      <c r="Q41" s="18">
        <f>_xlfn.XLOOKUP(tblMaster[[#This Row],[Product_ID]],tblProducts[Product_ID],tblProducts[Price (INR)],"Not Found",0)</f>
        <v>433</v>
      </c>
      <c r="R41" s="19">
        <f>tblMaster[[#This Row],[Price]]*tblMaster[[#This Row],[Quantity]]</f>
        <v>1732</v>
      </c>
      <c r="S41" s="19">
        <f>tblMaster[[#This Row],[Price]]*0.7*tblMaster[[#This Row],[Quantity]]</f>
        <v>1212.3999999999999</v>
      </c>
      <c r="T41" s="19">
        <f>tblMaster[[#This Row],[Revenue]]-tblMaster[[#This Row],[Estimated Cost (at 70%) ]]</f>
        <v>519.60000000000014</v>
      </c>
      <c r="U41" s="19">
        <f>tblMaster[[#This Row],[Profit]]/tblMaster[[#This Row],[Revenue]]</f>
        <v>0.3000000000000001</v>
      </c>
      <c r="V41" s="19">
        <f>tblMaster[[#This Row],[Delivery_Date]]-tblMaster[[#This Row],[Order_Date]]</f>
        <v>3</v>
      </c>
      <c r="W41" s="19" t="str">
        <f>TEXT(tblMaster[[#This Row],[Order_Date]],"mmmm")</f>
        <v>November</v>
      </c>
      <c r="X41" s="19">
        <f>MONTH(tblMaster[[#This Row],[Order_Date]])</f>
        <v>11</v>
      </c>
      <c r="Y41" s="19" t="str">
        <f>"Q"&amp;ROUNDUP(tblMaster[[#This Row],[Month Number]]/3,0)</f>
        <v>Q4</v>
      </c>
      <c r="Z41" s="19">
        <f>YEAR(tblMaster[[#This Row],[Order_Date]])</f>
        <v>2023</v>
      </c>
      <c r="AA41" s="19" t="str">
        <f>TEXT(DAY(tblMaster[[#This Row],[Order_Date]]),"dddd")</f>
        <v>Monday</v>
      </c>
      <c r="AB41" s="19" t="str">
        <f>IF(tblMaster[[#This Row],[Revenue]]&gt;=5000,"High",IF(tblMaster[[#This Row],[Revenue]]&lt;2000,"Low","Medium"))</f>
        <v>Low</v>
      </c>
    </row>
    <row r="42" spans="1:28" x14ac:dyDescent="0.25">
      <c r="A42" s="7">
        <v>41</v>
      </c>
      <c r="B42" s="7" t="s">
        <v>221</v>
      </c>
      <c r="C42" s="4">
        <v>54</v>
      </c>
      <c r="D42" s="4">
        <v>4</v>
      </c>
      <c r="E42" s="8">
        <v>45085</v>
      </c>
      <c r="F42" s="9">
        <v>0.80543981481481486</v>
      </c>
      <c r="G42" s="8">
        <v>45087</v>
      </c>
      <c r="H42" s="9">
        <v>0.60395833333333337</v>
      </c>
      <c r="I42" s="7" t="s">
        <v>234</v>
      </c>
      <c r="J42" s="7" t="s">
        <v>30</v>
      </c>
      <c r="K42" s="18" t="str">
        <f>_xlfn.XLOOKUP(tblMaster[[#This Row],[Customer_ID]],tblCustomers[Customer_ID],tblCustomers[City],"Not Found",0)</f>
        <v>Jorhat</v>
      </c>
      <c r="L42" s="18" t="str">
        <f>_xlfn.XLOOKUP(tblMaster[[#This Row],[Customer_ID]],tblCustomers[Customer_ID],tblCustomers[Name],"Not Found",0)</f>
        <v>Bhamini Ravi</v>
      </c>
      <c r="M42" s="18" t="str">
        <f>_xlfn.XLOOKUP(tblMaster[[#This Row],[Customer_ID]],tblCustomers[Customer_ID],tblCustomers[Gender],"Not Found",0)</f>
        <v>Male</v>
      </c>
      <c r="N42" s="18" t="str">
        <f>_xlfn.XLOOKUP(tblMaster[[#This Row],[Product_ID]],tblProducts[Product_ID],tblProducts[Product_Name],"Not Found",0)</f>
        <v>Occaecati Gift</v>
      </c>
      <c r="O42" s="18" t="str">
        <f>_xlfn.XLOOKUP(tblMaster[[#This Row],[Product_ID]],tblProducts[Product_ID],tblProducts[Category],"Not Found",0)</f>
        <v>Cake</v>
      </c>
      <c r="P42" s="18" t="str">
        <f>_xlfn.XLOOKUP(tblMaster[[#This Row],[Product_ID]],tblProducts[Product_ID],tblProducts[Occasion],"Not Found",0)</f>
        <v>Anniversary</v>
      </c>
      <c r="Q42" s="18">
        <f>_xlfn.XLOOKUP(tblMaster[[#This Row],[Product_ID]],tblProducts[Product_ID],tblProducts[Price (INR)],"Not Found",0)</f>
        <v>1236</v>
      </c>
      <c r="R42" s="19">
        <f>tblMaster[[#This Row],[Price]]*tblMaster[[#This Row],[Quantity]]</f>
        <v>4944</v>
      </c>
      <c r="S42" s="19">
        <f>tblMaster[[#This Row],[Price]]*0.7*tblMaster[[#This Row],[Quantity]]</f>
        <v>3460.7999999999997</v>
      </c>
      <c r="T42" s="19">
        <f>tblMaster[[#This Row],[Revenue]]-tblMaster[[#This Row],[Estimated Cost (at 70%) ]]</f>
        <v>1483.2000000000003</v>
      </c>
      <c r="U42" s="19">
        <f>tblMaster[[#This Row],[Profit]]/tblMaster[[#This Row],[Revenue]]</f>
        <v>0.30000000000000004</v>
      </c>
      <c r="V42" s="19">
        <f>tblMaster[[#This Row],[Delivery_Date]]-tblMaster[[#This Row],[Order_Date]]</f>
        <v>2</v>
      </c>
      <c r="W42" s="19" t="str">
        <f>TEXT(tblMaster[[#This Row],[Order_Date]],"mmmm")</f>
        <v>June</v>
      </c>
      <c r="X42" s="19">
        <f>MONTH(tblMaster[[#This Row],[Order_Date]])</f>
        <v>6</v>
      </c>
      <c r="Y42" s="19" t="str">
        <f>"Q"&amp;ROUNDUP(tblMaster[[#This Row],[Month Number]]/3,0)</f>
        <v>Q2</v>
      </c>
      <c r="Z42" s="19">
        <f>YEAR(tblMaster[[#This Row],[Order_Date]])</f>
        <v>2023</v>
      </c>
      <c r="AA42" s="19" t="str">
        <f>TEXT(DAY(tblMaster[[#This Row],[Order_Date]]),"dddd")</f>
        <v>Sunday</v>
      </c>
      <c r="AB42" s="19" t="str">
        <f>IF(tblMaster[[#This Row],[Revenue]]&gt;=5000,"High",IF(tblMaster[[#This Row],[Revenue]]&lt;2000,"Low","Medium"))</f>
        <v>Medium</v>
      </c>
    </row>
    <row r="43" spans="1:28" x14ac:dyDescent="0.25">
      <c r="A43" s="10">
        <v>42</v>
      </c>
      <c r="B43" s="10" t="s">
        <v>235</v>
      </c>
      <c r="C43" s="5">
        <v>35</v>
      </c>
      <c r="D43" s="5">
        <v>1</v>
      </c>
      <c r="E43" s="11">
        <v>44983</v>
      </c>
      <c r="F43" s="12">
        <v>5.9953703703703705E-3</v>
      </c>
      <c r="G43" s="11">
        <v>44992</v>
      </c>
      <c r="H43" s="12">
        <v>0.72115740740740741</v>
      </c>
      <c r="I43" s="10" t="s">
        <v>236</v>
      </c>
      <c r="J43" s="10" t="s">
        <v>25</v>
      </c>
      <c r="K43" s="18" t="str">
        <f>_xlfn.XLOOKUP(tblMaster[[#This Row],[Customer_ID]],tblCustomers[Customer_ID],tblCustomers[City],"Not Found",0)</f>
        <v>Bhopal</v>
      </c>
      <c r="L43" s="18" t="str">
        <f>_xlfn.XLOOKUP(tblMaster[[#This Row],[Customer_ID]],tblCustomers[Customer_ID],tblCustomers[Name],"Not Found",0)</f>
        <v>Mohanlal Garde</v>
      </c>
      <c r="M43" s="18" t="str">
        <f>_xlfn.XLOOKUP(tblMaster[[#This Row],[Customer_ID]],tblCustomers[Customer_ID],tblCustomers[Gender],"Not Found",0)</f>
        <v>Male</v>
      </c>
      <c r="N43" s="18" t="str">
        <f>_xlfn.XLOOKUP(tblMaster[[#This Row],[Product_ID]],tblProducts[Product_ID],tblProducts[Product_Name],"Not Found",0)</f>
        <v>Nam Gift</v>
      </c>
      <c r="O43" s="18" t="str">
        <f>_xlfn.XLOOKUP(tblMaster[[#This Row],[Product_ID]],tblProducts[Product_ID],tblProducts[Category],"Not Found",0)</f>
        <v>Colors</v>
      </c>
      <c r="P43" s="18" t="str">
        <f>_xlfn.XLOOKUP(tblMaster[[#This Row],[Product_ID]],tblProducts[Product_ID],tblProducts[Occasion],"Not Found",0)</f>
        <v>Holi</v>
      </c>
      <c r="Q43" s="18">
        <f>_xlfn.XLOOKUP(tblMaster[[#This Row],[Product_ID]],tblProducts[Product_ID],tblProducts[Price (INR)],"Not Found",0)</f>
        <v>1865</v>
      </c>
      <c r="R43" s="19">
        <f>tblMaster[[#This Row],[Price]]*tblMaster[[#This Row],[Quantity]]</f>
        <v>1865</v>
      </c>
      <c r="S43" s="19">
        <f>tblMaster[[#This Row],[Price]]*0.7*tblMaster[[#This Row],[Quantity]]</f>
        <v>1305.5</v>
      </c>
      <c r="T43" s="19">
        <f>tblMaster[[#This Row],[Revenue]]-tblMaster[[#This Row],[Estimated Cost (at 70%) ]]</f>
        <v>559.5</v>
      </c>
      <c r="U43" s="19">
        <f>tblMaster[[#This Row],[Profit]]/tblMaster[[#This Row],[Revenue]]</f>
        <v>0.3</v>
      </c>
      <c r="V43" s="19">
        <f>tblMaster[[#This Row],[Delivery_Date]]-tblMaster[[#This Row],[Order_Date]]</f>
        <v>9</v>
      </c>
      <c r="W43" s="19" t="str">
        <f>TEXT(tblMaster[[#This Row],[Order_Date]],"mmmm")</f>
        <v>February</v>
      </c>
      <c r="X43" s="19">
        <f>MONTH(tblMaster[[#This Row],[Order_Date]])</f>
        <v>2</v>
      </c>
      <c r="Y43" s="19" t="str">
        <f>"Q"&amp;ROUNDUP(tblMaster[[#This Row],[Month Number]]/3,0)</f>
        <v>Q1</v>
      </c>
      <c r="Z43" s="19">
        <f>YEAR(tblMaster[[#This Row],[Order_Date]])</f>
        <v>2023</v>
      </c>
      <c r="AA43" s="19" t="str">
        <f>TEXT(DAY(tblMaster[[#This Row],[Order_Date]]),"dddd")</f>
        <v>Thursday</v>
      </c>
      <c r="AB43" s="19" t="str">
        <f>IF(tblMaster[[#This Row],[Revenue]]&gt;=5000,"High",IF(tblMaster[[#This Row],[Revenue]]&lt;2000,"Low","Medium"))</f>
        <v>Low</v>
      </c>
    </row>
    <row r="44" spans="1:28" x14ac:dyDescent="0.25">
      <c r="A44" s="7">
        <v>43</v>
      </c>
      <c r="B44" s="7" t="s">
        <v>237</v>
      </c>
      <c r="C44" s="4">
        <v>49</v>
      </c>
      <c r="D44" s="4">
        <v>3</v>
      </c>
      <c r="E44" s="8">
        <v>44969</v>
      </c>
      <c r="F44" s="9">
        <v>0.93837962962962962</v>
      </c>
      <c r="G44" s="8">
        <v>44973</v>
      </c>
      <c r="H44" s="9">
        <v>0.11651620370370371</v>
      </c>
      <c r="I44" s="7" t="s">
        <v>238</v>
      </c>
      <c r="J44" s="7" t="s">
        <v>12</v>
      </c>
      <c r="K44" s="18" t="str">
        <f>_xlfn.XLOOKUP(tblMaster[[#This Row],[Customer_ID]],tblCustomers[Customer_ID],tblCustomers[City],"Not Found",0)</f>
        <v>Guna</v>
      </c>
      <c r="L44" s="18" t="str">
        <f>_xlfn.XLOOKUP(tblMaster[[#This Row],[Customer_ID]],tblCustomers[Customer_ID],tblCustomers[Name],"Not Found",0)</f>
        <v>Tara Kannan</v>
      </c>
      <c r="M44" s="18" t="str">
        <f>_xlfn.XLOOKUP(tblMaster[[#This Row],[Customer_ID]],tblCustomers[Customer_ID],tblCustomers[Gender],"Not Found",0)</f>
        <v>Male</v>
      </c>
      <c r="N44" s="18" t="str">
        <f>_xlfn.XLOOKUP(tblMaster[[#This Row],[Product_ID]],tblProducts[Product_ID],tblProducts[Product_Name],"Not Found",0)</f>
        <v>Voluptate Pack</v>
      </c>
      <c r="O44" s="18" t="str">
        <f>_xlfn.XLOOKUP(tblMaster[[#This Row],[Product_ID]],tblProducts[Product_ID],tblProducts[Category],"Not Found",0)</f>
        <v>Colors</v>
      </c>
      <c r="P44" s="18" t="str">
        <f>_xlfn.XLOOKUP(tblMaster[[#This Row],[Product_ID]],tblProducts[Product_ID],tblProducts[Occasion],"Not Found",0)</f>
        <v>Valentine's Day</v>
      </c>
      <c r="Q44" s="18">
        <f>_xlfn.XLOOKUP(tblMaster[[#This Row],[Product_ID]],tblProducts[Product_ID],tblProducts[Price (INR)],"Not Found",0)</f>
        <v>903</v>
      </c>
      <c r="R44" s="19">
        <f>tblMaster[[#This Row],[Price]]*tblMaster[[#This Row],[Quantity]]</f>
        <v>2709</v>
      </c>
      <c r="S44" s="19">
        <f>tblMaster[[#This Row],[Price]]*0.7*tblMaster[[#This Row],[Quantity]]</f>
        <v>1896.2999999999997</v>
      </c>
      <c r="T44" s="19">
        <f>tblMaster[[#This Row],[Revenue]]-tblMaster[[#This Row],[Estimated Cost (at 70%) ]]</f>
        <v>812.70000000000027</v>
      </c>
      <c r="U44" s="19">
        <f>tblMaster[[#This Row],[Profit]]/tblMaster[[#This Row],[Revenue]]</f>
        <v>0.3000000000000001</v>
      </c>
      <c r="V44" s="19">
        <f>tblMaster[[#This Row],[Delivery_Date]]-tblMaster[[#This Row],[Order_Date]]</f>
        <v>4</v>
      </c>
      <c r="W44" s="19" t="str">
        <f>TEXT(tblMaster[[#This Row],[Order_Date]],"mmmm")</f>
        <v>February</v>
      </c>
      <c r="X44" s="19">
        <f>MONTH(tblMaster[[#This Row],[Order_Date]])</f>
        <v>2</v>
      </c>
      <c r="Y44" s="19" t="str">
        <f>"Q"&amp;ROUNDUP(tblMaster[[#This Row],[Month Number]]/3,0)</f>
        <v>Q1</v>
      </c>
      <c r="Z44" s="19">
        <f>YEAR(tblMaster[[#This Row],[Order_Date]])</f>
        <v>2023</v>
      </c>
      <c r="AA44" s="19" t="str">
        <f>TEXT(DAY(tblMaster[[#This Row],[Order_Date]]),"dddd")</f>
        <v>Thursday</v>
      </c>
      <c r="AB44" s="19" t="str">
        <f>IF(tblMaster[[#This Row],[Revenue]]&gt;=5000,"High",IF(tblMaster[[#This Row],[Revenue]]&lt;2000,"Low","Medium"))</f>
        <v>Medium</v>
      </c>
    </row>
    <row r="45" spans="1:28" x14ac:dyDescent="0.25">
      <c r="A45" s="10">
        <v>44</v>
      </c>
      <c r="B45" s="10" t="s">
        <v>239</v>
      </c>
      <c r="C45" s="5">
        <v>14</v>
      </c>
      <c r="D45" s="5">
        <v>1</v>
      </c>
      <c r="E45" s="11">
        <v>45124</v>
      </c>
      <c r="F45" s="12">
        <v>0.91523148148148148</v>
      </c>
      <c r="G45" s="11">
        <v>45134</v>
      </c>
      <c r="H45" s="12">
        <v>0.45010416666666669</v>
      </c>
      <c r="I45" s="10" t="s">
        <v>240</v>
      </c>
      <c r="J45" s="10" t="s">
        <v>36</v>
      </c>
      <c r="K45" s="18" t="str">
        <f>_xlfn.XLOOKUP(tblMaster[[#This Row],[Customer_ID]],tblCustomers[Customer_ID],tblCustomers[City],"Not Found",0)</f>
        <v>Karimnagar</v>
      </c>
      <c r="L45" s="18" t="str">
        <f>_xlfn.XLOOKUP(tblMaster[[#This Row],[Customer_ID]],tblCustomers[Customer_ID],tblCustomers[Name],"Not Found",0)</f>
        <v>Rania Mann</v>
      </c>
      <c r="M45" s="18" t="str">
        <f>_xlfn.XLOOKUP(tblMaster[[#This Row],[Customer_ID]],tblCustomers[Customer_ID],tblCustomers[Gender],"Not Found",0)</f>
        <v>Female</v>
      </c>
      <c r="N45" s="18" t="str">
        <f>_xlfn.XLOOKUP(tblMaster[[#This Row],[Product_ID]],tblProducts[Product_ID],tblProducts[Product_Name],"Not Found",0)</f>
        <v>Deserunt Box</v>
      </c>
      <c r="O45" s="18" t="str">
        <f>_xlfn.XLOOKUP(tblMaster[[#This Row],[Product_ID]],tblProducts[Product_ID],tblProducts[Category],"Not Found",0)</f>
        <v>Colors</v>
      </c>
      <c r="P45" s="18" t="str">
        <f>_xlfn.XLOOKUP(tblMaster[[#This Row],[Product_ID]],tblProducts[Product_ID],tblProducts[Occasion],"Not Found",0)</f>
        <v>Birthday</v>
      </c>
      <c r="Q45" s="18">
        <f>_xlfn.XLOOKUP(tblMaster[[#This Row],[Product_ID]],tblProducts[Product_ID],tblProducts[Price (INR)],"Not Found",0)</f>
        <v>1915</v>
      </c>
      <c r="R45" s="19">
        <f>tblMaster[[#This Row],[Price]]*tblMaster[[#This Row],[Quantity]]</f>
        <v>1915</v>
      </c>
      <c r="S45" s="19">
        <f>tblMaster[[#This Row],[Price]]*0.7*tblMaster[[#This Row],[Quantity]]</f>
        <v>1340.5</v>
      </c>
      <c r="T45" s="19">
        <f>tblMaster[[#This Row],[Revenue]]-tblMaster[[#This Row],[Estimated Cost (at 70%) ]]</f>
        <v>574.5</v>
      </c>
      <c r="U45" s="19">
        <f>tblMaster[[#This Row],[Profit]]/tblMaster[[#This Row],[Revenue]]</f>
        <v>0.3</v>
      </c>
      <c r="V45" s="19">
        <f>tblMaster[[#This Row],[Delivery_Date]]-tblMaster[[#This Row],[Order_Date]]</f>
        <v>10</v>
      </c>
      <c r="W45" s="19" t="str">
        <f>TEXT(tblMaster[[#This Row],[Order_Date]],"mmmm")</f>
        <v>July</v>
      </c>
      <c r="X45" s="19">
        <f>MONTH(tblMaster[[#This Row],[Order_Date]])</f>
        <v>7</v>
      </c>
      <c r="Y45" s="19" t="str">
        <f>"Q"&amp;ROUNDUP(tblMaster[[#This Row],[Month Number]]/3,0)</f>
        <v>Q3</v>
      </c>
      <c r="Z45" s="19">
        <f>YEAR(tblMaster[[#This Row],[Order_Date]])</f>
        <v>2023</v>
      </c>
      <c r="AA45" s="19" t="str">
        <f>TEXT(DAY(tblMaster[[#This Row],[Order_Date]]),"dddd")</f>
        <v>Tuesday</v>
      </c>
      <c r="AB45" s="19" t="str">
        <f>IF(tblMaster[[#This Row],[Revenue]]&gt;=5000,"High",IF(tblMaster[[#This Row],[Revenue]]&lt;2000,"Low","Medium"))</f>
        <v>Low</v>
      </c>
    </row>
    <row r="46" spans="1:28" x14ac:dyDescent="0.25">
      <c r="A46" s="7">
        <v>45</v>
      </c>
      <c r="B46" s="7" t="s">
        <v>180</v>
      </c>
      <c r="C46" s="4">
        <v>61</v>
      </c>
      <c r="D46" s="4">
        <v>5</v>
      </c>
      <c r="E46" s="8">
        <v>45044</v>
      </c>
      <c r="F46" s="9">
        <v>0.60168981481481476</v>
      </c>
      <c r="G46" s="8">
        <v>45045</v>
      </c>
      <c r="H46" s="9">
        <v>0.2615277777777778</v>
      </c>
      <c r="I46" s="7" t="s">
        <v>241</v>
      </c>
      <c r="J46" s="7" t="s">
        <v>30</v>
      </c>
      <c r="K46" s="18" t="str">
        <f>_xlfn.XLOOKUP(tblMaster[[#This Row],[Customer_ID]],tblCustomers[Customer_ID],tblCustomers[City],"Not Found",0)</f>
        <v>Sri Ganganagar</v>
      </c>
      <c r="L46" s="18" t="str">
        <f>_xlfn.XLOOKUP(tblMaster[[#This Row],[Customer_ID]],tblCustomers[Customer_ID],tblCustomers[Name],"Not Found",0)</f>
        <v>Nakul Randhawa</v>
      </c>
      <c r="M46" s="18" t="str">
        <f>_xlfn.XLOOKUP(tblMaster[[#This Row],[Customer_ID]],tblCustomers[Customer_ID],tblCustomers[Gender],"Not Found",0)</f>
        <v>Female</v>
      </c>
      <c r="N46" s="18" t="str">
        <f>_xlfn.XLOOKUP(tblMaster[[#This Row],[Product_ID]],tblProducts[Product_ID],tblProducts[Product_Name],"Not Found",0)</f>
        <v>Iusto Box</v>
      </c>
      <c r="O46" s="18" t="str">
        <f>_xlfn.XLOOKUP(tblMaster[[#This Row],[Product_ID]],tblProducts[Product_ID],tblProducts[Category],"Not Found",0)</f>
        <v>Plants</v>
      </c>
      <c r="P46" s="18" t="str">
        <f>_xlfn.XLOOKUP(tblMaster[[#This Row],[Product_ID]],tblProducts[Product_ID],tblProducts[Occasion],"Not Found",0)</f>
        <v>Anniversary</v>
      </c>
      <c r="Q46" s="18">
        <f>_xlfn.XLOOKUP(tblMaster[[#This Row],[Product_ID]],tblProducts[Product_ID],tblProducts[Price (INR)],"Not Found",0)</f>
        <v>810</v>
      </c>
      <c r="R46" s="19">
        <f>tblMaster[[#This Row],[Price]]*tblMaster[[#This Row],[Quantity]]</f>
        <v>4050</v>
      </c>
      <c r="S46" s="19">
        <f>tblMaster[[#This Row],[Price]]*0.7*tblMaster[[#This Row],[Quantity]]</f>
        <v>2835</v>
      </c>
      <c r="T46" s="19">
        <f>tblMaster[[#This Row],[Revenue]]-tblMaster[[#This Row],[Estimated Cost (at 70%) ]]</f>
        <v>1215</v>
      </c>
      <c r="U46" s="19">
        <f>tblMaster[[#This Row],[Profit]]/tblMaster[[#This Row],[Revenue]]</f>
        <v>0.3</v>
      </c>
      <c r="V46" s="19">
        <f>tblMaster[[#This Row],[Delivery_Date]]-tblMaster[[#This Row],[Order_Date]]</f>
        <v>1</v>
      </c>
      <c r="W46" s="19" t="str">
        <f>TEXT(tblMaster[[#This Row],[Order_Date]],"mmmm")</f>
        <v>April</v>
      </c>
      <c r="X46" s="19">
        <f>MONTH(tblMaster[[#This Row],[Order_Date]])</f>
        <v>4</v>
      </c>
      <c r="Y46" s="19" t="str">
        <f>"Q"&amp;ROUNDUP(tblMaster[[#This Row],[Month Number]]/3,0)</f>
        <v>Q2</v>
      </c>
      <c r="Z46" s="19">
        <f>YEAR(tblMaster[[#This Row],[Order_Date]])</f>
        <v>2023</v>
      </c>
      <c r="AA46" s="19" t="str">
        <f>TEXT(DAY(tblMaster[[#This Row],[Order_Date]]),"dddd")</f>
        <v>Saturday</v>
      </c>
      <c r="AB46" s="19" t="str">
        <f>IF(tblMaster[[#This Row],[Revenue]]&gt;=5000,"High",IF(tblMaster[[#This Row],[Revenue]]&lt;2000,"Low","Medium"))</f>
        <v>Medium</v>
      </c>
    </row>
    <row r="47" spans="1:28" x14ac:dyDescent="0.25">
      <c r="A47" s="10">
        <v>46</v>
      </c>
      <c r="B47" s="10" t="s">
        <v>242</v>
      </c>
      <c r="C47" s="5">
        <v>22</v>
      </c>
      <c r="D47" s="5">
        <v>4</v>
      </c>
      <c r="E47" s="11">
        <v>45034</v>
      </c>
      <c r="F47" s="12">
        <v>0.13971064814814815</v>
      </c>
      <c r="G47" s="11">
        <v>45039</v>
      </c>
      <c r="H47" s="12">
        <v>0.33524305555555556</v>
      </c>
      <c r="I47" s="10" t="s">
        <v>243</v>
      </c>
      <c r="J47" s="10" t="s">
        <v>8</v>
      </c>
      <c r="K47" s="18" t="str">
        <f>_xlfn.XLOOKUP(tblMaster[[#This Row],[Customer_ID]],tblCustomers[Customer_ID],tblCustomers[City],"Not Found",0)</f>
        <v>Kalyan-Dombivli</v>
      </c>
      <c r="L47" s="18" t="str">
        <f>_xlfn.XLOOKUP(tblMaster[[#This Row],[Customer_ID]],tblCustomers[Customer_ID],tblCustomers[Name],"Not Found",0)</f>
        <v>Nirvi Wagle</v>
      </c>
      <c r="M47" s="18" t="str">
        <f>_xlfn.XLOOKUP(tblMaster[[#This Row],[Customer_ID]],tblCustomers[Customer_ID],tblCustomers[Gender],"Not Found",0)</f>
        <v>Male</v>
      </c>
      <c r="N47" s="18" t="str">
        <f>_xlfn.XLOOKUP(tblMaster[[#This Row],[Product_ID]],tblProducts[Product_ID],tblProducts[Product_Name],"Not Found",0)</f>
        <v>Exercitationem Pack</v>
      </c>
      <c r="O47" s="18" t="str">
        <f>_xlfn.XLOOKUP(tblMaster[[#This Row],[Product_ID]],tblProducts[Product_ID],tblProducts[Category],"Not Found",0)</f>
        <v>Soft Toys</v>
      </c>
      <c r="P47" s="18" t="str">
        <f>_xlfn.XLOOKUP(tblMaster[[#This Row],[Product_ID]],tblProducts[Product_ID],tblProducts[Occasion],"Not Found",0)</f>
        <v>All Occasions</v>
      </c>
      <c r="Q47" s="18">
        <f>_xlfn.XLOOKUP(tblMaster[[#This Row],[Product_ID]],tblProducts[Product_ID],tblProducts[Price (INR)],"Not Found",0)</f>
        <v>1639</v>
      </c>
      <c r="R47" s="19">
        <f>tblMaster[[#This Row],[Price]]*tblMaster[[#This Row],[Quantity]]</f>
        <v>6556</v>
      </c>
      <c r="S47" s="19">
        <f>tblMaster[[#This Row],[Price]]*0.7*tblMaster[[#This Row],[Quantity]]</f>
        <v>4589.2</v>
      </c>
      <c r="T47" s="19">
        <f>tblMaster[[#This Row],[Revenue]]-tblMaster[[#This Row],[Estimated Cost (at 70%) ]]</f>
        <v>1966.8000000000002</v>
      </c>
      <c r="U47" s="19">
        <f>tblMaster[[#This Row],[Profit]]/tblMaster[[#This Row],[Revenue]]</f>
        <v>0.30000000000000004</v>
      </c>
      <c r="V47" s="19">
        <f>tblMaster[[#This Row],[Delivery_Date]]-tblMaster[[#This Row],[Order_Date]]</f>
        <v>5</v>
      </c>
      <c r="W47" s="19" t="str">
        <f>TEXT(tblMaster[[#This Row],[Order_Date]],"mmmm")</f>
        <v>April</v>
      </c>
      <c r="X47" s="19">
        <f>MONTH(tblMaster[[#This Row],[Order_Date]])</f>
        <v>4</v>
      </c>
      <c r="Y47" s="19" t="str">
        <f>"Q"&amp;ROUNDUP(tblMaster[[#This Row],[Month Number]]/3,0)</f>
        <v>Q2</v>
      </c>
      <c r="Z47" s="19">
        <f>YEAR(tblMaster[[#This Row],[Order_Date]])</f>
        <v>2023</v>
      </c>
      <c r="AA47" s="19" t="str">
        <f>TEXT(DAY(tblMaster[[#This Row],[Order_Date]]),"dddd")</f>
        <v>Wednesday</v>
      </c>
      <c r="AB47" s="19" t="str">
        <f>IF(tblMaster[[#This Row],[Revenue]]&gt;=5000,"High",IF(tblMaster[[#This Row],[Revenue]]&lt;2000,"Low","Medium"))</f>
        <v>High</v>
      </c>
    </row>
    <row r="48" spans="1:28" x14ac:dyDescent="0.25">
      <c r="A48" s="7">
        <v>47</v>
      </c>
      <c r="B48" s="7" t="s">
        <v>193</v>
      </c>
      <c r="C48" s="4">
        <v>7</v>
      </c>
      <c r="D48" s="4">
        <v>5</v>
      </c>
      <c r="E48" s="8">
        <v>44983</v>
      </c>
      <c r="F48" s="9">
        <v>0.54476851851851849</v>
      </c>
      <c r="G48" s="8">
        <v>44985</v>
      </c>
      <c r="H48" s="9">
        <v>0.2502314814814815</v>
      </c>
      <c r="I48" s="7" t="s">
        <v>169</v>
      </c>
      <c r="J48" s="7" t="s">
        <v>25</v>
      </c>
      <c r="K48" s="18" t="str">
        <f>_xlfn.XLOOKUP(tblMaster[[#This Row],[Customer_ID]],tblCustomers[Customer_ID],tblCustomers[City],"Not Found",0)</f>
        <v>Mangalore</v>
      </c>
      <c r="L48" s="18" t="str">
        <f>_xlfn.XLOOKUP(tblMaster[[#This Row],[Customer_ID]],tblCustomers[Customer_ID],tblCustomers[Name],"Not Found",0)</f>
        <v>Manikya Goswami</v>
      </c>
      <c r="M48" s="18" t="str">
        <f>_xlfn.XLOOKUP(tblMaster[[#This Row],[Customer_ID]],tblCustomers[Customer_ID],tblCustomers[Gender],"Not Found",0)</f>
        <v>Female</v>
      </c>
      <c r="N48" s="18" t="str">
        <f>_xlfn.XLOOKUP(tblMaster[[#This Row],[Product_ID]],tblProducts[Product_ID],tblProducts[Product_Name],"Not Found",0)</f>
        <v>Quos Set</v>
      </c>
      <c r="O48" s="18" t="str">
        <f>_xlfn.XLOOKUP(tblMaster[[#This Row],[Product_ID]],tblProducts[Product_ID],tblProducts[Category],"Not Found",0)</f>
        <v>Soft Toys</v>
      </c>
      <c r="P48" s="18" t="str">
        <f>_xlfn.XLOOKUP(tblMaster[[#This Row],[Product_ID]],tblProducts[Product_ID],tblProducts[Occasion],"Not Found",0)</f>
        <v>Holi</v>
      </c>
      <c r="Q48" s="18">
        <f>_xlfn.XLOOKUP(tblMaster[[#This Row],[Product_ID]],tblProducts[Product_ID],tblProducts[Price (INR)],"Not Found",0)</f>
        <v>409</v>
      </c>
      <c r="R48" s="19">
        <f>tblMaster[[#This Row],[Price]]*tblMaster[[#This Row],[Quantity]]</f>
        <v>2045</v>
      </c>
      <c r="S48" s="19">
        <f>tblMaster[[#This Row],[Price]]*0.7*tblMaster[[#This Row],[Quantity]]</f>
        <v>1431.4999999999998</v>
      </c>
      <c r="T48" s="19">
        <f>tblMaster[[#This Row],[Revenue]]-tblMaster[[#This Row],[Estimated Cost (at 70%) ]]</f>
        <v>613.50000000000023</v>
      </c>
      <c r="U48" s="19">
        <f>tblMaster[[#This Row],[Profit]]/tblMaster[[#This Row],[Revenue]]</f>
        <v>0.3000000000000001</v>
      </c>
      <c r="V48" s="19">
        <f>tblMaster[[#This Row],[Delivery_Date]]-tblMaster[[#This Row],[Order_Date]]</f>
        <v>2</v>
      </c>
      <c r="W48" s="19" t="str">
        <f>TEXT(tblMaster[[#This Row],[Order_Date]],"mmmm")</f>
        <v>February</v>
      </c>
      <c r="X48" s="19">
        <f>MONTH(tblMaster[[#This Row],[Order_Date]])</f>
        <v>2</v>
      </c>
      <c r="Y48" s="19" t="str">
        <f>"Q"&amp;ROUNDUP(tblMaster[[#This Row],[Month Number]]/3,0)</f>
        <v>Q1</v>
      </c>
      <c r="Z48" s="19">
        <f>YEAR(tblMaster[[#This Row],[Order_Date]])</f>
        <v>2023</v>
      </c>
      <c r="AA48" s="19" t="str">
        <f>TEXT(DAY(tblMaster[[#This Row],[Order_Date]]),"dddd")</f>
        <v>Thursday</v>
      </c>
      <c r="AB48" s="19" t="str">
        <f>IF(tblMaster[[#This Row],[Revenue]]&gt;=5000,"High",IF(tblMaster[[#This Row],[Revenue]]&lt;2000,"Low","Medium"))</f>
        <v>Medium</v>
      </c>
    </row>
    <row r="49" spans="1:28" x14ac:dyDescent="0.25">
      <c r="A49" s="10">
        <v>48</v>
      </c>
      <c r="B49" s="10" t="s">
        <v>244</v>
      </c>
      <c r="C49" s="5">
        <v>65</v>
      </c>
      <c r="D49" s="5">
        <v>4</v>
      </c>
      <c r="E49" s="11">
        <v>45242</v>
      </c>
      <c r="F49" s="12">
        <v>0.83368055555555554</v>
      </c>
      <c r="G49" s="11">
        <v>45246</v>
      </c>
      <c r="H49" s="12">
        <v>0.23034722222222223</v>
      </c>
      <c r="I49" s="10" t="s">
        <v>245</v>
      </c>
      <c r="J49" s="10" t="s">
        <v>8</v>
      </c>
      <c r="K49" s="18" t="str">
        <f>_xlfn.XLOOKUP(tblMaster[[#This Row],[Customer_ID]],tblCustomers[Customer_ID],tblCustomers[City],"Not Found",0)</f>
        <v>Sasaram</v>
      </c>
      <c r="L49" s="18" t="str">
        <f>_xlfn.XLOOKUP(tblMaster[[#This Row],[Customer_ID]],tblCustomers[Customer_ID],tblCustomers[Name],"Not Found",0)</f>
        <v>Madhup Wable</v>
      </c>
      <c r="M49" s="18" t="str">
        <f>_xlfn.XLOOKUP(tblMaster[[#This Row],[Customer_ID]],tblCustomers[Customer_ID],tblCustomers[Gender],"Not Found",0)</f>
        <v>Female</v>
      </c>
      <c r="N49" s="18" t="str">
        <f>_xlfn.XLOOKUP(tblMaster[[#This Row],[Product_ID]],tblProducts[Product_ID],tblProducts[Product_Name],"Not Found",0)</f>
        <v>Error Gift</v>
      </c>
      <c r="O49" s="18" t="str">
        <f>_xlfn.XLOOKUP(tblMaster[[#This Row],[Product_ID]],tblProducts[Product_ID],tblProducts[Category],"Not Found",0)</f>
        <v>Raksha Bandhan</v>
      </c>
      <c r="P49" s="18" t="str">
        <f>_xlfn.XLOOKUP(tblMaster[[#This Row],[Product_ID]],tblProducts[Product_ID],tblProducts[Occasion],"Not Found",0)</f>
        <v>All Occasions</v>
      </c>
      <c r="Q49" s="18">
        <f>_xlfn.XLOOKUP(tblMaster[[#This Row],[Product_ID]],tblProducts[Product_ID],tblProducts[Price (INR)],"Not Found",0)</f>
        <v>1895</v>
      </c>
      <c r="R49" s="19">
        <f>tblMaster[[#This Row],[Price]]*tblMaster[[#This Row],[Quantity]]</f>
        <v>7580</v>
      </c>
      <c r="S49" s="19">
        <f>tblMaster[[#This Row],[Price]]*0.7*tblMaster[[#This Row],[Quantity]]</f>
        <v>5306</v>
      </c>
      <c r="T49" s="19">
        <f>tblMaster[[#This Row],[Revenue]]-tblMaster[[#This Row],[Estimated Cost (at 70%) ]]</f>
        <v>2274</v>
      </c>
      <c r="U49" s="19">
        <f>tblMaster[[#This Row],[Profit]]/tblMaster[[#This Row],[Revenue]]</f>
        <v>0.3</v>
      </c>
      <c r="V49" s="19">
        <f>tblMaster[[#This Row],[Delivery_Date]]-tblMaster[[#This Row],[Order_Date]]</f>
        <v>4</v>
      </c>
      <c r="W49" s="19" t="str">
        <f>TEXT(tblMaster[[#This Row],[Order_Date]],"mmmm")</f>
        <v>November</v>
      </c>
      <c r="X49" s="19">
        <f>MONTH(tblMaster[[#This Row],[Order_Date]])</f>
        <v>11</v>
      </c>
      <c r="Y49" s="19" t="str">
        <f>"Q"&amp;ROUNDUP(tblMaster[[#This Row],[Month Number]]/3,0)</f>
        <v>Q4</v>
      </c>
      <c r="Z49" s="19">
        <f>YEAR(tblMaster[[#This Row],[Order_Date]])</f>
        <v>2023</v>
      </c>
      <c r="AA49" s="19" t="str">
        <f>TEXT(DAY(tblMaster[[#This Row],[Order_Date]]),"dddd")</f>
        <v>Thursday</v>
      </c>
      <c r="AB49" s="19" t="str">
        <f>IF(tblMaster[[#This Row],[Revenue]]&gt;=5000,"High",IF(tblMaster[[#This Row],[Revenue]]&lt;2000,"Low","Medium"))</f>
        <v>High</v>
      </c>
    </row>
    <row r="50" spans="1:28" x14ac:dyDescent="0.25">
      <c r="A50" s="7">
        <v>49</v>
      </c>
      <c r="B50" s="7" t="s">
        <v>246</v>
      </c>
      <c r="C50" s="4">
        <v>43</v>
      </c>
      <c r="D50" s="4">
        <v>1</v>
      </c>
      <c r="E50" s="8">
        <v>45241</v>
      </c>
      <c r="F50" s="9">
        <v>0.73923611111111109</v>
      </c>
      <c r="G50" s="8">
        <v>45248</v>
      </c>
      <c r="H50" s="9">
        <v>0.57629629629629631</v>
      </c>
      <c r="I50" s="7" t="s">
        <v>247</v>
      </c>
      <c r="J50" s="7" t="s">
        <v>19</v>
      </c>
      <c r="K50" s="18" t="str">
        <f>_xlfn.XLOOKUP(tblMaster[[#This Row],[Customer_ID]],tblCustomers[Customer_ID],tblCustomers[City],"Not Found",0)</f>
        <v>Machilipatnam</v>
      </c>
      <c r="L50" s="18" t="str">
        <f>_xlfn.XLOOKUP(tblMaster[[#This Row],[Customer_ID]],tblCustomers[Customer_ID],tblCustomers[Name],"Not Found",0)</f>
        <v>Samaira Ganesh</v>
      </c>
      <c r="M50" s="18" t="str">
        <f>_xlfn.XLOOKUP(tblMaster[[#This Row],[Customer_ID]],tblCustomers[Customer_ID],tblCustomers[Gender],"Not Found",0)</f>
        <v>Male</v>
      </c>
      <c r="N50" s="18" t="str">
        <f>_xlfn.XLOOKUP(tblMaster[[#This Row],[Product_ID]],tblProducts[Product_ID],tblProducts[Product_Name],"Not Found",0)</f>
        <v>Quisquam Pack</v>
      </c>
      <c r="O50" s="18" t="str">
        <f>_xlfn.XLOOKUP(tblMaster[[#This Row],[Product_ID]],tblProducts[Product_ID],tblProducts[Category],"Not Found",0)</f>
        <v>Raksha Bandhan</v>
      </c>
      <c r="P50" s="18" t="str">
        <f>_xlfn.XLOOKUP(tblMaster[[#This Row],[Product_ID]],tblProducts[Product_ID],tblProducts[Occasion],"Not Found",0)</f>
        <v>Diwali</v>
      </c>
      <c r="Q50" s="18">
        <f>_xlfn.XLOOKUP(tblMaster[[#This Row],[Product_ID]],tblProducts[Product_ID],tblProducts[Price (INR)],"Not Found",0)</f>
        <v>750</v>
      </c>
      <c r="R50" s="19">
        <f>tblMaster[[#This Row],[Price]]*tblMaster[[#This Row],[Quantity]]</f>
        <v>750</v>
      </c>
      <c r="S50" s="19">
        <f>tblMaster[[#This Row],[Price]]*0.7*tblMaster[[#This Row],[Quantity]]</f>
        <v>525</v>
      </c>
      <c r="T50" s="19">
        <f>tblMaster[[#This Row],[Revenue]]-tblMaster[[#This Row],[Estimated Cost (at 70%) ]]</f>
        <v>225</v>
      </c>
      <c r="U50" s="19">
        <f>tblMaster[[#This Row],[Profit]]/tblMaster[[#This Row],[Revenue]]</f>
        <v>0.3</v>
      </c>
      <c r="V50" s="19">
        <f>tblMaster[[#This Row],[Delivery_Date]]-tblMaster[[#This Row],[Order_Date]]</f>
        <v>7</v>
      </c>
      <c r="W50" s="19" t="str">
        <f>TEXT(tblMaster[[#This Row],[Order_Date]],"mmmm")</f>
        <v>November</v>
      </c>
      <c r="X50" s="19">
        <f>MONTH(tblMaster[[#This Row],[Order_Date]])</f>
        <v>11</v>
      </c>
      <c r="Y50" s="19" t="str">
        <f>"Q"&amp;ROUNDUP(tblMaster[[#This Row],[Month Number]]/3,0)</f>
        <v>Q4</v>
      </c>
      <c r="Z50" s="19">
        <f>YEAR(tblMaster[[#This Row],[Order_Date]])</f>
        <v>2023</v>
      </c>
      <c r="AA50" s="19" t="str">
        <f>TEXT(DAY(tblMaster[[#This Row],[Order_Date]]),"dddd")</f>
        <v>Wednesday</v>
      </c>
      <c r="AB50" s="19" t="str">
        <f>IF(tblMaster[[#This Row],[Revenue]]&gt;=5000,"High",IF(tblMaster[[#This Row],[Revenue]]&lt;2000,"Low","Medium"))</f>
        <v>Low</v>
      </c>
    </row>
    <row r="51" spans="1:28" x14ac:dyDescent="0.25">
      <c r="A51" s="10">
        <v>50</v>
      </c>
      <c r="B51" s="10" t="s">
        <v>248</v>
      </c>
      <c r="C51" s="5">
        <v>41</v>
      </c>
      <c r="D51" s="5">
        <v>4</v>
      </c>
      <c r="E51" s="11">
        <v>45239</v>
      </c>
      <c r="F51" s="12">
        <v>0.28927083333333331</v>
      </c>
      <c r="G51" s="11">
        <v>45246</v>
      </c>
      <c r="H51" s="12">
        <v>0.43011574074074072</v>
      </c>
      <c r="I51" s="10" t="s">
        <v>249</v>
      </c>
      <c r="J51" s="10" t="s">
        <v>19</v>
      </c>
      <c r="K51" s="18" t="str">
        <f>_xlfn.XLOOKUP(tblMaster[[#This Row],[Customer_ID]],tblCustomers[Customer_ID],tblCustomers[City],"Not Found",0)</f>
        <v>Panvel</v>
      </c>
      <c r="L51" s="18" t="str">
        <f>_xlfn.XLOOKUP(tblMaster[[#This Row],[Customer_ID]],tblCustomers[Customer_ID],tblCustomers[Name],"Not Found",0)</f>
        <v>Indrans Shukla</v>
      </c>
      <c r="M51" s="18" t="str">
        <f>_xlfn.XLOOKUP(tblMaster[[#This Row],[Customer_ID]],tblCustomers[Customer_ID],tblCustomers[Gender],"Not Found",0)</f>
        <v>Female</v>
      </c>
      <c r="N51" s="18" t="str">
        <f>_xlfn.XLOOKUP(tblMaster[[#This Row],[Product_ID]],tblProducts[Product_ID],tblProducts[Product_Name],"Not Found",0)</f>
        <v>Aut Box</v>
      </c>
      <c r="O51" s="18" t="str">
        <f>_xlfn.XLOOKUP(tblMaster[[#This Row],[Product_ID]],tblProducts[Product_ID],tblProducts[Category],"Not Found",0)</f>
        <v>Sweets</v>
      </c>
      <c r="P51" s="18" t="str">
        <f>_xlfn.XLOOKUP(tblMaster[[#This Row],[Product_ID]],tblProducts[Product_ID],tblProducts[Occasion],"Not Found",0)</f>
        <v>Diwali</v>
      </c>
      <c r="Q51" s="18">
        <f>_xlfn.XLOOKUP(tblMaster[[#This Row],[Product_ID]],tblProducts[Product_ID],tblProducts[Price (INR)],"Not Found",0)</f>
        <v>1977</v>
      </c>
      <c r="R51" s="19">
        <f>tblMaster[[#This Row],[Price]]*tblMaster[[#This Row],[Quantity]]</f>
        <v>7908</v>
      </c>
      <c r="S51" s="19">
        <f>tblMaster[[#This Row],[Price]]*0.7*tblMaster[[#This Row],[Quantity]]</f>
        <v>5535.5999999999995</v>
      </c>
      <c r="T51" s="19">
        <f>tblMaster[[#This Row],[Revenue]]-tblMaster[[#This Row],[Estimated Cost (at 70%) ]]</f>
        <v>2372.4000000000005</v>
      </c>
      <c r="U51" s="19">
        <f>tblMaster[[#This Row],[Profit]]/tblMaster[[#This Row],[Revenue]]</f>
        <v>0.30000000000000004</v>
      </c>
      <c r="V51" s="19">
        <f>tblMaster[[#This Row],[Delivery_Date]]-tblMaster[[#This Row],[Order_Date]]</f>
        <v>7</v>
      </c>
      <c r="W51" s="19" t="str">
        <f>TEXT(tblMaster[[#This Row],[Order_Date]],"mmmm")</f>
        <v>November</v>
      </c>
      <c r="X51" s="19">
        <f>MONTH(tblMaster[[#This Row],[Order_Date]])</f>
        <v>11</v>
      </c>
      <c r="Y51" s="19" t="str">
        <f>"Q"&amp;ROUNDUP(tblMaster[[#This Row],[Month Number]]/3,0)</f>
        <v>Q4</v>
      </c>
      <c r="Z51" s="19">
        <f>YEAR(tblMaster[[#This Row],[Order_Date]])</f>
        <v>2023</v>
      </c>
      <c r="AA51" s="19" t="str">
        <f>TEXT(DAY(tblMaster[[#This Row],[Order_Date]]),"dddd")</f>
        <v>Monday</v>
      </c>
      <c r="AB51" s="19" t="str">
        <f>IF(tblMaster[[#This Row],[Revenue]]&gt;=5000,"High",IF(tblMaster[[#This Row],[Revenue]]&lt;2000,"Low","Medium"))</f>
        <v>High</v>
      </c>
    </row>
    <row r="52" spans="1:28" x14ac:dyDescent="0.25">
      <c r="A52" s="7">
        <v>51</v>
      </c>
      <c r="B52" s="7" t="s">
        <v>250</v>
      </c>
      <c r="C52" s="4">
        <v>10</v>
      </c>
      <c r="D52" s="4">
        <v>1</v>
      </c>
      <c r="E52" s="8">
        <v>45000</v>
      </c>
      <c r="F52" s="9">
        <v>0.39153935185185185</v>
      </c>
      <c r="G52" s="8">
        <v>45004</v>
      </c>
      <c r="H52" s="9">
        <v>0.69907407407407407</v>
      </c>
      <c r="I52" s="7" t="s">
        <v>251</v>
      </c>
      <c r="J52" s="7" t="s">
        <v>36</v>
      </c>
      <c r="K52" s="18" t="str">
        <f>_xlfn.XLOOKUP(tblMaster[[#This Row],[Customer_ID]],tblCustomers[Customer_ID],tblCustomers[City],"Not Found",0)</f>
        <v>Dibrugarh</v>
      </c>
      <c r="L52" s="18" t="str">
        <f>_xlfn.XLOOKUP(tblMaster[[#This Row],[Customer_ID]],tblCustomers[Customer_ID],tblCustomers[Name],"Not Found",0)</f>
        <v>Biju Bajwa</v>
      </c>
      <c r="M52" s="18" t="str">
        <f>_xlfn.XLOOKUP(tblMaster[[#This Row],[Customer_ID]],tblCustomers[Customer_ID],tblCustomers[Gender],"Not Found",0)</f>
        <v>Female</v>
      </c>
      <c r="N52" s="18" t="str">
        <f>_xlfn.XLOOKUP(tblMaster[[#This Row],[Product_ID]],tblProducts[Product_ID],tblProducts[Product_Name],"Not Found",0)</f>
        <v>Accusantium Gift</v>
      </c>
      <c r="O52" s="18" t="str">
        <f>_xlfn.XLOOKUP(tblMaster[[#This Row],[Product_ID]],tblProducts[Product_ID],tblProducts[Category],"Not Found",0)</f>
        <v>Cake</v>
      </c>
      <c r="P52" s="18" t="str">
        <f>_xlfn.XLOOKUP(tblMaster[[#This Row],[Product_ID]],tblProducts[Product_ID],tblProducts[Occasion],"Not Found",0)</f>
        <v>Birthday</v>
      </c>
      <c r="Q52" s="18">
        <f>_xlfn.XLOOKUP(tblMaster[[#This Row],[Product_ID]],tblProducts[Product_ID],tblProducts[Price (INR)],"Not Found",0)</f>
        <v>259</v>
      </c>
      <c r="R52" s="19">
        <f>tblMaster[[#This Row],[Price]]*tblMaster[[#This Row],[Quantity]]</f>
        <v>259</v>
      </c>
      <c r="S52" s="19">
        <f>tblMaster[[#This Row],[Price]]*0.7*tblMaster[[#This Row],[Quantity]]</f>
        <v>181.29999999999998</v>
      </c>
      <c r="T52" s="19">
        <f>tblMaster[[#This Row],[Revenue]]-tblMaster[[#This Row],[Estimated Cost (at 70%) ]]</f>
        <v>77.700000000000017</v>
      </c>
      <c r="U52" s="19">
        <f>tblMaster[[#This Row],[Profit]]/tblMaster[[#This Row],[Revenue]]</f>
        <v>0.30000000000000004</v>
      </c>
      <c r="V52" s="19">
        <f>tblMaster[[#This Row],[Delivery_Date]]-tblMaster[[#This Row],[Order_Date]]</f>
        <v>4</v>
      </c>
      <c r="W52" s="19" t="str">
        <f>TEXT(tblMaster[[#This Row],[Order_Date]],"mmmm")</f>
        <v>March</v>
      </c>
      <c r="X52" s="19">
        <f>MONTH(tblMaster[[#This Row],[Order_Date]])</f>
        <v>3</v>
      </c>
      <c r="Y52" s="19" t="str">
        <f>"Q"&amp;ROUNDUP(tblMaster[[#This Row],[Month Number]]/3,0)</f>
        <v>Q1</v>
      </c>
      <c r="Z52" s="19">
        <f>YEAR(tblMaster[[#This Row],[Order_Date]])</f>
        <v>2023</v>
      </c>
      <c r="AA52" s="19" t="str">
        <f>TEXT(DAY(tblMaster[[#This Row],[Order_Date]]),"dddd")</f>
        <v>Sunday</v>
      </c>
      <c r="AB52" s="19" t="str">
        <f>IF(tblMaster[[#This Row],[Revenue]]&gt;=5000,"High",IF(tblMaster[[#This Row],[Revenue]]&lt;2000,"Low","Medium"))</f>
        <v>Low</v>
      </c>
    </row>
    <row r="53" spans="1:28" x14ac:dyDescent="0.25">
      <c r="A53" s="10">
        <v>52</v>
      </c>
      <c r="B53" s="10" t="s">
        <v>252</v>
      </c>
      <c r="C53" s="5">
        <v>9</v>
      </c>
      <c r="D53" s="5">
        <v>1</v>
      </c>
      <c r="E53" s="11">
        <v>45167</v>
      </c>
      <c r="F53" s="12">
        <v>0.83011574074074079</v>
      </c>
      <c r="G53" s="11">
        <v>45176</v>
      </c>
      <c r="H53" s="12">
        <v>0.1819675925925926</v>
      </c>
      <c r="I53" s="10" t="s">
        <v>253</v>
      </c>
      <c r="J53" s="10" t="s">
        <v>33</v>
      </c>
      <c r="K53" s="18" t="str">
        <f>_xlfn.XLOOKUP(tblMaster[[#This Row],[Customer_ID]],tblCustomers[Customer_ID],tblCustomers[City],"Not Found",0)</f>
        <v>Bidhannagar</v>
      </c>
      <c r="L53" s="18" t="str">
        <f>_xlfn.XLOOKUP(tblMaster[[#This Row],[Customer_ID]],tblCustomers[Customer_ID],tblCustomers[Name],"Not Found",0)</f>
        <v>Abram Sandhu</v>
      </c>
      <c r="M53" s="18" t="str">
        <f>_xlfn.XLOOKUP(tblMaster[[#This Row],[Customer_ID]],tblCustomers[Customer_ID],tblCustomers[Gender],"Not Found",0)</f>
        <v>Male</v>
      </c>
      <c r="N53" s="18" t="str">
        <f>_xlfn.XLOOKUP(tblMaster[[#This Row],[Product_ID]],tblProducts[Product_ID],tblProducts[Product_Name],"Not Found",0)</f>
        <v>Aperiam Box</v>
      </c>
      <c r="O53" s="18" t="str">
        <f>_xlfn.XLOOKUP(tblMaster[[#This Row],[Product_ID]],tblProducts[Product_ID],tblProducts[Category],"Not Found",0)</f>
        <v>Colors</v>
      </c>
      <c r="P53" s="18" t="str">
        <f>_xlfn.XLOOKUP(tblMaster[[#This Row],[Product_ID]],tblProducts[Product_ID],tblProducts[Occasion],"Not Found",0)</f>
        <v>Raksha Bandhan</v>
      </c>
      <c r="Q53" s="18">
        <f>_xlfn.XLOOKUP(tblMaster[[#This Row],[Product_ID]],tblProducts[Product_ID],tblProducts[Price (INR)],"Not Found",0)</f>
        <v>1605</v>
      </c>
      <c r="R53" s="19">
        <f>tblMaster[[#This Row],[Price]]*tblMaster[[#This Row],[Quantity]]</f>
        <v>1605</v>
      </c>
      <c r="S53" s="19">
        <f>tblMaster[[#This Row],[Price]]*0.7*tblMaster[[#This Row],[Quantity]]</f>
        <v>1123.5</v>
      </c>
      <c r="T53" s="19">
        <f>tblMaster[[#This Row],[Revenue]]-tblMaster[[#This Row],[Estimated Cost (at 70%) ]]</f>
        <v>481.5</v>
      </c>
      <c r="U53" s="19">
        <f>tblMaster[[#This Row],[Profit]]/tblMaster[[#This Row],[Revenue]]</f>
        <v>0.3</v>
      </c>
      <c r="V53" s="19">
        <f>tblMaster[[#This Row],[Delivery_Date]]-tblMaster[[#This Row],[Order_Date]]</f>
        <v>9</v>
      </c>
      <c r="W53" s="19" t="str">
        <f>TEXT(tblMaster[[#This Row],[Order_Date]],"mmmm")</f>
        <v>August</v>
      </c>
      <c r="X53" s="19">
        <f>MONTH(tblMaster[[#This Row],[Order_Date]])</f>
        <v>8</v>
      </c>
      <c r="Y53" s="19" t="str">
        <f>"Q"&amp;ROUNDUP(tblMaster[[#This Row],[Month Number]]/3,0)</f>
        <v>Q3</v>
      </c>
      <c r="Z53" s="19">
        <f>YEAR(tblMaster[[#This Row],[Order_Date]])</f>
        <v>2023</v>
      </c>
      <c r="AA53" s="19" t="str">
        <f>TEXT(DAY(tblMaster[[#This Row],[Order_Date]]),"dddd")</f>
        <v>Sunday</v>
      </c>
      <c r="AB53" s="19" t="str">
        <f>IF(tblMaster[[#This Row],[Revenue]]&gt;=5000,"High",IF(tblMaster[[#This Row],[Revenue]]&lt;2000,"Low","Medium"))</f>
        <v>Low</v>
      </c>
    </row>
    <row r="54" spans="1:28" x14ac:dyDescent="0.25">
      <c r="A54" s="7">
        <v>53</v>
      </c>
      <c r="B54" s="7" t="s">
        <v>254</v>
      </c>
      <c r="C54" s="4">
        <v>9</v>
      </c>
      <c r="D54" s="4">
        <v>5</v>
      </c>
      <c r="E54" s="8">
        <v>45158</v>
      </c>
      <c r="F54" s="9">
        <v>0.35121527777777778</v>
      </c>
      <c r="G54" s="8">
        <v>45165</v>
      </c>
      <c r="H54" s="9">
        <v>0.24966435185185185</v>
      </c>
      <c r="I54" s="7" t="s">
        <v>255</v>
      </c>
      <c r="J54" s="7" t="s">
        <v>33</v>
      </c>
      <c r="K54" s="18" t="str">
        <f>_xlfn.XLOOKUP(tblMaster[[#This Row],[Customer_ID]],tblCustomers[Customer_ID],tblCustomers[City],"Not Found",0)</f>
        <v>Maheshtala</v>
      </c>
      <c r="L54" s="18" t="str">
        <f>_xlfn.XLOOKUP(tblMaster[[#This Row],[Customer_ID]],tblCustomers[Customer_ID],tblCustomers[Name],"Not Found",0)</f>
        <v>Divit Mahajan</v>
      </c>
      <c r="M54" s="18" t="str">
        <f>_xlfn.XLOOKUP(tblMaster[[#This Row],[Customer_ID]],tblCustomers[Customer_ID],tblCustomers[Gender],"Not Found",0)</f>
        <v>Female</v>
      </c>
      <c r="N54" s="18" t="str">
        <f>_xlfn.XLOOKUP(tblMaster[[#This Row],[Product_ID]],tblProducts[Product_ID],tblProducts[Product_Name],"Not Found",0)</f>
        <v>Aperiam Box</v>
      </c>
      <c r="O54" s="18" t="str">
        <f>_xlfn.XLOOKUP(tblMaster[[#This Row],[Product_ID]],tblProducts[Product_ID],tblProducts[Category],"Not Found",0)</f>
        <v>Colors</v>
      </c>
      <c r="P54" s="18" t="str">
        <f>_xlfn.XLOOKUP(tblMaster[[#This Row],[Product_ID]],tblProducts[Product_ID],tblProducts[Occasion],"Not Found",0)</f>
        <v>Raksha Bandhan</v>
      </c>
      <c r="Q54" s="18">
        <f>_xlfn.XLOOKUP(tblMaster[[#This Row],[Product_ID]],tblProducts[Product_ID],tblProducts[Price (INR)],"Not Found",0)</f>
        <v>1605</v>
      </c>
      <c r="R54" s="19">
        <f>tblMaster[[#This Row],[Price]]*tblMaster[[#This Row],[Quantity]]</f>
        <v>8025</v>
      </c>
      <c r="S54" s="19">
        <f>tblMaster[[#This Row],[Price]]*0.7*tblMaster[[#This Row],[Quantity]]</f>
        <v>5617.5</v>
      </c>
      <c r="T54" s="19">
        <f>tblMaster[[#This Row],[Revenue]]-tblMaster[[#This Row],[Estimated Cost (at 70%) ]]</f>
        <v>2407.5</v>
      </c>
      <c r="U54" s="19">
        <f>tblMaster[[#This Row],[Profit]]/tblMaster[[#This Row],[Revenue]]</f>
        <v>0.3</v>
      </c>
      <c r="V54" s="19">
        <f>tblMaster[[#This Row],[Delivery_Date]]-tblMaster[[#This Row],[Order_Date]]</f>
        <v>7</v>
      </c>
      <c r="W54" s="19" t="str">
        <f>TEXT(tblMaster[[#This Row],[Order_Date]],"mmmm")</f>
        <v>August</v>
      </c>
      <c r="X54" s="19">
        <f>MONTH(tblMaster[[#This Row],[Order_Date]])</f>
        <v>8</v>
      </c>
      <c r="Y54" s="19" t="str">
        <f>"Q"&amp;ROUNDUP(tblMaster[[#This Row],[Month Number]]/3,0)</f>
        <v>Q3</v>
      </c>
      <c r="Z54" s="19">
        <f>YEAR(tblMaster[[#This Row],[Order_Date]])</f>
        <v>2023</v>
      </c>
      <c r="AA54" s="19" t="str">
        <f>TEXT(DAY(tblMaster[[#This Row],[Order_Date]]),"dddd")</f>
        <v>Friday</v>
      </c>
      <c r="AB54" s="19" t="str">
        <f>IF(tblMaster[[#This Row],[Revenue]]&gt;=5000,"High",IF(tblMaster[[#This Row],[Revenue]]&lt;2000,"Low","Medium"))</f>
        <v>High</v>
      </c>
    </row>
    <row r="55" spans="1:28" x14ac:dyDescent="0.25">
      <c r="A55" s="10">
        <v>54</v>
      </c>
      <c r="B55" s="10" t="s">
        <v>242</v>
      </c>
      <c r="C55" s="5">
        <v>30</v>
      </c>
      <c r="D55" s="5">
        <v>1</v>
      </c>
      <c r="E55" s="11">
        <v>45029</v>
      </c>
      <c r="F55" s="12">
        <v>0.41320601851851851</v>
      </c>
      <c r="G55" s="11">
        <v>45039</v>
      </c>
      <c r="H55" s="12">
        <v>0.60484953703703703</v>
      </c>
      <c r="I55" s="10" t="s">
        <v>256</v>
      </c>
      <c r="J55" s="10" t="s">
        <v>30</v>
      </c>
      <c r="K55" s="18" t="str">
        <f>_xlfn.XLOOKUP(tblMaster[[#This Row],[Customer_ID]],tblCustomers[Customer_ID],tblCustomers[City],"Not Found",0)</f>
        <v>Kalyan-Dombivli</v>
      </c>
      <c r="L55" s="18" t="str">
        <f>_xlfn.XLOOKUP(tblMaster[[#This Row],[Customer_ID]],tblCustomers[Customer_ID],tblCustomers[Name],"Not Found",0)</f>
        <v>Nirvi Wagle</v>
      </c>
      <c r="M55" s="18" t="str">
        <f>_xlfn.XLOOKUP(tblMaster[[#This Row],[Customer_ID]],tblCustomers[Customer_ID],tblCustomers[Gender],"Not Found",0)</f>
        <v>Male</v>
      </c>
      <c r="N55" s="18" t="str">
        <f>_xlfn.XLOOKUP(tblMaster[[#This Row],[Product_ID]],tblProducts[Product_ID],tblProducts[Product_Name],"Not Found",0)</f>
        <v>Recusandae Pack</v>
      </c>
      <c r="O55" s="18" t="str">
        <f>_xlfn.XLOOKUP(tblMaster[[#This Row],[Product_ID]],tblProducts[Product_ID],tblProducts[Category],"Not Found",0)</f>
        <v>Colors</v>
      </c>
      <c r="P55" s="18" t="str">
        <f>_xlfn.XLOOKUP(tblMaster[[#This Row],[Product_ID]],tblProducts[Product_ID],tblProducts[Occasion],"Not Found",0)</f>
        <v>Anniversary</v>
      </c>
      <c r="Q55" s="18">
        <f>_xlfn.XLOOKUP(tblMaster[[#This Row],[Product_ID]],tblProducts[Product_ID],tblProducts[Price (INR)],"Not Found",0)</f>
        <v>751</v>
      </c>
      <c r="R55" s="19">
        <f>tblMaster[[#This Row],[Price]]*tblMaster[[#This Row],[Quantity]]</f>
        <v>751</v>
      </c>
      <c r="S55" s="19">
        <f>tblMaster[[#This Row],[Price]]*0.7*tblMaster[[#This Row],[Quantity]]</f>
        <v>525.69999999999993</v>
      </c>
      <c r="T55" s="19">
        <f>tblMaster[[#This Row],[Revenue]]-tblMaster[[#This Row],[Estimated Cost (at 70%) ]]</f>
        <v>225.30000000000007</v>
      </c>
      <c r="U55" s="19">
        <f>tblMaster[[#This Row],[Profit]]/tblMaster[[#This Row],[Revenue]]</f>
        <v>0.3000000000000001</v>
      </c>
      <c r="V55" s="19">
        <f>tblMaster[[#This Row],[Delivery_Date]]-tblMaster[[#This Row],[Order_Date]]</f>
        <v>10</v>
      </c>
      <c r="W55" s="19" t="str">
        <f>TEXT(tblMaster[[#This Row],[Order_Date]],"mmmm")</f>
        <v>April</v>
      </c>
      <c r="X55" s="19">
        <f>MONTH(tblMaster[[#This Row],[Order_Date]])</f>
        <v>4</v>
      </c>
      <c r="Y55" s="19" t="str">
        <f>"Q"&amp;ROUNDUP(tblMaster[[#This Row],[Month Number]]/3,0)</f>
        <v>Q2</v>
      </c>
      <c r="Z55" s="19">
        <f>YEAR(tblMaster[[#This Row],[Order_Date]])</f>
        <v>2023</v>
      </c>
      <c r="AA55" s="19" t="str">
        <f>TEXT(DAY(tblMaster[[#This Row],[Order_Date]]),"dddd")</f>
        <v>Friday</v>
      </c>
      <c r="AB55" s="19" t="str">
        <f>IF(tblMaster[[#This Row],[Revenue]]&gt;=5000,"High",IF(tblMaster[[#This Row],[Revenue]]&lt;2000,"Low","Medium"))</f>
        <v>Low</v>
      </c>
    </row>
    <row r="56" spans="1:28" x14ac:dyDescent="0.25">
      <c r="A56" s="7">
        <v>55</v>
      </c>
      <c r="B56" s="7" t="s">
        <v>176</v>
      </c>
      <c r="C56" s="4">
        <v>5</v>
      </c>
      <c r="D56" s="4">
        <v>1</v>
      </c>
      <c r="E56" s="8">
        <v>44965</v>
      </c>
      <c r="F56" s="9">
        <v>0.33410879629629631</v>
      </c>
      <c r="G56" s="8">
        <v>44970</v>
      </c>
      <c r="H56" s="9">
        <v>0.32150462962962961</v>
      </c>
      <c r="I56" s="7" t="s">
        <v>257</v>
      </c>
      <c r="J56" s="7" t="s">
        <v>8</v>
      </c>
      <c r="K56" s="18" t="str">
        <f>_xlfn.XLOOKUP(tblMaster[[#This Row],[Customer_ID]],tblCustomers[Customer_ID],tblCustomers[City],"Not Found",0)</f>
        <v>Pallavaram</v>
      </c>
      <c r="L56" s="18" t="str">
        <f>_xlfn.XLOOKUP(tblMaster[[#This Row],[Customer_ID]],tblCustomers[Customer_ID],tblCustomers[Name],"Not Found",0)</f>
        <v>Hazel Mangat</v>
      </c>
      <c r="M56" s="18" t="str">
        <f>_xlfn.XLOOKUP(tblMaster[[#This Row],[Customer_ID]],tblCustomers[Customer_ID],tblCustomers[Gender],"Not Found",0)</f>
        <v>Female</v>
      </c>
      <c r="N56" s="18" t="str">
        <f>_xlfn.XLOOKUP(tblMaster[[#This Row],[Product_ID]],tblProducts[Product_ID],tblProducts[Product_Name],"Not Found",0)</f>
        <v>Natus Gift</v>
      </c>
      <c r="O56" s="18" t="str">
        <f>_xlfn.XLOOKUP(tblMaster[[#This Row],[Product_ID]],tblProducts[Product_ID],tblProducts[Category],"Not Found",0)</f>
        <v>Colors</v>
      </c>
      <c r="P56" s="18" t="str">
        <f>_xlfn.XLOOKUP(tblMaster[[#This Row],[Product_ID]],tblProducts[Product_ID],tblProducts[Occasion],"Not Found",0)</f>
        <v>All Occasions</v>
      </c>
      <c r="Q56" s="18">
        <f>_xlfn.XLOOKUP(tblMaster[[#This Row],[Product_ID]],tblProducts[Product_ID],tblProducts[Price (INR)],"Not Found",0)</f>
        <v>1444</v>
      </c>
      <c r="R56" s="19">
        <f>tblMaster[[#This Row],[Price]]*tblMaster[[#This Row],[Quantity]]</f>
        <v>1444</v>
      </c>
      <c r="S56" s="19">
        <f>tblMaster[[#This Row],[Price]]*0.7*tblMaster[[#This Row],[Quantity]]</f>
        <v>1010.8</v>
      </c>
      <c r="T56" s="19">
        <f>tblMaster[[#This Row],[Revenue]]-tblMaster[[#This Row],[Estimated Cost (at 70%) ]]</f>
        <v>433.20000000000005</v>
      </c>
      <c r="U56" s="19">
        <f>tblMaster[[#This Row],[Profit]]/tblMaster[[#This Row],[Revenue]]</f>
        <v>0.30000000000000004</v>
      </c>
      <c r="V56" s="19">
        <f>tblMaster[[#This Row],[Delivery_Date]]-tblMaster[[#This Row],[Order_Date]]</f>
        <v>5</v>
      </c>
      <c r="W56" s="19" t="str">
        <f>TEXT(tblMaster[[#This Row],[Order_Date]],"mmmm")</f>
        <v>February</v>
      </c>
      <c r="X56" s="19">
        <f>MONTH(tblMaster[[#This Row],[Order_Date]])</f>
        <v>2</v>
      </c>
      <c r="Y56" s="19" t="str">
        <f>"Q"&amp;ROUNDUP(tblMaster[[#This Row],[Month Number]]/3,0)</f>
        <v>Q1</v>
      </c>
      <c r="Z56" s="19">
        <f>YEAR(tblMaster[[#This Row],[Order_Date]])</f>
        <v>2023</v>
      </c>
      <c r="AA56" s="19" t="str">
        <f>TEXT(DAY(tblMaster[[#This Row],[Order_Date]]),"dddd")</f>
        <v>Sunday</v>
      </c>
      <c r="AB56" s="19" t="str">
        <f>IF(tblMaster[[#This Row],[Revenue]]&gt;=5000,"High",IF(tblMaster[[#This Row],[Revenue]]&lt;2000,"Low","Medium"))</f>
        <v>Low</v>
      </c>
    </row>
    <row r="57" spans="1:28" x14ac:dyDescent="0.25">
      <c r="A57" s="10">
        <v>56</v>
      </c>
      <c r="B57" s="10" t="s">
        <v>258</v>
      </c>
      <c r="C57" s="5">
        <v>58</v>
      </c>
      <c r="D57" s="5">
        <v>5</v>
      </c>
      <c r="E57" s="11">
        <v>44965</v>
      </c>
      <c r="F57" s="12">
        <v>0.50819444444444439</v>
      </c>
      <c r="G57" s="11">
        <v>44970</v>
      </c>
      <c r="H57" s="12">
        <v>0.78609953703703705</v>
      </c>
      <c r="I57" s="10" t="s">
        <v>259</v>
      </c>
      <c r="J57" s="10" t="s">
        <v>12</v>
      </c>
      <c r="K57" s="18" t="str">
        <f>_xlfn.XLOOKUP(tblMaster[[#This Row],[Customer_ID]],tblCustomers[Customer_ID],tblCustomers[City],"Not Found",0)</f>
        <v>Warangal</v>
      </c>
      <c r="L57" s="18" t="str">
        <f>_xlfn.XLOOKUP(tblMaster[[#This Row],[Customer_ID]],tblCustomers[Customer_ID],tblCustomers[Name],"Not Found",0)</f>
        <v>Mahika Cherian</v>
      </c>
      <c r="M57" s="18" t="str">
        <f>_xlfn.XLOOKUP(tblMaster[[#This Row],[Customer_ID]],tblCustomers[Customer_ID],tblCustomers[Gender],"Not Found",0)</f>
        <v>Female</v>
      </c>
      <c r="N57" s="18" t="str">
        <f>_xlfn.XLOOKUP(tblMaster[[#This Row],[Product_ID]],tblProducts[Product_ID],tblProducts[Product_Name],"Not Found",0)</f>
        <v>Sed Pack</v>
      </c>
      <c r="O57" s="18" t="str">
        <f>_xlfn.XLOOKUP(tblMaster[[#This Row],[Product_ID]],tblProducts[Product_ID],tblProducts[Category],"Not Found",0)</f>
        <v>Cake</v>
      </c>
      <c r="P57" s="18" t="str">
        <f>_xlfn.XLOOKUP(tblMaster[[#This Row],[Product_ID]],tblProducts[Product_ID],tblProducts[Occasion],"Not Found",0)</f>
        <v>Valentine's Day</v>
      </c>
      <c r="Q57" s="18">
        <f>_xlfn.XLOOKUP(tblMaster[[#This Row],[Product_ID]],tblProducts[Product_ID],tblProducts[Price (INR)],"Not Found",0)</f>
        <v>1492</v>
      </c>
      <c r="R57" s="19">
        <f>tblMaster[[#This Row],[Price]]*tblMaster[[#This Row],[Quantity]]</f>
        <v>7460</v>
      </c>
      <c r="S57" s="19">
        <f>tblMaster[[#This Row],[Price]]*0.7*tblMaster[[#This Row],[Quantity]]</f>
        <v>5221.9999999999991</v>
      </c>
      <c r="T57" s="19">
        <f>tblMaster[[#This Row],[Revenue]]-tblMaster[[#This Row],[Estimated Cost (at 70%) ]]</f>
        <v>2238.0000000000009</v>
      </c>
      <c r="U57" s="19">
        <f>tblMaster[[#This Row],[Profit]]/tblMaster[[#This Row],[Revenue]]</f>
        <v>0.3000000000000001</v>
      </c>
      <c r="V57" s="19">
        <f>tblMaster[[#This Row],[Delivery_Date]]-tblMaster[[#This Row],[Order_Date]]</f>
        <v>5</v>
      </c>
      <c r="W57" s="19" t="str">
        <f>TEXT(tblMaster[[#This Row],[Order_Date]],"mmmm")</f>
        <v>February</v>
      </c>
      <c r="X57" s="19">
        <f>MONTH(tblMaster[[#This Row],[Order_Date]])</f>
        <v>2</v>
      </c>
      <c r="Y57" s="19" t="str">
        <f>"Q"&amp;ROUNDUP(tblMaster[[#This Row],[Month Number]]/3,0)</f>
        <v>Q1</v>
      </c>
      <c r="Z57" s="19">
        <f>YEAR(tblMaster[[#This Row],[Order_Date]])</f>
        <v>2023</v>
      </c>
      <c r="AA57" s="19" t="str">
        <f>TEXT(DAY(tblMaster[[#This Row],[Order_Date]]),"dddd")</f>
        <v>Sunday</v>
      </c>
      <c r="AB57" s="19" t="str">
        <f>IF(tblMaster[[#This Row],[Revenue]]&gt;=5000,"High",IF(tblMaster[[#This Row],[Revenue]]&lt;2000,"Low","Medium"))</f>
        <v>High</v>
      </c>
    </row>
    <row r="58" spans="1:28" x14ac:dyDescent="0.25">
      <c r="A58" s="7">
        <v>57</v>
      </c>
      <c r="B58" s="7" t="s">
        <v>202</v>
      </c>
      <c r="C58" s="4">
        <v>35</v>
      </c>
      <c r="D58" s="4">
        <v>5</v>
      </c>
      <c r="E58" s="8">
        <v>44983</v>
      </c>
      <c r="F58" s="9">
        <v>0.33350694444444445</v>
      </c>
      <c r="G58" s="8">
        <v>44991</v>
      </c>
      <c r="H58" s="9">
        <v>0.5191203703703704</v>
      </c>
      <c r="I58" s="7" t="s">
        <v>260</v>
      </c>
      <c r="J58" s="7" t="s">
        <v>25</v>
      </c>
      <c r="K58" s="18" t="str">
        <f>_xlfn.XLOOKUP(tblMaster[[#This Row],[Customer_ID]],tblCustomers[Customer_ID],tblCustomers[City],"Not Found",0)</f>
        <v>Anantapuram</v>
      </c>
      <c r="L58" s="18" t="str">
        <f>_xlfn.XLOOKUP(tblMaster[[#This Row],[Customer_ID]],tblCustomers[Customer_ID],tblCustomers[Name],"Not Found",0)</f>
        <v>Drishya De</v>
      </c>
      <c r="M58" s="18" t="str">
        <f>_xlfn.XLOOKUP(tblMaster[[#This Row],[Customer_ID]],tblCustomers[Customer_ID],tblCustomers[Gender],"Not Found",0)</f>
        <v>Female</v>
      </c>
      <c r="N58" s="18" t="str">
        <f>_xlfn.XLOOKUP(tblMaster[[#This Row],[Product_ID]],tblProducts[Product_ID],tblProducts[Product_Name],"Not Found",0)</f>
        <v>Nam Gift</v>
      </c>
      <c r="O58" s="18" t="str">
        <f>_xlfn.XLOOKUP(tblMaster[[#This Row],[Product_ID]],tblProducts[Product_ID],tblProducts[Category],"Not Found",0)</f>
        <v>Colors</v>
      </c>
      <c r="P58" s="18" t="str">
        <f>_xlfn.XLOOKUP(tblMaster[[#This Row],[Product_ID]],tblProducts[Product_ID],tblProducts[Occasion],"Not Found",0)</f>
        <v>Holi</v>
      </c>
      <c r="Q58" s="18">
        <f>_xlfn.XLOOKUP(tblMaster[[#This Row],[Product_ID]],tblProducts[Product_ID],tblProducts[Price (INR)],"Not Found",0)</f>
        <v>1865</v>
      </c>
      <c r="R58" s="19">
        <f>tblMaster[[#This Row],[Price]]*tblMaster[[#This Row],[Quantity]]</f>
        <v>9325</v>
      </c>
      <c r="S58" s="19">
        <f>tblMaster[[#This Row],[Price]]*0.7*tblMaster[[#This Row],[Quantity]]</f>
        <v>6527.5</v>
      </c>
      <c r="T58" s="19">
        <f>tblMaster[[#This Row],[Revenue]]-tblMaster[[#This Row],[Estimated Cost (at 70%) ]]</f>
        <v>2797.5</v>
      </c>
      <c r="U58" s="19">
        <f>tblMaster[[#This Row],[Profit]]/tblMaster[[#This Row],[Revenue]]</f>
        <v>0.3</v>
      </c>
      <c r="V58" s="19">
        <f>tblMaster[[#This Row],[Delivery_Date]]-tblMaster[[#This Row],[Order_Date]]</f>
        <v>8</v>
      </c>
      <c r="W58" s="19" t="str">
        <f>TEXT(tblMaster[[#This Row],[Order_Date]],"mmmm")</f>
        <v>February</v>
      </c>
      <c r="X58" s="19">
        <f>MONTH(tblMaster[[#This Row],[Order_Date]])</f>
        <v>2</v>
      </c>
      <c r="Y58" s="19" t="str">
        <f>"Q"&amp;ROUNDUP(tblMaster[[#This Row],[Month Number]]/3,0)</f>
        <v>Q1</v>
      </c>
      <c r="Z58" s="19">
        <f>YEAR(tblMaster[[#This Row],[Order_Date]])</f>
        <v>2023</v>
      </c>
      <c r="AA58" s="19" t="str">
        <f>TEXT(DAY(tblMaster[[#This Row],[Order_Date]]),"dddd")</f>
        <v>Thursday</v>
      </c>
      <c r="AB58" s="19" t="str">
        <f>IF(tblMaster[[#This Row],[Revenue]]&gt;=5000,"High",IF(tblMaster[[#This Row],[Revenue]]&lt;2000,"Low","Medium"))</f>
        <v>High</v>
      </c>
    </row>
    <row r="59" spans="1:28" x14ac:dyDescent="0.25">
      <c r="A59" s="10">
        <v>58</v>
      </c>
      <c r="B59" s="10" t="s">
        <v>261</v>
      </c>
      <c r="C59" s="5">
        <v>36</v>
      </c>
      <c r="D59" s="5">
        <v>1</v>
      </c>
      <c r="E59" s="11">
        <v>44932</v>
      </c>
      <c r="F59" s="12">
        <v>0.11909722222222222</v>
      </c>
      <c r="G59" s="11">
        <v>44941</v>
      </c>
      <c r="H59" s="12">
        <v>0.35159722222222223</v>
      </c>
      <c r="I59" s="10" t="s">
        <v>262</v>
      </c>
      <c r="J59" s="10" t="s">
        <v>36</v>
      </c>
      <c r="K59" s="18" t="str">
        <f>_xlfn.XLOOKUP(tblMaster[[#This Row],[Customer_ID]],tblCustomers[Customer_ID],tblCustomers[City],"Not Found",0)</f>
        <v>Panchkula</v>
      </c>
      <c r="L59" s="18" t="str">
        <f>_xlfn.XLOOKUP(tblMaster[[#This Row],[Customer_ID]],tblCustomers[Customer_ID],tblCustomers[Name],"Not Found",0)</f>
        <v>Gokul Ahluwalia</v>
      </c>
      <c r="M59" s="18" t="str">
        <f>_xlfn.XLOOKUP(tblMaster[[#This Row],[Customer_ID]],tblCustomers[Customer_ID],tblCustomers[Gender],"Not Found",0)</f>
        <v>Female</v>
      </c>
      <c r="N59" s="18" t="str">
        <f>_xlfn.XLOOKUP(tblMaster[[#This Row],[Product_ID]],tblProducts[Product_ID],tblProducts[Product_Name],"Not Found",0)</f>
        <v>Cum Gift</v>
      </c>
      <c r="O59" s="18" t="str">
        <f>_xlfn.XLOOKUP(tblMaster[[#This Row],[Product_ID]],tblProducts[Product_ID],tblProducts[Category],"Not Found",0)</f>
        <v>Plants</v>
      </c>
      <c r="P59" s="18" t="str">
        <f>_xlfn.XLOOKUP(tblMaster[[#This Row],[Product_ID]],tblProducts[Product_ID],tblProducts[Occasion],"Not Found",0)</f>
        <v>Birthday</v>
      </c>
      <c r="Q59" s="18">
        <f>_xlfn.XLOOKUP(tblMaster[[#This Row],[Product_ID]],tblProducts[Product_ID],tblProducts[Price (INR)],"Not Found",0)</f>
        <v>203</v>
      </c>
      <c r="R59" s="19">
        <f>tblMaster[[#This Row],[Price]]*tblMaster[[#This Row],[Quantity]]</f>
        <v>203</v>
      </c>
      <c r="S59" s="19">
        <f>tblMaster[[#This Row],[Price]]*0.7*tblMaster[[#This Row],[Quantity]]</f>
        <v>142.1</v>
      </c>
      <c r="T59" s="19">
        <f>tblMaster[[#This Row],[Revenue]]-tblMaster[[#This Row],[Estimated Cost (at 70%) ]]</f>
        <v>60.900000000000006</v>
      </c>
      <c r="U59" s="19">
        <f>tblMaster[[#This Row],[Profit]]/tblMaster[[#This Row],[Revenue]]</f>
        <v>0.30000000000000004</v>
      </c>
      <c r="V59" s="19">
        <f>tblMaster[[#This Row],[Delivery_Date]]-tblMaster[[#This Row],[Order_Date]]</f>
        <v>9</v>
      </c>
      <c r="W59" s="19" t="str">
        <f>TEXT(tblMaster[[#This Row],[Order_Date]],"mmmm")</f>
        <v>January</v>
      </c>
      <c r="X59" s="19">
        <f>MONTH(tblMaster[[#This Row],[Order_Date]])</f>
        <v>1</v>
      </c>
      <c r="Y59" s="19" t="str">
        <f>"Q"&amp;ROUNDUP(tblMaster[[#This Row],[Month Number]]/3,0)</f>
        <v>Q1</v>
      </c>
      <c r="Z59" s="19">
        <f>YEAR(tblMaster[[#This Row],[Order_Date]])</f>
        <v>2023</v>
      </c>
      <c r="AA59" s="19" t="str">
        <f>TEXT(DAY(tblMaster[[#This Row],[Order_Date]]),"dddd")</f>
        <v>Friday</v>
      </c>
      <c r="AB59" s="19" t="str">
        <f>IF(tblMaster[[#This Row],[Revenue]]&gt;=5000,"High",IF(tblMaster[[#This Row],[Revenue]]&lt;2000,"Low","Medium"))</f>
        <v>Low</v>
      </c>
    </row>
    <row r="60" spans="1:28" x14ac:dyDescent="0.25">
      <c r="A60" s="7">
        <v>59</v>
      </c>
      <c r="B60" s="7" t="s">
        <v>206</v>
      </c>
      <c r="C60" s="4">
        <v>51</v>
      </c>
      <c r="D60" s="4">
        <v>5</v>
      </c>
      <c r="E60" s="8">
        <v>45103</v>
      </c>
      <c r="F60" s="9">
        <v>0.1640625</v>
      </c>
      <c r="G60" s="8">
        <v>45105</v>
      </c>
      <c r="H60" s="9">
        <v>0.84032407407407406</v>
      </c>
      <c r="I60" s="7" t="s">
        <v>263</v>
      </c>
      <c r="J60" s="7" t="s">
        <v>8</v>
      </c>
      <c r="K60" s="18" t="str">
        <f>_xlfn.XLOOKUP(tblMaster[[#This Row],[Customer_ID]],tblCustomers[Customer_ID],tblCustomers[City],"Not Found",0)</f>
        <v>Karaikudi</v>
      </c>
      <c r="L60" s="18" t="str">
        <f>_xlfn.XLOOKUP(tblMaster[[#This Row],[Customer_ID]],tblCustomers[Customer_ID],tblCustomers[Name],"Not Found",0)</f>
        <v>Rati Dhingra</v>
      </c>
      <c r="M60" s="18" t="str">
        <f>_xlfn.XLOOKUP(tblMaster[[#This Row],[Customer_ID]],tblCustomers[Customer_ID],tblCustomers[Gender],"Not Found",0)</f>
        <v>Male</v>
      </c>
      <c r="N60" s="18" t="str">
        <f>_xlfn.XLOOKUP(tblMaster[[#This Row],[Product_ID]],tblProducts[Product_ID],tblProducts[Product_Name],"Not Found",0)</f>
        <v>Fugit Set</v>
      </c>
      <c r="O60" s="18" t="str">
        <f>_xlfn.XLOOKUP(tblMaster[[#This Row],[Product_ID]],tblProducts[Product_ID],tblProducts[Category],"Not Found",0)</f>
        <v>Soft Toys</v>
      </c>
      <c r="P60" s="18" t="str">
        <f>_xlfn.XLOOKUP(tblMaster[[#This Row],[Product_ID]],tblProducts[Product_ID],tblProducts[Occasion],"Not Found",0)</f>
        <v>All Occasions</v>
      </c>
      <c r="Q60" s="18">
        <f>_xlfn.XLOOKUP(tblMaster[[#This Row],[Product_ID]],tblProducts[Product_ID],tblProducts[Price (INR)],"Not Found",0)</f>
        <v>1084</v>
      </c>
      <c r="R60" s="19">
        <f>tblMaster[[#This Row],[Price]]*tblMaster[[#This Row],[Quantity]]</f>
        <v>5420</v>
      </c>
      <c r="S60" s="19">
        <f>tblMaster[[#This Row],[Price]]*0.7*tblMaster[[#This Row],[Quantity]]</f>
        <v>3794</v>
      </c>
      <c r="T60" s="19">
        <f>tblMaster[[#This Row],[Revenue]]-tblMaster[[#This Row],[Estimated Cost (at 70%) ]]</f>
        <v>1626</v>
      </c>
      <c r="U60" s="19">
        <f>tblMaster[[#This Row],[Profit]]/tblMaster[[#This Row],[Revenue]]</f>
        <v>0.3</v>
      </c>
      <c r="V60" s="19">
        <f>tblMaster[[#This Row],[Delivery_Date]]-tblMaster[[#This Row],[Order_Date]]</f>
        <v>2</v>
      </c>
      <c r="W60" s="19" t="str">
        <f>TEXT(tblMaster[[#This Row],[Order_Date]],"mmmm")</f>
        <v>June</v>
      </c>
      <c r="X60" s="19">
        <f>MONTH(tblMaster[[#This Row],[Order_Date]])</f>
        <v>6</v>
      </c>
      <c r="Y60" s="19" t="str">
        <f>"Q"&amp;ROUNDUP(tblMaster[[#This Row],[Month Number]]/3,0)</f>
        <v>Q2</v>
      </c>
      <c r="Z60" s="19">
        <f>YEAR(tblMaster[[#This Row],[Order_Date]])</f>
        <v>2023</v>
      </c>
      <c r="AA60" s="19" t="str">
        <f>TEXT(DAY(tblMaster[[#This Row],[Order_Date]]),"dddd")</f>
        <v>Thursday</v>
      </c>
      <c r="AB60" s="19" t="str">
        <f>IF(tblMaster[[#This Row],[Revenue]]&gt;=5000,"High",IF(tblMaster[[#This Row],[Revenue]]&lt;2000,"Low","Medium"))</f>
        <v>High</v>
      </c>
    </row>
    <row r="61" spans="1:28" x14ac:dyDescent="0.25">
      <c r="A61" s="10">
        <v>60</v>
      </c>
      <c r="B61" s="10" t="s">
        <v>252</v>
      </c>
      <c r="C61" s="5">
        <v>5</v>
      </c>
      <c r="D61" s="5">
        <v>2</v>
      </c>
      <c r="E61" s="11">
        <v>45273</v>
      </c>
      <c r="F61" s="12">
        <v>0.2824652777777778</v>
      </c>
      <c r="G61" s="11">
        <v>45275</v>
      </c>
      <c r="H61" s="12">
        <v>0.54439814814814813</v>
      </c>
      <c r="I61" s="10" t="s">
        <v>264</v>
      </c>
      <c r="J61" s="10" t="s">
        <v>8</v>
      </c>
      <c r="K61" s="18" t="str">
        <f>_xlfn.XLOOKUP(tblMaster[[#This Row],[Customer_ID]],tblCustomers[Customer_ID],tblCustomers[City],"Not Found",0)</f>
        <v>Bidhannagar</v>
      </c>
      <c r="L61" s="18" t="str">
        <f>_xlfn.XLOOKUP(tblMaster[[#This Row],[Customer_ID]],tblCustomers[Customer_ID],tblCustomers[Name],"Not Found",0)</f>
        <v>Abram Sandhu</v>
      </c>
      <c r="M61" s="18" t="str">
        <f>_xlfn.XLOOKUP(tblMaster[[#This Row],[Customer_ID]],tblCustomers[Customer_ID],tblCustomers[Gender],"Not Found",0)</f>
        <v>Male</v>
      </c>
      <c r="N61" s="18" t="str">
        <f>_xlfn.XLOOKUP(tblMaster[[#This Row],[Product_ID]],tblProducts[Product_ID],tblProducts[Product_Name],"Not Found",0)</f>
        <v>Natus Gift</v>
      </c>
      <c r="O61" s="18" t="str">
        <f>_xlfn.XLOOKUP(tblMaster[[#This Row],[Product_ID]],tblProducts[Product_ID],tblProducts[Category],"Not Found",0)</f>
        <v>Colors</v>
      </c>
      <c r="P61" s="18" t="str">
        <f>_xlfn.XLOOKUP(tblMaster[[#This Row],[Product_ID]],tblProducts[Product_ID],tblProducts[Occasion],"Not Found",0)</f>
        <v>All Occasions</v>
      </c>
      <c r="Q61" s="18">
        <f>_xlfn.XLOOKUP(tblMaster[[#This Row],[Product_ID]],tblProducts[Product_ID],tblProducts[Price (INR)],"Not Found",0)</f>
        <v>1444</v>
      </c>
      <c r="R61" s="19">
        <f>tblMaster[[#This Row],[Price]]*tblMaster[[#This Row],[Quantity]]</f>
        <v>2888</v>
      </c>
      <c r="S61" s="19">
        <f>tblMaster[[#This Row],[Price]]*0.7*tblMaster[[#This Row],[Quantity]]</f>
        <v>2021.6</v>
      </c>
      <c r="T61" s="19">
        <f>tblMaster[[#This Row],[Revenue]]-tblMaster[[#This Row],[Estimated Cost (at 70%) ]]</f>
        <v>866.40000000000009</v>
      </c>
      <c r="U61" s="19">
        <f>tblMaster[[#This Row],[Profit]]/tblMaster[[#This Row],[Revenue]]</f>
        <v>0.30000000000000004</v>
      </c>
      <c r="V61" s="19">
        <f>tblMaster[[#This Row],[Delivery_Date]]-tblMaster[[#This Row],[Order_Date]]</f>
        <v>2</v>
      </c>
      <c r="W61" s="19" t="str">
        <f>TEXT(tblMaster[[#This Row],[Order_Date]],"mmmm")</f>
        <v>December</v>
      </c>
      <c r="X61" s="19">
        <f>MONTH(tblMaster[[#This Row],[Order_Date]])</f>
        <v>12</v>
      </c>
      <c r="Y61" s="19" t="str">
        <f>"Q"&amp;ROUNDUP(tblMaster[[#This Row],[Month Number]]/3,0)</f>
        <v>Q4</v>
      </c>
      <c r="Z61" s="19">
        <f>YEAR(tblMaster[[#This Row],[Order_Date]])</f>
        <v>2023</v>
      </c>
      <c r="AA61" s="19" t="str">
        <f>TEXT(DAY(tblMaster[[#This Row],[Order_Date]]),"dddd")</f>
        <v>Friday</v>
      </c>
      <c r="AB61" s="19" t="str">
        <f>IF(tblMaster[[#This Row],[Revenue]]&gt;=5000,"High",IF(tblMaster[[#This Row],[Revenue]]&lt;2000,"Low","Medium"))</f>
        <v>Medium</v>
      </c>
    </row>
    <row r="62" spans="1:28" x14ac:dyDescent="0.25">
      <c r="A62" s="7">
        <v>61</v>
      </c>
      <c r="B62" s="7" t="s">
        <v>265</v>
      </c>
      <c r="C62" s="4">
        <v>44</v>
      </c>
      <c r="D62" s="4">
        <v>2</v>
      </c>
      <c r="E62" s="8">
        <v>45238</v>
      </c>
      <c r="F62" s="9">
        <v>0.93501157407407409</v>
      </c>
      <c r="G62" s="8">
        <v>45240</v>
      </c>
      <c r="H62" s="9">
        <v>0.33924768518518517</v>
      </c>
      <c r="I62" s="7" t="s">
        <v>266</v>
      </c>
      <c r="J62" s="7" t="s">
        <v>19</v>
      </c>
      <c r="K62" s="18" t="str">
        <f>_xlfn.XLOOKUP(tblMaster[[#This Row],[Customer_ID]],tblCustomers[Customer_ID],tblCustomers[City],"Not Found",0)</f>
        <v>Guntakal</v>
      </c>
      <c r="L62" s="18" t="str">
        <f>_xlfn.XLOOKUP(tblMaster[[#This Row],[Customer_ID]],tblCustomers[Customer_ID],tblCustomers[Name],"Not Found",0)</f>
        <v>Charvi Kanda</v>
      </c>
      <c r="M62" s="18" t="str">
        <f>_xlfn.XLOOKUP(tblMaster[[#This Row],[Customer_ID]],tblCustomers[Customer_ID],tblCustomers[Gender],"Not Found",0)</f>
        <v>Male</v>
      </c>
      <c r="N62" s="18" t="str">
        <f>_xlfn.XLOOKUP(tblMaster[[#This Row],[Product_ID]],tblProducts[Product_ID],tblProducts[Product_Name],"Not Found",0)</f>
        <v>Dolorum Set</v>
      </c>
      <c r="O62" s="18" t="str">
        <f>_xlfn.XLOOKUP(tblMaster[[#This Row],[Product_ID]],tblProducts[Product_ID],tblProducts[Category],"Not Found",0)</f>
        <v>Plants</v>
      </c>
      <c r="P62" s="18" t="str">
        <f>_xlfn.XLOOKUP(tblMaster[[#This Row],[Product_ID]],tblProducts[Product_ID],tblProducts[Occasion],"Not Found",0)</f>
        <v>Diwali</v>
      </c>
      <c r="Q62" s="18">
        <f>_xlfn.XLOOKUP(tblMaster[[#This Row],[Product_ID]],tblProducts[Product_ID],tblProducts[Price (INR)],"Not Found",0)</f>
        <v>794</v>
      </c>
      <c r="R62" s="19">
        <f>tblMaster[[#This Row],[Price]]*tblMaster[[#This Row],[Quantity]]</f>
        <v>1588</v>
      </c>
      <c r="S62" s="19">
        <f>tblMaster[[#This Row],[Price]]*0.7*tblMaster[[#This Row],[Quantity]]</f>
        <v>1111.5999999999999</v>
      </c>
      <c r="T62" s="19">
        <f>tblMaster[[#This Row],[Revenue]]-tblMaster[[#This Row],[Estimated Cost (at 70%) ]]</f>
        <v>476.40000000000009</v>
      </c>
      <c r="U62" s="19">
        <f>tblMaster[[#This Row],[Profit]]/tblMaster[[#This Row],[Revenue]]</f>
        <v>0.30000000000000004</v>
      </c>
      <c r="V62" s="19">
        <f>tblMaster[[#This Row],[Delivery_Date]]-tblMaster[[#This Row],[Order_Date]]</f>
        <v>2</v>
      </c>
      <c r="W62" s="19" t="str">
        <f>TEXT(tblMaster[[#This Row],[Order_Date]],"mmmm")</f>
        <v>November</v>
      </c>
      <c r="X62" s="19">
        <f>MONTH(tblMaster[[#This Row],[Order_Date]])</f>
        <v>11</v>
      </c>
      <c r="Y62" s="19" t="str">
        <f>"Q"&amp;ROUNDUP(tblMaster[[#This Row],[Month Number]]/3,0)</f>
        <v>Q4</v>
      </c>
      <c r="Z62" s="19">
        <f>YEAR(tblMaster[[#This Row],[Order_Date]])</f>
        <v>2023</v>
      </c>
      <c r="AA62" s="19" t="str">
        <f>TEXT(DAY(tblMaster[[#This Row],[Order_Date]]),"dddd")</f>
        <v>Sunday</v>
      </c>
      <c r="AB62" s="19" t="str">
        <f>IF(tblMaster[[#This Row],[Revenue]]&gt;=5000,"High",IF(tblMaster[[#This Row],[Revenue]]&lt;2000,"Low","Medium"))</f>
        <v>Low</v>
      </c>
    </row>
    <row r="63" spans="1:28" x14ac:dyDescent="0.25">
      <c r="A63" s="10">
        <v>62</v>
      </c>
      <c r="B63" s="10" t="s">
        <v>267</v>
      </c>
      <c r="C63" s="5">
        <v>6</v>
      </c>
      <c r="D63" s="5">
        <v>4</v>
      </c>
      <c r="E63" s="11">
        <v>44987</v>
      </c>
      <c r="F63" s="12">
        <v>0.64642361111111113</v>
      </c>
      <c r="G63" s="11">
        <v>44991</v>
      </c>
      <c r="H63" s="12">
        <v>0.99421296296296291</v>
      </c>
      <c r="I63" s="10" t="s">
        <v>268</v>
      </c>
      <c r="J63" s="10" t="s">
        <v>25</v>
      </c>
      <c r="K63" s="18" t="str">
        <f>_xlfn.XLOOKUP(tblMaster[[#This Row],[Customer_ID]],tblCustomers[Customer_ID],tblCustomers[City],"Not Found",0)</f>
        <v>Sultan Pur Majra</v>
      </c>
      <c r="L63" s="18" t="str">
        <f>_xlfn.XLOOKUP(tblMaster[[#This Row],[Customer_ID]],tblCustomers[Customer_ID],tblCustomers[Name],"Not Found",0)</f>
        <v>Vanya Apte</v>
      </c>
      <c r="M63" s="18" t="str">
        <f>_xlfn.XLOOKUP(tblMaster[[#This Row],[Customer_ID]],tblCustomers[Customer_ID],tblCustomers[Gender],"Not Found",0)</f>
        <v>Female</v>
      </c>
      <c r="N63" s="18" t="str">
        <f>_xlfn.XLOOKUP(tblMaster[[#This Row],[Product_ID]],tblProducts[Product_ID],tblProducts[Product_Name],"Not Found",0)</f>
        <v>Quos Box</v>
      </c>
      <c r="O63" s="18" t="str">
        <f>_xlfn.XLOOKUP(tblMaster[[#This Row],[Product_ID]],tblProducts[Product_ID],tblProducts[Category],"Not Found",0)</f>
        <v>Cake</v>
      </c>
      <c r="P63" s="18" t="str">
        <f>_xlfn.XLOOKUP(tblMaster[[#This Row],[Product_ID]],tblProducts[Product_ID],tblProducts[Occasion],"Not Found",0)</f>
        <v>Holi</v>
      </c>
      <c r="Q63" s="18">
        <f>_xlfn.XLOOKUP(tblMaster[[#This Row],[Product_ID]],tblProducts[Product_ID],tblProducts[Price (INR)],"Not Found",0)</f>
        <v>1112</v>
      </c>
      <c r="R63" s="19">
        <f>tblMaster[[#This Row],[Price]]*tblMaster[[#This Row],[Quantity]]</f>
        <v>4448</v>
      </c>
      <c r="S63" s="19">
        <f>tblMaster[[#This Row],[Price]]*0.7*tblMaster[[#This Row],[Quantity]]</f>
        <v>3113.6</v>
      </c>
      <c r="T63" s="19">
        <f>tblMaster[[#This Row],[Revenue]]-tblMaster[[#This Row],[Estimated Cost (at 70%) ]]</f>
        <v>1334.4</v>
      </c>
      <c r="U63" s="19">
        <f>tblMaster[[#This Row],[Profit]]/tblMaster[[#This Row],[Revenue]]</f>
        <v>0.30000000000000004</v>
      </c>
      <c r="V63" s="19">
        <f>tblMaster[[#This Row],[Delivery_Date]]-tblMaster[[#This Row],[Order_Date]]</f>
        <v>4</v>
      </c>
      <c r="W63" s="19" t="str">
        <f>TEXT(tblMaster[[#This Row],[Order_Date]],"mmmm")</f>
        <v>March</v>
      </c>
      <c r="X63" s="19">
        <f>MONTH(tblMaster[[#This Row],[Order_Date]])</f>
        <v>3</v>
      </c>
      <c r="Y63" s="19" t="str">
        <f>"Q"&amp;ROUNDUP(tblMaster[[#This Row],[Month Number]]/3,0)</f>
        <v>Q1</v>
      </c>
      <c r="Z63" s="19">
        <f>YEAR(tblMaster[[#This Row],[Order_Date]])</f>
        <v>2023</v>
      </c>
      <c r="AA63" s="19" t="str">
        <f>TEXT(DAY(tblMaster[[#This Row],[Order_Date]]),"dddd")</f>
        <v>Monday</v>
      </c>
      <c r="AB63" s="19" t="str">
        <f>IF(tblMaster[[#This Row],[Revenue]]&gt;=5000,"High",IF(tblMaster[[#This Row],[Revenue]]&lt;2000,"Low","Medium"))</f>
        <v>Medium</v>
      </c>
    </row>
    <row r="64" spans="1:28" x14ac:dyDescent="0.25">
      <c r="A64" s="7">
        <v>63</v>
      </c>
      <c r="B64" s="7" t="s">
        <v>195</v>
      </c>
      <c r="C64" s="4">
        <v>42</v>
      </c>
      <c r="D64" s="4">
        <v>3</v>
      </c>
      <c r="E64" s="8">
        <v>45102</v>
      </c>
      <c r="F64" s="9">
        <v>0.26571759259259259</v>
      </c>
      <c r="G64" s="8">
        <v>45103</v>
      </c>
      <c r="H64" s="9">
        <v>0.65282407407407406</v>
      </c>
      <c r="I64" s="7" t="s">
        <v>269</v>
      </c>
      <c r="J64" s="7" t="s">
        <v>8</v>
      </c>
      <c r="K64" s="18" t="str">
        <f>_xlfn.XLOOKUP(tblMaster[[#This Row],[Customer_ID]],tblCustomers[Customer_ID],tblCustomers[City],"Not Found",0)</f>
        <v>Haridwar</v>
      </c>
      <c r="L64" s="18" t="str">
        <f>_xlfn.XLOOKUP(tblMaster[[#This Row],[Customer_ID]],tblCustomers[Customer_ID],tblCustomers[Name],"Not Found",0)</f>
        <v>Pihu Choudhury</v>
      </c>
      <c r="M64" s="18" t="str">
        <f>_xlfn.XLOOKUP(tblMaster[[#This Row],[Customer_ID]],tblCustomers[Customer_ID],tblCustomers[Gender],"Not Found",0)</f>
        <v>Male</v>
      </c>
      <c r="N64" s="18" t="str">
        <f>_xlfn.XLOOKUP(tblMaster[[#This Row],[Product_ID]],tblProducts[Product_ID],tblProducts[Product_Name],"Not Found",0)</f>
        <v>Expedita Gift</v>
      </c>
      <c r="O64" s="18" t="str">
        <f>_xlfn.XLOOKUP(tblMaster[[#This Row],[Product_ID]],tblProducts[Product_ID],tblProducts[Category],"Not Found",0)</f>
        <v>Sweets</v>
      </c>
      <c r="P64" s="18" t="str">
        <f>_xlfn.XLOOKUP(tblMaster[[#This Row],[Product_ID]],tblProducts[Product_ID],tblProducts[Occasion],"Not Found",0)</f>
        <v>All Occasions</v>
      </c>
      <c r="Q64" s="18">
        <f>_xlfn.XLOOKUP(tblMaster[[#This Row],[Product_ID]],tblProducts[Product_ID],tblProducts[Price (INR)],"Not Found",0)</f>
        <v>1744</v>
      </c>
      <c r="R64" s="19">
        <f>tblMaster[[#This Row],[Price]]*tblMaster[[#This Row],[Quantity]]</f>
        <v>5232</v>
      </c>
      <c r="S64" s="19">
        <f>tblMaster[[#This Row],[Price]]*0.7*tblMaster[[#This Row],[Quantity]]</f>
        <v>3662.3999999999996</v>
      </c>
      <c r="T64" s="19">
        <f>tblMaster[[#This Row],[Revenue]]-tblMaster[[#This Row],[Estimated Cost (at 70%) ]]</f>
        <v>1569.6000000000004</v>
      </c>
      <c r="U64" s="19">
        <f>tblMaster[[#This Row],[Profit]]/tblMaster[[#This Row],[Revenue]]</f>
        <v>0.30000000000000004</v>
      </c>
      <c r="V64" s="19">
        <f>tblMaster[[#This Row],[Delivery_Date]]-tblMaster[[#This Row],[Order_Date]]</f>
        <v>1</v>
      </c>
      <c r="W64" s="19" t="str">
        <f>TEXT(tblMaster[[#This Row],[Order_Date]],"mmmm")</f>
        <v>June</v>
      </c>
      <c r="X64" s="19">
        <f>MONTH(tblMaster[[#This Row],[Order_Date]])</f>
        <v>6</v>
      </c>
      <c r="Y64" s="19" t="str">
        <f>"Q"&amp;ROUNDUP(tblMaster[[#This Row],[Month Number]]/3,0)</f>
        <v>Q2</v>
      </c>
      <c r="Z64" s="19">
        <f>YEAR(tblMaster[[#This Row],[Order_Date]])</f>
        <v>2023</v>
      </c>
      <c r="AA64" s="19" t="str">
        <f>TEXT(DAY(tblMaster[[#This Row],[Order_Date]]),"dddd")</f>
        <v>Wednesday</v>
      </c>
      <c r="AB64" s="19" t="str">
        <f>IF(tblMaster[[#This Row],[Revenue]]&gt;=5000,"High",IF(tblMaster[[#This Row],[Revenue]]&lt;2000,"Low","Medium"))</f>
        <v>High</v>
      </c>
    </row>
    <row r="65" spans="1:28" x14ac:dyDescent="0.25">
      <c r="A65" s="10">
        <v>64</v>
      </c>
      <c r="B65" s="10" t="s">
        <v>270</v>
      </c>
      <c r="C65" s="5">
        <v>25</v>
      </c>
      <c r="D65" s="5">
        <v>1</v>
      </c>
      <c r="E65" s="11">
        <v>45089</v>
      </c>
      <c r="F65" s="12">
        <v>0.11711805555555556</v>
      </c>
      <c r="G65" s="11">
        <v>45092</v>
      </c>
      <c r="H65" s="12">
        <v>0.92061342592592588</v>
      </c>
      <c r="I65" s="10" t="s">
        <v>271</v>
      </c>
      <c r="J65" s="10" t="s">
        <v>30</v>
      </c>
      <c r="K65" s="18" t="str">
        <f>_xlfn.XLOOKUP(tblMaster[[#This Row],[Customer_ID]],tblCustomers[Customer_ID],tblCustomers[City],"Not Found",0)</f>
        <v>Kolkata</v>
      </c>
      <c r="L65" s="18" t="str">
        <f>_xlfn.XLOOKUP(tblMaster[[#This Row],[Customer_ID]],tblCustomers[Customer_ID],tblCustomers[Name],"Not Found",0)</f>
        <v>Romil Bajwa</v>
      </c>
      <c r="M65" s="18" t="str">
        <f>_xlfn.XLOOKUP(tblMaster[[#This Row],[Customer_ID]],tblCustomers[Customer_ID],tblCustomers[Gender],"Not Found",0)</f>
        <v>Female</v>
      </c>
      <c r="N65" s="18" t="str">
        <f>_xlfn.XLOOKUP(tblMaster[[#This Row],[Product_ID]],tblProducts[Product_ID],tblProducts[Product_Name],"Not Found",0)</f>
        <v>Qui Gift</v>
      </c>
      <c r="O65" s="18" t="str">
        <f>_xlfn.XLOOKUP(tblMaster[[#This Row],[Product_ID]],tblProducts[Product_ID],tblProducts[Category],"Not Found",0)</f>
        <v>Plants</v>
      </c>
      <c r="P65" s="18" t="str">
        <f>_xlfn.XLOOKUP(tblMaster[[#This Row],[Product_ID]],tblProducts[Product_ID],tblProducts[Occasion],"Not Found",0)</f>
        <v>Anniversary</v>
      </c>
      <c r="Q65" s="18">
        <f>_xlfn.XLOOKUP(tblMaster[[#This Row],[Product_ID]],tblProducts[Product_ID],tblProducts[Price (INR)],"Not Found",0)</f>
        <v>1202</v>
      </c>
      <c r="R65" s="19">
        <f>tblMaster[[#This Row],[Price]]*tblMaster[[#This Row],[Quantity]]</f>
        <v>1202</v>
      </c>
      <c r="S65" s="19">
        <f>tblMaster[[#This Row],[Price]]*0.7*tblMaster[[#This Row],[Quantity]]</f>
        <v>841.4</v>
      </c>
      <c r="T65" s="19">
        <f>tblMaster[[#This Row],[Revenue]]-tblMaster[[#This Row],[Estimated Cost (at 70%) ]]</f>
        <v>360.6</v>
      </c>
      <c r="U65" s="19">
        <f>tblMaster[[#This Row],[Profit]]/tblMaster[[#This Row],[Revenue]]</f>
        <v>0.30000000000000004</v>
      </c>
      <c r="V65" s="19">
        <f>tblMaster[[#This Row],[Delivery_Date]]-tblMaster[[#This Row],[Order_Date]]</f>
        <v>3</v>
      </c>
      <c r="W65" s="19" t="str">
        <f>TEXT(tblMaster[[#This Row],[Order_Date]],"mmmm")</f>
        <v>June</v>
      </c>
      <c r="X65" s="19">
        <f>MONTH(tblMaster[[#This Row],[Order_Date]])</f>
        <v>6</v>
      </c>
      <c r="Y65" s="19" t="str">
        <f>"Q"&amp;ROUNDUP(tblMaster[[#This Row],[Month Number]]/3,0)</f>
        <v>Q2</v>
      </c>
      <c r="Z65" s="19">
        <f>YEAR(tblMaster[[#This Row],[Order_Date]])</f>
        <v>2023</v>
      </c>
      <c r="AA65" s="19" t="str">
        <f>TEXT(DAY(tblMaster[[#This Row],[Order_Date]]),"dddd")</f>
        <v>Thursday</v>
      </c>
      <c r="AB65" s="19" t="str">
        <f>IF(tblMaster[[#This Row],[Revenue]]&gt;=5000,"High",IF(tblMaster[[#This Row],[Revenue]]&lt;2000,"Low","Medium"))</f>
        <v>Low</v>
      </c>
    </row>
    <row r="66" spans="1:28" x14ac:dyDescent="0.25">
      <c r="A66" s="7">
        <v>65</v>
      </c>
      <c r="B66" s="7" t="s">
        <v>272</v>
      </c>
      <c r="C66" s="4">
        <v>54</v>
      </c>
      <c r="D66" s="4">
        <v>2</v>
      </c>
      <c r="E66" s="8">
        <v>45170</v>
      </c>
      <c r="F66" s="9">
        <v>0.5433796296296296</v>
      </c>
      <c r="G66" s="8">
        <v>45180</v>
      </c>
      <c r="H66" s="9">
        <v>0.27351851851851849</v>
      </c>
      <c r="I66" s="7" t="s">
        <v>273</v>
      </c>
      <c r="J66" s="7" t="s">
        <v>30</v>
      </c>
      <c r="K66" s="18" t="str">
        <f>_xlfn.XLOOKUP(tblMaster[[#This Row],[Customer_ID]],tblCustomers[Customer_ID],tblCustomers[City],"Not Found",0)</f>
        <v>Indore</v>
      </c>
      <c r="L66" s="18" t="str">
        <f>_xlfn.XLOOKUP(tblMaster[[#This Row],[Customer_ID]],tblCustomers[Customer_ID],tblCustomers[Name],"Not Found",0)</f>
        <v>Suhana Kurian</v>
      </c>
      <c r="M66" s="18" t="str">
        <f>_xlfn.XLOOKUP(tblMaster[[#This Row],[Customer_ID]],tblCustomers[Customer_ID],tblCustomers[Gender],"Not Found",0)</f>
        <v>Female</v>
      </c>
      <c r="N66" s="18" t="str">
        <f>_xlfn.XLOOKUP(tblMaster[[#This Row],[Product_ID]],tblProducts[Product_ID],tblProducts[Product_Name],"Not Found",0)</f>
        <v>Occaecati Gift</v>
      </c>
      <c r="O66" s="18" t="str">
        <f>_xlfn.XLOOKUP(tblMaster[[#This Row],[Product_ID]],tblProducts[Product_ID],tblProducts[Category],"Not Found",0)</f>
        <v>Cake</v>
      </c>
      <c r="P66" s="18" t="str">
        <f>_xlfn.XLOOKUP(tblMaster[[#This Row],[Product_ID]],tblProducts[Product_ID],tblProducts[Occasion],"Not Found",0)</f>
        <v>Anniversary</v>
      </c>
      <c r="Q66" s="18">
        <f>_xlfn.XLOOKUP(tblMaster[[#This Row],[Product_ID]],tblProducts[Product_ID],tblProducts[Price (INR)],"Not Found",0)</f>
        <v>1236</v>
      </c>
      <c r="R66" s="19">
        <f>tblMaster[[#This Row],[Price]]*tblMaster[[#This Row],[Quantity]]</f>
        <v>2472</v>
      </c>
      <c r="S66" s="19">
        <f>tblMaster[[#This Row],[Price]]*0.7*tblMaster[[#This Row],[Quantity]]</f>
        <v>1730.3999999999999</v>
      </c>
      <c r="T66" s="19">
        <f>tblMaster[[#This Row],[Revenue]]-tblMaster[[#This Row],[Estimated Cost (at 70%) ]]</f>
        <v>741.60000000000014</v>
      </c>
      <c r="U66" s="19">
        <f>tblMaster[[#This Row],[Profit]]/tblMaster[[#This Row],[Revenue]]</f>
        <v>0.30000000000000004</v>
      </c>
      <c r="V66" s="19">
        <f>tblMaster[[#This Row],[Delivery_Date]]-tblMaster[[#This Row],[Order_Date]]</f>
        <v>10</v>
      </c>
      <c r="W66" s="19" t="str">
        <f>TEXT(tblMaster[[#This Row],[Order_Date]],"mmmm")</f>
        <v>September</v>
      </c>
      <c r="X66" s="19">
        <f>MONTH(tblMaster[[#This Row],[Order_Date]])</f>
        <v>9</v>
      </c>
      <c r="Y66" s="19" t="str">
        <f>"Q"&amp;ROUNDUP(tblMaster[[#This Row],[Month Number]]/3,0)</f>
        <v>Q3</v>
      </c>
      <c r="Z66" s="19">
        <f>YEAR(tblMaster[[#This Row],[Order_Date]])</f>
        <v>2023</v>
      </c>
      <c r="AA66" s="19" t="str">
        <f>TEXT(DAY(tblMaster[[#This Row],[Order_Date]]),"dddd")</f>
        <v>Sunday</v>
      </c>
      <c r="AB66" s="19" t="str">
        <f>IF(tblMaster[[#This Row],[Revenue]]&gt;=5000,"High",IF(tblMaster[[#This Row],[Revenue]]&lt;2000,"Low","Medium"))</f>
        <v>Medium</v>
      </c>
    </row>
    <row r="67" spans="1:28" x14ac:dyDescent="0.25">
      <c r="A67" s="10">
        <v>66</v>
      </c>
      <c r="B67" s="10" t="s">
        <v>274</v>
      </c>
      <c r="C67" s="5">
        <v>35</v>
      </c>
      <c r="D67" s="5">
        <v>5</v>
      </c>
      <c r="E67" s="11">
        <v>44983</v>
      </c>
      <c r="F67" s="12">
        <v>0.87550925925925926</v>
      </c>
      <c r="G67" s="11">
        <v>44984</v>
      </c>
      <c r="H67" s="12">
        <v>0.26803240740740741</v>
      </c>
      <c r="I67" s="10" t="s">
        <v>269</v>
      </c>
      <c r="J67" s="10" t="s">
        <v>25</v>
      </c>
      <c r="K67" s="18" t="str">
        <f>_xlfn.XLOOKUP(tblMaster[[#This Row],[Customer_ID]],tblCustomers[Customer_ID],tblCustomers[City],"Not Found",0)</f>
        <v>Gangtok</v>
      </c>
      <c r="L67" s="18" t="str">
        <f>_xlfn.XLOOKUP(tblMaster[[#This Row],[Customer_ID]],tblCustomers[Customer_ID],tblCustomers[Name],"Not Found",0)</f>
        <v>Advika Dhar</v>
      </c>
      <c r="M67" s="18" t="str">
        <f>_xlfn.XLOOKUP(tblMaster[[#This Row],[Customer_ID]],tblCustomers[Customer_ID],tblCustomers[Gender],"Not Found",0)</f>
        <v>Male</v>
      </c>
      <c r="N67" s="18" t="str">
        <f>_xlfn.XLOOKUP(tblMaster[[#This Row],[Product_ID]],tblProducts[Product_ID],tblProducts[Product_Name],"Not Found",0)</f>
        <v>Nam Gift</v>
      </c>
      <c r="O67" s="18" t="str">
        <f>_xlfn.XLOOKUP(tblMaster[[#This Row],[Product_ID]],tblProducts[Product_ID],tblProducts[Category],"Not Found",0)</f>
        <v>Colors</v>
      </c>
      <c r="P67" s="18" t="str">
        <f>_xlfn.XLOOKUP(tblMaster[[#This Row],[Product_ID]],tblProducts[Product_ID],tblProducts[Occasion],"Not Found",0)</f>
        <v>Holi</v>
      </c>
      <c r="Q67" s="18">
        <f>_xlfn.XLOOKUP(tblMaster[[#This Row],[Product_ID]],tblProducts[Product_ID],tblProducts[Price (INR)],"Not Found",0)</f>
        <v>1865</v>
      </c>
      <c r="R67" s="19">
        <f>tblMaster[[#This Row],[Price]]*tblMaster[[#This Row],[Quantity]]</f>
        <v>9325</v>
      </c>
      <c r="S67" s="19">
        <f>tblMaster[[#This Row],[Price]]*0.7*tblMaster[[#This Row],[Quantity]]</f>
        <v>6527.5</v>
      </c>
      <c r="T67" s="19">
        <f>tblMaster[[#This Row],[Revenue]]-tblMaster[[#This Row],[Estimated Cost (at 70%) ]]</f>
        <v>2797.5</v>
      </c>
      <c r="U67" s="19">
        <f>tblMaster[[#This Row],[Profit]]/tblMaster[[#This Row],[Revenue]]</f>
        <v>0.3</v>
      </c>
      <c r="V67" s="19">
        <f>tblMaster[[#This Row],[Delivery_Date]]-tblMaster[[#This Row],[Order_Date]]</f>
        <v>1</v>
      </c>
      <c r="W67" s="19" t="str">
        <f>TEXT(tblMaster[[#This Row],[Order_Date]],"mmmm")</f>
        <v>February</v>
      </c>
      <c r="X67" s="19">
        <f>MONTH(tblMaster[[#This Row],[Order_Date]])</f>
        <v>2</v>
      </c>
      <c r="Y67" s="19" t="str">
        <f>"Q"&amp;ROUNDUP(tblMaster[[#This Row],[Month Number]]/3,0)</f>
        <v>Q1</v>
      </c>
      <c r="Z67" s="19">
        <f>YEAR(tblMaster[[#This Row],[Order_Date]])</f>
        <v>2023</v>
      </c>
      <c r="AA67" s="19" t="str">
        <f>TEXT(DAY(tblMaster[[#This Row],[Order_Date]]),"dddd")</f>
        <v>Thursday</v>
      </c>
      <c r="AB67" s="19" t="str">
        <f>IF(tblMaster[[#This Row],[Revenue]]&gt;=5000,"High",IF(tblMaster[[#This Row],[Revenue]]&lt;2000,"Low","Medium"))</f>
        <v>High</v>
      </c>
    </row>
    <row r="68" spans="1:28" x14ac:dyDescent="0.25">
      <c r="A68" s="7">
        <v>67</v>
      </c>
      <c r="B68" s="7" t="s">
        <v>221</v>
      </c>
      <c r="C68" s="4">
        <v>10</v>
      </c>
      <c r="D68" s="4">
        <v>2</v>
      </c>
      <c r="E68" s="8">
        <v>45113</v>
      </c>
      <c r="F68" s="9">
        <v>0.72802083333333334</v>
      </c>
      <c r="G68" s="8">
        <v>45121</v>
      </c>
      <c r="H68" s="9">
        <v>0.88265046296296301</v>
      </c>
      <c r="I68" s="7" t="s">
        <v>275</v>
      </c>
      <c r="J68" s="7" t="s">
        <v>36</v>
      </c>
      <c r="K68" s="18" t="str">
        <f>_xlfn.XLOOKUP(tblMaster[[#This Row],[Customer_ID]],tblCustomers[Customer_ID],tblCustomers[City],"Not Found",0)</f>
        <v>Jorhat</v>
      </c>
      <c r="L68" s="18" t="str">
        <f>_xlfn.XLOOKUP(tblMaster[[#This Row],[Customer_ID]],tblCustomers[Customer_ID],tblCustomers[Name],"Not Found",0)</f>
        <v>Bhamini Ravi</v>
      </c>
      <c r="M68" s="18" t="str">
        <f>_xlfn.XLOOKUP(tblMaster[[#This Row],[Customer_ID]],tblCustomers[Customer_ID],tblCustomers[Gender],"Not Found",0)</f>
        <v>Male</v>
      </c>
      <c r="N68" s="18" t="str">
        <f>_xlfn.XLOOKUP(tblMaster[[#This Row],[Product_ID]],tblProducts[Product_ID],tblProducts[Product_Name],"Not Found",0)</f>
        <v>Accusantium Gift</v>
      </c>
      <c r="O68" s="18" t="str">
        <f>_xlfn.XLOOKUP(tblMaster[[#This Row],[Product_ID]],tblProducts[Product_ID],tblProducts[Category],"Not Found",0)</f>
        <v>Cake</v>
      </c>
      <c r="P68" s="18" t="str">
        <f>_xlfn.XLOOKUP(tblMaster[[#This Row],[Product_ID]],tblProducts[Product_ID],tblProducts[Occasion],"Not Found",0)</f>
        <v>Birthday</v>
      </c>
      <c r="Q68" s="18">
        <f>_xlfn.XLOOKUP(tblMaster[[#This Row],[Product_ID]],tblProducts[Product_ID],tblProducts[Price (INR)],"Not Found",0)</f>
        <v>259</v>
      </c>
      <c r="R68" s="19">
        <f>tblMaster[[#This Row],[Price]]*tblMaster[[#This Row],[Quantity]]</f>
        <v>518</v>
      </c>
      <c r="S68" s="19">
        <f>tblMaster[[#This Row],[Price]]*0.7*tblMaster[[#This Row],[Quantity]]</f>
        <v>362.59999999999997</v>
      </c>
      <c r="T68" s="19">
        <f>tblMaster[[#This Row],[Revenue]]-tblMaster[[#This Row],[Estimated Cost (at 70%) ]]</f>
        <v>155.40000000000003</v>
      </c>
      <c r="U68" s="19">
        <f>tblMaster[[#This Row],[Profit]]/tblMaster[[#This Row],[Revenue]]</f>
        <v>0.30000000000000004</v>
      </c>
      <c r="V68" s="19">
        <f>tblMaster[[#This Row],[Delivery_Date]]-tblMaster[[#This Row],[Order_Date]]</f>
        <v>8</v>
      </c>
      <c r="W68" s="19" t="str">
        <f>TEXT(tblMaster[[#This Row],[Order_Date]],"mmmm")</f>
        <v>July</v>
      </c>
      <c r="X68" s="19">
        <f>MONTH(tblMaster[[#This Row],[Order_Date]])</f>
        <v>7</v>
      </c>
      <c r="Y68" s="19" t="str">
        <f>"Q"&amp;ROUNDUP(tblMaster[[#This Row],[Month Number]]/3,0)</f>
        <v>Q3</v>
      </c>
      <c r="Z68" s="19">
        <f>YEAR(tblMaster[[#This Row],[Order_Date]])</f>
        <v>2023</v>
      </c>
      <c r="AA68" s="19" t="str">
        <f>TEXT(DAY(tblMaster[[#This Row],[Order_Date]]),"dddd")</f>
        <v>Friday</v>
      </c>
      <c r="AB68" s="19" t="str">
        <f>IF(tblMaster[[#This Row],[Revenue]]&gt;=5000,"High",IF(tblMaster[[#This Row],[Revenue]]&lt;2000,"Low","Medium"))</f>
        <v>Low</v>
      </c>
    </row>
    <row r="69" spans="1:28" x14ac:dyDescent="0.25">
      <c r="A69" s="10">
        <v>68</v>
      </c>
      <c r="B69" s="10" t="s">
        <v>276</v>
      </c>
      <c r="C69" s="5">
        <v>34</v>
      </c>
      <c r="D69" s="5">
        <v>4</v>
      </c>
      <c r="E69" s="11">
        <v>45163</v>
      </c>
      <c r="F69" s="12">
        <v>0.94719907407407411</v>
      </c>
      <c r="G69" s="11">
        <v>45169</v>
      </c>
      <c r="H69" s="12">
        <v>0.8966898148148148</v>
      </c>
      <c r="I69" s="10" t="s">
        <v>260</v>
      </c>
      <c r="J69" s="10" t="s">
        <v>33</v>
      </c>
      <c r="K69" s="18" t="str">
        <f>_xlfn.XLOOKUP(tblMaster[[#This Row],[Customer_ID]],tblCustomers[Customer_ID],tblCustomers[City],"Not Found",0)</f>
        <v>Imphal</v>
      </c>
      <c r="L69" s="18" t="str">
        <f>_xlfn.XLOOKUP(tblMaster[[#This Row],[Customer_ID]],tblCustomers[Customer_ID],tblCustomers[Name],"Not Found",0)</f>
        <v>Chirag Srinivas</v>
      </c>
      <c r="M69" s="18" t="str">
        <f>_xlfn.XLOOKUP(tblMaster[[#This Row],[Customer_ID]],tblCustomers[Customer_ID],tblCustomers[Gender],"Not Found",0)</f>
        <v>Female</v>
      </c>
      <c r="N69" s="18" t="str">
        <f>_xlfn.XLOOKUP(tblMaster[[#This Row],[Product_ID]],tblProducts[Product_ID],tblProducts[Product_Name],"Not Found",0)</f>
        <v>Placeat Pack</v>
      </c>
      <c r="O69" s="18" t="str">
        <f>_xlfn.XLOOKUP(tblMaster[[#This Row],[Product_ID]],tblProducts[Product_ID],tblProducts[Category],"Not Found",0)</f>
        <v>Soft Toys</v>
      </c>
      <c r="P69" s="18" t="str">
        <f>_xlfn.XLOOKUP(tblMaster[[#This Row],[Product_ID]],tblProducts[Product_ID],tblProducts[Occasion],"Not Found",0)</f>
        <v>Raksha Bandhan</v>
      </c>
      <c r="Q69" s="18">
        <f>_xlfn.XLOOKUP(tblMaster[[#This Row],[Product_ID]],tblProducts[Product_ID],tblProducts[Price (INR)],"Not Found",0)</f>
        <v>1335</v>
      </c>
      <c r="R69" s="19">
        <f>tblMaster[[#This Row],[Price]]*tblMaster[[#This Row],[Quantity]]</f>
        <v>5340</v>
      </c>
      <c r="S69" s="19">
        <f>tblMaster[[#This Row],[Price]]*0.7*tblMaster[[#This Row],[Quantity]]</f>
        <v>3737.9999999999995</v>
      </c>
      <c r="T69" s="19">
        <f>tblMaster[[#This Row],[Revenue]]-tblMaster[[#This Row],[Estimated Cost (at 70%) ]]</f>
        <v>1602.0000000000005</v>
      </c>
      <c r="U69" s="19">
        <f>tblMaster[[#This Row],[Profit]]/tblMaster[[#This Row],[Revenue]]</f>
        <v>0.3000000000000001</v>
      </c>
      <c r="V69" s="19">
        <f>tblMaster[[#This Row],[Delivery_Date]]-tblMaster[[#This Row],[Order_Date]]</f>
        <v>6</v>
      </c>
      <c r="W69" s="19" t="str">
        <f>TEXT(tblMaster[[#This Row],[Order_Date]],"mmmm")</f>
        <v>August</v>
      </c>
      <c r="X69" s="19">
        <f>MONTH(tblMaster[[#This Row],[Order_Date]])</f>
        <v>8</v>
      </c>
      <c r="Y69" s="19" t="str">
        <f>"Q"&amp;ROUNDUP(tblMaster[[#This Row],[Month Number]]/3,0)</f>
        <v>Q3</v>
      </c>
      <c r="Z69" s="19">
        <f>YEAR(tblMaster[[#This Row],[Order_Date]])</f>
        <v>2023</v>
      </c>
      <c r="AA69" s="19" t="str">
        <f>TEXT(DAY(tblMaster[[#This Row],[Order_Date]]),"dddd")</f>
        <v>Wednesday</v>
      </c>
      <c r="AB69" s="19" t="str">
        <f>IF(tblMaster[[#This Row],[Revenue]]&gt;=5000,"High",IF(tblMaster[[#This Row],[Revenue]]&lt;2000,"Low","Medium"))</f>
        <v>High</v>
      </c>
    </row>
    <row r="70" spans="1:28" x14ac:dyDescent="0.25">
      <c r="A70" s="7">
        <v>69</v>
      </c>
      <c r="B70" s="7" t="s">
        <v>210</v>
      </c>
      <c r="C70" s="4">
        <v>12</v>
      </c>
      <c r="D70" s="4">
        <v>4</v>
      </c>
      <c r="E70" s="8">
        <v>45171</v>
      </c>
      <c r="F70" s="9">
        <v>0.80672453703703706</v>
      </c>
      <c r="G70" s="8">
        <v>45177</v>
      </c>
      <c r="H70" s="9">
        <v>0.3958564814814815</v>
      </c>
      <c r="I70" s="7" t="s">
        <v>277</v>
      </c>
      <c r="J70" s="7" t="s">
        <v>30</v>
      </c>
      <c r="K70" s="18" t="str">
        <f>_xlfn.XLOOKUP(tblMaster[[#This Row],[Customer_ID]],tblCustomers[Customer_ID],tblCustomers[City],"Not Found",0)</f>
        <v>New Delhi</v>
      </c>
      <c r="L70" s="18" t="str">
        <f>_xlfn.XLOOKUP(tblMaster[[#This Row],[Customer_ID]],tblCustomers[Customer_ID],tblCustomers[Name],"Not Found",0)</f>
        <v>Adira Rajan</v>
      </c>
      <c r="M70" s="18" t="str">
        <f>_xlfn.XLOOKUP(tblMaster[[#This Row],[Customer_ID]],tblCustomers[Customer_ID],tblCustomers[Gender],"Not Found",0)</f>
        <v>Female</v>
      </c>
      <c r="N70" s="18" t="str">
        <f>_xlfn.XLOOKUP(tblMaster[[#This Row],[Product_ID]],tblProducts[Product_ID],tblProducts[Product_Name],"Not Found",0)</f>
        <v>Non Set</v>
      </c>
      <c r="O70" s="18" t="str">
        <f>_xlfn.XLOOKUP(tblMaster[[#This Row],[Product_ID]],tblProducts[Product_ID],tblProducts[Category],"Not Found",0)</f>
        <v>Plants</v>
      </c>
      <c r="P70" s="18" t="str">
        <f>_xlfn.XLOOKUP(tblMaster[[#This Row],[Product_ID]],tblProducts[Product_ID],tblProducts[Occasion],"Not Found",0)</f>
        <v>Anniversary</v>
      </c>
      <c r="Q70" s="18">
        <f>_xlfn.XLOOKUP(tblMaster[[#This Row],[Product_ID]],tblProducts[Product_ID],tblProducts[Price (INR)],"Not Found",0)</f>
        <v>672</v>
      </c>
      <c r="R70" s="19">
        <f>tblMaster[[#This Row],[Price]]*tblMaster[[#This Row],[Quantity]]</f>
        <v>2688</v>
      </c>
      <c r="S70" s="19">
        <f>tblMaster[[#This Row],[Price]]*0.7*tblMaster[[#This Row],[Quantity]]</f>
        <v>1881.6</v>
      </c>
      <c r="T70" s="19">
        <f>tblMaster[[#This Row],[Revenue]]-tblMaster[[#This Row],[Estimated Cost (at 70%) ]]</f>
        <v>806.40000000000009</v>
      </c>
      <c r="U70" s="19">
        <f>tblMaster[[#This Row],[Profit]]/tblMaster[[#This Row],[Revenue]]</f>
        <v>0.30000000000000004</v>
      </c>
      <c r="V70" s="19">
        <f>tblMaster[[#This Row],[Delivery_Date]]-tblMaster[[#This Row],[Order_Date]]</f>
        <v>6</v>
      </c>
      <c r="W70" s="19" t="str">
        <f>TEXT(tblMaster[[#This Row],[Order_Date]],"mmmm")</f>
        <v>September</v>
      </c>
      <c r="X70" s="19">
        <f>MONTH(tblMaster[[#This Row],[Order_Date]])</f>
        <v>9</v>
      </c>
      <c r="Y70" s="19" t="str">
        <f>"Q"&amp;ROUNDUP(tblMaster[[#This Row],[Month Number]]/3,0)</f>
        <v>Q3</v>
      </c>
      <c r="Z70" s="19">
        <f>YEAR(tblMaster[[#This Row],[Order_Date]])</f>
        <v>2023</v>
      </c>
      <c r="AA70" s="19" t="str">
        <f>TEXT(DAY(tblMaster[[#This Row],[Order_Date]]),"dddd")</f>
        <v>Monday</v>
      </c>
      <c r="AB70" s="19" t="str">
        <f>IF(tblMaster[[#This Row],[Revenue]]&gt;=5000,"High",IF(tblMaster[[#This Row],[Revenue]]&lt;2000,"Low","Medium"))</f>
        <v>Medium</v>
      </c>
    </row>
    <row r="71" spans="1:28" x14ac:dyDescent="0.25">
      <c r="A71" s="10">
        <v>70</v>
      </c>
      <c r="B71" s="10" t="s">
        <v>166</v>
      </c>
      <c r="C71" s="5">
        <v>17</v>
      </c>
      <c r="D71" s="5">
        <v>1</v>
      </c>
      <c r="E71" s="11">
        <v>45197</v>
      </c>
      <c r="F71" s="12">
        <v>0.18135416666666668</v>
      </c>
      <c r="G71" s="11">
        <v>45202</v>
      </c>
      <c r="H71" s="12">
        <v>0.48927083333333332</v>
      </c>
      <c r="I71" s="10" t="s">
        <v>199</v>
      </c>
      <c r="J71" s="10" t="s">
        <v>30</v>
      </c>
      <c r="K71" s="18" t="str">
        <f>_xlfn.XLOOKUP(tblMaster[[#This Row],[Customer_ID]],tblCustomers[Customer_ID],tblCustomers[City],"Not Found",0)</f>
        <v>Davanagere</v>
      </c>
      <c r="L71" s="18" t="str">
        <f>_xlfn.XLOOKUP(tblMaster[[#This Row],[Customer_ID]],tblCustomers[Customer_ID],tblCustomers[Name],"Not Found",0)</f>
        <v>Aradhya Kumar</v>
      </c>
      <c r="M71" s="18" t="str">
        <f>_xlfn.XLOOKUP(tblMaster[[#This Row],[Customer_ID]],tblCustomers[Customer_ID],tblCustomers[Gender],"Not Found",0)</f>
        <v>Male</v>
      </c>
      <c r="N71" s="18" t="str">
        <f>_xlfn.XLOOKUP(tblMaster[[#This Row],[Product_ID]],tblProducts[Product_ID],tblProducts[Product_Name],"Not Found",0)</f>
        <v>Delectus Gift</v>
      </c>
      <c r="O71" s="18" t="str">
        <f>_xlfn.XLOOKUP(tblMaster[[#This Row],[Product_ID]],tblProducts[Product_ID],tblProducts[Category],"Not Found",0)</f>
        <v>Soft Toys</v>
      </c>
      <c r="P71" s="18" t="str">
        <f>_xlfn.XLOOKUP(tblMaster[[#This Row],[Product_ID]],tblProducts[Product_ID],tblProducts[Occasion],"Not Found",0)</f>
        <v>Anniversary</v>
      </c>
      <c r="Q71" s="18">
        <f>_xlfn.XLOOKUP(tblMaster[[#This Row],[Product_ID]],tblProducts[Product_ID],tblProducts[Price (INR)],"Not Found",0)</f>
        <v>1899</v>
      </c>
      <c r="R71" s="19">
        <f>tblMaster[[#This Row],[Price]]*tblMaster[[#This Row],[Quantity]]</f>
        <v>1899</v>
      </c>
      <c r="S71" s="19">
        <f>tblMaster[[#This Row],[Price]]*0.7*tblMaster[[#This Row],[Quantity]]</f>
        <v>1329.3</v>
      </c>
      <c r="T71" s="19">
        <f>tblMaster[[#This Row],[Revenue]]-tblMaster[[#This Row],[Estimated Cost (at 70%) ]]</f>
        <v>569.70000000000005</v>
      </c>
      <c r="U71" s="19">
        <f>tblMaster[[#This Row],[Profit]]/tblMaster[[#This Row],[Revenue]]</f>
        <v>0.30000000000000004</v>
      </c>
      <c r="V71" s="19">
        <f>tblMaster[[#This Row],[Delivery_Date]]-tblMaster[[#This Row],[Order_Date]]</f>
        <v>5</v>
      </c>
      <c r="W71" s="19" t="str">
        <f>TEXT(tblMaster[[#This Row],[Order_Date]],"mmmm")</f>
        <v>September</v>
      </c>
      <c r="X71" s="19">
        <f>MONTH(tblMaster[[#This Row],[Order_Date]])</f>
        <v>9</v>
      </c>
      <c r="Y71" s="19" t="str">
        <f>"Q"&amp;ROUNDUP(tblMaster[[#This Row],[Month Number]]/3,0)</f>
        <v>Q3</v>
      </c>
      <c r="Z71" s="19">
        <f>YEAR(tblMaster[[#This Row],[Order_Date]])</f>
        <v>2023</v>
      </c>
      <c r="AA71" s="19" t="str">
        <f>TEXT(DAY(tblMaster[[#This Row],[Order_Date]]),"dddd")</f>
        <v>Saturday</v>
      </c>
      <c r="AB71" s="19" t="str">
        <f>IF(tblMaster[[#This Row],[Revenue]]&gt;=5000,"High",IF(tblMaster[[#This Row],[Revenue]]&lt;2000,"Low","Medium"))</f>
        <v>Low</v>
      </c>
    </row>
    <row r="72" spans="1:28" x14ac:dyDescent="0.25">
      <c r="A72" s="7">
        <v>71</v>
      </c>
      <c r="B72" s="7" t="s">
        <v>193</v>
      </c>
      <c r="C72" s="4">
        <v>9</v>
      </c>
      <c r="D72" s="4">
        <v>5</v>
      </c>
      <c r="E72" s="8">
        <v>45158</v>
      </c>
      <c r="F72" s="9">
        <v>0.68895833333333334</v>
      </c>
      <c r="G72" s="8">
        <v>45166</v>
      </c>
      <c r="H72" s="9">
        <v>0.5635648148148148</v>
      </c>
      <c r="I72" s="7" t="s">
        <v>187</v>
      </c>
      <c r="J72" s="7" t="s">
        <v>33</v>
      </c>
      <c r="K72" s="18" t="str">
        <f>_xlfn.XLOOKUP(tblMaster[[#This Row],[Customer_ID]],tblCustomers[Customer_ID],tblCustomers[City],"Not Found",0)</f>
        <v>Mangalore</v>
      </c>
      <c r="L72" s="18" t="str">
        <f>_xlfn.XLOOKUP(tblMaster[[#This Row],[Customer_ID]],tblCustomers[Customer_ID],tblCustomers[Name],"Not Found",0)</f>
        <v>Manikya Goswami</v>
      </c>
      <c r="M72" s="18" t="str">
        <f>_xlfn.XLOOKUP(tblMaster[[#This Row],[Customer_ID]],tblCustomers[Customer_ID],tblCustomers[Gender],"Not Found",0)</f>
        <v>Female</v>
      </c>
      <c r="N72" s="18" t="str">
        <f>_xlfn.XLOOKUP(tblMaster[[#This Row],[Product_ID]],tblProducts[Product_ID],tblProducts[Product_Name],"Not Found",0)</f>
        <v>Aperiam Box</v>
      </c>
      <c r="O72" s="18" t="str">
        <f>_xlfn.XLOOKUP(tblMaster[[#This Row],[Product_ID]],tblProducts[Product_ID],tblProducts[Category],"Not Found",0)</f>
        <v>Colors</v>
      </c>
      <c r="P72" s="18" t="str">
        <f>_xlfn.XLOOKUP(tblMaster[[#This Row],[Product_ID]],tblProducts[Product_ID],tblProducts[Occasion],"Not Found",0)</f>
        <v>Raksha Bandhan</v>
      </c>
      <c r="Q72" s="18">
        <f>_xlfn.XLOOKUP(tblMaster[[#This Row],[Product_ID]],tblProducts[Product_ID],tblProducts[Price (INR)],"Not Found",0)</f>
        <v>1605</v>
      </c>
      <c r="R72" s="19">
        <f>tblMaster[[#This Row],[Price]]*tblMaster[[#This Row],[Quantity]]</f>
        <v>8025</v>
      </c>
      <c r="S72" s="19">
        <f>tblMaster[[#This Row],[Price]]*0.7*tblMaster[[#This Row],[Quantity]]</f>
        <v>5617.5</v>
      </c>
      <c r="T72" s="19">
        <f>tblMaster[[#This Row],[Revenue]]-tblMaster[[#This Row],[Estimated Cost (at 70%) ]]</f>
        <v>2407.5</v>
      </c>
      <c r="U72" s="19">
        <f>tblMaster[[#This Row],[Profit]]/tblMaster[[#This Row],[Revenue]]</f>
        <v>0.3</v>
      </c>
      <c r="V72" s="19">
        <f>tblMaster[[#This Row],[Delivery_Date]]-tblMaster[[#This Row],[Order_Date]]</f>
        <v>8</v>
      </c>
      <c r="W72" s="19" t="str">
        <f>TEXT(tblMaster[[#This Row],[Order_Date]],"mmmm")</f>
        <v>August</v>
      </c>
      <c r="X72" s="19">
        <f>MONTH(tblMaster[[#This Row],[Order_Date]])</f>
        <v>8</v>
      </c>
      <c r="Y72" s="19" t="str">
        <f>"Q"&amp;ROUNDUP(tblMaster[[#This Row],[Month Number]]/3,0)</f>
        <v>Q3</v>
      </c>
      <c r="Z72" s="19">
        <f>YEAR(tblMaster[[#This Row],[Order_Date]])</f>
        <v>2023</v>
      </c>
      <c r="AA72" s="19" t="str">
        <f>TEXT(DAY(tblMaster[[#This Row],[Order_Date]]),"dddd")</f>
        <v>Friday</v>
      </c>
      <c r="AB72" s="19" t="str">
        <f>IF(tblMaster[[#This Row],[Revenue]]&gt;=5000,"High",IF(tblMaster[[#This Row],[Revenue]]&lt;2000,"Low","Medium"))</f>
        <v>High</v>
      </c>
    </row>
    <row r="73" spans="1:28" x14ac:dyDescent="0.25">
      <c r="A73" s="10">
        <v>72</v>
      </c>
      <c r="B73" s="10" t="s">
        <v>265</v>
      </c>
      <c r="C73" s="5">
        <v>26</v>
      </c>
      <c r="D73" s="5">
        <v>3</v>
      </c>
      <c r="E73" s="11">
        <v>44988</v>
      </c>
      <c r="F73" s="12">
        <v>0.65932870370370367</v>
      </c>
      <c r="G73" s="11">
        <v>44997</v>
      </c>
      <c r="H73" s="12">
        <v>0.73206018518518523</v>
      </c>
      <c r="I73" s="10" t="s">
        <v>278</v>
      </c>
      <c r="J73" s="10" t="s">
        <v>25</v>
      </c>
      <c r="K73" s="18" t="str">
        <f>_xlfn.XLOOKUP(tblMaster[[#This Row],[Customer_ID]],tblCustomers[Customer_ID],tblCustomers[City],"Not Found",0)</f>
        <v>Guntakal</v>
      </c>
      <c r="L73" s="18" t="str">
        <f>_xlfn.XLOOKUP(tblMaster[[#This Row],[Customer_ID]],tblCustomers[Customer_ID],tblCustomers[Name],"Not Found",0)</f>
        <v>Charvi Kanda</v>
      </c>
      <c r="M73" s="18" t="str">
        <f>_xlfn.XLOOKUP(tblMaster[[#This Row],[Customer_ID]],tblCustomers[Customer_ID],tblCustomers[Gender],"Not Found",0)</f>
        <v>Male</v>
      </c>
      <c r="N73" s="18" t="str">
        <f>_xlfn.XLOOKUP(tblMaster[[#This Row],[Product_ID]],tblProducts[Product_ID],tblProducts[Product_Name],"Not Found",0)</f>
        <v>Aliquam Box</v>
      </c>
      <c r="O73" s="18" t="str">
        <f>_xlfn.XLOOKUP(tblMaster[[#This Row],[Product_ID]],tblProducts[Product_ID],tblProducts[Category],"Not Found",0)</f>
        <v>Colors</v>
      </c>
      <c r="P73" s="18" t="str">
        <f>_xlfn.XLOOKUP(tblMaster[[#This Row],[Product_ID]],tblProducts[Product_ID],tblProducts[Occasion],"Not Found",0)</f>
        <v>Holi</v>
      </c>
      <c r="Q73" s="18">
        <f>_xlfn.XLOOKUP(tblMaster[[#This Row],[Product_ID]],tblProducts[Product_ID],tblProducts[Price (INR)],"Not Found",0)</f>
        <v>289</v>
      </c>
      <c r="R73" s="19">
        <f>tblMaster[[#This Row],[Price]]*tblMaster[[#This Row],[Quantity]]</f>
        <v>867</v>
      </c>
      <c r="S73" s="19">
        <f>tblMaster[[#This Row],[Price]]*0.7*tblMaster[[#This Row],[Quantity]]</f>
        <v>606.9</v>
      </c>
      <c r="T73" s="19">
        <f>tblMaster[[#This Row],[Revenue]]-tblMaster[[#This Row],[Estimated Cost (at 70%) ]]</f>
        <v>260.10000000000002</v>
      </c>
      <c r="U73" s="19">
        <f>tblMaster[[#This Row],[Profit]]/tblMaster[[#This Row],[Revenue]]</f>
        <v>0.30000000000000004</v>
      </c>
      <c r="V73" s="19">
        <f>tblMaster[[#This Row],[Delivery_Date]]-tblMaster[[#This Row],[Order_Date]]</f>
        <v>9</v>
      </c>
      <c r="W73" s="19" t="str">
        <f>TEXT(tblMaster[[#This Row],[Order_Date]],"mmmm")</f>
        <v>March</v>
      </c>
      <c r="X73" s="19">
        <f>MONTH(tblMaster[[#This Row],[Order_Date]])</f>
        <v>3</v>
      </c>
      <c r="Y73" s="19" t="str">
        <f>"Q"&amp;ROUNDUP(tblMaster[[#This Row],[Month Number]]/3,0)</f>
        <v>Q1</v>
      </c>
      <c r="Z73" s="19">
        <f>YEAR(tblMaster[[#This Row],[Order_Date]])</f>
        <v>2023</v>
      </c>
      <c r="AA73" s="19" t="str">
        <f>TEXT(DAY(tblMaster[[#This Row],[Order_Date]]),"dddd")</f>
        <v>Tuesday</v>
      </c>
      <c r="AB73" s="19" t="str">
        <f>IF(tblMaster[[#This Row],[Revenue]]&gt;=5000,"High",IF(tblMaster[[#This Row],[Revenue]]&lt;2000,"Low","Medium"))</f>
        <v>Low</v>
      </c>
    </row>
    <row r="74" spans="1:28" x14ac:dyDescent="0.25">
      <c r="A74" s="7">
        <v>73</v>
      </c>
      <c r="B74" s="7" t="s">
        <v>279</v>
      </c>
      <c r="C74" s="4">
        <v>26</v>
      </c>
      <c r="D74" s="4">
        <v>1</v>
      </c>
      <c r="E74" s="8">
        <v>44988</v>
      </c>
      <c r="F74" s="9">
        <v>0.53652777777777783</v>
      </c>
      <c r="G74" s="8">
        <v>44996</v>
      </c>
      <c r="H74" s="9">
        <v>6.1527777777777778E-2</v>
      </c>
      <c r="I74" s="7" t="s">
        <v>280</v>
      </c>
      <c r="J74" s="7" t="s">
        <v>25</v>
      </c>
      <c r="K74" s="18" t="str">
        <f>_xlfn.XLOOKUP(tblMaster[[#This Row],[Customer_ID]],tblCustomers[Customer_ID],tblCustomers[City],"Not Found",0)</f>
        <v>Delhi</v>
      </c>
      <c r="L74" s="18" t="str">
        <f>_xlfn.XLOOKUP(tblMaster[[#This Row],[Customer_ID]],tblCustomers[Customer_ID],tblCustomers[Name],"Not Found",0)</f>
        <v>Zain Hegde</v>
      </c>
      <c r="M74" s="18" t="str">
        <f>_xlfn.XLOOKUP(tblMaster[[#This Row],[Customer_ID]],tblCustomers[Customer_ID],tblCustomers[Gender],"Not Found",0)</f>
        <v>Female</v>
      </c>
      <c r="N74" s="18" t="str">
        <f>_xlfn.XLOOKUP(tblMaster[[#This Row],[Product_ID]],tblProducts[Product_ID],tblProducts[Product_Name],"Not Found",0)</f>
        <v>Aliquam Box</v>
      </c>
      <c r="O74" s="18" t="str">
        <f>_xlfn.XLOOKUP(tblMaster[[#This Row],[Product_ID]],tblProducts[Product_ID],tblProducts[Category],"Not Found",0)</f>
        <v>Colors</v>
      </c>
      <c r="P74" s="18" t="str">
        <f>_xlfn.XLOOKUP(tblMaster[[#This Row],[Product_ID]],tblProducts[Product_ID],tblProducts[Occasion],"Not Found",0)</f>
        <v>Holi</v>
      </c>
      <c r="Q74" s="18">
        <f>_xlfn.XLOOKUP(tblMaster[[#This Row],[Product_ID]],tblProducts[Product_ID],tblProducts[Price (INR)],"Not Found",0)</f>
        <v>289</v>
      </c>
      <c r="R74" s="19">
        <f>tblMaster[[#This Row],[Price]]*tblMaster[[#This Row],[Quantity]]</f>
        <v>289</v>
      </c>
      <c r="S74" s="19">
        <f>tblMaster[[#This Row],[Price]]*0.7*tblMaster[[#This Row],[Quantity]]</f>
        <v>202.29999999999998</v>
      </c>
      <c r="T74" s="19">
        <f>tblMaster[[#This Row],[Revenue]]-tblMaster[[#This Row],[Estimated Cost (at 70%) ]]</f>
        <v>86.700000000000017</v>
      </c>
      <c r="U74" s="19">
        <f>tblMaster[[#This Row],[Profit]]/tblMaster[[#This Row],[Revenue]]</f>
        <v>0.30000000000000004</v>
      </c>
      <c r="V74" s="19">
        <f>tblMaster[[#This Row],[Delivery_Date]]-tblMaster[[#This Row],[Order_Date]]</f>
        <v>8</v>
      </c>
      <c r="W74" s="19" t="str">
        <f>TEXT(tblMaster[[#This Row],[Order_Date]],"mmmm")</f>
        <v>March</v>
      </c>
      <c r="X74" s="19">
        <f>MONTH(tblMaster[[#This Row],[Order_Date]])</f>
        <v>3</v>
      </c>
      <c r="Y74" s="19" t="str">
        <f>"Q"&amp;ROUNDUP(tblMaster[[#This Row],[Month Number]]/3,0)</f>
        <v>Q1</v>
      </c>
      <c r="Z74" s="19">
        <f>YEAR(tblMaster[[#This Row],[Order_Date]])</f>
        <v>2023</v>
      </c>
      <c r="AA74" s="19" t="str">
        <f>TEXT(DAY(tblMaster[[#This Row],[Order_Date]]),"dddd")</f>
        <v>Tuesday</v>
      </c>
      <c r="AB74" s="19" t="str">
        <f>IF(tblMaster[[#This Row],[Revenue]]&gt;=5000,"High",IF(tblMaster[[#This Row],[Revenue]]&lt;2000,"Low","Medium"))</f>
        <v>Low</v>
      </c>
    </row>
    <row r="75" spans="1:28" x14ac:dyDescent="0.25">
      <c r="A75" s="10">
        <v>74</v>
      </c>
      <c r="B75" s="10" t="s">
        <v>188</v>
      </c>
      <c r="C75" s="5">
        <v>31</v>
      </c>
      <c r="D75" s="5">
        <v>3</v>
      </c>
      <c r="E75" s="11">
        <v>44927</v>
      </c>
      <c r="F75" s="12">
        <v>0.87178240740740742</v>
      </c>
      <c r="G75" s="11">
        <v>44933</v>
      </c>
      <c r="H75" s="12">
        <v>0.37642361111111111</v>
      </c>
      <c r="I75" s="10" t="s">
        <v>281</v>
      </c>
      <c r="J75" s="10" t="s">
        <v>8</v>
      </c>
      <c r="K75" s="18" t="str">
        <f>_xlfn.XLOOKUP(tblMaster[[#This Row],[Customer_ID]],tblCustomers[Customer_ID],tblCustomers[City],"Not Found",0)</f>
        <v>Kavali</v>
      </c>
      <c r="L75" s="18" t="str">
        <f>_xlfn.XLOOKUP(tblMaster[[#This Row],[Customer_ID]],tblCustomers[Customer_ID],tblCustomers[Name],"Not Found",0)</f>
        <v>Jhanvi Chowdhury</v>
      </c>
      <c r="M75" s="18" t="str">
        <f>_xlfn.XLOOKUP(tblMaster[[#This Row],[Customer_ID]],tblCustomers[Customer_ID],tblCustomers[Gender],"Not Found",0)</f>
        <v>Female</v>
      </c>
      <c r="N75" s="18" t="str">
        <f>_xlfn.XLOOKUP(tblMaster[[#This Row],[Product_ID]],tblProducts[Product_ID],tblProducts[Product_Name],"Not Found",0)</f>
        <v>Nihil Box</v>
      </c>
      <c r="O75" s="18" t="str">
        <f>_xlfn.XLOOKUP(tblMaster[[#This Row],[Product_ID]],tblProducts[Product_ID],tblProducts[Category],"Not Found",0)</f>
        <v>Colors</v>
      </c>
      <c r="P75" s="18" t="str">
        <f>_xlfn.XLOOKUP(tblMaster[[#This Row],[Product_ID]],tblProducts[Product_ID],tblProducts[Occasion],"Not Found",0)</f>
        <v>All Occasions</v>
      </c>
      <c r="Q75" s="18">
        <f>_xlfn.XLOOKUP(tblMaster[[#This Row],[Product_ID]],tblProducts[Product_ID],tblProducts[Price (INR)],"Not Found",0)</f>
        <v>1804</v>
      </c>
      <c r="R75" s="19">
        <f>tblMaster[[#This Row],[Price]]*tblMaster[[#This Row],[Quantity]]</f>
        <v>5412</v>
      </c>
      <c r="S75" s="19">
        <f>tblMaster[[#This Row],[Price]]*0.7*tblMaster[[#This Row],[Quantity]]</f>
        <v>3788.3999999999996</v>
      </c>
      <c r="T75" s="19">
        <f>tblMaster[[#This Row],[Revenue]]-tblMaster[[#This Row],[Estimated Cost (at 70%) ]]</f>
        <v>1623.6000000000004</v>
      </c>
      <c r="U75" s="19">
        <f>tblMaster[[#This Row],[Profit]]/tblMaster[[#This Row],[Revenue]]</f>
        <v>0.30000000000000004</v>
      </c>
      <c r="V75" s="19">
        <f>tblMaster[[#This Row],[Delivery_Date]]-tblMaster[[#This Row],[Order_Date]]</f>
        <v>6</v>
      </c>
      <c r="W75" s="19" t="str">
        <f>TEXT(tblMaster[[#This Row],[Order_Date]],"mmmm")</f>
        <v>January</v>
      </c>
      <c r="X75" s="19">
        <f>MONTH(tblMaster[[#This Row],[Order_Date]])</f>
        <v>1</v>
      </c>
      <c r="Y75" s="19" t="str">
        <f>"Q"&amp;ROUNDUP(tblMaster[[#This Row],[Month Number]]/3,0)</f>
        <v>Q1</v>
      </c>
      <c r="Z75" s="19">
        <f>YEAR(tblMaster[[#This Row],[Order_Date]])</f>
        <v>2023</v>
      </c>
      <c r="AA75" s="19" t="str">
        <f>TEXT(DAY(tblMaster[[#This Row],[Order_Date]]),"dddd")</f>
        <v>Sunday</v>
      </c>
      <c r="AB75" s="19" t="str">
        <f>IF(tblMaster[[#This Row],[Revenue]]&gt;=5000,"High",IF(tblMaster[[#This Row],[Revenue]]&lt;2000,"Low","Medium"))</f>
        <v>High</v>
      </c>
    </row>
    <row r="76" spans="1:28" x14ac:dyDescent="0.25">
      <c r="A76" s="7">
        <v>75</v>
      </c>
      <c r="B76" s="7" t="s">
        <v>178</v>
      </c>
      <c r="C76" s="4">
        <v>65</v>
      </c>
      <c r="D76" s="4">
        <v>2</v>
      </c>
      <c r="E76" s="8">
        <v>45022</v>
      </c>
      <c r="F76" s="9">
        <v>0.46555555555555556</v>
      </c>
      <c r="G76" s="8">
        <v>45025</v>
      </c>
      <c r="H76" s="9">
        <v>0.9587268518518518</v>
      </c>
      <c r="I76" s="7" t="s">
        <v>278</v>
      </c>
      <c r="J76" s="7" t="s">
        <v>8</v>
      </c>
      <c r="K76" s="18" t="str">
        <f>_xlfn.XLOOKUP(tblMaster[[#This Row],[Customer_ID]],tblCustomers[Customer_ID],tblCustomers[City],"Not Found",0)</f>
        <v>Madurai</v>
      </c>
      <c r="L76" s="18" t="str">
        <f>_xlfn.XLOOKUP(tblMaster[[#This Row],[Customer_ID]],tblCustomers[Customer_ID],tblCustomers[Name],"Not Found",0)</f>
        <v>Ritvik Borah</v>
      </c>
      <c r="M76" s="18" t="str">
        <f>_xlfn.XLOOKUP(tblMaster[[#This Row],[Customer_ID]],tblCustomers[Customer_ID],tblCustomers[Gender],"Not Found",0)</f>
        <v>Female</v>
      </c>
      <c r="N76" s="18" t="str">
        <f>_xlfn.XLOOKUP(tblMaster[[#This Row],[Product_ID]],tblProducts[Product_ID],tblProducts[Product_Name],"Not Found",0)</f>
        <v>Error Gift</v>
      </c>
      <c r="O76" s="18" t="str">
        <f>_xlfn.XLOOKUP(tblMaster[[#This Row],[Product_ID]],tblProducts[Product_ID],tblProducts[Category],"Not Found",0)</f>
        <v>Raksha Bandhan</v>
      </c>
      <c r="P76" s="18" t="str">
        <f>_xlfn.XLOOKUP(tblMaster[[#This Row],[Product_ID]],tblProducts[Product_ID],tblProducts[Occasion],"Not Found",0)</f>
        <v>All Occasions</v>
      </c>
      <c r="Q76" s="18">
        <f>_xlfn.XLOOKUP(tblMaster[[#This Row],[Product_ID]],tblProducts[Product_ID],tblProducts[Price (INR)],"Not Found",0)</f>
        <v>1895</v>
      </c>
      <c r="R76" s="19">
        <f>tblMaster[[#This Row],[Price]]*tblMaster[[#This Row],[Quantity]]</f>
        <v>3790</v>
      </c>
      <c r="S76" s="19">
        <f>tblMaster[[#This Row],[Price]]*0.7*tblMaster[[#This Row],[Quantity]]</f>
        <v>2653</v>
      </c>
      <c r="T76" s="19">
        <f>tblMaster[[#This Row],[Revenue]]-tblMaster[[#This Row],[Estimated Cost (at 70%) ]]</f>
        <v>1137</v>
      </c>
      <c r="U76" s="19">
        <f>tblMaster[[#This Row],[Profit]]/tblMaster[[#This Row],[Revenue]]</f>
        <v>0.3</v>
      </c>
      <c r="V76" s="19">
        <f>tblMaster[[#This Row],[Delivery_Date]]-tblMaster[[#This Row],[Order_Date]]</f>
        <v>3</v>
      </c>
      <c r="W76" s="19" t="str">
        <f>TEXT(tblMaster[[#This Row],[Order_Date]],"mmmm")</f>
        <v>April</v>
      </c>
      <c r="X76" s="19">
        <f>MONTH(tblMaster[[#This Row],[Order_Date]])</f>
        <v>4</v>
      </c>
      <c r="Y76" s="19" t="str">
        <f>"Q"&amp;ROUNDUP(tblMaster[[#This Row],[Month Number]]/3,0)</f>
        <v>Q2</v>
      </c>
      <c r="Z76" s="19">
        <f>YEAR(tblMaster[[#This Row],[Order_Date]])</f>
        <v>2023</v>
      </c>
      <c r="AA76" s="19" t="str">
        <f>TEXT(DAY(tblMaster[[#This Row],[Order_Date]]),"dddd")</f>
        <v>Friday</v>
      </c>
      <c r="AB76" s="19" t="str">
        <f>IF(tblMaster[[#This Row],[Revenue]]&gt;=5000,"High",IF(tblMaster[[#This Row],[Revenue]]&lt;2000,"Low","Medium"))</f>
        <v>Medium</v>
      </c>
    </row>
    <row r="77" spans="1:28" x14ac:dyDescent="0.25">
      <c r="A77" s="10">
        <v>76</v>
      </c>
      <c r="B77" s="10" t="s">
        <v>204</v>
      </c>
      <c r="C77" s="5">
        <v>4</v>
      </c>
      <c r="D77" s="5">
        <v>1</v>
      </c>
      <c r="E77" s="11">
        <v>45239</v>
      </c>
      <c r="F77" s="12">
        <v>0.21748842592592593</v>
      </c>
      <c r="G77" s="11">
        <v>45242</v>
      </c>
      <c r="H77" s="12">
        <v>2.4189814814814813E-2</v>
      </c>
      <c r="I77" s="10" t="s">
        <v>282</v>
      </c>
      <c r="J77" s="10" t="s">
        <v>19</v>
      </c>
      <c r="K77" s="18" t="str">
        <f>_xlfn.XLOOKUP(tblMaster[[#This Row],[Customer_ID]],tblCustomers[Customer_ID],tblCustomers[City],"Not Found",0)</f>
        <v>Bidhannagar</v>
      </c>
      <c r="L77" s="18" t="str">
        <f>_xlfn.XLOOKUP(tblMaster[[#This Row],[Customer_ID]],tblCustomers[Customer_ID],tblCustomers[Name],"Not Found",0)</f>
        <v>Umang Ahuja</v>
      </c>
      <c r="M77" s="18" t="str">
        <f>_xlfn.XLOOKUP(tblMaster[[#This Row],[Customer_ID]],tblCustomers[Customer_ID],tblCustomers[Gender],"Not Found",0)</f>
        <v>Female</v>
      </c>
      <c r="N77" s="18" t="str">
        <f>_xlfn.XLOOKUP(tblMaster[[#This Row],[Product_ID]],tblProducts[Product_ID],tblProducts[Product_Name],"Not Found",0)</f>
        <v>Accusantium Set</v>
      </c>
      <c r="O77" s="18" t="str">
        <f>_xlfn.XLOOKUP(tblMaster[[#This Row],[Product_ID]],tblProducts[Product_ID],tblProducts[Category],"Not Found",0)</f>
        <v>Sweets</v>
      </c>
      <c r="P77" s="18" t="str">
        <f>_xlfn.XLOOKUP(tblMaster[[#This Row],[Product_ID]],tblProducts[Product_ID],tblProducts[Occasion],"Not Found",0)</f>
        <v>Diwali</v>
      </c>
      <c r="Q77" s="18">
        <f>_xlfn.XLOOKUP(tblMaster[[#This Row],[Product_ID]],tblProducts[Product_ID],tblProducts[Price (INR)],"Not Found",0)</f>
        <v>1199</v>
      </c>
      <c r="R77" s="19">
        <f>tblMaster[[#This Row],[Price]]*tblMaster[[#This Row],[Quantity]]</f>
        <v>1199</v>
      </c>
      <c r="S77" s="19">
        <f>tblMaster[[#This Row],[Price]]*0.7*tblMaster[[#This Row],[Quantity]]</f>
        <v>839.3</v>
      </c>
      <c r="T77" s="19">
        <f>tblMaster[[#This Row],[Revenue]]-tblMaster[[#This Row],[Estimated Cost (at 70%) ]]</f>
        <v>359.70000000000005</v>
      </c>
      <c r="U77" s="19">
        <f>tblMaster[[#This Row],[Profit]]/tblMaster[[#This Row],[Revenue]]</f>
        <v>0.30000000000000004</v>
      </c>
      <c r="V77" s="19">
        <f>tblMaster[[#This Row],[Delivery_Date]]-tblMaster[[#This Row],[Order_Date]]</f>
        <v>3</v>
      </c>
      <c r="W77" s="19" t="str">
        <f>TEXT(tblMaster[[#This Row],[Order_Date]],"mmmm")</f>
        <v>November</v>
      </c>
      <c r="X77" s="19">
        <f>MONTH(tblMaster[[#This Row],[Order_Date]])</f>
        <v>11</v>
      </c>
      <c r="Y77" s="19" t="str">
        <f>"Q"&amp;ROUNDUP(tblMaster[[#This Row],[Month Number]]/3,0)</f>
        <v>Q4</v>
      </c>
      <c r="Z77" s="19">
        <f>YEAR(tblMaster[[#This Row],[Order_Date]])</f>
        <v>2023</v>
      </c>
      <c r="AA77" s="19" t="str">
        <f>TEXT(DAY(tblMaster[[#This Row],[Order_Date]]),"dddd")</f>
        <v>Monday</v>
      </c>
      <c r="AB77" s="19" t="str">
        <f>IF(tblMaster[[#This Row],[Revenue]]&gt;=5000,"High",IF(tblMaster[[#This Row],[Revenue]]&lt;2000,"Low","Medium"))</f>
        <v>Low</v>
      </c>
    </row>
    <row r="78" spans="1:28" x14ac:dyDescent="0.25">
      <c r="A78" s="7">
        <v>77</v>
      </c>
      <c r="B78" s="7" t="s">
        <v>283</v>
      </c>
      <c r="C78" s="4">
        <v>42</v>
      </c>
      <c r="D78" s="4">
        <v>3</v>
      </c>
      <c r="E78" s="8">
        <v>45143</v>
      </c>
      <c r="F78" s="9">
        <v>4.6655092592592595E-2</v>
      </c>
      <c r="G78" s="8">
        <v>45151</v>
      </c>
      <c r="H78" s="9">
        <v>0.68115740740740738</v>
      </c>
      <c r="I78" s="7" t="s">
        <v>284</v>
      </c>
      <c r="J78" s="7" t="s">
        <v>8</v>
      </c>
      <c r="K78" s="18" t="str">
        <f>_xlfn.XLOOKUP(tblMaster[[#This Row],[Customer_ID]],tblCustomers[Customer_ID],tblCustomers[City],"Not Found",0)</f>
        <v>Noida</v>
      </c>
      <c r="L78" s="18" t="str">
        <f>_xlfn.XLOOKUP(tblMaster[[#This Row],[Customer_ID]],tblCustomers[Customer_ID],tblCustomers[Name],"Not Found",0)</f>
        <v>Hridaan Rajagopalan</v>
      </c>
      <c r="M78" s="18" t="str">
        <f>_xlfn.XLOOKUP(tblMaster[[#This Row],[Customer_ID]],tblCustomers[Customer_ID],tblCustomers[Gender],"Not Found",0)</f>
        <v>Female</v>
      </c>
      <c r="N78" s="18" t="str">
        <f>_xlfn.XLOOKUP(tblMaster[[#This Row],[Product_ID]],tblProducts[Product_ID],tblProducts[Product_Name],"Not Found",0)</f>
        <v>Expedita Gift</v>
      </c>
      <c r="O78" s="18" t="str">
        <f>_xlfn.XLOOKUP(tblMaster[[#This Row],[Product_ID]],tblProducts[Product_ID],tblProducts[Category],"Not Found",0)</f>
        <v>Sweets</v>
      </c>
      <c r="P78" s="18" t="str">
        <f>_xlfn.XLOOKUP(tblMaster[[#This Row],[Product_ID]],tblProducts[Product_ID],tblProducts[Occasion],"Not Found",0)</f>
        <v>All Occasions</v>
      </c>
      <c r="Q78" s="18">
        <f>_xlfn.XLOOKUP(tblMaster[[#This Row],[Product_ID]],tblProducts[Product_ID],tblProducts[Price (INR)],"Not Found",0)</f>
        <v>1744</v>
      </c>
      <c r="R78" s="19">
        <f>tblMaster[[#This Row],[Price]]*tblMaster[[#This Row],[Quantity]]</f>
        <v>5232</v>
      </c>
      <c r="S78" s="19">
        <f>tblMaster[[#This Row],[Price]]*0.7*tblMaster[[#This Row],[Quantity]]</f>
        <v>3662.3999999999996</v>
      </c>
      <c r="T78" s="19">
        <f>tblMaster[[#This Row],[Revenue]]-tblMaster[[#This Row],[Estimated Cost (at 70%) ]]</f>
        <v>1569.6000000000004</v>
      </c>
      <c r="U78" s="19">
        <f>tblMaster[[#This Row],[Profit]]/tblMaster[[#This Row],[Revenue]]</f>
        <v>0.30000000000000004</v>
      </c>
      <c r="V78" s="19">
        <f>tblMaster[[#This Row],[Delivery_Date]]-tblMaster[[#This Row],[Order_Date]]</f>
        <v>8</v>
      </c>
      <c r="W78" s="19" t="str">
        <f>TEXT(tblMaster[[#This Row],[Order_Date]],"mmmm")</f>
        <v>August</v>
      </c>
      <c r="X78" s="19">
        <f>MONTH(tblMaster[[#This Row],[Order_Date]])</f>
        <v>8</v>
      </c>
      <c r="Y78" s="19" t="str">
        <f>"Q"&amp;ROUNDUP(tblMaster[[#This Row],[Month Number]]/3,0)</f>
        <v>Q3</v>
      </c>
      <c r="Z78" s="19">
        <f>YEAR(tblMaster[[#This Row],[Order_Date]])</f>
        <v>2023</v>
      </c>
      <c r="AA78" s="19" t="str">
        <f>TEXT(DAY(tblMaster[[#This Row],[Order_Date]]),"dddd")</f>
        <v>Thursday</v>
      </c>
      <c r="AB78" s="19" t="str">
        <f>IF(tblMaster[[#This Row],[Revenue]]&gt;=5000,"High",IF(tblMaster[[#This Row],[Revenue]]&lt;2000,"Low","Medium"))</f>
        <v>High</v>
      </c>
    </row>
    <row r="79" spans="1:28" x14ac:dyDescent="0.25">
      <c r="A79" s="10">
        <v>78</v>
      </c>
      <c r="B79" s="10" t="s">
        <v>285</v>
      </c>
      <c r="C79" s="5">
        <v>11</v>
      </c>
      <c r="D79" s="5">
        <v>2</v>
      </c>
      <c r="E79" s="11">
        <v>44961</v>
      </c>
      <c r="F79" s="12">
        <v>0.54177083333333331</v>
      </c>
      <c r="G79" s="11">
        <v>44965</v>
      </c>
      <c r="H79" s="12">
        <v>0.85503472222222221</v>
      </c>
      <c r="I79" s="10" t="s">
        <v>286</v>
      </c>
      <c r="J79" s="10" t="s">
        <v>12</v>
      </c>
      <c r="K79" s="18" t="str">
        <f>_xlfn.XLOOKUP(tblMaster[[#This Row],[Customer_ID]],tblCustomers[Customer_ID],tblCustomers[City],"Not Found",0)</f>
        <v>Nagpur</v>
      </c>
      <c r="L79" s="18" t="str">
        <f>_xlfn.XLOOKUP(tblMaster[[#This Row],[Customer_ID]],tblCustomers[Customer_ID],tblCustomers[Name],"Not Found",0)</f>
        <v>Inaaya  Sarraf</v>
      </c>
      <c r="M79" s="18" t="str">
        <f>_xlfn.XLOOKUP(tblMaster[[#This Row],[Customer_ID]],tblCustomers[Customer_ID],tblCustomers[Gender],"Not Found",0)</f>
        <v>Male</v>
      </c>
      <c r="N79" s="18" t="str">
        <f>_xlfn.XLOOKUP(tblMaster[[#This Row],[Product_ID]],tblProducts[Product_ID],tblProducts[Product_Name],"Not Found",0)</f>
        <v>Maxime Set</v>
      </c>
      <c r="O79" s="18" t="str">
        <f>_xlfn.XLOOKUP(tblMaster[[#This Row],[Product_ID]],tblProducts[Product_ID],tblProducts[Category],"Not Found",0)</f>
        <v>Mugs</v>
      </c>
      <c r="P79" s="18" t="str">
        <f>_xlfn.XLOOKUP(tblMaster[[#This Row],[Product_ID]],tblProducts[Product_ID],tblProducts[Occasion],"Not Found",0)</f>
        <v>Valentine's Day</v>
      </c>
      <c r="Q79" s="18">
        <f>_xlfn.XLOOKUP(tblMaster[[#This Row],[Product_ID]],tblProducts[Product_ID],tblProducts[Price (INR)],"Not Found",0)</f>
        <v>1096</v>
      </c>
      <c r="R79" s="19">
        <f>tblMaster[[#This Row],[Price]]*tblMaster[[#This Row],[Quantity]]</f>
        <v>2192</v>
      </c>
      <c r="S79" s="19">
        <f>tblMaster[[#This Row],[Price]]*0.7*tblMaster[[#This Row],[Quantity]]</f>
        <v>1534.3999999999999</v>
      </c>
      <c r="T79" s="19">
        <f>tblMaster[[#This Row],[Revenue]]-tblMaster[[#This Row],[Estimated Cost (at 70%) ]]</f>
        <v>657.60000000000014</v>
      </c>
      <c r="U79" s="19">
        <f>tblMaster[[#This Row],[Profit]]/tblMaster[[#This Row],[Revenue]]</f>
        <v>0.30000000000000004</v>
      </c>
      <c r="V79" s="19">
        <f>tblMaster[[#This Row],[Delivery_Date]]-tblMaster[[#This Row],[Order_Date]]</f>
        <v>4</v>
      </c>
      <c r="W79" s="19" t="str">
        <f>TEXT(tblMaster[[#This Row],[Order_Date]],"mmmm")</f>
        <v>February</v>
      </c>
      <c r="X79" s="19">
        <f>MONTH(tblMaster[[#This Row],[Order_Date]])</f>
        <v>2</v>
      </c>
      <c r="Y79" s="19" t="str">
        <f>"Q"&amp;ROUNDUP(tblMaster[[#This Row],[Month Number]]/3,0)</f>
        <v>Q1</v>
      </c>
      <c r="Z79" s="19">
        <f>YEAR(tblMaster[[#This Row],[Order_Date]])</f>
        <v>2023</v>
      </c>
      <c r="AA79" s="19" t="str">
        <f>TEXT(DAY(tblMaster[[#This Row],[Order_Date]]),"dddd")</f>
        <v>Wednesday</v>
      </c>
      <c r="AB79" s="19" t="str">
        <f>IF(tblMaster[[#This Row],[Revenue]]&gt;=5000,"High",IF(tblMaster[[#This Row],[Revenue]]&lt;2000,"Low","Medium"))</f>
        <v>Medium</v>
      </c>
    </row>
    <row r="80" spans="1:28" x14ac:dyDescent="0.25">
      <c r="A80" s="7">
        <v>79</v>
      </c>
      <c r="B80" s="7" t="s">
        <v>287</v>
      </c>
      <c r="C80" s="4">
        <v>40</v>
      </c>
      <c r="D80" s="4">
        <v>2</v>
      </c>
      <c r="E80" s="8">
        <v>45078</v>
      </c>
      <c r="F80" s="9">
        <v>0.72881944444444446</v>
      </c>
      <c r="G80" s="8">
        <v>45088</v>
      </c>
      <c r="H80" s="9">
        <v>0.31589120370370372</v>
      </c>
      <c r="I80" s="7" t="s">
        <v>288</v>
      </c>
      <c r="J80" s="7" t="s">
        <v>30</v>
      </c>
      <c r="K80" s="18" t="str">
        <f>_xlfn.XLOOKUP(tblMaster[[#This Row],[Customer_ID]],tblCustomers[Customer_ID],tblCustomers[City],"Not Found",0)</f>
        <v>Kanpur</v>
      </c>
      <c r="L80" s="18" t="str">
        <f>_xlfn.XLOOKUP(tblMaster[[#This Row],[Customer_ID]],tblCustomers[Customer_ID],tblCustomers[Name],"Not Found",0)</f>
        <v>Darshit Dave</v>
      </c>
      <c r="M80" s="18" t="str">
        <f>_xlfn.XLOOKUP(tblMaster[[#This Row],[Customer_ID]],tblCustomers[Customer_ID],tblCustomers[Gender],"Not Found",0)</f>
        <v>Male</v>
      </c>
      <c r="N80" s="18" t="str">
        <f>_xlfn.XLOOKUP(tblMaster[[#This Row],[Product_ID]],tblProducts[Product_ID],tblProducts[Product_Name],"Not Found",0)</f>
        <v>Provident Pack</v>
      </c>
      <c r="O80" s="18" t="str">
        <f>_xlfn.XLOOKUP(tblMaster[[#This Row],[Product_ID]],tblProducts[Product_ID],tblProducts[Category],"Not Found",0)</f>
        <v>Sweets</v>
      </c>
      <c r="P80" s="18" t="str">
        <f>_xlfn.XLOOKUP(tblMaster[[#This Row],[Product_ID]],tblProducts[Product_ID],tblProducts[Occasion],"Not Found",0)</f>
        <v>Anniversary</v>
      </c>
      <c r="Q80" s="18">
        <f>_xlfn.XLOOKUP(tblMaster[[#This Row],[Product_ID]],tblProducts[Product_ID],tblProducts[Price (INR)],"Not Found",0)</f>
        <v>1923</v>
      </c>
      <c r="R80" s="19">
        <f>tblMaster[[#This Row],[Price]]*tblMaster[[#This Row],[Quantity]]</f>
        <v>3846</v>
      </c>
      <c r="S80" s="19">
        <f>tblMaster[[#This Row],[Price]]*0.7*tblMaster[[#This Row],[Quantity]]</f>
        <v>2692.2</v>
      </c>
      <c r="T80" s="19">
        <f>tblMaster[[#This Row],[Revenue]]-tblMaster[[#This Row],[Estimated Cost (at 70%) ]]</f>
        <v>1153.8000000000002</v>
      </c>
      <c r="U80" s="19">
        <f>tblMaster[[#This Row],[Profit]]/tblMaster[[#This Row],[Revenue]]</f>
        <v>0.30000000000000004</v>
      </c>
      <c r="V80" s="19">
        <f>tblMaster[[#This Row],[Delivery_Date]]-tblMaster[[#This Row],[Order_Date]]</f>
        <v>10</v>
      </c>
      <c r="W80" s="19" t="str">
        <f>TEXT(tblMaster[[#This Row],[Order_Date]],"mmmm")</f>
        <v>June</v>
      </c>
      <c r="X80" s="19">
        <f>MONTH(tblMaster[[#This Row],[Order_Date]])</f>
        <v>6</v>
      </c>
      <c r="Y80" s="19" t="str">
        <f>"Q"&amp;ROUNDUP(tblMaster[[#This Row],[Month Number]]/3,0)</f>
        <v>Q2</v>
      </c>
      <c r="Z80" s="19">
        <f>YEAR(tblMaster[[#This Row],[Order_Date]])</f>
        <v>2023</v>
      </c>
      <c r="AA80" s="19" t="str">
        <f>TEXT(DAY(tblMaster[[#This Row],[Order_Date]]),"dddd")</f>
        <v>Sunday</v>
      </c>
      <c r="AB80" s="19" t="str">
        <f>IF(tblMaster[[#This Row],[Revenue]]&gt;=5000,"High",IF(tblMaster[[#This Row],[Revenue]]&lt;2000,"Low","Medium"))</f>
        <v>Medium</v>
      </c>
    </row>
    <row r="81" spans="1:28" x14ac:dyDescent="0.25">
      <c r="A81" s="10">
        <v>80</v>
      </c>
      <c r="B81" s="10" t="s">
        <v>289</v>
      </c>
      <c r="C81" s="5">
        <v>39</v>
      </c>
      <c r="D81" s="5">
        <v>4</v>
      </c>
      <c r="E81" s="11">
        <v>44928</v>
      </c>
      <c r="F81" s="12">
        <v>0.4632175925925926</v>
      </c>
      <c r="G81" s="11">
        <v>44937</v>
      </c>
      <c r="H81" s="12">
        <v>8.7384259259259259E-2</v>
      </c>
      <c r="I81" s="10" t="s">
        <v>290</v>
      </c>
      <c r="J81" s="10" t="s">
        <v>8</v>
      </c>
      <c r="K81" s="18" t="str">
        <f>_xlfn.XLOOKUP(tblMaster[[#This Row],[Customer_ID]],tblCustomers[Customer_ID],tblCustomers[City],"Not Found",0)</f>
        <v>Chinsurah</v>
      </c>
      <c r="L81" s="18" t="str">
        <f>_xlfn.XLOOKUP(tblMaster[[#This Row],[Customer_ID]],tblCustomers[Customer_ID],tblCustomers[Name],"Not Found",0)</f>
        <v>Veer Ray</v>
      </c>
      <c r="M81" s="18" t="str">
        <f>_xlfn.XLOOKUP(tblMaster[[#This Row],[Customer_ID]],tblCustomers[Customer_ID],tblCustomers[Gender],"Not Found",0)</f>
        <v>Female</v>
      </c>
      <c r="N81" s="18" t="str">
        <f>_xlfn.XLOOKUP(tblMaster[[#This Row],[Product_ID]],tblProducts[Product_ID],tblProducts[Product_Name],"Not Found",0)</f>
        <v>Voluptate Set</v>
      </c>
      <c r="O81" s="18" t="str">
        <f>_xlfn.XLOOKUP(tblMaster[[#This Row],[Product_ID]],tblProducts[Product_ID],tblProducts[Category],"Not Found",0)</f>
        <v>Mugs</v>
      </c>
      <c r="P81" s="18" t="str">
        <f>_xlfn.XLOOKUP(tblMaster[[#This Row],[Product_ID]],tblProducts[Product_ID],tblProducts[Occasion],"Not Found",0)</f>
        <v>All Occasions</v>
      </c>
      <c r="Q81" s="18">
        <f>_xlfn.XLOOKUP(tblMaster[[#This Row],[Product_ID]],tblProducts[Product_ID],tblProducts[Price (INR)],"Not Found",0)</f>
        <v>387</v>
      </c>
      <c r="R81" s="19">
        <f>tblMaster[[#This Row],[Price]]*tblMaster[[#This Row],[Quantity]]</f>
        <v>1548</v>
      </c>
      <c r="S81" s="19">
        <f>tblMaster[[#This Row],[Price]]*0.7*tblMaster[[#This Row],[Quantity]]</f>
        <v>1083.5999999999999</v>
      </c>
      <c r="T81" s="19">
        <f>tblMaster[[#This Row],[Revenue]]-tblMaster[[#This Row],[Estimated Cost (at 70%) ]]</f>
        <v>464.40000000000009</v>
      </c>
      <c r="U81" s="19">
        <f>tblMaster[[#This Row],[Profit]]/tblMaster[[#This Row],[Revenue]]</f>
        <v>0.30000000000000004</v>
      </c>
      <c r="V81" s="19">
        <f>tblMaster[[#This Row],[Delivery_Date]]-tblMaster[[#This Row],[Order_Date]]</f>
        <v>9</v>
      </c>
      <c r="W81" s="19" t="str">
        <f>TEXT(tblMaster[[#This Row],[Order_Date]],"mmmm")</f>
        <v>January</v>
      </c>
      <c r="X81" s="19">
        <f>MONTH(tblMaster[[#This Row],[Order_Date]])</f>
        <v>1</v>
      </c>
      <c r="Y81" s="19" t="str">
        <f>"Q"&amp;ROUNDUP(tblMaster[[#This Row],[Month Number]]/3,0)</f>
        <v>Q1</v>
      </c>
      <c r="Z81" s="19">
        <f>YEAR(tblMaster[[#This Row],[Order_Date]])</f>
        <v>2023</v>
      </c>
      <c r="AA81" s="19" t="str">
        <f>TEXT(DAY(tblMaster[[#This Row],[Order_Date]]),"dddd")</f>
        <v>Monday</v>
      </c>
      <c r="AB81" s="19" t="str">
        <f>IF(tblMaster[[#This Row],[Revenue]]&gt;=5000,"High",IF(tblMaster[[#This Row],[Revenue]]&lt;2000,"Low","Medium"))</f>
        <v>Low</v>
      </c>
    </row>
    <row r="82" spans="1:28" x14ac:dyDescent="0.25">
      <c r="A82" s="7">
        <v>81</v>
      </c>
      <c r="B82" s="7" t="s">
        <v>291</v>
      </c>
      <c r="C82" s="4">
        <v>1</v>
      </c>
      <c r="D82" s="4">
        <v>5</v>
      </c>
      <c r="E82" s="8">
        <v>44979</v>
      </c>
      <c r="F82" s="9">
        <v>0.77038194444444441</v>
      </c>
      <c r="G82" s="8">
        <v>44988</v>
      </c>
      <c r="H82" s="9">
        <v>0.29828703703703702</v>
      </c>
      <c r="I82" s="7" t="s">
        <v>292</v>
      </c>
      <c r="J82" s="7" t="s">
        <v>8</v>
      </c>
      <c r="K82" s="18" t="str">
        <f>_xlfn.XLOOKUP(tblMaster[[#This Row],[Customer_ID]],tblCustomers[Customer_ID],tblCustomers[City],"Not Found",0)</f>
        <v>Bharatpur</v>
      </c>
      <c r="L82" s="18" t="str">
        <f>_xlfn.XLOOKUP(tblMaster[[#This Row],[Customer_ID]],tblCustomers[Customer_ID],tblCustomers[Name],"Not Found",0)</f>
        <v>Kismat Kapadia</v>
      </c>
      <c r="M82" s="18" t="str">
        <f>_xlfn.XLOOKUP(tblMaster[[#This Row],[Customer_ID]],tblCustomers[Customer_ID],tblCustomers[Gender],"Not Found",0)</f>
        <v>Female</v>
      </c>
      <c r="N82" s="18" t="str">
        <f>_xlfn.XLOOKUP(tblMaster[[#This Row],[Product_ID]],tblProducts[Product_ID],tblProducts[Product_Name],"Not Found",0)</f>
        <v>Magnam Set</v>
      </c>
      <c r="O82" s="18" t="str">
        <f>_xlfn.XLOOKUP(tblMaster[[#This Row],[Product_ID]],tblProducts[Product_ID],tblProducts[Category],"Not Found",0)</f>
        <v>Soft Toys</v>
      </c>
      <c r="P82" s="18" t="str">
        <f>_xlfn.XLOOKUP(tblMaster[[#This Row],[Product_ID]],tblProducts[Product_ID],tblProducts[Occasion],"Not Found",0)</f>
        <v>All Occasions</v>
      </c>
      <c r="Q82" s="18">
        <f>_xlfn.XLOOKUP(tblMaster[[#This Row],[Product_ID]],tblProducts[Product_ID],tblProducts[Price (INR)],"Not Found",0)</f>
        <v>1935</v>
      </c>
      <c r="R82" s="19">
        <f>tblMaster[[#This Row],[Price]]*tblMaster[[#This Row],[Quantity]]</f>
        <v>9675</v>
      </c>
      <c r="S82" s="19">
        <f>tblMaster[[#This Row],[Price]]*0.7*tblMaster[[#This Row],[Quantity]]</f>
        <v>6772.5</v>
      </c>
      <c r="T82" s="19">
        <f>tblMaster[[#This Row],[Revenue]]-tblMaster[[#This Row],[Estimated Cost (at 70%) ]]</f>
        <v>2902.5</v>
      </c>
      <c r="U82" s="19">
        <f>tblMaster[[#This Row],[Profit]]/tblMaster[[#This Row],[Revenue]]</f>
        <v>0.3</v>
      </c>
      <c r="V82" s="19">
        <f>tblMaster[[#This Row],[Delivery_Date]]-tblMaster[[#This Row],[Order_Date]]</f>
        <v>9</v>
      </c>
      <c r="W82" s="19" t="str">
        <f>TEXT(tblMaster[[#This Row],[Order_Date]],"mmmm")</f>
        <v>February</v>
      </c>
      <c r="X82" s="19">
        <f>MONTH(tblMaster[[#This Row],[Order_Date]])</f>
        <v>2</v>
      </c>
      <c r="Y82" s="19" t="str">
        <f>"Q"&amp;ROUNDUP(tblMaster[[#This Row],[Month Number]]/3,0)</f>
        <v>Q1</v>
      </c>
      <c r="Z82" s="19">
        <f>YEAR(tblMaster[[#This Row],[Order_Date]])</f>
        <v>2023</v>
      </c>
      <c r="AA82" s="19" t="str">
        <f>TEXT(DAY(tblMaster[[#This Row],[Order_Date]]),"dddd")</f>
        <v>Sunday</v>
      </c>
      <c r="AB82" s="19" t="str">
        <f>IF(tblMaster[[#This Row],[Revenue]]&gt;=5000,"High",IF(tblMaster[[#This Row],[Revenue]]&lt;2000,"Low","Medium"))</f>
        <v>High</v>
      </c>
    </row>
    <row r="83" spans="1:28" x14ac:dyDescent="0.25">
      <c r="A83" s="10">
        <v>82</v>
      </c>
      <c r="B83" s="10" t="s">
        <v>293</v>
      </c>
      <c r="C83" s="5">
        <v>70</v>
      </c>
      <c r="D83" s="5">
        <v>3</v>
      </c>
      <c r="E83" s="11">
        <v>45142</v>
      </c>
      <c r="F83" s="12">
        <v>0.91811342592592593</v>
      </c>
      <c r="G83" s="11">
        <v>45143</v>
      </c>
      <c r="H83" s="12">
        <v>0.58903935185185186</v>
      </c>
      <c r="I83" s="10" t="s">
        <v>294</v>
      </c>
      <c r="J83" s="10" t="s">
        <v>36</v>
      </c>
      <c r="K83" s="18" t="str">
        <f>_xlfn.XLOOKUP(tblMaster[[#This Row],[Customer_ID]],tblCustomers[Customer_ID],tblCustomers[City],"Not Found",0)</f>
        <v>Aizawl</v>
      </c>
      <c r="L83" s="18" t="str">
        <f>_xlfn.XLOOKUP(tblMaster[[#This Row],[Customer_ID]],tblCustomers[Customer_ID],tblCustomers[Name],"Not Found",0)</f>
        <v>Yakshit Shah</v>
      </c>
      <c r="M83" s="18" t="str">
        <f>_xlfn.XLOOKUP(tblMaster[[#This Row],[Customer_ID]],tblCustomers[Customer_ID],tblCustomers[Gender],"Not Found",0)</f>
        <v>Female</v>
      </c>
      <c r="N83" s="18" t="str">
        <f>_xlfn.XLOOKUP(tblMaster[[#This Row],[Product_ID]],tblProducts[Product_ID],tblProducts[Product_Name],"Not Found",0)</f>
        <v>Error Gift</v>
      </c>
      <c r="O83" s="18" t="str">
        <f>_xlfn.XLOOKUP(tblMaster[[#This Row],[Product_ID]],tblProducts[Product_ID],tblProducts[Category],"Not Found",0)</f>
        <v>Sweets</v>
      </c>
      <c r="P83" s="18" t="str">
        <f>_xlfn.XLOOKUP(tblMaster[[#This Row],[Product_ID]],tblProducts[Product_ID],tblProducts[Occasion],"Not Found",0)</f>
        <v>Birthday</v>
      </c>
      <c r="Q83" s="18">
        <f>_xlfn.XLOOKUP(tblMaster[[#This Row],[Product_ID]],tblProducts[Product_ID],tblProducts[Price (INR)],"Not Found",0)</f>
        <v>866</v>
      </c>
      <c r="R83" s="19">
        <f>tblMaster[[#This Row],[Price]]*tblMaster[[#This Row],[Quantity]]</f>
        <v>2598</v>
      </c>
      <c r="S83" s="19">
        <f>tblMaster[[#This Row],[Price]]*0.7*tblMaster[[#This Row],[Quantity]]</f>
        <v>1818.6</v>
      </c>
      <c r="T83" s="19">
        <f>tblMaster[[#This Row],[Revenue]]-tblMaster[[#This Row],[Estimated Cost (at 70%) ]]</f>
        <v>779.40000000000009</v>
      </c>
      <c r="U83" s="19">
        <f>tblMaster[[#This Row],[Profit]]/tblMaster[[#This Row],[Revenue]]</f>
        <v>0.30000000000000004</v>
      </c>
      <c r="V83" s="19">
        <f>tblMaster[[#This Row],[Delivery_Date]]-tblMaster[[#This Row],[Order_Date]]</f>
        <v>1</v>
      </c>
      <c r="W83" s="19" t="str">
        <f>TEXT(tblMaster[[#This Row],[Order_Date]],"mmmm")</f>
        <v>August</v>
      </c>
      <c r="X83" s="19">
        <f>MONTH(tblMaster[[#This Row],[Order_Date]])</f>
        <v>8</v>
      </c>
      <c r="Y83" s="19" t="str">
        <f>"Q"&amp;ROUNDUP(tblMaster[[#This Row],[Month Number]]/3,0)</f>
        <v>Q3</v>
      </c>
      <c r="Z83" s="19">
        <f>YEAR(tblMaster[[#This Row],[Order_Date]])</f>
        <v>2023</v>
      </c>
      <c r="AA83" s="19" t="str">
        <f>TEXT(DAY(tblMaster[[#This Row],[Order_Date]]),"dddd")</f>
        <v>Wednesday</v>
      </c>
      <c r="AB83" s="19" t="str">
        <f>IF(tblMaster[[#This Row],[Revenue]]&gt;=5000,"High",IF(tblMaster[[#This Row],[Revenue]]&lt;2000,"Low","Medium"))</f>
        <v>Medium</v>
      </c>
    </row>
    <row r="84" spans="1:28" x14ac:dyDescent="0.25">
      <c r="A84" s="7">
        <v>83</v>
      </c>
      <c r="B84" s="7" t="s">
        <v>250</v>
      </c>
      <c r="C84" s="4">
        <v>27</v>
      </c>
      <c r="D84" s="4">
        <v>4</v>
      </c>
      <c r="E84" s="8">
        <v>45161</v>
      </c>
      <c r="F84" s="9">
        <v>0.80001157407407408</v>
      </c>
      <c r="G84" s="8">
        <v>45171</v>
      </c>
      <c r="H84" s="9">
        <v>0.61388888888888893</v>
      </c>
      <c r="I84" s="7" t="s">
        <v>225</v>
      </c>
      <c r="J84" s="7" t="s">
        <v>33</v>
      </c>
      <c r="K84" s="18" t="str">
        <f>_xlfn.XLOOKUP(tblMaster[[#This Row],[Customer_ID]],tblCustomers[Customer_ID],tblCustomers[City],"Not Found",0)</f>
        <v>Dibrugarh</v>
      </c>
      <c r="L84" s="18" t="str">
        <f>_xlfn.XLOOKUP(tblMaster[[#This Row],[Customer_ID]],tblCustomers[Customer_ID],tblCustomers[Name],"Not Found",0)</f>
        <v>Biju Bajwa</v>
      </c>
      <c r="M84" s="18" t="str">
        <f>_xlfn.XLOOKUP(tblMaster[[#This Row],[Customer_ID]],tblCustomers[Customer_ID],tblCustomers[Gender],"Not Found",0)</f>
        <v>Female</v>
      </c>
      <c r="N84" s="18" t="str">
        <f>_xlfn.XLOOKUP(tblMaster[[#This Row],[Product_ID]],tblProducts[Product_ID],tblProducts[Product_Name],"Not Found",0)</f>
        <v>Architecto Gift</v>
      </c>
      <c r="O84" s="18" t="str">
        <f>_xlfn.XLOOKUP(tblMaster[[#This Row],[Product_ID]],tblProducts[Product_ID],tblProducts[Category],"Not Found",0)</f>
        <v>Cake</v>
      </c>
      <c r="P84" s="18" t="str">
        <f>_xlfn.XLOOKUP(tblMaster[[#This Row],[Product_ID]],tblProducts[Product_ID],tblProducts[Occasion],"Not Found",0)</f>
        <v>Raksha Bandhan</v>
      </c>
      <c r="Q84" s="18">
        <f>_xlfn.XLOOKUP(tblMaster[[#This Row],[Product_ID]],tblProducts[Product_ID],tblProducts[Price (INR)],"Not Found",0)</f>
        <v>548</v>
      </c>
      <c r="R84" s="19">
        <f>tblMaster[[#This Row],[Price]]*tblMaster[[#This Row],[Quantity]]</f>
        <v>2192</v>
      </c>
      <c r="S84" s="19">
        <f>tblMaster[[#This Row],[Price]]*0.7*tblMaster[[#This Row],[Quantity]]</f>
        <v>1534.3999999999999</v>
      </c>
      <c r="T84" s="19">
        <f>tblMaster[[#This Row],[Revenue]]-tblMaster[[#This Row],[Estimated Cost (at 70%) ]]</f>
        <v>657.60000000000014</v>
      </c>
      <c r="U84" s="19">
        <f>tblMaster[[#This Row],[Profit]]/tblMaster[[#This Row],[Revenue]]</f>
        <v>0.30000000000000004</v>
      </c>
      <c r="V84" s="19">
        <f>tblMaster[[#This Row],[Delivery_Date]]-tblMaster[[#This Row],[Order_Date]]</f>
        <v>10</v>
      </c>
      <c r="W84" s="19" t="str">
        <f>TEXT(tblMaster[[#This Row],[Order_Date]],"mmmm")</f>
        <v>August</v>
      </c>
      <c r="X84" s="19">
        <f>MONTH(tblMaster[[#This Row],[Order_Date]])</f>
        <v>8</v>
      </c>
      <c r="Y84" s="19" t="str">
        <f>"Q"&amp;ROUNDUP(tblMaster[[#This Row],[Month Number]]/3,0)</f>
        <v>Q3</v>
      </c>
      <c r="Z84" s="19">
        <f>YEAR(tblMaster[[#This Row],[Order_Date]])</f>
        <v>2023</v>
      </c>
      <c r="AA84" s="19" t="str">
        <f>TEXT(DAY(tblMaster[[#This Row],[Order_Date]]),"dddd")</f>
        <v>Monday</v>
      </c>
      <c r="AB84" s="19" t="str">
        <f>IF(tblMaster[[#This Row],[Revenue]]&gt;=5000,"High",IF(tblMaster[[#This Row],[Revenue]]&lt;2000,"Low","Medium"))</f>
        <v>Medium</v>
      </c>
    </row>
    <row r="85" spans="1:28" x14ac:dyDescent="0.25">
      <c r="A85" s="10">
        <v>84</v>
      </c>
      <c r="B85" s="10" t="s">
        <v>295</v>
      </c>
      <c r="C85" s="5">
        <v>47</v>
      </c>
      <c r="D85" s="5">
        <v>1</v>
      </c>
      <c r="E85" s="11">
        <v>44989</v>
      </c>
      <c r="F85" s="12">
        <v>0.14710648148148148</v>
      </c>
      <c r="G85" s="11">
        <v>44991</v>
      </c>
      <c r="H85" s="12">
        <v>0.29328703703703701</v>
      </c>
      <c r="I85" s="10" t="s">
        <v>223</v>
      </c>
      <c r="J85" s="10" t="s">
        <v>25</v>
      </c>
      <c r="K85" s="18" t="str">
        <f>_xlfn.XLOOKUP(tblMaster[[#This Row],[Customer_ID]],tblCustomers[Customer_ID],tblCustomers[City],"Not Found",0)</f>
        <v>Surat</v>
      </c>
      <c r="L85" s="18" t="str">
        <f>_xlfn.XLOOKUP(tblMaster[[#This Row],[Customer_ID]],tblCustomers[Customer_ID],tblCustomers[Name],"Not Found",0)</f>
        <v>Mannat Anand</v>
      </c>
      <c r="M85" s="18" t="str">
        <f>_xlfn.XLOOKUP(tblMaster[[#This Row],[Customer_ID]],tblCustomers[Customer_ID],tblCustomers[Gender],"Not Found",0)</f>
        <v>Male</v>
      </c>
      <c r="N85" s="18" t="str">
        <f>_xlfn.XLOOKUP(tblMaster[[#This Row],[Product_ID]],tblProducts[Product_ID],tblProducts[Product_Name],"Not Found",0)</f>
        <v>Harum Pack</v>
      </c>
      <c r="O85" s="18" t="str">
        <f>_xlfn.XLOOKUP(tblMaster[[#This Row],[Product_ID]],tblProducts[Product_ID],tblProducts[Category],"Not Found",0)</f>
        <v>Colors</v>
      </c>
      <c r="P85" s="18" t="str">
        <f>_xlfn.XLOOKUP(tblMaster[[#This Row],[Product_ID]],tblProducts[Product_ID],tblProducts[Occasion],"Not Found",0)</f>
        <v>Holi</v>
      </c>
      <c r="Q85" s="18">
        <f>_xlfn.XLOOKUP(tblMaster[[#This Row],[Product_ID]],tblProducts[Product_ID],tblProducts[Price (INR)],"Not Found",0)</f>
        <v>1638</v>
      </c>
      <c r="R85" s="19">
        <f>tblMaster[[#This Row],[Price]]*tblMaster[[#This Row],[Quantity]]</f>
        <v>1638</v>
      </c>
      <c r="S85" s="19">
        <f>tblMaster[[#This Row],[Price]]*0.7*tblMaster[[#This Row],[Quantity]]</f>
        <v>1146.5999999999999</v>
      </c>
      <c r="T85" s="19">
        <f>tblMaster[[#This Row],[Revenue]]-tblMaster[[#This Row],[Estimated Cost (at 70%) ]]</f>
        <v>491.40000000000009</v>
      </c>
      <c r="U85" s="19">
        <f>tblMaster[[#This Row],[Profit]]/tblMaster[[#This Row],[Revenue]]</f>
        <v>0.30000000000000004</v>
      </c>
      <c r="V85" s="19">
        <f>tblMaster[[#This Row],[Delivery_Date]]-tblMaster[[#This Row],[Order_Date]]</f>
        <v>2</v>
      </c>
      <c r="W85" s="19" t="str">
        <f>TEXT(tblMaster[[#This Row],[Order_Date]],"mmmm")</f>
        <v>March</v>
      </c>
      <c r="X85" s="19">
        <f>MONTH(tblMaster[[#This Row],[Order_Date]])</f>
        <v>3</v>
      </c>
      <c r="Y85" s="19" t="str">
        <f>"Q"&amp;ROUNDUP(tblMaster[[#This Row],[Month Number]]/3,0)</f>
        <v>Q1</v>
      </c>
      <c r="Z85" s="19">
        <f>YEAR(tblMaster[[#This Row],[Order_Date]])</f>
        <v>2023</v>
      </c>
      <c r="AA85" s="19" t="str">
        <f>TEXT(DAY(tblMaster[[#This Row],[Order_Date]]),"dddd")</f>
        <v>Wednesday</v>
      </c>
      <c r="AB85" s="19" t="str">
        <f>IF(tblMaster[[#This Row],[Revenue]]&gt;=5000,"High",IF(tblMaster[[#This Row],[Revenue]]&lt;2000,"Low","Medium"))</f>
        <v>Low</v>
      </c>
    </row>
    <row r="86" spans="1:28" x14ac:dyDescent="0.25">
      <c r="A86" s="7">
        <v>85</v>
      </c>
      <c r="B86" s="7" t="s">
        <v>206</v>
      </c>
      <c r="C86" s="4">
        <v>26</v>
      </c>
      <c r="D86" s="4">
        <v>2</v>
      </c>
      <c r="E86" s="8">
        <v>44989</v>
      </c>
      <c r="F86" s="9">
        <v>0.89953703703703702</v>
      </c>
      <c r="G86" s="8">
        <v>44999</v>
      </c>
      <c r="H86" s="9">
        <v>0.61692129629629633</v>
      </c>
      <c r="I86" s="7" t="s">
        <v>296</v>
      </c>
      <c r="J86" s="7" t="s">
        <v>25</v>
      </c>
      <c r="K86" s="18" t="str">
        <f>_xlfn.XLOOKUP(tblMaster[[#This Row],[Customer_ID]],tblCustomers[Customer_ID],tblCustomers[City],"Not Found",0)</f>
        <v>Karaikudi</v>
      </c>
      <c r="L86" s="18" t="str">
        <f>_xlfn.XLOOKUP(tblMaster[[#This Row],[Customer_ID]],tblCustomers[Customer_ID],tblCustomers[Name],"Not Found",0)</f>
        <v>Rati Dhingra</v>
      </c>
      <c r="M86" s="18" t="str">
        <f>_xlfn.XLOOKUP(tblMaster[[#This Row],[Customer_ID]],tblCustomers[Customer_ID],tblCustomers[Gender],"Not Found",0)</f>
        <v>Male</v>
      </c>
      <c r="N86" s="18" t="str">
        <f>_xlfn.XLOOKUP(tblMaster[[#This Row],[Product_ID]],tblProducts[Product_ID],tblProducts[Product_Name],"Not Found",0)</f>
        <v>Aliquam Box</v>
      </c>
      <c r="O86" s="18" t="str">
        <f>_xlfn.XLOOKUP(tblMaster[[#This Row],[Product_ID]],tblProducts[Product_ID],tblProducts[Category],"Not Found",0)</f>
        <v>Colors</v>
      </c>
      <c r="P86" s="18" t="str">
        <f>_xlfn.XLOOKUP(tblMaster[[#This Row],[Product_ID]],tblProducts[Product_ID],tblProducts[Occasion],"Not Found",0)</f>
        <v>Holi</v>
      </c>
      <c r="Q86" s="18">
        <f>_xlfn.XLOOKUP(tblMaster[[#This Row],[Product_ID]],tblProducts[Product_ID],tblProducts[Price (INR)],"Not Found",0)</f>
        <v>289</v>
      </c>
      <c r="R86" s="19">
        <f>tblMaster[[#This Row],[Price]]*tblMaster[[#This Row],[Quantity]]</f>
        <v>578</v>
      </c>
      <c r="S86" s="19">
        <f>tblMaster[[#This Row],[Price]]*0.7*tblMaster[[#This Row],[Quantity]]</f>
        <v>404.59999999999997</v>
      </c>
      <c r="T86" s="19">
        <f>tblMaster[[#This Row],[Revenue]]-tblMaster[[#This Row],[Estimated Cost (at 70%) ]]</f>
        <v>173.40000000000003</v>
      </c>
      <c r="U86" s="19">
        <f>tblMaster[[#This Row],[Profit]]/tblMaster[[#This Row],[Revenue]]</f>
        <v>0.30000000000000004</v>
      </c>
      <c r="V86" s="19">
        <f>tblMaster[[#This Row],[Delivery_Date]]-tblMaster[[#This Row],[Order_Date]]</f>
        <v>10</v>
      </c>
      <c r="W86" s="19" t="str">
        <f>TEXT(tblMaster[[#This Row],[Order_Date]],"mmmm")</f>
        <v>March</v>
      </c>
      <c r="X86" s="19">
        <f>MONTH(tblMaster[[#This Row],[Order_Date]])</f>
        <v>3</v>
      </c>
      <c r="Y86" s="19" t="str">
        <f>"Q"&amp;ROUNDUP(tblMaster[[#This Row],[Month Number]]/3,0)</f>
        <v>Q1</v>
      </c>
      <c r="Z86" s="19">
        <f>YEAR(tblMaster[[#This Row],[Order_Date]])</f>
        <v>2023</v>
      </c>
      <c r="AA86" s="19" t="str">
        <f>TEXT(DAY(tblMaster[[#This Row],[Order_Date]]),"dddd")</f>
        <v>Wednesday</v>
      </c>
      <c r="AB86" s="19" t="str">
        <f>IF(tblMaster[[#This Row],[Revenue]]&gt;=5000,"High",IF(tblMaster[[#This Row],[Revenue]]&lt;2000,"Low","Medium"))</f>
        <v>Low</v>
      </c>
    </row>
    <row r="87" spans="1:28" x14ac:dyDescent="0.25">
      <c r="A87" s="10">
        <v>86</v>
      </c>
      <c r="B87" s="10" t="s">
        <v>237</v>
      </c>
      <c r="C87" s="5">
        <v>39</v>
      </c>
      <c r="D87" s="5">
        <v>4</v>
      </c>
      <c r="E87" s="11">
        <v>45182</v>
      </c>
      <c r="F87" s="12">
        <v>0.47765046296296299</v>
      </c>
      <c r="G87" s="11">
        <v>45191</v>
      </c>
      <c r="H87" s="12">
        <v>0.58993055555555551</v>
      </c>
      <c r="I87" s="10" t="s">
        <v>177</v>
      </c>
      <c r="J87" s="10" t="s">
        <v>8</v>
      </c>
      <c r="K87" s="18" t="str">
        <f>_xlfn.XLOOKUP(tblMaster[[#This Row],[Customer_ID]],tblCustomers[Customer_ID],tblCustomers[City],"Not Found",0)</f>
        <v>Guna</v>
      </c>
      <c r="L87" s="18" t="str">
        <f>_xlfn.XLOOKUP(tblMaster[[#This Row],[Customer_ID]],tblCustomers[Customer_ID],tblCustomers[Name],"Not Found",0)</f>
        <v>Tara Kannan</v>
      </c>
      <c r="M87" s="18" t="str">
        <f>_xlfn.XLOOKUP(tblMaster[[#This Row],[Customer_ID]],tblCustomers[Customer_ID],tblCustomers[Gender],"Not Found",0)</f>
        <v>Male</v>
      </c>
      <c r="N87" s="18" t="str">
        <f>_xlfn.XLOOKUP(tblMaster[[#This Row],[Product_ID]],tblProducts[Product_ID],tblProducts[Product_Name],"Not Found",0)</f>
        <v>Voluptate Set</v>
      </c>
      <c r="O87" s="18" t="str">
        <f>_xlfn.XLOOKUP(tblMaster[[#This Row],[Product_ID]],tblProducts[Product_ID],tblProducts[Category],"Not Found",0)</f>
        <v>Mugs</v>
      </c>
      <c r="P87" s="18" t="str">
        <f>_xlfn.XLOOKUP(tblMaster[[#This Row],[Product_ID]],tblProducts[Product_ID],tblProducts[Occasion],"Not Found",0)</f>
        <v>All Occasions</v>
      </c>
      <c r="Q87" s="18">
        <f>_xlfn.XLOOKUP(tblMaster[[#This Row],[Product_ID]],tblProducts[Product_ID],tblProducts[Price (INR)],"Not Found",0)</f>
        <v>387</v>
      </c>
      <c r="R87" s="19">
        <f>tblMaster[[#This Row],[Price]]*tblMaster[[#This Row],[Quantity]]</f>
        <v>1548</v>
      </c>
      <c r="S87" s="19">
        <f>tblMaster[[#This Row],[Price]]*0.7*tblMaster[[#This Row],[Quantity]]</f>
        <v>1083.5999999999999</v>
      </c>
      <c r="T87" s="19">
        <f>tblMaster[[#This Row],[Revenue]]-tblMaster[[#This Row],[Estimated Cost (at 70%) ]]</f>
        <v>464.40000000000009</v>
      </c>
      <c r="U87" s="19">
        <f>tblMaster[[#This Row],[Profit]]/tblMaster[[#This Row],[Revenue]]</f>
        <v>0.30000000000000004</v>
      </c>
      <c r="V87" s="19">
        <f>tblMaster[[#This Row],[Delivery_Date]]-tblMaster[[#This Row],[Order_Date]]</f>
        <v>9</v>
      </c>
      <c r="W87" s="19" t="str">
        <f>TEXT(tblMaster[[#This Row],[Order_Date]],"mmmm")</f>
        <v>September</v>
      </c>
      <c r="X87" s="19">
        <f>MONTH(tblMaster[[#This Row],[Order_Date]])</f>
        <v>9</v>
      </c>
      <c r="Y87" s="19" t="str">
        <f>"Q"&amp;ROUNDUP(tblMaster[[#This Row],[Month Number]]/3,0)</f>
        <v>Q3</v>
      </c>
      <c r="Z87" s="19">
        <f>YEAR(tblMaster[[#This Row],[Order_Date]])</f>
        <v>2023</v>
      </c>
      <c r="AA87" s="19" t="str">
        <f>TEXT(DAY(tblMaster[[#This Row],[Order_Date]]),"dddd")</f>
        <v>Friday</v>
      </c>
      <c r="AB87" s="19" t="str">
        <f>IF(tblMaster[[#This Row],[Revenue]]&gt;=5000,"High",IF(tblMaster[[#This Row],[Revenue]]&lt;2000,"Low","Medium"))</f>
        <v>Low</v>
      </c>
    </row>
    <row r="88" spans="1:28" x14ac:dyDescent="0.25">
      <c r="A88" s="7">
        <v>87</v>
      </c>
      <c r="B88" s="7" t="s">
        <v>224</v>
      </c>
      <c r="C88" s="4">
        <v>2</v>
      </c>
      <c r="D88" s="4">
        <v>5</v>
      </c>
      <c r="E88" s="8">
        <v>44961</v>
      </c>
      <c r="F88" s="9">
        <v>0.55371527777777774</v>
      </c>
      <c r="G88" s="8">
        <v>44968</v>
      </c>
      <c r="H88" s="9">
        <v>0.96291666666666664</v>
      </c>
      <c r="I88" s="7" t="s">
        <v>297</v>
      </c>
      <c r="J88" s="7" t="s">
        <v>12</v>
      </c>
      <c r="K88" s="18" t="str">
        <f>_xlfn.XLOOKUP(tblMaster[[#This Row],[Customer_ID]],tblCustomers[Customer_ID],tblCustomers[City],"Not Found",0)</f>
        <v>Imphal</v>
      </c>
      <c r="L88" s="18" t="str">
        <f>_xlfn.XLOOKUP(tblMaster[[#This Row],[Customer_ID]],tblCustomers[Customer_ID],tblCustomers[Name],"Not Found",0)</f>
        <v>Umang Luthra</v>
      </c>
      <c r="M88" s="18" t="str">
        <f>_xlfn.XLOOKUP(tblMaster[[#This Row],[Customer_ID]],tblCustomers[Customer_ID],tblCustomers[Gender],"Not Found",0)</f>
        <v>Male</v>
      </c>
      <c r="N88" s="18" t="str">
        <f>_xlfn.XLOOKUP(tblMaster[[#This Row],[Product_ID]],tblProducts[Product_ID],tblProducts[Product_Name],"Not Found",0)</f>
        <v>Voluptas Box</v>
      </c>
      <c r="O88" s="18" t="str">
        <f>_xlfn.XLOOKUP(tblMaster[[#This Row],[Product_ID]],tblProducts[Product_ID],tblProducts[Category],"Not Found",0)</f>
        <v>Plants</v>
      </c>
      <c r="P88" s="18" t="str">
        <f>_xlfn.XLOOKUP(tblMaster[[#This Row],[Product_ID]],tblProducts[Product_ID],tblProducts[Occasion],"Not Found",0)</f>
        <v>Valentine's Day</v>
      </c>
      <c r="Q88" s="18">
        <f>_xlfn.XLOOKUP(tblMaster[[#This Row],[Product_ID]],tblProducts[Product_ID],tblProducts[Price (INR)],"Not Found",0)</f>
        <v>441</v>
      </c>
      <c r="R88" s="19">
        <f>tblMaster[[#This Row],[Price]]*tblMaster[[#This Row],[Quantity]]</f>
        <v>2205</v>
      </c>
      <c r="S88" s="19">
        <f>tblMaster[[#This Row],[Price]]*0.7*tblMaster[[#This Row],[Quantity]]</f>
        <v>1543.5</v>
      </c>
      <c r="T88" s="19">
        <f>tblMaster[[#This Row],[Revenue]]-tblMaster[[#This Row],[Estimated Cost (at 70%) ]]</f>
        <v>661.5</v>
      </c>
      <c r="U88" s="19">
        <f>tblMaster[[#This Row],[Profit]]/tblMaster[[#This Row],[Revenue]]</f>
        <v>0.3</v>
      </c>
      <c r="V88" s="19">
        <f>tblMaster[[#This Row],[Delivery_Date]]-tblMaster[[#This Row],[Order_Date]]</f>
        <v>7</v>
      </c>
      <c r="W88" s="19" t="str">
        <f>TEXT(tblMaster[[#This Row],[Order_Date]],"mmmm")</f>
        <v>February</v>
      </c>
      <c r="X88" s="19">
        <f>MONTH(tblMaster[[#This Row],[Order_Date]])</f>
        <v>2</v>
      </c>
      <c r="Y88" s="19" t="str">
        <f>"Q"&amp;ROUNDUP(tblMaster[[#This Row],[Month Number]]/3,0)</f>
        <v>Q1</v>
      </c>
      <c r="Z88" s="19">
        <f>YEAR(tblMaster[[#This Row],[Order_Date]])</f>
        <v>2023</v>
      </c>
      <c r="AA88" s="19" t="str">
        <f>TEXT(DAY(tblMaster[[#This Row],[Order_Date]]),"dddd")</f>
        <v>Wednesday</v>
      </c>
      <c r="AB88" s="19" t="str">
        <f>IF(tblMaster[[#This Row],[Revenue]]&gt;=5000,"High",IF(tblMaster[[#This Row],[Revenue]]&lt;2000,"Low","Medium"))</f>
        <v>Medium</v>
      </c>
    </row>
    <row r="89" spans="1:28" x14ac:dyDescent="0.25">
      <c r="A89" s="10">
        <v>88</v>
      </c>
      <c r="B89" s="10" t="s">
        <v>289</v>
      </c>
      <c r="C89" s="5">
        <v>15</v>
      </c>
      <c r="D89" s="5">
        <v>4</v>
      </c>
      <c r="E89" s="11">
        <v>45282</v>
      </c>
      <c r="F89" s="12">
        <v>0.41841435185185183</v>
      </c>
      <c r="G89" s="11">
        <v>45292</v>
      </c>
      <c r="H89" s="12">
        <v>0.51244212962962965</v>
      </c>
      <c r="I89" s="10" t="s">
        <v>298</v>
      </c>
      <c r="J89" s="10" t="s">
        <v>30</v>
      </c>
      <c r="K89" s="18" t="str">
        <f>_xlfn.XLOOKUP(tblMaster[[#This Row],[Customer_ID]],tblCustomers[Customer_ID],tblCustomers[City],"Not Found",0)</f>
        <v>Chinsurah</v>
      </c>
      <c r="L89" s="18" t="str">
        <f>_xlfn.XLOOKUP(tblMaster[[#This Row],[Customer_ID]],tblCustomers[Customer_ID],tblCustomers[Name],"Not Found",0)</f>
        <v>Veer Ray</v>
      </c>
      <c r="M89" s="18" t="str">
        <f>_xlfn.XLOOKUP(tblMaster[[#This Row],[Customer_ID]],tblCustomers[Customer_ID],tblCustomers[Gender],"Not Found",0)</f>
        <v>Female</v>
      </c>
      <c r="N89" s="18" t="str">
        <f>_xlfn.XLOOKUP(tblMaster[[#This Row],[Product_ID]],tblProducts[Product_ID],tblProducts[Product_Name],"Not Found",0)</f>
        <v>Repudiandae Box</v>
      </c>
      <c r="O89" s="18" t="str">
        <f>_xlfn.XLOOKUP(tblMaster[[#This Row],[Product_ID]],tblProducts[Product_ID],tblProducts[Category],"Not Found",0)</f>
        <v>Raksha Bandhan</v>
      </c>
      <c r="P89" s="18" t="str">
        <f>_xlfn.XLOOKUP(tblMaster[[#This Row],[Product_ID]],tblProducts[Product_ID],tblProducts[Occasion],"Not Found",0)</f>
        <v>Anniversary</v>
      </c>
      <c r="Q89" s="18">
        <f>_xlfn.XLOOKUP(tblMaster[[#This Row],[Product_ID]],tblProducts[Product_ID],tblProducts[Price (INR)],"Not Found",0)</f>
        <v>1488</v>
      </c>
      <c r="R89" s="19">
        <f>tblMaster[[#This Row],[Price]]*tblMaster[[#This Row],[Quantity]]</f>
        <v>5952</v>
      </c>
      <c r="S89" s="19">
        <f>tblMaster[[#This Row],[Price]]*0.7*tblMaster[[#This Row],[Quantity]]</f>
        <v>4166.3999999999996</v>
      </c>
      <c r="T89" s="19">
        <f>tblMaster[[#This Row],[Revenue]]-tblMaster[[#This Row],[Estimated Cost (at 70%) ]]</f>
        <v>1785.6000000000004</v>
      </c>
      <c r="U89" s="19">
        <f>tblMaster[[#This Row],[Profit]]/tblMaster[[#This Row],[Revenue]]</f>
        <v>0.30000000000000004</v>
      </c>
      <c r="V89" s="19">
        <f>tblMaster[[#This Row],[Delivery_Date]]-tblMaster[[#This Row],[Order_Date]]</f>
        <v>10</v>
      </c>
      <c r="W89" s="19" t="str">
        <f>TEXT(tblMaster[[#This Row],[Order_Date]],"mmmm")</f>
        <v>December</v>
      </c>
      <c r="X89" s="19">
        <f>MONTH(tblMaster[[#This Row],[Order_Date]])</f>
        <v>12</v>
      </c>
      <c r="Y89" s="19" t="str">
        <f>"Q"&amp;ROUNDUP(tblMaster[[#This Row],[Month Number]]/3,0)</f>
        <v>Q4</v>
      </c>
      <c r="Z89" s="19">
        <f>YEAR(tblMaster[[#This Row],[Order_Date]])</f>
        <v>2023</v>
      </c>
      <c r="AA89" s="19" t="str">
        <f>TEXT(DAY(tblMaster[[#This Row],[Order_Date]]),"dddd")</f>
        <v>Sunday</v>
      </c>
      <c r="AB89" s="19" t="str">
        <f>IF(tblMaster[[#This Row],[Revenue]]&gt;=5000,"High",IF(tblMaster[[#This Row],[Revenue]]&lt;2000,"Low","Medium"))</f>
        <v>High</v>
      </c>
    </row>
    <row r="90" spans="1:28" x14ac:dyDescent="0.25">
      <c r="A90" s="7">
        <v>89</v>
      </c>
      <c r="B90" s="7" t="s">
        <v>299</v>
      </c>
      <c r="C90" s="4">
        <v>3</v>
      </c>
      <c r="D90" s="4">
        <v>5</v>
      </c>
      <c r="E90" s="8">
        <v>44969</v>
      </c>
      <c r="F90" s="9">
        <v>0.9561574074074074</v>
      </c>
      <c r="G90" s="8">
        <v>44970</v>
      </c>
      <c r="H90" s="9">
        <v>0.61228009259259264</v>
      </c>
      <c r="I90" s="7" t="s">
        <v>300</v>
      </c>
      <c r="J90" s="7" t="s">
        <v>12</v>
      </c>
      <c r="K90" s="18" t="str">
        <f>_xlfn.XLOOKUP(tblMaster[[#This Row],[Customer_ID]],tblCustomers[Customer_ID],tblCustomers[City],"Not Found",0)</f>
        <v>Satara</v>
      </c>
      <c r="L90" s="18" t="str">
        <f>_xlfn.XLOOKUP(tblMaster[[#This Row],[Customer_ID]],tblCustomers[Customer_ID],tblCustomers[Name],"Not Found",0)</f>
        <v>Riya Wagle</v>
      </c>
      <c r="M90" s="18" t="str">
        <f>_xlfn.XLOOKUP(tblMaster[[#This Row],[Customer_ID]],tblCustomers[Customer_ID],tblCustomers[Gender],"Not Found",0)</f>
        <v>Male</v>
      </c>
      <c r="N90" s="18" t="str">
        <f>_xlfn.XLOOKUP(tblMaster[[#This Row],[Product_ID]],tblProducts[Product_ID],tblProducts[Product_Name],"Not Found",0)</f>
        <v>Eius Gift</v>
      </c>
      <c r="O90" s="18" t="str">
        <f>_xlfn.XLOOKUP(tblMaster[[#This Row],[Product_ID]],tblProducts[Product_ID],tblProducts[Category],"Not Found",0)</f>
        <v>Colors</v>
      </c>
      <c r="P90" s="18" t="str">
        <f>_xlfn.XLOOKUP(tblMaster[[#This Row],[Product_ID]],tblProducts[Product_ID],tblProducts[Occasion],"Not Found",0)</f>
        <v>Valentine's Day</v>
      </c>
      <c r="Q90" s="18">
        <f>_xlfn.XLOOKUP(tblMaster[[#This Row],[Product_ID]],tblProducts[Product_ID],tblProducts[Price (INR)],"Not Found",0)</f>
        <v>1534</v>
      </c>
      <c r="R90" s="19">
        <f>tblMaster[[#This Row],[Price]]*tblMaster[[#This Row],[Quantity]]</f>
        <v>7670</v>
      </c>
      <c r="S90" s="19">
        <f>tblMaster[[#This Row],[Price]]*0.7*tblMaster[[#This Row],[Quantity]]</f>
        <v>5369</v>
      </c>
      <c r="T90" s="19">
        <f>tblMaster[[#This Row],[Revenue]]-tblMaster[[#This Row],[Estimated Cost (at 70%) ]]</f>
        <v>2301</v>
      </c>
      <c r="U90" s="19">
        <f>tblMaster[[#This Row],[Profit]]/tblMaster[[#This Row],[Revenue]]</f>
        <v>0.3</v>
      </c>
      <c r="V90" s="19">
        <f>tblMaster[[#This Row],[Delivery_Date]]-tblMaster[[#This Row],[Order_Date]]</f>
        <v>1</v>
      </c>
      <c r="W90" s="19" t="str">
        <f>TEXT(tblMaster[[#This Row],[Order_Date]],"mmmm")</f>
        <v>February</v>
      </c>
      <c r="X90" s="19">
        <f>MONTH(tblMaster[[#This Row],[Order_Date]])</f>
        <v>2</v>
      </c>
      <c r="Y90" s="19" t="str">
        <f>"Q"&amp;ROUNDUP(tblMaster[[#This Row],[Month Number]]/3,0)</f>
        <v>Q1</v>
      </c>
      <c r="Z90" s="19">
        <f>YEAR(tblMaster[[#This Row],[Order_Date]])</f>
        <v>2023</v>
      </c>
      <c r="AA90" s="19" t="str">
        <f>TEXT(DAY(tblMaster[[#This Row],[Order_Date]]),"dddd")</f>
        <v>Thursday</v>
      </c>
      <c r="AB90" s="19" t="str">
        <f>IF(tblMaster[[#This Row],[Revenue]]&gt;=5000,"High",IF(tblMaster[[#This Row],[Revenue]]&lt;2000,"Low","Medium"))</f>
        <v>High</v>
      </c>
    </row>
    <row r="91" spans="1:28" x14ac:dyDescent="0.25">
      <c r="A91" s="10">
        <v>90</v>
      </c>
      <c r="B91" s="10" t="s">
        <v>215</v>
      </c>
      <c r="C91" s="5">
        <v>41</v>
      </c>
      <c r="D91" s="5">
        <v>3</v>
      </c>
      <c r="E91" s="11">
        <v>45239</v>
      </c>
      <c r="F91" s="12">
        <v>0.87101851851851853</v>
      </c>
      <c r="G91" s="11">
        <v>45248</v>
      </c>
      <c r="H91" s="12">
        <v>0.74207175925925928</v>
      </c>
      <c r="I91" s="10" t="s">
        <v>301</v>
      </c>
      <c r="J91" s="10" t="s">
        <v>19</v>
      </c>
      <c r="K91" s="18" t="str">
        <f>_xlfn.XLOOKUP(tblMaster[[#This Row],[Customer_ID]],tblCustomers[Customer_ID],tblCustomers[City],"Not Found",0)</f>
        <v xml:space="preserve">Khora </v>
      </c>
      <c r="L91" s="18" t="str">
        <f>_xlfn.XLOOKUP(tblMaster[[#This Row],[Customer_ID]],tblCustomers[Customer_ID],tblCustomers[Name],"Not Found",0)</f>
        <v>Shalv Kulkarni</v>
      </c>
      <c r="M91" s="18" t="str">
        <f>_xlfn.XLOOKUP(tblMaster[[#This Row],[Customer_ID]],tblCustomers[Customer_ID],tblCustomers[Gender],"Not Found",0)</f>
        <v>Female</v>
      </c>
      <c r="N91" s="18" t="str">
        <f>_xlfn.XLOOKUP(tblMaster[[#This Row],[Product_ID]],tblProducts[Product_ID],tblProducts[Product_Name],"Not Found",0)</f>
        <v>Aut Box</v>
      </c>
      <c r="O91" s="18" t="str">
        <f>_xlfn.XLOOKUP(tblMaster[[#This Row],[Product_ID]],tblProducts[Product_ID],tblProducts[Category],"Not Found",0)</f>
        <v>Sweets</v>
      </c>
      <c r="P91" s="18" t="str">
        <f>_xlfn.XLOOKUP(tblMaster[[#This Row],[Product_ID]],tblProducts[Product_ID],tblProducts[Occasion],"Not Found",0)</f>
        <v>Diwali</v>
      </c>
      <c r="Q91" s="18">
        <f>_xlfn.XLOOKUP(tblMaster[[#This Row],[Product_ID]],tblProducts[Product_ID],tblProducts[Price (INR)],"Not Found",0)</f>
        <v>1977</v>
      </c>
      <c r="R91" s="19">
        <f>tblMaster[[#This Row],[Price]]*tblMaster[[#This Row],[Quantity]]</f>
        <v>5931</v>
      </c>
      <c r="S91" s="19">
        <f>tblMaster[[#This Row],[Price]]*0.7*tblMaster[[#This Row],[Quantity]]</f>
        <v>4151.7</v>
      </c>
      <c r="T91" s="19">
        <f>tblMaster[[#This Row],[Revenue]]-tblMaster[[#This Row],[Estimated Cost (at 70%) ]]</f>
        <v>1779.3000000000002</v>
      </c>
      <c r="U91" s="19">
        <f>tblMaster[[#This Row],[Profit]]/tblMaster[[#This Row],[Revenue]]</f>
        <v>0.30000000000000004</v>
      </c>
      <c r="V91" s="19">
        <f>tblMaster[[#This Row],[Delivery_Date]]-tblMaster[[#This Row],[Order_Date]]</f>
        <v>9</v>
      </c>
      <c r="W91" s="19" t="str">
        <f>TEXT(tblMaster[[#This Row],[Order_Date]],"mmmm")</f>
        <v>November</v>
      </c>
      <c r="X91" s="19">
        <f>MONTH(tblMaster[[#This Row],[Order_Date]])</f>
        <v>11</v>
      </c>
      <c r="Y91" s="19" t="str">
        <f>"Q"&amp;ROUNDUP(tblMaster[[#This Row],[Month Number]]/3,0)</f>
        <v>Q4</v>
      </c>
      <c r="Z91" s="19">
        <f>YEAR(tblMaster[[#This Row],[Order_Date]])</f>
        <v>2023</v>
      </c>
      <c r="AA91" s="19" t="str">
        <f>TEXT(DAY(tblMaster[[#This Row],[Order_Date]]),"dddd")</f>
        <v>Monday</v>
      </c>
      <c r="AB91" s="19" t="str">
        <f>IF(tblMaster[[#This Row],[Revenue]]&gt;=5000,"High",IF(tblMaster[[#This Row],[Revenue]]&lt;2000,"Low","Medium"))</f>
        <v>High</v>
      </c>
    </row>
    <row r="92" spans="1:28" x14ac:dyDescent="0.25">
      <c r="A92" s="7">
        <v>91</v>
      </c>
      <c r="B92" s="7" t="s">
        <v>302</v>
      </c>
      <c r="C92" s="4">
        <v>6</v>
      </c>
      <c r="D92" s="4">
        <v>2</v>
      </c>
      <c r="E92" s="8">
        <v>44984</v>
      </c>
      <c r="F92" s="9">
        <v>0.5784259259259259</v>
      </c>
      <c r="G92" s="8">
        <v>44990</v>
      </c>
      <c r="H92" s="9">
        <v>0.55792824074074077</v>
      </c>
      <c r="I92" s="7" t="s">
        <v>303</v>
      </c>
      <c r="J92" s="7" t="s">
        <v>25</v>
      </c>
      <c r="K92" s="18" t="str">
        <f>_xlfn.XLOOKUP(tblMaster[[#This Row],[Customer_ID]],tblCustomers[Customer_ID],tblCustomers[City],"Not Found",0)</f>
        <v>Kavali</v>
      </c>
      <c r="L92" s="18" t="str">
        <f>_xlfn.XLOOKUP(tblMaster[[#This Row],[Customer_ID]],tblCustomers[Customer_ID],tblCustomers[Name],"Not Found",0)</f>
        <v>Akarsh Ramesh</v>
      </c>
      <c r="M92" s="18" t="str">
        <f>_xlfn.XLOOKUP(tblMaster[[#This Row],[Customer_ID]],tblCustomers[Customer_ID],tblCustomers[Gender],"Not Found",0)</f>
        <v>Female</v>
      </c>
      <c r="N92" s="18" t="str">
        <f>_xlfn.XLOOKUP(tblMaster[[#This Row],[Product_ID]],tblProducts[Product_ID],tblProducts[Product_Name],"Not Found",0)</f>
        <v>Quos Box</v>
      </c>
      <c r="O92" s="18" t="str">
        <f>_xlfn.XLOOKUP(tblMaster[[#This Row],[Product_ID]],tblProducts[Product_ID],tblProducts[Category],"Not Found",0)</f>
        <v>Cake</v>
      </c>
      <c r="P92" s="18" t="str">
        <f>_xlfn.XLOOKUP(tblMaster[[#This Row],[Product_ID]],tblProducts[Product_ID],tblProducts[Occasion],"Not Found",0)</f>
        <v>Holi</v>
      </c>
      <c r="Q92" s="18">
        <f>_xlfn.XLOOKUP(tblMaster[[#This Row],[Product_ID]],tblProducts[Product_ID],tblProducts[Price (INR)],"Not Found",0)</f>
        <v>1112</v>
      </c>
      <c r="R92" s="19">
        <f>tblMaster[[#This Row],[Price]]*tblMaster[[#This Row],[Quantity]]</f>
        <v>2224</v>
      </c>
      <c r="S92" s="19">
        <f>tblMaster[[#This Row],[Price]]*0.7*tblMaster[[#This Row],[Quantity]]</f>
        <v>1556.8</v>
      </c>
      <c r="T92" s="19">
        <f>tblMaster[[#This Row],[Revenue]]-tblMaster[[#This Row],[Estimated Cost (at 70%) ]]</f>
        <v>667.2</v>
      </c>
      <c r="U92" s="19">
        <f>tblMaster[[#This Row],[Profit]]/tblMaster[[#This Row],[Revenue]]</f>
        <v>0.30000000000000004</v>
      </c>
      <c r="V92" s="19">
        <f>tblMaster[[#This Row],[Delivery_Date]]-tblMaster[[#This Row],[Order_Date]]</f>
        <v>6</v>
      </c>
      <c r="W92" s="19" t="str">
        <f>TEXT(tblMaster[[#This Row],[Order_Date]],"mmmm")</f>
        <v>February</v>
      </c>
      <c r="X92" s="19">
        <f>MONTH(tblMaster[[#This Row],[Order_Date]])</f>
        <v>2</v>
      </c>
      <c r="Y92" s="19" t="str">
        <f>"Q"&amp;ROUNDUP(tblMaster[[#This Row],[Month Number]]/3,0)</f>
        <v>Q1</v>
      </c>
      <c r="Z92" s="19">
        <f>YEAR(tblMaster[[#This Row],[Order_Date]])</f>
        <v>2023</v>
      </c>
      <c r="AA92" s="19" t="str">
        <f>TEXT(DAY(tblMaster[[#This Row],[Order_Date]]),"dddd")</f>
        <v>Friday</v>
      </c>
      <c r="AB92" s="19" t="str">
        <f>IF(tblMaster[[#This Row],[Revenue]]&gt;=5000,"High",IF(tblMaster[[#This Row],[Revenue]]&lt;2000,"Low","Medium"))</f>
        <v>Medium</v>
      </c>
    </row>
    <row r="93" spans="1:28" x14ac:dyDescent="0.25">
      <c r="A93" s="10">
        <v>92</v>
      </c>
      <c r="B93" s="10" t="s">
        <v>304</v>
      </c>
      <c r="C93" s="5">
        <v>18</v>
      </c>
      <c r="D93" s="5">
        <v>5</v>
      </c>
      <c r="E93" s="11">
        <v>45061</v>
      </c>
      <c r="F93" s="12">
        <v>7.8472222222222224E-3</v>
      </c>
      <c r="G93" s="11">
        <v>45071</v>
      </c>
      <c r="H93" s="12">
        <v>0.47077546296296297</v>
      </c>
      <c r="I93" s="10" t="s">
        <v>305</v>
      </c>
      <c r="J93" s="10" t="s">
        <v>36</v>
      </c>
      <c r="K93" s="18" t="str">
        <f>_xlfn.XLOOKUP(tblMaster[[#This Row],[Customer_ID]],tblCustomers[Customer_ID],tblCustomers[City],"Not Found",0)</f>
        <v>Phagwara</v>
      </c>
      <c r="L93" s="18" t="str">
        <f>_xlfn.XLOOKUP(tblMaster[[#This Row],[Customer_ID]],tblCustomers[Customer_ID],tblCustomers[Name],"Not Found",0)</f>
        <v>Pranay Chaudhary</v>
      </c>
      <c r="M93" s="18" t="str">
        <f>_xlfn.XLOOKUP(tblMaster[[#This Row],[Customer_ID]],tblCustomers[Customer_ID],tblCustomers[Gender],"Not Found",0)</f>
        <v>Female</v>
      </c>
      <c r="N93" s="18" t="str">
        <f>_xlfn.XLOOKUP(tblMaster[[#This Row],[Product_ID]],tblProducts[Product_ID],tblProducts[Product_Name],"Not Found",0)</f>
        <v>Nemo Set</v>
      </c>
      <c r="O93" s="18" t="str">
        <f>_xlfn.XLOOKUP(tblMaster[[#This Row],[Product_ID]],tblProducts[Product_ID],tblProducts[Category],"Not Found",0)</f>
        <v>Plants</v>
      </c>
      <c r="P93" s="18" t="str">
        <f>_xlfn.XLOOKUP(tblMaster[[#This Row],[Product_ID]],tblProducts[Product_ID],tblProducts[Occasion],"Not Found",0)</f>
        <v>Birthday</v>
      </c>
      <c r="Q93" s="18">
        <f>_xlfn.XLOOKUP(tblMaster[[#This Row],[Product_ID]],tblProducts[Product_ID],tblProducts[Price (INR)],"Not Found",0)</f>
        <v>781</v>
      </c>
      <c r="R93" s="19">
        <f>tblMaster[[#This Row],[Price]]*tblMaster[[#This Row],[Quantity]]</f>
        <v>3905</v>
      </c>
      <c r="S93" s="19">
        <f>tblMaster[[#This Row],[Price]]*0.7*tblMaster[[#This Row],[Quantity]]</f>
        <v>2733.4999999999995</v>
      </c>
      <c r="T93" s="19">
        <f>tblMaster[[#This Row],[Revenue]]-tblMaster[[#This Row],[Estimated Cost (at 70%) ]]</f>
        <v>1171.5000000000005</v>
      </c>
      <c r="U93" s="19">
        <f>tblMaster[[#This Row],[Profit]]/tblMaster[[#This Row],[Revenue]]</f>
        <v>0.3000000000000001</v>
      </c>
      <c r="V93" s="19">
        <f>tblMaster[[#This Row],[Delivery_Date]]-tblMaster[[#This Row],[Order_Date]]</f>
        <v>10</v>
      </c>
      <c r="W93" s="19" t="str">
        <f>TEXT(tblMaster[[#This Row],[Order_Date]],"mmmm")</f>
        <v>May</v>
      </c>
      <c r="X93" s="19">
        <f>MONTH(tblMaster[[#This Row],[Order_Date]])</f>
        <v>5</v>
      </c>
      <c r="Y93" s="19" t="str">
        <f>"Q"&amp;ROUNDUP(tblMaster[[#This Row],[Month Number]]/3,0)</f>
        <v>Q2</v>
      </c>
      <c r="Z93" s="19">
        <f>YEAR(tblMaster[[#This Row],[Order_Date]])</f>
        <v>2023</v>
      </c>
      <c r="AA93" s="19" t="str">
        <f>TEXT(DAY(tblMaster[[#This Row],[Order_Date]]),"dddd")</f>
        <v>Sunday</v>
      </c>
      <c r="AB93" s="19" t="str">
        <f>IF(tblMaster[[#This Row],[Revenue]]&gt;=5000,"High",IF(tblMaster[[#This Row],[Revenue]]&lt;2000,"Low","Medium"))</f>
        <v>Medium</v>
      </c>
    </row>
    <row r="94" spans="1:28" x14ac:dyDescent="0.25">
      <c r="A94" s="7">
        <v>93</v>
      </c>
      <c r="B94" s="7" t="s">
        <v>221</v>
      </c>
      <c r="C94" s="4">
        <v>24</v>
      </c>
      <c r="D94" s="4">
        <v>4</v>
      </c>
      <c r="E94" s="8">
        <v>45047</v>
      </c>
      <c r="F94" s="9">
        <v>0.74373842592592587</v>
      </c>
      <c r="G94" s="8">
        <v>45049</v>
      </c>
      <c r="H94" s="9">
        <v>0.77495370370370376</v>
      </c>
      <c r="I94" s="7" t="s">
        <v>306</v>
      </c>
      <c r="J94" s="7" t="s">
        <v>36</v>
      </c>
      <c r="K94" s="18" t="str">
        <f>_xlfn.XLOOKUP(tblMaster[[#This Row],[Customer_ID]],tblCustomers[Customer_ID],tblCustomers[City],"Not Found",0)</f>
        <v>Jorhat</v>
      </c>
      <c r="L94" s="18" t="str">
        <f>_xlfn.XLOOKUP(tblMaster[[#This Row],[Customer_ID]],tblCustomers[Customer_ID],tblCustomers[Name],"Not Found",0)</f>
        <v>Bhamini Ravi</v>
      </c>
      <c r="M94" s="18" t="str">
        <f>_xlfn.XLOOKUP(tblMaster[[#This Row],[Customer_ID]],tblCustomers[Customer_ID],tblCustomers[Gender],"Not Found",0)</f>
        <v>Male</v>
      </c>
      <c r="N94" s="18" t="str">
        <f>_xlfn.XLOOKUP(tblMaster[[#This Row],[Product_ID]],tblProducts[Product_ID],tblProducts[Product_Name],"Not Found",0)</f>
        <v>Ad Box</v>
      </c>
      <c r="O94" s="18" t="str">
        <f>_xlfn.XLOOKUP(tblMaster[[#This Row],[Product_ID]],tblProducts[Product_ID],tblProducts[Category],"Not Found",0)</f>
        <v>Mugs</v>
      </c>
      <c r="P94" s="18" t="str">
        <f>_xlfn.XLOOKUP(tblMaster[[#This Row],[Product_ID]],tblProducts[Product_ID],tblProducts[Occasion],"Not Found",0)</f>
        <v>Birthday</v>
      </c>
      <c r="Q94" s="18">
        <f>_xlfn.XLOOKUP(tblMaster[[#This Row],[Product_ID]],tblProducts[Product_ID],tblProducts[Price (INR)],"Not Found",0)</f>
        <v>535</v>
      </c>
      <c r="R94" s="19">
        <f>tblMaster[[#This Row],[Price]]*tblMaster[[#This Row],[Quantity]]</f>
        <v>2140</v>
      </c>
      <c r="S94" s="19">
        <f>tblMaster[[#This Row],[Price]]*0.7*tblMaster[[#This Row],[Quantity]]</f>
        <v>1498</v>
      </c>
      <c r="T94" s="19">
        <f>tblMaster[[#This Row],[Revenue]]-tblMaster[[#This Row],[Estimated Cost (at 70%) ]]</f>
        <v>642</v>
      </c>
      <c r="U94" s="19">
        <f>tblMaster[[#This Row],[Profit]]/tblMaster[[#This Row],[Revenue]]</f>
        <v>0.3</v>
      </c>
      <c r="V94" s="19">
        <f>tblMaster[[#This Row],[Delivery_Date]]-tblMaster[[#This Row],[Order_Date]]</f>
        <v>2</v>
      </c>
      <c r="W94" s="19" t="str">
        <f>TEXT(tblMaster[[#This Row],[Order_Date]],"mmmm")</f>
        <v>May</v>
      </c>
      <c r="X94" s="19">
        <f>MONTH(tblMaster[[#This Row],[Order_Date]])</f>
        <v>5</v>
      </c>
      <c r="Y94" s="19" t="str">
        <f>"Q"&amp;ROUNDUP(tblMaster[[#This Row],[Month Number]]/3,0)</f>
        <v>Q2</v>
      </c>
      <c r="Z94" s="19">
        <f>YEAR(tblMaster[[#This Row],[Order_Date]])</f>
        <v>2023</v>
      </c>
      <c r="AA94" s="19" t="str">
        <f>TEXT(DAY(tblMaster[[#This Row],[Order_Date]]),"dddd")</f>
        <v>Sunday</v>
      </c>
      <c r="AB94" s="19" t="str">
        <f>IF(tblMaster[[#This Row],[Revenue]]&gt;=5000,"High",IF(tblMaster[[#This Row],[Revenue]]&lt;2000,"Low","Medium"))</f>
        <v>Medium</v>
      </c>
    </row>
    <row r="95" spans="1:28" x14ac:dyDescent="0.25">
      <c r="A95" s="10">
        <v>94</v>
      </c>
      <c r="B95" s="10" t="s">
        <v>183</v>
      </c>
      <c r="C95" s="5">
        <v>69</v>
      </c>
      <c r="D95" s="5">
        <v>5</v>
      </c>
      <c r="E95" s="11">
        <v>44987</v>
      </c>
      <c r="F95" s="12">
        <v>0.61884259259259256</v>
      </c>
      <c r="G95" s="11">
        <v>44996</v>
      </c>
      <c r="H95" s="12">
        <v>0.34362268518518518</v>
      </c>
      <c r="I95" s="10" t="s">
        <v>307</v>
      </c>
      <c r="J95" s="10" t="s">
        <v>25</v>
      </c>
      <c r="K95" s="18" t="str">
        <f>_xlfn.XLOOKUP(tblMaster[[#This Row],[Customer_ID]],tblCustomers[Customer_ID],tblCustomers[City],"Not Found",0)</f>
        <v>Dhanbad</v>
      </c>
      <c r="L95" s="18" t="str">
        <f>_xlfn.XLOOKUP(tblMaster[[#This Row],[Customer_ID]],tblCustomers[Customer_ID],tblCustomers[Name],"Not Found",0)</f>
        <v>Ranbir Loyal</v>
      </c>
      <c r="M95" s="18" t="str">
        <f>_xlfn.XLOOKUP(tblMaster[[#This Row],[Customer_ID]],tblCustomers[Customer_ID],tblCustomers[Gender],"Not Found",0)</f>
        <v>Female</v>
      </c>
      <c r="N95" s="18" t="str">
        <f>_xlfn.XLOOKUP(tblMaster[[#This Row],[Product_ID]],tblProducts[Product_ID],tblProducts[Product_Name],"Not Found",0)</f>
        <v>Id Box</v>
      </c>
      <c r="O95" s="18" t="str">
        <f>_xlfn.XLOOKUP(tblMaster[[#This Row],[Product_ID]],tblProducts[Product_ID],tblProducts[Category],"Not Found",0)</f>
        <v>Cake</v>
      </c>
      <c r="P95" s="18" t="str">
        <f>_xlfn.XLOOKUP(tblMaster[[#This Row],[Product_ID]],tblProducts[Product_ID],tblProducts[Occasion],"Not Found",0)</f>
        <v>Holi</v>
      </c>
      <c r="Q95" s="18">
        <f>_xlfn.XLOOKUP(tblMaster[[#This Row],[Product_ID]],tblProducts[Product_ID],tblProducts[Price (INR)],"Not Found",0)</f>
        <v>998</v>
      </c>
      <c r="R95" s="19">
        <f>tblMaster[[#This Row],[Price]]*tblMaster[[#This Row],[Quantity]]</f>
        <v>4990</v>
      </c>
      <c r="S95" s="19">
        <f>tblMaster[[#This Row],[Price]]*0.7*tblMaster[[#This Row],[Quantity]]</f>
        <v>3492.9999999999995</v>
      </c>
      <c r="T95" s="19">
        <f>tblMaster[[#This Row],[Revenue]]-tblMaster[[#This Row],[Estimated Cost (at 70%) ]]</f>
        <v>1497.0000000000005</v>
      </c>
      <c r="U95" s="19">
        <f>tblMaster[[#This Row],[Profit]]/tblMaster[[#This Row],[Revenue]]</f>
        <v>0.3000000000000001</v>
      </c>
      <c r="V95" s="19">
        <f>tblMaster[[#This Row],[Delivery_Date]]-tblMaster[[#This Row],[Order_Date]]</f>
        <v>9</v>
      </c>
      <c r="W95" s="19" t="str">
        <f>TEXT(tblMaster[[#This Row],[Order_Date]],"mmmm")</f>
        <v>March</v>
      </c>
      <c r="X95" s="19">
        <f>MONTH(tblMaster[[#This Row],[Order_Date]])</f>
        <v>3</v>
      </c>
      <c r="Y95" s="19" t="str">
        <f>"Q"&amp;ROUNDUP(tblMaster[[#This Row],[Month Number]]/3,0)</f>
        <v>Q1</v>
      </c>
      <c r="Z95" s="19">
        <f>YEAR(tblMaster[[#This Row],[Order_Date]])</f>
        <v>2023</v>
      </c>
      <c r="AA95" s="19" t="str">
        <f>TEXT(DAY(tblMaster[[#This Row],[Order_Date]]),"dddd")</f>
        <v>Monday</v>
      </c>
      <c r="AB95" s="19" t="str">
        <f>IF(tblMaster[[#This Row],[Revenue]]&gt;=5000,"High",IF(tblMaster[[#This Row],[Revenue]]&lt;2000,"Low","Medium"))</f>
        <v>Medium</v>
      </c>
    </row>
    <row r="96" spans="1:28" x14ac:dyDescent="0.25">
      <c r="A96" s="7">
        <v>95</v>
      </c>
      <c r="B96" s="7" t="s">
        <v>308</v>
      </c>
      <c r="C96" s="4">
        <v>70</v>
      </c>
      <c r="D96" s="4">
        <v>4</v>
      </c>
      <c r="E96" s="8">
        <v>45075</v>
      </c>
      <c r="F96" s="9">
        <v>0.3296412037037037</v>
      </c>
      <c r="G96" s="8">
        <v>45080</v>
      </c>
      <c r="H96" s="9">
        <v>0.30315972222222221</v>
      </c>
      <c r="I96" s="7" t="s">
        <v>309</v>
      </c>
      <c r="J96" s="7" t="s">
        <v>36</v>
      </c>
      <c r="K96" s="18" t="str">
        <f>_xlfn.XLOOKUP(tblMaster[[#This Row],[Customer_ID]],tblCustomers[Customer_ID],tblCustomers[City],"Not Found",0)</f>
        <v>Kamarhati</v>
      </c>
      <c r="L96" s="18" t="str">
        <f>_xlfn.XLOOKUP(tblMaster[[#This Row],[Customer_ID]],tblCustomers[Customer_ID],tblCustomers[Name],"Not Found",0)</f>
        <v>Kaira Bahl</v>
      </c>
      <c r="M96" s="18" t="str">
        <f>_xlfn.XLOOKUP(tblMaster[[#This Row],[Customer_ID]],tblCustomers[Customer_ID],tblCustomers[Gender],"Not Found",0)</f>
        <v>Male</v>
      </c>
      <c r="N96" s="18" t="str">
        <f>_xlfn.XLOOKUP(tblMaster[[#This Row],[Product_ID]],tblProducts[Product_ID],tblProducts[Product_Name],"Not Found",0)</f>
        <v>Error Gift</v>
      </c>
      <c r="O96" s="18" t="str">
        <f>_xlfn.XLOOKUP(tblMaster[[#This Row],[Product_ID]],tblProducts[Product_ID],tblProducts[Category],"Not Found",0)</f>
        <v>Sweets</v>
      </c>
      <c r="P96" s="18" t="str">
        <f>_xlfn.XLOOKUP(tblMaster[[#This Row],[Product_ID]],tblProducts[Product_ID],tblProducts[Occasion],"Not Found",0)</f>
        <v>Birthday</v>
      </c>
      <c r="Q96" s="18">
        <f>_xlfn.XLOOKUP(tblMaster[[#This Row],[Product_ID]],tblProducts[Product_ID],tblProducts[Price (INR)],"Not Found",0)</f>
        <v>866</v>
      </c>
      <c r="R96" s="19">
        <f>tblMaster[[#This Row],[Price]]*tblMaster[[#This Row],[Quantity]]</f>
        <v>3464</v>
      </c>
      <c r="S96" s="19">
        <f>tblMaster[[#This Row],[Price]]*0.7*tblMaster[[#This Row],[Quantity]]</f>
        <v>2424.7999999999997</v>
      </c>
      <c r="T96" s="19">
        <f>tblMaster[[#This Row],[Revenue]]-tblMaster[[#This Row],[Estimated Cost (at 70%) ]]</f>
        <v>1039.2000000000003</v>
      </c>
      <c r="U96" s="19">
        <f>tblMaster[[#This Row],[Profit]]/tblMaster[[#This Row],[Revenue]]</f>
        <v>0.3000000000000001</v>
      </c>
      <c r="V96" s="19">
        <f>tblMaster[[#This Row],[Delivery_Date]]-tblMaster[[#This Row],[Order_Date]]</f>
        <v>5</v>
      </c>
      <c r="W96" s="19" t="str">
        <f>TEXT(tblMaster[[#This Row],[Order_Date]],"mmmm")</f>
        <v>May</v>
      </c>
      <c r="X96" s="19">
        <f>MONTH(tblMaster[[#This Row],[Order_Date]])</f>
        <v>5</v>
      </c>
      <c r="Y96" s="19" t="str">
        <f>"Q"&amp;ROUNDUP(tblMaster[[#This Row],[Month Number]]/3,0)</f>
        <v>Q2</v>
      </c>
      <c r="Z96" s="19">
        <f>YEAR(tblMaster[[#This Row],[Order_Date]])</f>
        <v>2023</v>
      </c>
      <c r="AA96" s="19" t="str">
        <f>TEXT(DAY(tblMaster[[#This Row],[Order_Date]]),"dddd")</f>
        <v>Sunday</v>
      </c>
      <c r="AB96" s="19" t="str">
        <f>IF(tblMaster[[#This Row],[Revenue]]&gt;=5000,"High",IF(tblMaster[[#This Row],[Revenue]]&lt;2000,"Low","Medium"))</f>
        <v>Medium</v>
      </c>
    </row>
    <row r="97" spans="1:28" x14ac:dyDescent="0.25">
      <c r="A97" s="10">
        <v>96</v>
      </c>
      <c r="B97" s="10" t="s">
        <v>183</v>
      </c>
      <c r="C97" s="5">
        <v>25</v>
      </c>
      <c r="D97" s="5">
        <v>3</v>
      </c>
      <c r="E97" s="11">
        <v>44999</v>
      </c>
      <c r="F97" s="12">
        <v>0.62524305555555559</v>
      </c>
      <c r="G97" s="11">
        <v>45008</v>
      </c>
      <c r="H97" s="12">
        <v>0.37229166666666669</v>
      </c>
      <c r="I97" s="10" t="s">
        <v>310</v>
      </c>
      <c r="J97" s="10" t="s">
        <v>30</v>
      </c>
      <c r="K97" s="18" t="str">
        <f>_xlfn.XLOOKUP(tblMaster[[#This Row],[Customer_ID]],tblCustomers[Customer_ID],tblCustomers[City],"Not Found",0)</f>
        <v>Dhanbad</v>
      </c>
      <c r="L97" s="18" t="str">
        <f>_xlfn.XLOOKUP(tblMaster[[#This Row],[Customer_ID]],tblCustomers[Customer_ID],tblCustomers[Name],"Not Found",0)</f>
        <v>Ranbir Loyal</v>
      </c>
      <c r="M97" s="18" t="str">
        <f>_xlfn.XLOOKUP(tblMaster[[#This Row],[Customer_ID]],tblCustomers[Customer_ID],tblCustomers[Gender],"Not Found",0)</f>
        <v>Female</v>
      </c>
      <c r="N97" s="18" t="str">
        <f>_xlfn.XLOOKUP(tblMaster[[#This Row],[Product_ID]],tblProducts[Product_ID],tblProducts[Product_Name],"Not Found",0)</f>
        <v>Qui Gift</v>
      </c>
      <c r="O97" s="18" t="str">
        <f>_xlfn.XLOOKUP(tblMaster[[#This Row],[Product_ID]],tblProducts[Product_ID],tblProducts[Category],"Not Found",0)</f>
        <v>Plants</v>
      </c>
      <c r="P97" s="18" t="str">
        <f>_xlfn.XLOOKUP(tblMaster[[#This Row],[Product_ID]],tblProducts[Product_ID],tblProducts[Occasion],"Not Found",0)</f>
        <v>Anniversary</v>
      </c>
      <c r="Q97" s="18">
        <f>_xlfn.XLOOKUP(tblMaster[[#This Row],[Product_ID]],tblProducts[Product_ID],tblProducts[Price (INR)],"Not Found",0)</f>
        <v>1202</v>
      </c>
      <c r="R97" s="19">
        <f>tblMaster[[#This Row],[Price]]*tblMaster[[#This Row],[Quantity]]</f>
        <v>3606</v>
      </c>
      <c r="S97" s="19">
        <f>tblMaster[[#This Row],[Price]]*0.7*tblMaster[[#This Row],[Quantity]]</f>
        <v>2524.1999999999998</v>
      </c>
      <c r="T97" s="19">
        <f>tblMaster[[#This Row],[Revenue]]-tblMaster[[#This Row],[Estimated Cost (at 70%) ]]</f>
        <v>1081.8000000000002</v>
      </c>
      <c r="U97" s="19">
        <f>tblMaster[[#This Row],[Profit]]/tblMaster[[#This Row],[Revenue]]</f>
        <v>0.30000000000000004</v>
      </c>
      <c r="V97" s="19">
        <f>tblMaster[[#This Row],[Delivery_Date]]-tblMaster[[#This Row],[Order_Date]]</f>
        <v>9</v>
      </c>
      <c r="W97" s="19" t="str">
        <f>TEXT(tblMaster[[#This Row],[Order_Date]],"mmmm")</f>
        <v>March</v>
      </c>
      <c r="X97" s="19">
        <f>MONTH(tblMaster[[#This Row],[Order_Date]])</f>
        <v>3</v>
      </c>
      <c r="Y97" s="19" t="str">
        <f>"Q"&amp;ROUNDUP(tblMaster[[#This Row],[Month Number]]/3,0)</f>
        <v>Q1</v>
      </c>
      <c r="Z97" s="19">
        <f>YEAR(tblMaster[[#This Row],[Order_Date]])</f>
        <v>2023</v>
      </c>
      <c r="AA97" s="19" t="str">
        <f>TEXT(DAY(tblMaster[[#This Row],[Order_Date]]),"dddd")</f>
        <v>Saturday</v>
      </c>
      <c r="AB97" s="19" t="str">
        <f>IF(tblMaster[[#This Row],[Revenue]]&gt;=5000,"High",IF(tblMaster[[#This Row],[Revenue]]&lt;2000,"Low","Medium"))</f>
        <v>Medium</v>
      </c>
    </row>
    <row r="98" spans="1:28" x14ac:dyDescent="0.25">
      <c r="A98" s="7">
        <v>97</v>
      </c>
      <c r="B98" s="7" t="s">
        <v>206</v>
      </c>
      <c r="C98" s="4">
        <v>41</v>
      </c>
      <c r="D98" s="4">
        <v>1</v>
      </c>
      <c r="E98" s="8">
        <v>45233</v>
      </c>
      <c r="F98" s="9">
        <v>0.84134259259259259</v>
      </c>
      <c r="G98" s="8">
        <v>45238</v>
      </c>
      <c r="H98" s="9">
        <v>6.626157407407407E-2</v>
      </c>
      <c r="I98" s="7" t="s">
        <v>240</v>
      </c>
      <c r="J98" s="7" t="s">
        <v>19</v>
      </c>
      <c r="K98" s="18" t="str">
        <f>_xlfn.XLOOKUP(tblMaster[[#This Row],[Customer_ID]],tblCustomers[Customer_ID],tblCustomers[City],"Not Found",0)</f>
        <v>Karaikudi</v>
      </c>
      <c r="L98" s="18" t="str">
        <f>_xlfn.XLOOKUP(tblMaster[[#This Row],[Customer_ID]],tblCustomers[Customer_ID],tblCustomers[Name],"Not Found",0)</f>
        <v>Rati Dhingra</v>
      </c>
      <c r="M98" s="18" t="str">
        <f>_xlfn.XLOOKUP(tblMaster[[#This Row],[Customer_ID]],tblCustomers[Customer_ID],tblCustomers[Gender],"Not Found",0)</f>
        <v>Male</v>
      </c>
      <c r="N98" s="18" t="str">
        <f>_xlfn.XLOOKUP(tblMaster[[#This Row],[Product_ID]],tblProducts[Product_ID],tblProducts[Product_Name],"Not Found",0)</f>
        <v>Aut Box</v>
      </c>
      <c r="O98" s="18" t="str">
        <f>_xlfn.XLOOKUP(tblMaster[[#This Row],[Product_ID]],tblProducts[Product_ID],tblProducts[Category],"Not Found",0)</f>
        <v>Sweets</v>
      </c>
      <c r="P98" s="18" t="str">
        <f>_xlfn.XLOOKUP(tblMaster[[#This Row],[Product_ID]],tblProducts[Product_ID],tblProducts[Occasion],"Not Found",0)</f>
        <v>Diwali</v>
      </c>
      <c r="Q98" s="18">
        <f>_xlfn.XLOOKUP(tblMaster[[#This Row],[Product_ID]],tblProducts[Product_ID],tblProducts[Price (INR)],"Not Found",0)</f>
        <v>1977</v>
      </c>
      <c r="R98" s="19">
        <f>tblMaster[[#This Row],[Price]]*tblMaster[[#This Row],[Quantity]]</f>
        <v>1977</v>
      </c>
      <c r="S98" s="19">
        <f>tblMaster[[#This Row],[Price]]*0.7*tblMaster[[#This Row],[Quantity]]</f>
        <v>1383.8999999999999</v>
      </c>
      <c r="T98" s="19">
        <f>tblMaster[[#This Row],[Revenue]]-tblMaster[[#This Row],[Estimated Cost (at 70%) ]]</f>
        <v>593.10000000000014</v>
      </c>
      <c r="U98" s="19">
        <f>tblMaster[[#This Row],[Profit]]/tblMaster[[#This Row],[Revenue]]</f>
        <v>0.30000000000000004</v>
      </c>
      <c r="V98" s="19">
        <f>tblMaster[[#This Row],[Delivery_Date]]-tblMaster[[#This Row],[Order_Date]]</f>
        <v>5</v>
      </c>
      <c r="W98" s="19" t="str">
        <f>TEXT(tblMaster[[#This Row],[Order_Date]],"mmmm")</f>
        <v>November</v>
      </c>
      <c r="X98" s="19">
        <f>MONTH(tblMaster[[#This Row],[Order_Date]])</f>
        <v>11</v>
      </c>
      <c r="Y98" s="19" t="str">
        <f>"Q"&amp;ROUNDUP(tblMaster[[#This Row],[Month Number]]/3,0)</f>
        <v>Q4</v>
      </c>
      <c r="Z98" s="19">
        <f>YEAR(tblMaster[[#This Row],[Order_Date]])</f>
        <v>2023</v>
      </c>
      <c r="AA98" s="19" t="str">
        <f>TEXT(DAY(tblMaster[[#This Row],[Order_Date]]),"dddd")</f>
        <v>Tuesday</v>
      </c>
      <c r="AB98" s="19" t="str">
        <f>IF(tblMaster[[#This Row],[Revenue]]&gt;=5000,"High",IF(tblMaster[[#This Row],[Revenue]]&lt;2000,"Low","Medium"))</f>
        <v>Low</v>
      </c>
    </row>
    <row r="99" spans="1:28" x14ac:dyDescent="0.25">
      <c r="A99" s="10">
        <v>98</v>
      </c>
      <c r="B99" s="10" t="s">
        <v>244</v>
      </c>
      <c r="C99" s="5">
        <v>8</v>
      </c>
      <c r="D99" s="5">
        <v>1</v>
      </c>
      <c r="E99" s="11">
        <v>45229</v>
      </c>
      <c r="F99" s="12">
        <v>0.6430555555555556</v>
      </c>
      <c r="G99" s="11">
        <v>45231</v>
      </c>
      <c r="H99" s="12">
        <v>0.69060185185185186</v>
      </c>
      <c r="I99" s="10" t="s">
        <v>218</v>
      </c>
      <c r="J99" s="10" t="s">
        <v>30</v>
      </c>
      <c r="K99" s="18" t="str">
        <f>_xlfn.XLOOKUP(tblMaster[[#This Row],[Customer_ID]],tblCustomers[Customer_ID],tblCustomers[City],"Not Found",0)</f>
        <v>Sasaram</v>
      </c>
      <c r="L99" s="18" t="str">
        <f>_xlfn.XLOOKUP(tblMaster[[#This Row],[Customer_ID]],tblCustomers[Customer_ID],tblCustomers[Name],"Not Found",0)</f>
        <v>Madhup Wable</v>
      </c>
      <c r="M99" s="18" t="str">
        <f>_xlfn.XLOOKUP(tblMaster[[#This Row],[Customer_ID]],tblCustomers[Customer_ID],tblCustomers[Gender],"Not Found",0)</f>
        <v>Female</v>
      </c>
      <c r="N99" s="18" t="str">
        <f>_xlfn.XLOOKUP(tblMaster[[#This Row],[Product_ID]],tblProducts[Product_ID],tblProducts[Product_Name],"Not Found",0)</f>
        <v>Qui Box</v>
      </c>
      <c r="O99" s="18" t="str">
        <f>_xlfn.XLOOKUP(tblMaster[[#This Row],[Product_ID]],tblProducts[Product_ID],tblProducts[Category],"Not Found",0)</f>
        <v>Sweets</v>
      </c>
      <c r="P99" s="18" t="str">
        <f>_xlfn.XLOOKUP(tblMaster[[#This Row],[Product_ID]],tblProducts[Product_ID],tblProducts[Occasion],"Not Found",0)</f>
        <v>Anniversary</v>
      </c>
      <c r="Q99" s="18">
        <f>_xlfn.XLOOKUP(tblMaster[[#This Row],[Product_ID]],tblProducts[Product_ID],tblProducts[Price (INR)],"Not Found",0)</f>
        <v>252</v>
      </c>
      <c r="R99" s="19">
        <f>tblMaster[[#This Row],[Price]]*tblMaster[[#This Row],[Quantity]]</f>
        <v>252</v>
      </c>
      <c r="S99" s="19">
        <f>tblMaster[[#This Row],[Price]]*0.7*tblMaster[[#This Row],[Quantity]]</f>
        <v>176.39999999999998</v>
      </c>
      <c r="T99" s="19">
        <f>tblMaster[[#This Row],[Revenue]]-tblMaster[[#This Row],[Estimated Cost (at 70%) ]]</f>
        <v>75.600000000000023</v>
      </c>
      <c r="U99" s="19">
        <f>tblMaster[[#This Row],[Profit]]/tblMaster[[#This Row],[Revenue]]</f>
        <v>0.3000000000000001</v>
      </c>
      <c r="V99" s="19">
        <f>tblMaster[[#This Row],[Delivery_Date]]-tblMaster[[#This Row],[Order_Date]]</f>
        <v>2</v>
      </c>
      <c r="W99" s="19" t="str">
        <f>TEXT(tblMaster[[#This Row],[Order_Date]],"mmmm")</f>
        <v>October</v>
      </c>
      <c r="X99" s="19">
        <f>MONTH(tblMaster[[#This Row],[Order_Date]])</f>
        <v>10</v>
      </c>
      <c r="Y99" s="19" t="str">
        <f>"Q"&amp;ROUNDUP(tblMaster[[#This Row],[Month Number]]/3,0)</f>
        <v>Q4</v>
      </c>
      <c r="Z99" s="19">
        <f>YEAR(tblMaster[[#This Row],[Order_Date]])</f>
        <v>2023</v>
      </c>
      <c r="AA99" s="19" t="str">
        <f>TEXT(DAY(tblMaster[[#This Row],[Order_Date]]),"dddd")</f>
        <v>Monday</v>
      </c>
      <c r="AB99" s="19" t="str">
        <f>IF(tblMaster[[#This Row],[Revenue]]&gt;=5000,"High",IF(tblMaster[[#This Row],[Revenue]]&lt;2000,"Low","Medium"))</f>
        <v>Low</v>
      </c>
    </row>
    <row r="100" spans="1:28" x14ac:dyDescent="0.25">
      <c r="A100" s="7">
        <v>99</v>
      </c>
      <c r="B100" s="7" t="s">
        <v>276</v>
      </c>
      <c r="C100" s="4">
        <v>38</v>
      </c>
      <c r="D100" s="4">
        <v>3</v>
      </c>
      <c r="E100" s="8">
        <v>45234</v>
      </c>
      <c r="F100" s="9">
        <v>0.58386574074074071</v>
      </c>
      <c r="G100" s="8">
        <v>45235</v>
      </c>
      <c r="H100" s="9">
        <v>0.65599537037037037</v>
      </c>
      <c r="I100" s="7" t="s">
        <v>311</v>
      </c>
      <c r="J100" s="7" t="s">
        <v>36</v>
      </c>
      <c r="K100" s="18" t="str">
        <f>_xlfn.XLOOKUP(tblMaster[[#This Row],[Customer_ID]],tblCustomers[Customer_ID],tblCustomers[City],"Not Found",0)</f>
        <v>Imphal</v>
      </c>
      <c r="L100" s="18" t="str">
        <f>_xlfn.XLOOKUP(tblMaster[[#This Row],[Customer_ID]],tblCustomers[Customer_ID],tblCustomers[Name],"Not Found",0)</f>
        <v>Chirag Srinivas</v>
      </c>
      <c r="M100" s="18" t="str">
        <f>_xlfn.XLOOKUP(tblMaster[[#This Row],[Customer_ID]],tblCustomers[Customer_ID],tblCustomers[Gender],"Not Found",0)</f>
        <v>Female</v>
      </c>
      <c r="N100" s="18" t="str">
        <f>_xlfn.XLOOKUP(tblMaster[[#This Row],[Product_ID]],tblProducts[Product_ID],tblProducts[Product_Name],"Not Found",0)</f>
        <v>Mollitia Set</v>
      </c>
      <c r="O100" s="18" t="str">
        <f>_xlfn.XLOOKUP(tblMaster[[#This Row],[Product_ID]],tblProducts[Product_ID],tblProducts[Category],"Not Found",0)</f>
        <v>Cake</v>
      </c>
      <c r="P100" s="18" t="str">
        <f>_xlfn.XLOOKUP(tblMaster[[#This Row],[Product_ID]],tblProducts[Product_ID],tblProducts[Occasion],"Not Found",0)</f>
        <v>Birthday</v>
      </c>
      <c r="Q100" s="18">
        <f>_xlfn.XLOOKUP(tblMaster[[#This Row],[Product_ID]],tblProducts[Product_ID],tblProducts[Price (INR)],"Not Found",0)</f>
        <v>562</v>
      </c>
      <c r="R100" s="19">
        <f>tblMaster[[#This Row],[Price]]*tblMaster[[#This Row],[Quantity]]</f>
        <v>1686</v>
      </c>
      <c r="S100" s="19">
        <f>tblMaster[[#This Row],[Price]]*0.7*tblMaster[[#This Row],[Quantity]]</f>
        <v>1180.1999999999998</v>
      </c>
      <c r="T100" s="19">
        <f>tblMaster[[#This Row],[Revenue]]-tblMaster[[#This Row],[Estimated Cost (at 70%) ]]</f>
        <v>505.80000000000018</v>
      </c>
      <c r="U100" s="19">
        <f>tblMaster[[#This Row],[Profit]]/tblMaster[[#This Row],[Revenue]]</f>
        <v>0.3000000000000001</v>
      </c>
      <c r="V100" s="19">
        <f>tblMaster[[#This Row],[Delivery_Date]]-tblMaster[[#This Row],[Order_Date]]</f>
        <v>1</v>
      </c>
      <c r="W100" s="19" t="str">
        <f>TEXT(tblMaster[[#This Row],[Order_Date]],"mmmm")</f>
        <v>November</v>
      </c>
      <c r="X100" s="19">
        <f>MONTH(tblMaster[[#This Row],[Order_Date]])</f>
        <v>11</v>
      </c>
      <c r="Y100" s="19" t="str">
        <f>"Q"&amp;ROUNDUP(tblMaster[[#This Row],[Month Number]]/3,0)</f>
        <v>Q4</v>
      </c>
      <c r="Z100" s="19">
        <f>YEAR(tblMaster[[#This Row],[Order_Date]])</f>
        <v>2023</v>
      </c>
      <c r="AA100" s="19" t="str">
        <f>TEXT(DAY(tblMaster[[#This Row],[Order_Date]]),"dddd")</f>
        <v>Wednesday</v>
      </c>
      <c r="AB100" s="19" t="str">
        <f>IF(tblMaster[[#This Row],[Revenue]]&gt;=5000,"High",IF(tblMaster[[#This Row],[Revenue]]&lt;2000,"Low","Medium"))</f>
        <v>Low</v>
      </c>
    </row>
    <row r="101" spans="1:28" x14ac:dyDescent="0.25">
      <c r="A101" s="10">
        <v>100</v>
      </c>
      <c r="B101" s="10" t="s">
        <v>224</v>
      </c>
      <c r="C101" s="5">
        <v>42</v>
      </c>
      <c r="D101" s="5">
        <v>5</v>
      </c>
      <c r="E101" s="11">
        <v>45055</v>
      </c>
      <c r="F101" s="12">
        <v>0.24313657407407407</v>
      </c>
      <c r="G101" s="11">
        <v>45063</v>
      </c>
      <c r="H101" s="12">
        <v>0.22946759259259258</v>
      </c>
      <c r="I101" s="10" t="s">
        <v>312</v>
      </c>
      <c r="J101" s="10" t="s">
        <v>8</v>
      </c>
      <c r="K101" s="18" t="str">
        <f>_xlfn.XLOOKUP(tblMaster[[#This Row],[Customer_ID]],tblCustomers[Customer_ID],tblCustomers[City],"Not Found",0)</f>
        <v>Imphal</v>
      </c>
      <c r="L101" s="18" t="str">
        <f>_xlfn.XLOOKUP(tblMaster[[#This Row],[Customer_ID]],tblCustomers[Customer_ID],tblCustomers[Name],"Not Found",0)</f>
        <v>Umang Luthra</v>
      </c>
      <c r="M101" s="18" t="str">
        <f>_xlfn.XLOOKUP(tblMaster[[#This Row],[Customer_ID]],tblCustomers[Customer_ID],tblCustomers[Gender],"Not Found",0)</f>
        <v>Male</v>
      </c>
      <c r="N101" s="18" t="str">
        <f>_xlfn.XLOOKUP(tblMaster[[#This Row],[Product_ID]],tblProducts[Product_ID],tblProducts[Product_Name],"Not Found",0)</f>
        <v>Expedita Gift</v>
      </c>
      <c r="O101" s="18" t="str">
        <f>_xlfn.XLOOKUP(tblMaster[[#This Row],[Product_ID]],tblProducts[Product_ID],tblProducts[Category],"Not Found",0)</f>
        <v>Sweets</v>
      </c>
      <c r="P101" s="18" t="str">
        <f>_xlfn.XLOOKUP(tblMaster[[#This Row],[Product_ID]],tblProducts[Product_ID],tblProducts[Occasion],"Not Found",0)</f>
        <v>All Occasions</v>
      </c>
      <c r="Q101" s="18">
        <f>_xlfn.XLOOKUP(tblMaster[[#This Row],[Product_ID]],tblProducts[Product_ID],tblProducts[Price (INR)],"Not Found",0)</f>
        <v>1744</v>
      </c>
      <c r="R101" s="19">
        <f>tblMaster[[#This Row],[Price]]*tblMaster[[#This Row],[Quantity]]</f>
        <v>8720</v>
      </c>
      <c r="S101" s="19">
        <f>tblMaster[[#This Row],[Price]]*0.7*tblMaster[[#This Row],[Quantity]]</f>
        <v>6104</v>
      </c>
      <c r="T101" s="19">
        <f>tblMaster[[#This Row],[Revenue]]-tblMaster[[#This Row],[Estimated Cost (at 70%) ]]</f>
        <v>2616</v>
      </c>
      <c r="U101" s="19">
        <f>tblMaster[[#This Row],[Profit]]/tblMaster[[#This Row],[Revenue]]</f>
        <v>0.3</v>
      </c>
      <c r="V101" s="19">
        <f>tblMaster[[#This Row],[Delivery_Date]]-tblMaster[[#This Row],[Order_Date]]</f>
        <v>8</v>
      </c>
      <c r="W101" s="19" t="str">
        <f>TEXT(tblMaster[[#This Row],[Order_Date]],"mmmm")</f>
        <v>May</v>
      </c>
      <c r="X101" s="19">
        <f>MONTH(tblMaster[[#This Row],[Order_Date]])</f>
        <v>5</v>
      </c>
      <c r="Y101" s="19" t="str">
        <f>"Q"&amp;ROUNDUP(tblMaster[[#This Row],[Month Number]]/3,0)</f>
        <v>Q2</v>
      </c>
      <c r="Z101" s="19">
        <f>YEAR(tblMaster[[#This Row],[Order_Date]])</f>
        <v>2023</v>
      </c>
      <c r="AA101" s="19" t="str">
        <f>TEXT(DAY(tblMaster[[#This Row],[Order_Date]]),"dddd")</f>
        <v>Monday</v>
      </c>
      <c r="AB101" s="19" t="str">
        <f>IF(tblMaster[[#This Row],[Revenue]]&gt;=5000,"High",IF(tblMaster[[#This Row],[Revenue]]&lt;2000,"Low","Medium"))</f>
        <v>High</v>
      </c>
    </row>
    <row r="102" spans="1:28" x14ac:dyDescent="0.25">
      <c r="A102" s="7">
        <v>101</v>
      </c>
      <c r="B102" s="7" t="s">
        <v>216</v>
      </c>
      <c r="C102" s="4">
        <v>70</v>
      </c>
      <c r="D102" s="4">
        <v>4</v>
      </c>
      <c r="E102" s="8">
        <v>45096</v>
      </c>
      <c r="F102" s="9">
        <v>0.16449074074074074</v>
      </c>
      <c r="G102" s="8">
        <v>45098</v>
      </c>
      <c r="H102" s="9">
        <v>0.26292824074074073</v>
      </c>
      <c r="I102" s="7" t="s">
        <v>186</v>
      </c>
      <c r="J102" s="7" t="s">
        <v>36</v>
      </c>
      <c r="K102" s="18" t="str">
        <f>_xlfn.XLOOKUP(tblMaster[[#This Row],[Customer_ID]],tblCustomers[Customer_ID],tblCustomers[City],"Not Found",0)</f>
        <v>Srikakulam</v>
      </c>
      <c r="L102" s="18" t="str">
        <f>_xlfn.XLOOKUP(tblMaster[[#This Row],[Customer_ID]],tblCustomers[Customer_ID],tblCustomers[Name],"Not Found",0)</f>
        <v>Indrajit Kale</v>
      </c>
      <c r="M102" s="18" t="str">
        <f>_xlfn.XLOOKUP(tblMaster[[#This Row],[Customer_ID]],tblCustomers[Customer_ID],tblCustomers[Gender],"Not Found",0)</f>
        <v>Male</v>
      </c>
      <c r="N102" s="18" t="str">
        <f>_xlfn.XLOOKUP(tblMaster[[#This Row],[Product_ID]],tblProducts[Product_ID],tblProducts[Product_Name],"Not Found",0)</f>
        <v>Error Gift</v>
      </c>
      <c r="O102" s="18" t="str">
        <f>_xlfn.XLOOKUP(tblMaster[[#This Row],[Product_ID]],tblProducts[Product_ID],tblProducts[Category],"Not Found",0)</f>
        <v>Sweets</v>
      </c>
      <c r="P102" s="18" t="str">
        <f>_xlfn.XLOOKUP(tblMaster[[#This Row],[Product_ID]],tblProducts[Product_ID],tblProducts[Occasion],"Not Found",0)</f>
        <v>Birthday</v>
      </c>
      <c r="Q102" s="18">
        <f>_xlfn.XLOOKUP(tblMaster[[#This Row],[Product_ID]],tblProducts[Product_ID],tblProducts[Price (INR)],"Not Found",0)</f>
        <v>866</v>
      </c>
      <c r="R102" s="19">
        <f>tblMaster[[#This Row],[Price]]*tblMaster[[#This Row],[Quantity]]</f>
        <v>3464</v>
      </c>
      <c r="S102" s="19">
        <f>tblMaster[[#This Row],[Price]]*0.7*tblMaster[[#This Row],[Quantity]]</f>
        <v>2424.7999999999997</v>
      </c>
      <c r="T102" s="19">
        <f>tblMaster[[#This Row],[Revenue]]-tblMaster[[#This Row],[Estimated Cost (at 70%) ]]</f>
        <v>1039.2000000000003</v>
      </c>
      <c r="U102" s="19">
        <f>tblMaster[[#This Row],[Profit]]/tblMaster[[#This Row],[Revenue]]</f>
        <v>0.3000000000000001</v>
      </c>
      <c r="V102" s="19">
        <f>tblMaster[[#This Row],[Delivery_Date]]-tblMaster[[#This Row],[Order_Date]]</f>
        <v>2</v>
      </c>
      <c r="W102" s="19" t="str">
        <f>TEXT(tblMaster[[#This Row],[Order_Date]],"mmmm")</f>
        <v>June</v>
      </c>
      <c r="X102" s="19">
        <f>MONTH(tblMaster[[#This Row],[Order_Date]])</f>
        <v>6</v>
      </c>
      <c r="Y102" s="19" t="str">
        <f>"Q"&amp;ROUNDUP(tblMaster[[#This Row],[Month Number]]/3,0)</f>
        <v>Q2</v>
      </c>
      <c r="Z102" s="19">
        <f>YEAR(tblMaster[[#This Row],[Order_Date]])</f>
        <v>2023</v>
      </c>
      <c r="AA102" s="19" t="str">
        <f>TEXT(DAY(tblMaster[[#This Row],[Order_Date]]),"dddd")</f>
        <v>Thursday</v>
      </c>
      <c r="AB102" s="19" t="str">
        <f>IF(tblMaster[[#This Row],[Revenue]]&gt;=5000,"High",IF(tblMaster[[#This Row],[Revenue]]&lt;2000,"Low","Medium"))</f>
        <v>Medium</v>
      </c>
    </row>
    <row r="103" spans="1:28" x14ac:dyDescent="0.25">
      <c r="A103" s="10">
        <v>102</v>
      </c>
      <c r="B103" s="10" t="s">
        <v>313</v>
      </c>
      <c r="C103" s="5">
        <v>10</v>
      </c>
      <c r="D103" s="5">
        <v>3</v>
      </c>
      <c r="E103" s="11">
        <v>45227</v>
      </c>
      <c r="F103" s="12">
        <v>0.81543981481481487</v>
      </c>
      <c r="G103" s="11">
        <v>45236</v>
      </c>
      <c r="H103" s="12">
        <v>0.29623842592592592</v>
      </c>
      <c r="I103" s="10" t="s">
        <v>314</v>
      </c>
      <c r="J103" s="10" t="s">
        <v>36</v>
      </c>
      <c r="K103" s="18" t="str">
        <f>_xlfn.XLOOKUP(tblMaster[[#This Row],[Customer_ID]],tblCustomers[Customer_ID],tblCustomers[City],"Not Found",0)</f>
        <v>Ratlam</v>
      </c>
      <c r="L103" s="18" t="str">
        <f>_xlfn.XLOOKUP(tblMaster[[#This Row],[Customer_ID]],tblCustomers[Customer_ID],tblCustomers[Name],"Not Found",0)</f>
        <v>Kaira Ramachandran</v>
      </c>
      <c r="M103" s="18" t="str">
        <f>_xlfn.XLOOKUP(tblMaster[[#This Row],[Customer_ID]],tblCustomers[Customer_ID],tblCustomers[Gender],"Not Found",0)</f>
        <v>Male</v>
      </c>
      <c r="N103" s="18" t="str">
        <f>_xlfn.XLOOKUP(tblMaster[[#This Row],[Product_ID]],tblProducts[Product_ID],tblProducts[Product_Name],"Not Found",0)</f>
        <v>Accusantium Gift</v>
      </c>
      <c r="O103" s="18" t="str">
        <f>_xlfn.XLOOKUP(tblMaster[[#This Row],[Product_ID]],tblProducts[Product_ID],tblProducts[Category],"Not Found",0)</f>
        <v>Cake</v>
      </c>
      <c r="P103" s="18" t="str">
        <f>_xlfn.XLOOKUP(tblMaster[[#This Row],[Product_ID]],tblProducts[Product_ID],tblProducts[Occasion],"Not Found",0)</f>
        <v>Birthday</v>
      </c>
      <c r="Q103" s="18">
        <f>_xlfn.XLOOKUP(tblMaster[[#This Row],[Product_ID]],tblProducts[Product_ID],tblProducts[Price (INR)],"Not Found",0)</f>
        <v>259</v>
      </c>
      <c r="R103" s="19">
        <f>tblMaster[[#This Row],[Price]]*tblMaster[[#This Row],[Quantity]]</f>
        <v>777</v>
      </c>
      <c r="S103" s="19">
        <f>tblMaster[[#This Row],[Price]]*0.7*tblMaster[[#This Row],[Quantity]]</f>
        <v>543.9</v>
      </c>
      <c r="T103" s="19">
        <f>tblMaster[[#This Row],[Revenue]]-tblMaster[[#This Row],[Estimated Cost (at 70%) ]]</f>
        <v>233.10000000000002</v>
      </c>
      <c r="U103" s="19">
        <f>tblMaster[[#This Row],[Profit]]/tblMaster[[#This Row],[Revenue]]</f>
        <v>0.30000000000000004</v>
      </c>
      <c r="V103" s="19">
        <f>tblMaster[[#This Row],[Delivery_Date]]-tblMaster[[#This Row],[Order_Date]]</f>
        <v>9</v>
      </c>
      <c r="W103" s="19" t="str">
        <f>TEXT(tblMaster[[#This Row],[Order_Date]],"mmmm")</f>
        <v>October</v>
      </c>
      <c r="X103" s="19">
        <f>MONTH(tblMaster[[#This Row],[Order_Date]])</f>
        <v>10</v>
      </c>
      <c r="Y103" s="19" t="str">
        <f>"Q"&amp;ROUNDUP(tblMaster[[#This Row],[Month Number]]/3,0)</f>
        <v>Q4</v>
      </c>
      <c r="Z103" s="19">
        <f>YEAR(tblMaster[[#This Row],[Order_Date]])</f>
        <v>2023</v>
      </c>
      <c r="AA103" s="19" t="str">
        <f>TEXT(DAY(tblMaster[[#This Row],[Order_Date]]),"dddd")</f>
        <v>Saturday</v>
      </c>
      <c r="AB103" s="19" t="str">
        <f>IF(tblMaster[[#This Row],[Revenue]]&gt;=5000,"High",IF(tblMaster[[#This Row],[Revenue]]&lt;2000,"Low","Medium"))</f>
        <v>Low</v>
      </c>
    </row>
    <row r="104" spans="1:28" x14ac:dyDescent="0.25">
      <c r="A104" s="7">
        <v>103</v>
      </c>
      <c r="B104" s="7" t="s">
        <v>180</v>
      </c>
      <c r="C104" s="4">
        <v>18</v>
      </c>
      <c r="D104" s="4">
        <v>3</v>
      </c>
      <c r="E104" s="8">
        <v>44958</v>
      </c>
      <c r="F104" s="9">
        <v>0.51734953703703701</v>
      </c>
      <c r="G104" s="8">
        <v>44965</v>
      </c>
      <c r="H104" s="9">
        <v>0.95253472222222224</v>
      </c>
      <c r="I104" s="7" t="s">
        <v>315</v>
      </c>
      <c r="J104" s="7" t="s">
        <v>36</v>
      </c>
      <c r="K104" s="18" t="str">
        <f>_xlfn.XLOOKUP(tblMaster[[#This Row],[Customer_ID]],tblCustomers[Customer_ID],tblCustomers[City],"Not Found",0)</f>
        <v>Sri Ganganagar</v>
      </c>
      <c r="L104" s="18" t="str">
        <f>_xlfn.XLOOKUP(tblMaster[[#This Row],[Customer_ID]],tblCustomers[Customer_ID],tblCustomers[Name],"Not Found",0)</f>
        <v>Nakul Randhawa</v>
      </c>
      <c r="M104" s="18" t="str">
        <f>_xlfn.XLOOKUP(tblMaster[[#This Row],[Customer_ID]],tblCustomers[Customer_ID],tblCustomers[Gender],"Not Found",0)</f>
        <v>Female</v>
      </c>
      <c r="N104" s="18" t="str">
        <f>_xlfn.XLOOKUP(tblMaster[[#This Row],[Product_ID]],tblProducts[Product_ID],tblProducts[Product_Name],"Not Found",0)</f>
        <v>Nemo Set</v>
      </c>
      <c r="O104" s="18" t="str">
        <f>_xlfn.XLOOKUP(tblMaster[[#This Row],[Product_ID]],tblProducts[Product_ID],tblProducts[Category],"Not Found",0)</f>
        <v>Plants</v>
      </c>
      <c r="P104" s="18" t="str">
        <f>_xlfn.XLOOKUP(tblMaster[[#This Row],[Product_ID]],tblProducts[Product_ID],tblProducts[Occasion],"Not Found",0)</f>
        <v>Birthday</v>
      </c>
      <c r="Q104" s="18">
        <f>_xlfn.XLOOKUP(tblMaster[[#This Row],[Product_ID]],tblProducts[Product_ID],tblProducts[Price (INR)],"Not Found",0)</f>
        <v>781</v>
      </c>
      <c r="R104" s="19">
        <f>tblMaster[[#This Row],[Price]]*tblMaster[[#This Row],[Quantity]]</f>
        <v>2343</v>
      </c>
      <c r="S104" s="19">
        <f>tblMaster[[#This Row],[Price]]*0.7*tblMaster[[#This Row],[Quantity]]</f>
        <v>1640.1</v>
      </c>
      <c r="T104" s="19">
        <f>tblMaster[[#This Row],[Revenue]]-tblMaster[[#This Row],[Estimated Cost (at 70%) ]]</f>
        <v>702.90000000000009</v>
      </c>
      <c r="U104" s="19">
        <f>tblMaster[[#This Row],[Profit]]/tblMaster[[#This Row],[Revenue]]</f>
        <v>0.30000000000000004</v>
      </c>
      <c r="V104" s="19">
        <f>tblMaster[[#This Row],[Delivery_Date]]-tblMaster[[#This Row],[Order_Date]]</f>
        <v>7</v>
      </c>
      <c r="W104" s="19" t="str">
        <f>TEXT(tblMaster[[#This Row],[Order_Date]],"mmmm")</f>
        <v>February</v>
      </c>
      <c r="X104" s="19">
        <f>MONTH(tblMaster[[#This Row],[Order_Date]])</f>
        <v>2</v>
      </c>
      <c r="Y104" s="19" t="str">
        <f>"Q"&amp;ROUNDUP(tblMaster[[#This Row],[Month Number]]/3,0)</f>
        <v>Q1</v>
      </c>
      <c r="Z104" s="19">
        <f>YEAR(tblMaster[[#This Row],[Order_Date]])</f>
        <v>2023</v>
      </c>
      <c r="AA104" s="19" t="str">
        <f>TEXT(DAY(tblMaster[[#This Row],[Order_Date]]),"dddd")</f>
        <v>Sunday</v>
      </c>
      <c r="AB104" s="19" t="str">
        <f>IF(tblMaster[[#This Row],[Revenue]]&gt;=5000,"High",IF(tblMaster[[#This Row],[Revenue]]&lt;2000,"Low","Medium"))</f>
        <v>Medium</v>
      </c>
    </row>
    <row r="105" spans="1:28" x14ac:dyDescent="0.25">
      <c r="A105" s="10">
        <v>104</v>
      </c>
      <c r="B105" s="10" t="s">
        <v>316</v>
      </c>
      <c r="C105" s="5">
        <v>51</v>
      </c>
      <c r="D105" s="5">
        <v>3</v>
      </c>
      <c r="E105" s="11">
        <v>45289</v>
      </c>
      <c r="F105" s="12">
        <v>7.3252314814814812E-2</v>
      </c>
      <c r="G105" s="11">
        <v>45296</v>
      </c>
      <c r="H105" s="12">
        <v>1.074074074074074E-2</v>
      </c>
      <c r="I105" s="10" t="s">
        <v>317</v>
      </c>
      <c r="J105" s="10" t="s">
        <v>8</v>
      </c>
      <c r="K105" s="18" t="str">
        <f>_xlfn.XLOOKUP(tblMaster[[#This Row],[Customer_ID]],tblCustomers[Customer_ID],tblCustomers[City],"Not Found",0)</f>
        <v>Ahmednagar</v>
      </c>
      <c r="L105" s="18" t="str">
        <f>_xlfn.XLOOKUP(tblMaster[[#This Row],[Customer_ID]],tblCustomers[Customer_ID],tblCustomers[Name],"Not Found",0)</f>
        <v>Anya Chaudhari</v>
      </c>
      <c r="M105" s="18" t="str">
        <f>_xlfn.XLOOKUP(tblMaster[[#This Row],[Customer_ID]],tblCustomers[Customer_ID],tblCustomers[Gender],"Not Found",0)</f>
        <v>Female</v>
      </c>
      <c r="N105" s="18" t="str">
        <f>_xlfn.XLOOKUP(tblMaster[[#This Row],[Product_ID]],tblProducts[Product_ID],tblProducts[Product_Name],"Not Found",0)</f>
        <v>Fugit Set</v>
      </c>
      <c r="O105" s="18" t="str">
        <f>_xlfn.XLOOKUP(tblMaster[[#This Row],[Product_ID]],tblProducts[Product_ID],tblProducts[Category],"Not Found",0)</f>
        <v>Soft Toys</v>
      </c>
      <c r="P105" s="18" t="str">
        <f>_xlfn.XLOOKUP(tblMaster[[#This Row],[Product_ID]],tblProducts[Product_ID],tblProducts[Occasion],"Not Found",0)</f>
        <v>All Occasions</v>
      </c>
      <c r="Q105" s="18">
        <f>_xlfn.XLOOKUP(tblMaster[[#This Row],[Product_ID]],tblProducts[Product_ID],tblProducts[Price (INR)],"Not Found",0)</f>
        <v>1084</v>
      </c>
      <c r="R105" s="19">
        <f>tblMaster[[#This Row],[Price]]*tblMaster[[#This Row],[Quantity]]</f>
        <v>3252</v>
      </c>
      <c r="S105" s="19">
        <f>tblMaster[[#This Row],[Price]]*0.7*tblMaster[[#This Row],[Quantity]]</f>
        <v>2276.3999999999996</v>
      </c>
      <c r="T105" s="19">
        <f>tblMaster[[#This Row],[Revenue]]-tblMaster[[#This Row],[Estimated Cost (at 70%) ]]</f>
        <v>975.60000000000036</v>
      </c>
      <c r="U105" s="19">
        <f>tblMaster[[#This Row],[Profit]]/tblMaster[[#This Row],[Revenue]]</f>
        <v>0.3000000000000001</v>
      </c>
      <c r="V105" s="19">
        <f>tblMaster[[#This Row],[Delivery_Date]]-tblMaster[[#This Row],[Order_Date]]</f>
        <v>7</v>
      </c>
      <c r="W105" s="19" t="str">
        <f>TEXT(tblMaster[[#This Row],[Order_Date]],"mmmm")</f>
        <v>December</v>
      </c>
      <c r="X105" s="19">
        <f>MONTH(tblMaster[[#This Row],[Order_Date]])</f>
        <v>12</v>
      </c>
      <c r="Y105" s="19" t="str">
        <f>"Q"&amp;ROUNDUP(tblMaster[[#This Row],[Month Number]]/3,0)</f>
        <v>Q4</v>
      </c>
      <c r="Z105" s="19">
        <f>YEAR(tblMaster[[#This Row],[Order_Date]])</f>
        <v>2023</v>
      </c>
      <c r="AA105" s="19" t="str">
        <f>TEXT(DAY(tblMaster[[#This Row],[Order_Date]]),"dddd")</f>
        <v>Sunday</v>
      </c>
      <c r="AB105" s="19" t="str">
        <f>IF(tblMaster[[#This Row],[Revenue]]&gt;=5000,"High",IF(tblMaster[[#This Row],[Revenue]]&lt;2000,"Low","Medium"))</f>
        <v>Medium</v>
      </c>
    </row>
    <row r="106" spans="1:28" x14ac:dyDescent="0.25">
      <c r="A106" s="7">
        <v>105</v>
      </c>
      <c r="B106" s="7" t="s">
        <v>213</v>
      </c>
      <c r="C106" s="4">
        <v>36</v>
      </c>
      <c r="D106" s="4">
        <v>2</v>
      </c>
      <c r="E106" s="8">
        <v>44968</v>
      </c>
      <c r="F106" s="9">
        <v>0.12333333333333334</v>
      </c>
      <c r="G106" s="8">
        <v>44978</v>
      </c>
      <c r="H106" s="9">
        <v>6.5393518518518517E-2</v>
      </c>
      <c r="I106" s="7" t="s">
        <v>243</v>
      </c>
      <c r="J106" s="7" t="s">
        <v>36</v>
      </c>
      <c r="K106" s="18" t="str">
        <f>_xlfn.XLOOKUP(tblMaster[[#This Row],[Customer_ID]],tblCustomers[Customer_ID],tblCustomers[City],"Not Found",0)</f>
        <v>Jamnagar</v>
      </c>
      <c r="L106" s="18" t="str">
        <f>_xlfn.XLOOKUP(tblMaster[[#This Row],[Customer_ID]],tblCustomers[Customer_ID],tblCustomers[Name],"Not Found",0)</f>
        <v>Arhaan Ahluwalia</v>
      </c>
      <c r="M106" s="18" t="str">
        <f>_xlfn.XLOOKUP(tblMaster[[#This Row],[Customer_ID]],tblCustomers[Customer_ID],tblCustomers[Gender],"Not Found",0)</f>
        <v>Male</v>
      </c>
      <c r="N106" s="18" t="str">
        <f>_xlfn.XLOOKUP(tblMaster[[#This Row],[Product_ID]],tblProducts[Product_ID],tblProducts[Product_Name],"Not Found",0)</f>
        <v>Cum Gift</v>
      </c>
      <c r="O106" s="18" t="str">
        <f>_xlfn.XLOOKUP(tblMaster[[#This Row],[Product_ID]],tblProducts[Product_ID],tblProducts[Category],"Not Found",0)</f>
        <v>Plants</v>
      </c>
      <c r="P106" s="18" t="str">
        <f>_xlfn.XLOOKUP(tblMaster[[#This Row],[Product_ID]],tblProducts[Product_ID],tblProducts[Occasion],"Not Found",0)</f>
        <v>Birthday</v>
      </c>
      <c r="Q106" s="18">
        <f>_xlfn.XLOOKUP(tblMaster[[#This Row],[Product_ID]],tblProducts[Product_ID],tblProducts[Price (INR)],"Not Found",0)</f>
        <v>203</v>
      </c>
      <c r="R106" s="19">
        <f>tblMaster[[#This Row],[Price]]*tblMaster[[#This Row],[Quantity]]</f>
        <v>406</v>
      </c>
      <c r="S106" s="19">
        <f>tblMaster[[#This Row],[Price]]*0.7*tblMaster[[#This Row],[Quantity]]</f>
        <v>284.2</v>
      </c>
      <c r="T106" s="19">
        <f>tblMaster[[#This Row],[Revenue]]-tblMaster[[#This Row],[Estimated Cost (at 70%) ]]</f>
        <v>121.80000000000001</v>
      </c>
      <c r="U106" s="19">
        <f>tblMaster[[#This Row],[Profit]]/tblMaster[[#This Row],[Revenue]]</f>
        <v>0.30000000000000004</v>
      </c>
      <c r="V106" s="19">
        <f>tblMaster[[#This Row],[Delivery_Date]]-tblMaster[[#This Row],[Order_Date]]</f>
        <v>10</v>
      </c>
      <c r="W106" s="19" t="str">
        <f>TEXT(tblMaster[[#This Row],[Order_Date]],"mmmm")</f>
        <v>February</v>
      </c>
      <c r="X106" s="19">
        <f>MONTH(tblMaster[[#This Row],[Order_Date]])</f>
        <v>2</v>
      </c>
      <c r="Y106" s="19" t="str">
        <f>"Q"&amp;ROUNDUP(tblMaster[[#This Row],[Month Number]]/3,0)</f>
        <v>Q1</v>
      </c>
      <c r="Z106" s="19">
        <f>YEAR(tblMaster[[#This Row],[Order_Date]])</f>
        <v>2023</v>
      </c>
      <c r="AA106" s="19" t="str">
        <f>TEXT(DAY(tblMaster[[#This Row],[Order_Date]]),"dddd")</f>
        <v>Wednesday</v>
      </c>
      <c r="AB106" s="19" t="str">
        <f>IF(tblMaster[[#This Row],[Revenue]]&gt;=5000,"High",IF(tblMaster[[#This Row],[Revenue]]&lt;2000,"Low","Medium"))</f>
        <v>Low</v>
      </c>
    </row>
    <row r="107" spans="1:28" x14ac:dyDescent="0.25">
      <c r="A107" s="10">
        <v>106</v>
      </c>
      <c r="B107" s="10" t="s">
        <v>258</v>
      </c>
      <c r="C107" s="5">
        <v>41</v>
      </c>
      <c r="D107" s="5">
        <v>2</v>
      </c>
      <c r="E107" s="11">
        <v>45236</v>
      </c>
      <c r="F107" s="12">
        <v>0.74706018518518513</v>
      </c>
      <c r="G107" s="11">
        <v>45238</v>
      </c>
      <c r="H107" s="12">
        <v>0.95865740740740746</v>
      </c>
      <c r="I107" s="10" t="s">
        <v>318</v>
      </c>
      <c r="J107" s="10" t="s">
        <v>19</v>
      </c>
      <c r="K107" s="18" t="str">
        <f>_xlfn.XLOOKUP(tblMaster[[#This Row],[Customer_ID]],tblCustomers[Customer_ID],tblCustomers[City],"Not Found",0)</f>
        <v>Warangal</v>
      </c>
      <c r="L107" s="18" t="str">
        <f>_xlfn.XLOOKUP(tblMaster[[#This Row],[Customer_ID]],tblCustomers[Customer_ID],tblCustomers[Name],"Not Found",0)</f>
        <v>Mahika Cherian</v>
      </c>
      <c r="M107" s="18" t="str">
        <f>_xlfn.XLOOKUP(tblMaster[[#This Row],[Customer_ID]],tblCustomers[Customer_ID],tblCustomers[Gender],"Not Found",0)</f>
        <v>Female</v>
      </c>
      <c r="N107" s="18" t="str">
        <f>_xlfn.XLOOKUP(tblMaster[[#This Row],[Product_ID]],tblProducts[Product_ID],tblProducts[Product_Name],"Not Found",0)</f>
        <v>Aut Box</v>
      </c>
      <c r="O107" s="18" t="str">
        <f>_xlfn.XLOOKUP(tblMaster[[#This Row],[Product_ID]],tblProducts[Product_ID],tblProducts[Category],"Not Found",0)</f>
        <v>Sweets</v>
      </c>
      <c r="P107" s="18" t="str">
        <f>_xlfn.XLOOKUP(tblMaster[[#This Row],[Product_ID]],tblProducts[Product_ID],tblProducts[Occasion],"Not Found",0)</f>
        <v>Diwali</v>
      </c>
      <c r="Q107" s="18">
        <f>_xlfn.XLOOKUP(tblMaster[[#This Row],[Product_ID]],tblProducts[Product_ID],tblProducts[Price (INR)],"Not Found",0)</f>
        <v>1977</v>
      </c>
      <c r="R107" s="19">
        <f>tblMaster[[#This Row],[Price]]*tblMaster[[#This Row],[Quantity]]</f>
        <v>3954</v>
      </c>
      <c r="S107" s="19">
        <f>tblMaster[[#This Row],[Price]]*0.7*tblMaster[[#This Row],[Quantity]]</f>
        <v>2767.7999999999997</v>
      </c>
      <c r="T107" s="19">
        <f>tblMaster[[#This Row],[Revenue]]-tblMaster[[#This Row],[Estimated Cost (at 70%) ]]</f>
        <v>1186.2000000000003</v>
      </c>
      <c r="U107" s="19">
        <f>tblMaster[[#This Row],[Profit]]/tblMaster[[#This Row],[Revenue]]</f>
        <v>0.30000000000000004</v>
      </c>
      <c r="V107" s="19">
        <f>tblMaster[[#This Row],[Delivery_Date]]-tblMaster[[#This Row],[Order_Date]]</f>
        <v>2</v>
      </c>
      <c r="W107" s="19" t="str">
        <f>TEXT(tblMaster[[#This Row],[Order_Date]],"mmmm")</f>
        <v>November</v>
      </c>
      <c r="X107" s="19">
        <f>MONTH(tblMaster[[#This Row],[Order_Date]])</f>
        <v>11</v>
      </c>
      <c r="Y107" s="19" t="str">
        <f>"Q"&amp;ROUNDUP(tblMaster[[#This Row],[Month Number]]/3,0)</f>
        <v>Q4</v>
      </c>
      <c r="Z107" s="19">
        <f>YEAR(tblMaster[[#This Row],[Order_Date]])</f>
        <v>2023</v>
      </c>
      <c r="AA107" s="19" t="str">
        <f>TEXT(DAY(tblMaster[[#This Row],[Order_Date]]),"dddd")</f>
        <v>Friday</v>
      </c>
      <c r="AB107" s="19" t="str">
        <f>IF(tblMaster[[#This Row],[Revenue]]&gt;=5000,"High",IF(tblMaster[[#This Row],[Revenue]]&lt;2000,"Low","Medium"))</f>
        <v>Medium</v>
      </c>
    </row>
    <row r="108" spans="1:28" x14ac:dyDescent="0.25">
      <c r="A108" s="7">
        <v>107</v>
      </c>
      <c r="B108" s="7" t="s">
        <v>206</v>
      </c>
      <c r="C108" s="4">
        <v>4</v>
      </c>
      <c r="D108" s="4">
        <v>3</v>
      </c>
      <c r="E108" s="8">
        <v>45236</v>
      </c>
      <c r="F108" s="9">
        <v>0.42924768518518519</v>
      </c>
      <c r="G108" s="8">
        <v>45242</v>
      </c>
      <c r="H108" s="9">
        <v>0.5974652777777778</v>
      </c>
      <c r="I108" s="7" t="s">
        <v>319</v>
      </c>
      <c r="J108" s="7" t="s">
        <v>19</v>
      </c>
      <c r="K108" s="18" t="str">
        <f>_xlfn.XLOOKUP(tblMaster[[#This Row],[Customer_ID]],tblCustomers[Customer_ID],tblCustomers[City],"Not Found",0)</f>
        <v>Karaikudi</v>
      </c>
      <c r="L108" s="18" t="str">
        <f>_xlfn.XLOOKUP(tblMaster[[#This Row],[Customer_ID]],tblCustomers[Customer_ID],tblCustomers[Name],"Not Found",0)</f>
        <v>Rati Dhingra</v>
      </c>
      <c r="M108" s="18" t="str">
        <f>_xlfn.XLOOKUP(tblMaster[[#This Row],[Customer_ID]],tblCustomers[Customer_ID],tblCustomers[Gender],"Not Found",0)</f>
        <v>Male</v>
      </c>
      <c r="N108" s="18" t="str">
        <f>_xlfn.XLOOKUP(tblMaster[[#This Row],[Product_ID]],tblProducts[Product_ID],tblProducts[Product_Name],"Not Found",0)</f>
        <v>Accusantium Set</v>
      </c>
      <c r="O108" s="18" t="str">
        <f>_xlfn.XLOOKUP(tblMaster[[#This Row],[Product_ID]],tblProducts[Product_ID],tblProducts[Category],"Not Found",0)</f>
        <v>Sweets</v>
      </c>
      <c r="P108" s="18" t="str">
        <f>_xlfn.XLOOKUP(tblMaster[[#This Row],[Product_ID]],tblProducts[Product_ID],tblProducts[Occasion],"Not Found",0)</f>
        <v>Diwali</v>
      </c>
      <c r="Q108" s="18">
        <f>_xlfn.XLOOKUP(tblMaster[[#This Row],[Product_ID]],tblProducts[Product_ID],tblProducts[Price (INR)],"Not Found",0)</f>
        <v>1199</v>
      </c>
      <c r="R108" s="19">
        <f>tblMaster[[#This Row],[Price]]*tblMaster[[#This Row],[Quantity]]</f>
        <v>3597</v>
      </c>
      <c r="S108" s="19">
        <f>tblMaster[[#This Row],[Price]]*0.7*tblMaster[[#This Row],[Quantity]]</f>
        <v>2517.8999999999996</v>
      </c>
      <c r="T108" s="19">
        <f>tblMaster[[#This Row],[Revenue]]-tblMaster[[#This Row],[Estimated Cost (at 70%) ]]</f>
        <v>1079.1000000000004</v>
      </c>
      <c r="U108" s="19">
        <f>tblMaster[[#This Row],[Profit]]/tblMaster[[#This Row],[Revenue]]</f>
        <v>0.3000000000000001</v>
      </c>
      <c r="V108" s="19">
        <f>tblMaster[[#This Row],[Delivery_Date]]-tblMaster[[#This Row],[Order_Date]]</f>
        <v>6</v>
      </c>
      <c r="W108" s="19" t="str">
        <f>TEXT(tblMaster[[#This Row],[Order_Date]],"mmmm")</f>
        <v>November</v>
      </c>
      <c r="X108" s="19">
        <f>MONTH(tblMaster[[#This Row],[Order_Date]])</f>
        <v>11</v>
      </c>
      <c r="Y108" s="19" t="str">
        <f>"Q"&amp;ROUNDUP(tblMaster[[#This Row],[Month Number]]/3,0)</f>
        <v>Q4</v>
      </c>
      <c r="Z108" s="19">
        <f>YEAR(tblMaster[[#This Row],[Order_Date]])</f>
        <v>2023</v>
      </c>
      <c r="AA108" s="19" t="str">
        <f>TEXT(DAY(tblMaster[[#This Row],[Order_Date]]),"dddd")</f>
        <v>Friday</v>
      </c>
      <c r="AB108" s="19" t="str">
        <f>IF(tblMaster[[#This Row],[Revenue]]&gt;=5000,"High",IF(tblMaster[[#This Row],[Revenue]]&lt;2000,"Low","Medium"))</f>
        <v>Medium</v>
      </c>
    </row>
    <row r="109" spans="1:28" x14ac:dyDescent="0.25">
      <c r="A109" s="10">
        <v>108</v>
      </c>
      <c r="B109" s="10" t="s">
        <v>172</v>
      </c>
      <c r="C109" s="5">
        <v>26</v>
      </c>
      <c r="D109" s="5">
        <v>4</v>
      </c>
      <c r="E109" s="11">
        <v>44984</v>
      </c>
      <c r="F109" s="12">
        <v>0.37738425925925928</v>
      </c>
      <c r="G109" s="11">
        <v>44990</v>
      </c>
      <c r="H109" s="12">
        <v>0.33547453703703706</v>
      </c>
      <c r="I109" s="10" t="s">
        <v>320</v>
      </c>
      <c r="J109" s="10" t="s">
        <v>25</v>
      </c>
      <c r="K109" s="18" t="str">
        <f>_xlfn.XLOOKUP(tblMaster[[#This Row],[Customer_ID]],tblCustomers[Customer_ID],tblCustomers[City],"Not Found",0)</f>
        <v>Bilaspur</v>
      </c>
      <c r="L109" s="18" t="str">
        <f>_xlfn.XLOOKUP(tblMaster[[#This Row],[Customer_ID]],tblCustomers[Customer_ID],tblCustomers[Name],"Not Found",0)</f>
        <v>Onkar Mangat</v>
      </c>
      <c r="M109" s="18" t="str">
        <f>_xlfn.XLOOKUP(tblMaster[[#This Row],[Customer_ID]],tblCustomers[Customer_ID],tblCustomers[Gender],"Not Found",0)</f>
        <v>Male</v>
      </c>
      <c r="N109" s="18" t="str">
        <f>_xlfn.XLOOKUP(tblMaster[[#This Row],[Product_ID]],tblProducts[Product_ID],tblProducts[Product_Name],"Not Found",0)</f>
        <v>Aliquam Box</v>
      </c>
      <c r="O109" s="18" t="str">
        <f>_xlfn.XLOOKUP(tblMaster[[#This Row],[Product_ID]],tblProducts[Product_ID],tblProducts[Category],"Not Found",0)</f>
        <v>Colors</v>
      </c>
      <c r="P109" s="18" t="str">
        <f>_xlfn.XLOOKUP(tblMaster[[#This Row],[Product_ID]],tblProducts[Product_ID],tblProducts[Occasion],"Not Found",0)</f>
        <v>Holi</v>
      </c>
      <c r="Q109" s="18">
        <f>_xlfn.XLOOKUP(tblMaster[[#This Row],[Product_ID]],tblProducts[Product_ID],tblProducts[Price (INR)],"Not Found",0)</f>
        <v>289</v>
      </c>
      <c r="R109" s="19">
        <f>tblMaster[[#This Row],[Price]]*tblMaster[[#This Row],[Quantity]]</f>
        <v>1156</v>
      </c>
      <c r="S109" s="19">
        <f>tblMaster[[#This Row],[Price]]*0.7*tblMaster[[#This Row],[Quantity]]</f>
        <v>809.19999999999993</v>
      </c>
      <c r="T109" s="19">
        <f>tblMaster[[#This Row],[Revenue]]-tblMaster[[#This Row],[Estimated Cost (at 70%) ]]</f>
        <v>346.80000000000007</v>
      </c>
      <c r="U109" s="19">
        <f>tblMaster[[#This Row],[Profit]]/tblMaster[[#This Row],[Revenue]]</f>
        <v>0.30000000000000004</v>
      </c>
      <c r="V109" s="19">
        <f>tblMaster[[#This Row],[Delivery_Date]]-tblMaster[[#This Row],[Order_Date]]</f>
        <v>6</v>
      </c>
      <c r="W109" s="19" t="str">
        <f>TEXT(tblMaster[[#This Row],[Order_Date]],"mmmm")</f>
        <v>February</v>
      </c>
      <c r="X109" s="19">
        <f>MONTH(tblMaster[[#This Row],[Order_Date]])</f>
        <v>2</v>
      </c>
      <c r="Y109" s="19" t="str">
        <f>"Q"&amp;ROUNDUP(tblMaster[[#This Row],[Month Number]]/3,0)</f>
        <v>Q1</v>
      </c>
      <c r="Z109" s="19">
        <f>YEAR(tblMaster[[#This Row],[Order_Date]])</f>
        <v>2023</v>
      </c>
      <c r="AA109" s="19" t="str">
        <f>TEXT(DAY(tblMaster[[#This Row],[Order_Date]]),"dddd")</f>
        <v>Friday</v>
      </c>
      <c r="AB109" s="19" t="str">
        <f>IF(tblMaster[[#This Row],[Revenue]]&gt;=5000,"High",IF(tblMaster[[#This Row],[Revenue]]&lt;2000,"Low","Medium"))</f>
        <v>Low</v>
      </c>
    </row>
    <row r="110" spans="1:28" x14ac:dyDescent="0.25">
      <c r="A110" s="7">
        <v>109</v>
      </c>
      <c r="B110" s="7" t="s">
        <v>267</v>
      </c>
      <c r="C110" s="4">
        <v>50</v>
      </c>
      <c r="D110" s="4">
        <v>5</v>
      </c>
      <c r="E110" s="8">
        <v>44984</v>
      </c>
      <c r="F110" s="9">
        <v>0.64986111111111111</v>
      </c>
      <c r="G110" s="8">
        <v>44986</v>
      </c>
      <c r="H110" s="9">
        <v>0.3603703703703704</v>
      </c>
      <c r="I110" s="7" t="s">
        <v>189</v>
      </c>
      <c r="J110" s="7" t="s">
        <v>25</v>
      </c>
      <c r="K110" s="18" t="str">
        <f>_xlfn.XLOOKUP(tblMaster[[#This Row],[Customer_ID]],tblCustomers[Customer_ID],tblCustomers[City],"Not Found",0)</f>
        <v>Sultan Pur Majra</v>
      </c>
      <c r="L110" s="18" t="str">
        <f>_xlfn.XLOOKUP(tblMaster[[#This Row],[Customer_ID]],tblCustomers[Customer_ID],tblCustomers[Name],"Not Found",0)</f>
        <v>Vanya Apte</v>
      </c>
      <c r="M110" s="18" t="str">
        <f>_xlfn.XLOOKUP(tblMaster[[#This Row],[Customer_ID]],tblCustomers[Customer_ID],tblCustomers[Gender],"Not Found",0)</f>
        <v>Female</v>
      </c>
      <c r="N110" s="18" t="str">
        <f>_xlfn.XLOOKUP(tblMaster[[#This Row],[Product_ID]],tblProducts[Product_ID],tblProducts[Product_Name],"Not Found",0)</f>
        <v>Eligendi Set</v>
      </c>
      <c r="O110" s="18" t="str">
        <f>_xlfn.XLOOKUP(tblMaster[[#This Row],[Product_ID]],tblProducts[Product_ID],tblProducts[Category],"Not Found",0)</f>
        <v>Plants</v>
      </c>
      <c r="P110" s="18" t="str">
        <f>_xlfn.XLOOKUP(tblMaster[[#This Row],[Product_ID]],tblProducts[Product_ID],tblProducts[Occasion],"Not Found",0)</f>
        <v>Holi</v>
      </c>
      <c r="Q110" s="18">
        <f>_xlfn.XLOOKUP(tblMaster[[#This Row],[Product_ID]],tblProducts[Product_ID],tblProducts[Price (INR)],"Not Found",0)</f>
        <v>422</v>
      </c>
      <c r="R110" s="19">
        <f>tblMaster[[#This Row],[Price]]*tblMaster[[#This Row],[Quantity]]</f>
        <v>2110</v>
      </c>
      <c r="S110" s="19">
        <f>tblMaster[[#This Row],[Price]]*0.7*tblMaster[[#This Row],[Quantity]]</f>
        <v>1477</v>
      </c>
      <c r="T110" s="19">
        <f>tblMaster[[#This Row],[Revenue]]-tblMaster[[#This Row],[Estimated Cost (at 70%) ]]</f>
        <v>633</v>
      </c>
      <c r="U110" s="19">
        <f>tblMaster[[#This Row],[Profit]]/tblMaster[[#This Row],[Revenue]]</f>
        <v>0.3</v>
      </c>
      <c r="V110" s="19">
        <f>tblMaster[[#This Row],[Delivery_Date]]-tblMaster[[#This Row],[Order_Date]]</f>
        <v>2</v>
      </c>
      <c r="W110" s="19" t="str">
        <f>TEXT(tblMaster[[#This Row],[Order_Date]],"mmmm")</f>
        <v>February</v>
      </c>
      <c r="X110" s="19">
        <f>MONTH(tblMaster[[#This Row],[Order_Date]])</f>
        <v>2</v>
      </c>
      <c r="Y110" s="19" t="str">
        <f>"Q"&amp;ROUNDUP(tblMaster[[#This Row],[Month Number]]/3,0)</f>
        <v>Q1</v>
      </c>
      <c r="Z110" s="19">
        <f>YEAR(tblMaster[[#This Row],[Order_Date]])</f>
        <v>2023</v>
      </c>
      <c r="AA110" s="19" t="str">
        <f>TEXT(DAY(tblMaster[[#This Row],[Order_Date]]),"dddd")</f>
        <v>Friday</v>
      </c>
      <c r="AB110" s="19" t="str">
        <f>IF(tblMaster[[#This Row],[Revenue]]&gt;=5000,"High",IF(tblMaster[[#This Row],[Revenue]]&lt;2000,"Low","Medium"))</f>
        <v>Medium</v>
      </c>
    </row>
    <row r="111" spans="1:28" x14ac:dyDescent="0.25">
      <c r="A111" s="10">
        <v>110</v>
      </c>
      <c r="B111" s="10" t="s">
        <v>321</v>
      </c>
      <c r="C111" s="5">
        <v>26</v>
      </c>
      <c r="D111" s="5">
        <v>2</v>
      </c>
      <c r="E111" s="11">
        <v>44989</v>
      </c>
      <c r="F111" s="12">
        <v>0.4748148148148148</v>
      </c>
      <c r="G111" s="11">
        <v>44998</v>
      </c>
      <c r="H111" s="12">
        <v>0.35244212962962962</v>
      </c>
      <c r="I111" s="10" t="s">
        <v>322</v>
      </c>
      <c r="J111" s="10" t="s">
        <v>25</v>
      </c>
      <c r="K111" s="18" t="str">
        <f>_xlfn.XLOOKUP(tblMaster[[#This Row],[Customer_ID]],tblCustomers[Customer_ID],tblCustomers[City],"Not Found",0)</f>
        <v>Aligarh</v>
      </c>
      <c r="L111" s="18" t="str">
        <f>_xlfn.XLOOKUP(tblMaster[[#This Row],[Customer_ID]],tblCustomers[Customer_ID],tblCustomers[Name],"Not Found",0)</f>
        <v>Yashvi Bansal</v>
      </c>
      <c r="M111" s="18" t="str">
        <f>_xlfn.XLOOKUP(tblMaster[[#This Row],[Customer_ID]],tblCustomers[Customer_ID],tblCustomers[Gender],"Not Found",0)</f>
        <v>Female</v>
      </c>
      <c r="N111" s="18" t="str">
        <f>_xlfn.XLOOKUP(tblMaster[[#This Row],[Product_ID]],tblProducts[Product_ID],tblProducts[Product_Name],"Not Found",0)</f>
        <v>Aliquam Box</v>
      </c>
      <c r="O111" s="18" t="str">
        <f>_xlfn.XLOOKUP(tblMaster[[#This Row],[Product_ID]],tblProducts[Product_ID],tblProducts[Category],"Not Found",0)</f>
        <v>Colors</v>
      </c>
      <c r="P111" s="18" t="str">
        <f>_xlfn.XLOOKUP(tblMaster[[#This Row],[Product_ID]],tblProducts[Product_ID],tblProducts[Occasion],"Not Found",0)</f>
        <v>Holi</v>
      </c>
      <c r="Q111" s="18">
        <f>_xlfn.XLOOKUP(tblMaster[[#This Row],[Product_ID]],tblProducts[Product_ID],tblProducts[Price (INR)],"Not Found",0)</f>
        <v>289</v>
      </c>
      <c r="R111" s="19">
        <f>tblMaster[[#This Row],[Price]]*tblMaster[[#This Row],[Quantity]]</f>
        <v>578</v>
      </c>
      <c r="S111" s="19">
        <f>tblMaster[[#This Row],[Price]]*0.7*tblMaster[[#This Row],[Quantity]]</f>
        <v>404.59999999999997</v>
      </c>
      <c r="T111" s="19">
        <f>tblMaster[[#This Row],[Revenue]]-tblMaster[[#This Row],[Estimated Cost (at 70%) ]]</f>
        <v>173.40000000000003</v>
      </c>
      <c r="U111" s="19">
        <f>tblMaster[[#This Row],[Profit]]/tblMaster[[#This Row],[Revenue]]</f>
        <v>0.30000000000000004</v>
      </c>
      <c r="V111" s="19">
        <f>tblMaster[[#This Row],[Delivery_Date]]-tblMaster[[#This Row],[Order_Date]]</f>
        <v>9</v>
      </c>
      <c r="W111" s="19" t="str">
        <f>TEXT(tblMaster[[#This Row],[Order_Date]],"mmmm")</f>
        <v>March</v>
      </c>
      <c r="X111" s="19">
        <f>MONTH(tblMaster[[#This Row],[Order_Date]])</f>
        <v>3</v>
      </c>
      <c r="Y111" s="19" t="str">
        <f>"Q"&amp;ROUNDUP(tblMaster[[#This Row],[Month Number]]/3,0)</f>
        <v>Q1</v>
      </c>
      <c r="Z111" s="19">
        <f>YEAR(tblMaster[[#This Row],[Order_Date]])</f>
        <v>2023</v>
      </c>
      <c r="AA111" s="19" t="str">
        <f>TEXT(DAY(tblMaster[[#This Row],[Order_Date]]),"dddd")</f>
        <v>Wednesday</v>
      </c>
      <c r="AB111" s="19" t="str">
        <f>IF(tblMaster[[#This Row],[Revenue]]&gt;=5000,"High",IF(tblMaster[[#This Row],[Revenue]]&lt;2000,"Low","Medium"))</f>
        <v>Low</v>
      </c>
    </row>
    <row r="112" spans="1:28" x14ac:dyDescent="0.25">
      <c r="A112" s="7">
        <v>111</v>
      </c>
      <c r="B112" s="7" t="s">
        <v>178</v>
      </c>
      <c r="C112" s="4">
        <v>8</v>
      </c>
      <c r="D112" s="4">
        <v>3</v>
      </c>
      <c r="E112" s="8">
        <v>45098</v>
      </c>
      <c r="F112" s="9">
        <v>0.59649305555555554</v>
      </c>
      <c r="G112" s="8">
        <v>45102</v>
      </c>
      <c r="H112" s="9">
        <v>0.87774305555555554</v>
      </c>
      <c r="I112" s="7" t="s">
        <v>323</v>
      </c>
      <c r="J112" s="7" t="s">
        <v>30</v>
      </c>
      <c r="K112" s="18" t="str">
        <f>_xlfn.XLOOKUP(tblMaster[[#This Row],[Customer_ID]],tblCustomers[Customer_ID],tblCustomers[City],"Not Found",0)</f>
        <v>Madurai</v>
      </c>
      <c r="L112" s="18" t="str">
        <f>_xlfn.XLOOKUP(tblMaster[[#This Row],[Customer_ID]],tblCustomers[Customer_ID],tblCustomers[Name],"Not Found",0)</f>
        <v>Ritvik Borah</v>
      </c>
      <c r="M112" s="18" t="str">
        <f>_xlfn.XLOOKUP(tblMaster[[#This Row],[Customer_ID]],tblCustomers[Customer_ID],tblCustomers[Gender],"Not Found",0)</f>
        <v>Female</v>
      </c>
      <c r="N112" s="18" t="str">
        <f>_xlfn.XLOOKUP(tblMaster[[#This Row],[Product_ID]],tblProducts[Product_ID],tblProducts[Product_Name],"Not Found",0)</f>
        <v>Qui Box</v>
      </c>
      <c r="O112" s="18" t="str">
        <f>_xlfn.XLOOKUP(tblMaster[[#This Row],[Product_ID]],tblProducts[Product_ID],tblProducts[Category],"Not Found",0)</f>
        <v>Sweets</v>
      </c>
      <c r="P112" s="18" t="str">
        <f>_xlfn.XLOOKUP(tblMaster[[#This Row],[Product_ID]],tblProducts[Product_ID],tblProducts[Occasion],"Not Found",0)</f>
        <v>Anniversary</v>
      </c>
      <c r="Q112" s="18">
        <f>_xlfn.XLOOKUP(tblMaster[[#This Row],[Product_ID]],tblProducts[Product_ID],tblProducts[Price (INR)],"Not Found",0)</f>
        <v>252</v>
      </c>
      <c r="R112" s="19">
        <f>tblMaster[[#This Row],[Price]]*tblMaster[[#This Row],[Quantity]]</f>
        <v>756</v>
      </c>
      <c r="S112" s="19">
        <f>tblMaster[[#This Row],[Price]]*0.7*tblMaster[[#This Row],[Quantity]]</f>
        <v>529.19999999999993</v>
      </c>
      <c r="T112" s="19">
        <f>tblMaster[[#This Row],[Revenue]]-tblMaster[[#This Row],[Estimated Cost (at 70%) ]]</f>
        <v>226.80000000000007</v>
      </c>
      <c r="U112" s="19">
        <f>tblMaster[[#This Row],[Profit]]/tblMaster[[#This Row],[Revenue]]</f>
        <v>0.3000000000000001</v>
      </c>
      <c r="V112" s="19">
        <f>tblMaster[[#This Row],[Delivery_Date]]-tblMaster[[#This Row],[Order_Date]]</f>
        <v>4</v>
      </c>
      <c r="W112" s="19" t="str">
        <f>TEXT(tblMaster[[#This Row],[Order_Date]],"mmmm")</f>
        <v>June</v>
      </c>
      <c r="X112" s="19">
        <f>MONTH(tblMaster[[#This Row],[Order_Date]])</f>
        <v>6</v>
      </c>
      <c r="Y112" s="19" t="str">
        <f>"Q"&amp;ROUNDUP(tblMaster[[#This Row],[Month Number]]/3,0)</f>
        <v>Q2</v>
      </c>
      <c r="Z112" s="19">
        <f>YEAR(tblMaster[[#This Row],[Order_Date]])</f>
        <v>2023</v>
      </c>
      <c r="AA112" s="19" t="str">
        <f>TEXT(DAY(tblMaster[[#This Row],[Order_Date]]),"dddd")</f>
        <v>Saturday</v>
      </c>
      <c r="AB112" s="19" t="str">
        <f>IF(tblMaster[[#This Row],[Revenue]]&gt;=5000,"High",IF(tblMaster[[#This Row],[Revenue]]&lt;2000,"Low","Medium"))</f>
        <v>Low</v>
      </c>
    </row>
    <row r="113" spans="1:28" x14ac:dyDescent="0.25">
      <c r="A113" s="10">
        <v>112</v>
      </c>
      <c r="B113" s="10" t="s">
        <v>252</v>
      </c>
      <c r="C113" s="5">
        <v>37</v>
      </c>
      <c r="D113" s="5">
        <v>3</v>
      </c>
      <c r="E113" s="11">
        <v>45241</v>
      </c>
      <c r="F113" s="12">
        <v>0.27504629629629629</v>
      </c>
      <c r="G113" s="11">
        <v>45244</v>
      </c>
      <c r="H113" s="12">
        <v>0.66040509259259261</v>
      </c>
      <c r="I113" s="10" t="s">
        <v>324</v>
      </c>
      <c r="J113" s="10" t="s">
        <v>19</v>
      </c>
      <c r="K113" s="18" t="str">
        <f>_xlfn.XLOOKUP(tblMaster[[#This Row],[Customer_ID]],tblCustomers[Customer_ID],tblCustomers[City],"Not Found",0)</f>
        <v>Bidhannagar</v>
      </c>
      <c r="L113" s="18" t="str">
        <f>_xlfn.XLOOKUP(tblMaster[[#This Row],[Customer_ID]],tblCustomers[Customer_ID],tblCustomers[Name],"Not Found",0)</f>
        <v>Abram Sandhu</v>
      </c>
      <c r="M113" s="18" t="str">
        <f>_xlfn.XLOOKUP(tblMaster[[#This Row],[Customer_ID]],tblCustomers[Customer_ID],tblCustomers[Gender],"Not Found",0)</f>
        <v>Male</v>
      </c>
      <c r="N113" s="18" t="str">
        <f>_xlfn.XLOOKUP(tblMaster[[#This Row],[Product_ID]],tblProducts[Product_ID],tblProducts[Product_Name],"Not Found",0)</f>
        <v>Officiis Pack</v>
      </c>
      <c r="O113" s="18" t="str">
        <f>_xlfn.XLOOKUP(tblMaster[[#This Row],[Product_ID]],tblProducts[Product_ID],tblProducts[Category],"Not Found",0)</f>
        <v>Colors</v>
      </c>
      <c r="P113" s="18" t="str">
        <f>_xlfn.XLOOKUP(tblMaster[[#This Row],[Product_ID]],tblProducts[Product_ID],tblProducts[Occasion],"Not Found",0)</f>
        <v>Diwali</v>
      </c>
      <c r="Q113" s="18">
        <f>_xlfn.XLOOKUP(tblMaster[[#This Row],[Product_ID]],tblProducts[Product_ID],tblProducts[Price (INR)],"Not Found",0)</f>
        <v>1428</v>
      </c>
      <c r="R113" s="19">
        <f>tblMaster[[#This Row],[Price]]*tblMaster[[#This Row],[Quantity]]</f>
        <v>4284</v>
      </c>
      <c r="S113" s="19">
        <f>tblMaster[[#This Row],[Price]]*0.7*tblMaster[[#This Row],[Quantity]]</f>
        <v>2998.7999999999997</v>
      </c>
      <c r="T113" s="19">
        <f>tblMaster[[#This Row],[Revenue]]-tblMaster[[#This Row],[Estimated Cost (at 70%) ]]</f>
        <v>1285.2000000000003</v>
      </c>
      <c r="U113" s="19">
        <f>tblMaster[[#This Row],[Profit]]/tblMaster[[#This Row],[Revenue]]</f>
        <v>0.30000000000000004</v>
      </c>
      <c r="V113" s="19">
        <f>tblMaster[[#This Row],[Delivery_Date]]-tblMaster[[#This Row],[Order_Date]]</f>
        <v>3</v>
      </c>
      <c r="W113" s="19" t="str">
        <f>TEXT(tblMaster[[#This Row],[Order_Date]],"mmmm")</f>
        <v>November</v>
      </c>
      <c r="X113" s="19">
        <f>MONTH(tblMaster[[#This Row],[Order_Date]])</f>
        <v>11</v>
      </c>
      <c r="Y113" s="19" t="str">
        <f>"Q"&amp;ROUNDUP(tblMaster[[#This Row],[Month Number]]/3,0)</f>
        <v>Q4</v>
      </c>
      <c r="Z113" s="19">
        <f>YEAR(tblMaster[[#This Row],[Order_Date]])</f>
        <v>2023</v>
      </c>
      <c r="AA113" s="19" t="str">
        <f>TEXT(DAY(tblMaster[[#This Row],[Order_Date]]),"dddd")</f>
        <v>Wednesday</v>
      </c>
      <c r="AB113" s="19" t="str">
        <f>IF(tblMaster[[#This Row],[Revenue]]&gt;=5000,"High",IF(tblMaster[[#This Row],[Revenue]]&lt;2000,"Low","Medium"))</f>
        <v>Medium</v>
      </c>
    </row>
    <row r="114" spans="1:28" x14ac:dyDescent="0.25">
      <c r="A114" s="7">
        <v>113</v>
      </c>
      <c r="B114" s="7" t="s">
        <v>295</v>
      </c>
      <c r="C114" s="4">
        <v>1</v>
      </c>
      <c r="D114" s="4">
        <v>3</v>
      </c>
      <c r="E114" s="8">
        <v>45244</v>
      </c>
      <c r="F114" s="9">
        <v>0.64618055555555554</v>
      </c>
      <c r="G114" s="8">
        <v>45253</v>
      </c>
      <c r="H114" s="9">
        <v>0.1852662037037037</v>
      </c>
      <c r="I114" s="7" t="s">
        <v>218</v>
      </c>
      <c r="J114" s="7" t="s">
        <v>8</v>
      </c>
      <c r="K114" s="18" t="str">
        <f>_xlfn.XLOOKUP(tblMaster[[#This Row],[Customer_ID]],tblCustomers[Customer_ID],tblCustomers[City],"Not Found",0)</f>
        <v>Surat</v>
      </c>
      <c r="L114" s="18" t="str">
        <f>_xlfn.XLOOKUP(tblMaster[[#This Row],[Customer_ID]],tblCustomers[Customer_ID],tblCustomers[Name],"Not Found",0)</f>
        <v>Mannat Anand</v>
      </c>
      <c r="M114" s="18" t="str">
        <f>_xlfn.XLOOKUP(tblMaster[[#This Row],[Customer_ID]],tblCustomers[Customer_ID],tblCustomers[Gender],"Not Found",0)</f>
        <v>Male</v>
      </c>
      <c r="N114" s="18" t="str">
        <f>_xlfn.XLOOKUP(tblMaster[[#This Row],[Product_ID]],tblProducts[Product_ID],tblProducts[Product_Name],"Not Found",0)</f>
        <v>Magnam Set</v>
      </c>
      <c r="O114" s="18" t="str">
        <f>_xlfn.XLOOKUP(tblMaster[[#This Row],[Product_ID]],tblProducts[Product_ID],tblProducts[Category],"Not Found",0)</f>
        <v>Soft Toys</v>
      </c>
      <c r="P114" s="18" t="str">
        <f>_xlfn.XLOOKUP(tblMaster[[#This Row],[Product_ID]],tblProducts[Product_ID],tblProducts[Occasion],"Not Found",0)</f>
        <v>All Occasions</v>
      </c>
      <c r="Q114" s="18">
        <f>_xlfn.XLOOKUP(tblMaster[[#This Row],[Product_ID]],tblProducts[Product_ID],tblProducts[Price (INR)],"Not Found",0)</f>
        <v>1935</v>
      </c>
      <c r="R114" s="19">
        <f>tblMaster[[#This Row],[Price]]*tblMaster[[#This Row],[Quantity]]</f>
        <v>5805</v>
      </c>
      <c r="S114" s="19">
        <f>tblMaster[[#This Row],[Price]]*0.7*tblMaster[[#This Row],[Quantity]]</f>
        <v>4063.5</v>
      </c>
      <c r="T114" s="19">
        <f>tblMaster[[#This Row],[Revenue]]-tblMaster[[#This Row],[Estimated Cost (at 70%) ]]</f>
        <v>1741.5</v>
      </c>
      <c r="U114" s="19">
        <f>tblMaster[[#This Row],[Profit]]/tblMaster[[#This Row],[Revenue]]</f>
        <v>0.3</v>
      </c>
      <c r="V114" s="19">
        <f>tblMaster[[#This Row],[Delivery_Date]]-tblMaster[[#This Row],[Order_Date]]</f>
        <v>9</v>
      </c>
      <c r="W114" s="19" t="str">
        <f>TEXT(tblMaster[[#This Row],[Order_Date]],"mmmm")</f>
        <v>November</v>
      </c>
      <c r="X114" s="19">
        <f>MONTH(tblMaster[[#This Row],[Order_Date]])</f>
        <v>11</v>
      </c>
      <c r="Y114" s="19" t="str">
        <f>"Q"&amp;ROUNDUP(tblMaster[[#This Row],[Month Number]]/3,0)</f>
        <v>Q4</v>
      </c>
      <c r="Z114" s="19">
        <f>YEAR(tblMaster[[#This Row],[Order_Date]])</f>
        <v>2023</v>
      </c>
      <c r="AA114" s="19" t="str">
        <f>TEXT(DAY(tblMaster[[#This Row],[Order_Date]]),"dddd")</f>
        <v>Saturday</v>
      </c>
      <c r="AB114" s="19" t="str">
        <f>IF(tblMaster[[#This Row],[Revenue]]&gt;=5000,"High",IF(tblMaster[[#This Row],[Revenue]]&lt;2000,"Low","Medium"))</f>
        <v>High</v>
      </c>
    </row>
    <row r="115" spans="1:28" x14ac:dyDescent="0.25">
      <c r="A115" s="10">
        <v>114</v>
      </c>
      <c r="B115" s="10" t="s">
        <v>178</v>
      </c>
      <c r="C115" s="5">
        <v>40</v>
      </c>
      <c r="D115" s="5">
        <v>4</v>
      </c>
      <c r="E115" s="11">
        <v>44960</v>
      </c>
      <c r="F115" s="12">
        <v>0.66892361111111109</v>
      </c>
      <c r="G115" s="11">
        <v>44964</v>
      </c>
      <c r="H115" s="12">
        <v>9.9166666666666667E-2</v>
      </c>
      <c r="I115" s="10" t="s">
        <v>325</v>
      </c>
      <c r="J115" s="10" t="s">
        <v>30</v>
      </c>
      <c r="K115" s="18" t="str">
        <f>_xlfn.XLOOKUP(tblMaster[[#This Row],[Customer_ID]],tblCustomers[Customer_ID],tblCustomers[City],"Not Found",0)</f>
        <v>Madurai</v>
      </c>
      <c r="L115" s="18" t="str">
        <f>_xlfn.XLOOKUP(tblMaster[[#This Row],[Customer_ID]],tblCustomers[Customer_ID],tblCustomers[Name],"Not Found",0)</f>
        <v>Ritvik Borah</v>
      </c>
      <c r="M115" s="18" t="str">
        <f>_xlfn.XLOOKUP(tblMaster[[#This Row],[Customer_ID]],tblCustomers[Customer_ID],tblCustomers[Gender],"Not Found",0)</f>
        <v>Female</v>
      </c>
      <c r="N115" s="18" t="str">
        <f>_xlfn.XLOOKUP(tblMaster[[#This Row],[Product_ID]],tblProducts[Product_ID],tblProducts[Product_Name],"Not Found",0)</f>
        <v>Provident Pack</v>
      </c>
      <c r="O115" s="18" t="str">
        <f>_xlfn.XLOOKUP(tblMaster[[#This Row],[Product_ID]],tblProducts[Product_ID],tblProducts[Category],"Not Found",0)</f>
        <v>Sweets</v>
      </c>
      <c r="P115" s="18" t="str">
        <f>_xlfn.XLOOKUP(tblMaster[[#This Row],[Product_ID]],tblProducts[Product_ID],tblProducts[Occasion],"Not Found",0)</f>
        <v>Anniversary</v>
      </c>
      <c r="Q115" s="18">
        <f>_xlfn.XLOOKUP(tblMaster[[#This Row],[Product_ID]],tblProducts[Product_ID],tblProducts[Price (INR)],"Not Found",0)</f>
        <v>1923</v>
      </c>
      <c r="R115" s="19">
        <f>tblMaster[[#This Row],[Price]]*tblMaster[[#This Row],[Quantity]]</f>
        <v>7692</v>
      </c>
      <c r="S115" s="19">
        <f>tblMaster[[#This Row],[Price]]*0.7*tblMaster[[#This Row],[Quantity]]</f>
        <v>5384.4</v>
      </c>
      <c r="T115" s="19">
        <f>tblMaster[[#This Row],[Revenue]]-tblMaster[[#This Row],[Estimated Cost (at 70%) ]]</f>
        <v>2307.6000000000004</v>
      </c>
      <c r="U115" s="19">
        <f>tblMaster[[#This Row],[Profit]]/tblMaster[[#This Row],[Revenue]]</f>
        <v>0.30000000000000004</v>
      </c>
      <c r="V115" s="19">
        <f>tblMaster[[#This Row],[Delivery_Date]]-tblMaster[[#This Row],[Order_Date]]</f>
        <v>4</v>
      </c>
      <c r="W115" s="19" t="str">
        <f>TEXT(tblMaster[[#This Row],[Order_Date]],"mmmm")</f>
        <v>February</v>
      </c>
      <c r="X115" s="19">
        <f>MONTH(tblMaster[[#This Row],[Order_Date]])</f>
        <v>2</v>
      </c>
      <c r="Y115" s="19" t="str">
        <f>"Q"&amp;ROUNDUP(tblMaster[[#This Row],[Month Number]]/3,0)</f>
        <v>Q1</v>
      </c>
      <c r="Z115" s="19">
        <f>YEAR(tblMaster[[#This Row],[Order_Date]])</f>
        <v>2023</v>
      </c>
      <c r="AA115" s="19" t="str">
        <f>TEXT(DAY(tblMaster[[#This Row],[Order_Date]]),"dddd")</f>
        <v>Tuesday</v>
      </c>
      <c r="AB115" s="19" t="str">
        <f>IF(tblMaster[[#This Row],[Revenue]]&gt;=5000,"High",IF(tblMaster[[#This Row],[Revenue]]&lt;2000,"Low","Medium"))</f>
        <v>High</v>
      </c>
    </row>
    <row r="116" spans="1:28" x14ac:dyDescent="0.25">
      <c r="A116" s="7">
        <v>115</v>
      </c>
      <c r="B116" s="7" t="s">
        <v>258</v>
      </c>
      <c r="C116" s="4">
        <v>57</v>
      </c>
      <c r="D116" s="4">
        <v>1</v>
      </c>
      <c r="E116" s="8">
        <v>45044</v>
      </c>
      <c r="F116" s="9">
        <v>0.75789351851851849</v>
      </c>
      <c r="G116" s="8">
        <v>45051</v>
      </c>
      <c r="H116" s="9">
        <v>0.48369212962962965</v>
      </c>
      <c r="I116" s="7" t="s">
        <v>326</v>
      </c>
      <c r="J116" s="7" t="s">
        <v>36</v>
      </c>
      <c r="K116" s="18" t="str">
        <f>_xlfn.XLOOKUP(tblMaster[[#This Row],[Customer_ID]],tblCustomers[Customer_ID],tblCustomers[City],"Not Found",0)</f>
        <v>Warangal</v>
      </c>
      <c r="L116" s="18" t="str">
        <f>_xlfn.XLOOKUP(tblMaster[[#This Row],[Customer_ID]],tblCustomers[Customer_ID],tblCustomers[Name],"Not Found",0)</f>
        <v>Mahika Cherian</v>
      </c>
      <c r="M116" s="18" t="str">
        <f>_xlfn.XLOOKUP(tblMaster[[#This Row],[Customer_ID]],tblCustomers[Customer_ID],tblCustomers[Gender],"Not Found",0)</f>
        <v>Female</v>
      </c>
      <c r="N116" s="18" t="str">
        <f>_xlfn.XLOOKUP(tblMaster[[#This Row],[Product_ID]],tblProducts[Product_ID],tblProducts[Product_Name],"Not Found",0)</f>
        <v>Voluptatem Box</v>
      </c>
      <c r="O116" s="18" t="str">
        <f>_xlfn.XLOOKUP(tblMaster[[#This Row],[Product_ID]],tblProducts[Product_ID],tblProducts[Category],"Not Found",0)</f>
        <v>Colors</v>
      </c>
      <c r="P116" s="18" t="str">
        <f>_xlfn.XLOOKUP(tblMaster[[#This Row],[Product_ID]],tblProducts[Product_ID],tblProducts[Occasion],"Not Found",0)</f>
        <v>Birthday</v>
      </c>
      <c r="Q116" s="18">
        <f>_xlfn.XLOOKUP(tblMaster[[#This Row],[Product_ID]],tblProducts[Product_ID],tblProducts[Price (INR)],"Not Found",0)</f>
        <v>1582</v>
      </c>
      <c r="R116" s="19">
        <f>tblMaster[[#This Row],[Price]]*tblMaster[[#This Row],[Quantity]]</f>
        <v>1582</v>
      </c>
      <c r="S116" s="19">
        <f>tblMaster[[#This Row],[Price]]*0.7*tblMaster[[#This Row],[Quantity]]</f>
        <v>1107.3999999999999</v>
      </c>
      <c r="T116" s="19">
        <f>tblMaster[[#This Row],[Revenue]]-tblMaster[[#This Row],[Estimated Cost (at 70%) ]]</f>
        <v>474.60000000000014</v>
      </c>
      <c r="U116" s="19">
        <f>tblMaster[[#This Row],[Profit]]/tblMaster[[#This Row],[Revenue]]</f>
        <v>0.3000000000000001</v>
      </c>
      <c r="V116" s="19">
        <f>tblMaster[[#This Row],[Delivery_Date]]-tblMaster[[#This Row],[Order_Date]]</f>
        <v>7</v>
      </c>
      <c r="W116" s="19" t="str">
        <f>TEXT(tblMaster[[#This Row],[Order_Date]],"mmmm")</f>
        <v>April</v>
      </c>
      <c r="X116" s="19">
        <f>MONTH(tblMaster[[#This Row],[Order_Date]])</f>
        <v>4</v>
      </c>
      <c r="Y116" s="19" t="str">
        <f>"Q"&amp;ROUNDUP(tblMaster[[#This Row],[Month Number]]/3,0)</f>
        <v>Q2</v>
      </c>
      <c r="Z116" s="19">
        <f>YEAR(tblMaster[[#This Row],[Order_Date]])</f>
        <v>2023</v>
      </c>
      <c r="AA116" s="19" t="str">
        <f>TEXT(DAY(tblMaster[[#This Row],[Order_Date]]),"dddd")</f>
        <v>Saturday</v>
      </c>
      <c r="AB116" s="19" t="str">
        <f>IF(tblMaster[[#This Row],[Revenue]]&gt;=5000,"High",IF(tblMaster[[#This Row],[Revenue]]&lt;2000,"Low","Medium"))</f>
        <v>Low</v>
      </c>
    </row>
    <row r="117" spans="1:28" x14ac:dyDescent="0.25">
      <c r="A117" s="10">
        <v>116</v>
      </c>
      <c r="B117" s="10" t="s">
        <v>178</v>
      </c>
      <c r="C117" s="5">
        <v>4</v>
      </c>
      <c r="D117" s="5">
        <v>3</v>
      </c>
      <c r="E117" s="11">
        <v>45241</v>
      </c>
      <c r="F117" s="12">
        <v>0.60283564814814816</v>
      </c>
      <c r="G117" s="11">
        <v>45250</v>
      </c>
      <c r="H117" s="12">
        <v>0.22599537037037037</v>
      </c>
      <c r="I117" s="10" t="s">
        <v>327</v>
      </c>
      <c r="J117" s="10" t="s">
        <v>19</v>
      </c>
      <c r="K117" s="18" t="str">
        <f>_xlfn.XLOOKUP(tblMaster[[#This Row],[Customer_ID]],tblCustomers[Customer_ID],tblCustomers[City],"Not Found",0)</f>
        <v>Madurai</v>
      </c>
      <c r="L117" s="18" t="str">
        <f>_xlfn.XLOOKUP(tblMaster[[#This Row],[Customer_ID]],tblCustomers[Customer_ID],tblCustomers[Name],"Not Found",0)</f>
        <v>Ritvik Borah</v>
      </c>
      <c r="M117" s="18" t="str">
        <f>_xlfn.XLOOKUP(tblMaster[[#This Row],[Customer_ID]],tblCustomers[Customer_ID],tblCustomers[Gender],"Not Found",0)</f>
        <v>Female</v>
      </c>
      <c r="N117" s="18" t="str">
        <f>_xlfn.XLOOKUP(tblMaster[[#This Row],[Product_ID]],tblProducts[Product_ID],tblProducts[Product_Name],"Not Found",0)</f>
        <v>Accusantium Set</v>
      </c>
      <c r="O117" s="18" t="str">
        <f>_xlfn.XLOOKUP(tblMaster[[#This Row],[Product_ID]],tblProducts[Product_ID],tblProducts[Category],"Not Found",0)</f>
        <v>Sweets</v>
      </c>
      <c r="P117" s="18" t="str">
        <f>_xlfn.XLOOKUP(tblMaster[[#This Row],[Product_ID]],tblProducts[Product_ID],tblProducts[Occasion],"Not Found",0)</f>
        <v>Diwali</v>
      </c>
      <c r="Q117" s="18">
        <f>_xlfn.XLOOKUP(tblMaster[[#This Row],[Product_ID]],tblProducts[Product_ID],tblProducts[Price (INR)],"Not Found",0)</f>
        <v>1199</v>
      </c>
      <c r="R117" s="19">
        <f>tblMaster[[#This Row],[Price]]*tblMaster[[#This Row],[Quantity]]</f>
        <v>3597</v>
      </c>
      <c r="S117" s="19">
        <f>tblMaster[[#This Row],[Price]]*0.7*tblMaster[[#This Row],[Quantity]]</f>
        <v>2517.8999999999996</v>
      </c>
      <c r="T117" s="19">
        <f>tblMaster[[#This Row],[Revenue]]-tblMaster[[#This Row],[Estimated Cost (at 70%) ]]</f>
        <v>1079.1000000000004</v>
      </c>
      <c r="U117" s="19">
        <f>tblMaster[[#This Row],[Profit]]/tblMaster[[#This Row],[Revenue]]</f>
        <v>0.3000000000000001</v>
      </c>
      <c r="V117" s="19">
        <f>tblMaster[[#This Row],[Delivery_Date]]-tblMaster[[#This Row],[Order_Date]]</f>
        <v>9</v>
      </c>
      <c r="W117" s="19" t="str">
        <f>TEXT(tblMaster[[#This Row],[Order_Date]],"mmmm")</f>
        <v>November</v>
      </c>
      <c r="X117" s="19">
        <f>MONTH(tblMaster[[#This Row],[Order_Date]])</f>
        <v>11</v>
      </c>
      <c r="Y117" s="19" t="str">
        <f>"Q"&amp;ROUNDUP(tblMaster[[#This Row],[Month Number]]/3,0)</f>
        <v>Q4</v>
      </c>
      <c r="Z117" s="19">
        <f>YEAR(tblMaster[[#This Row],[Order_Date]])</f>
        <v>2023</v>
      </c>
      <c r="AA117" s="19" t="str">
        <f>TEXT(DAY(tblMaster[[#This Row],[Order_Date]]),"dddd")</f>
        <v>Wednesday</v>
      </c>
      <c r="AB117" s="19" t="str">
        <f>IF(tblMaster[[#This Row],[Revenue]]&gt;=5000,"High",IF(tblMaster[[#This Row],[Revenue]]&lt;2000,"Low","Medium"))</f>
        <v>Medium</v>
      </c>
    </row>
    <row r="118" spans="1:28" x14ac:dyDescent="0.25">
      <c r="A118" s="7">
        <v>117</v>
      </c>
      <c r="B118" s="7" t="s">
        <v>272</v>
      </c>
      <c r="C118" s="4">
        <v>59</v>
      </c>
      <c r="D118" s="4">
        <v>3</v>
      </c>
      <c r="E118" s="8">
        <v>45158</v>
      </c>
      <c r="F118" s="9">
        <v>0.78478009259259263</v>
      </c>
      <c r="G118" s="8">
        <v>45160</v>
      </c>
      <c r="H118" s="9">
        <v>0.15487268518518518</v>
      </c>
      <c r="I118" s="7" t="s">
        <v>328</v>
      </c>
      <c r="J118" s="7" t="s">
        <v>33</v>
      </c>
      <c r="K118" s="18" t="str">
        <f>_xlfn.XLOOKUP(tblMaster[[#This Row],[Customer_ID]],tblCustomers[Customer_ID],tblCustomers[City],"Not Found",0)</f>
        <v>Indore</v>
      </c>
      <c r="L118" s="18" t="str">
        <f>_xlfn.XLOOKUP(tblMaster[[#This Row],[Customer_ID]],tblCustomers[Customer_ID],tblCustomers[Name],"Not Found",0)</f>
        <v>Suhana Kurian</v>
      </c>
      <c r="M118" s="18" t="str">
        <f>_xlfn.XLOOKUP(tblMaster[[#This Row],[Customer_ID]],tblCustomers[Customer_ID],tblCustomers[Gender],"Not Found",0)</f>
        <v>Female</v>
      </c>
      <c r="N118" s="18" t="str">
        <f>_xlfn.XLOOKUP(tblMaster[[#This Row],[Product_ID]],tblProducts[Product_ID],tblProducts[Product_Name],"Not Found",0)</f>
        <v>Pariatur Box</v>
      </c>
      <c r="O118" s="18" t="str">
        <f>_xlfn.XLOOKUP(tblMaster[[#This Row],[Product_ID]],tblProducts[Product_ID],tblProducts[Category],"Not Found",0)</f>
        <v>Cake</v>
      </c>
      <c r="P118" s="18" t="str">
        <f>_xlfn.XLOOKUP(tblMaster[[#This Row],[Product_ID]],tblProducts[Product_ID],tblProducts[Occasion],"Not Found",0)</f>
        <v>Raksha Bandhan</v>
      </c>
      <c r="Q118" s="18">
        <f>_xlfn.XLOOKUP(tblMaster[[#This Row],[Product_ID]],tblProducts[Product_ID],tblProducts[Price (INR)],"Not Found",0)</f>
        <v>811</v>
      </c>
      <c r="R118" s="19">
        <f>tblMaster[[#This Row],[Price]]*tblMaster[[#This Row],[Quantity]]</f>
        <v>2433</v>
      </c>
      <c r="S118" s="19">
        <f>tblMaster[[#This Row],[Price]]*0.7*tblMaster[[#This Row],[Quantity]]</f>
        <v>1703.1</v>
      </c>
      <c r="T118" s="19">
        <f>tblMaster[[#This Row],[Revenue]]-tblMaster[[#This Row],[Estimated Cost (at 70%) ]]</f>
        <v>729.90000000000009</v>
      </c>
      <c r="U118" s="19">
        <f>tblMaster[[#This Row],[Profit]]/tblMaster[[#This Row],[Revenue]]</f>
        <v>0.30000000000000004</v>
      </c>
      <c r="V118" s="19">
        <f>tblMaster[[#This Row],[Delivery_Date]]-tblMaster[[#This Row],[Order_Date]]</f>
        <v>2</v>
      </c>
      <c r="W118" s="19" t="str">
        <f>TEXT(tblMaster[[#This Row],[Order_Date]],"mmmm")</f>
        <v>August</v>
      </c>
      <c r="X118" s="19">
        <f>MONTH(tblMaster[[#This Row],[Order_Date]])</f>
        <v>8</v>
      </c>
      <c r="Y118" s="19" t="str">
        <f>"Q"&amp;ROUNDUP(tblMaster[[#This Row],[Month Number]]/3,0)</f>
        <v>Q3</v>
      </c>
      <c r="Z118" s="19">
        <f>YEAR(tblMaster[[#This Row],[Order_Date]])</f>
        <v>2023</v>
      </c>
      <c r="AA118" s="19" t="str">
        <f>TEXT(DAY(tblMaster[[#This Row],[Order_Date]]),"dddd")</f>
        <v>Friday</v>
      </c>
      <c r="AB118" s="19" t="str">
        <f>IF(tblMaster[[#This Row],[Revenue]]&gt;=5000,"High",IF(tblMaster[[#This Row],[Revenue]]&lt;2000,"Low","Medium"))</f>
        <v>Medium</v>
      </c>
    </row>
    <row r="119" spans="1:28" x14ac:dyDescent="0.25">
      <c r="A119" s="10">
        <v>118</v>
      </c>
      <c r="B119" s="10" t="s">
        <v>329</v>
      </c>
      <c r="C119" s="5">
        <v>62</v>
      </c>
      <c r="D119" s="5">
        <v>1</v>
      </c>
      <c r="E119" s="11">
        <v>44984</v>
      </c>
      <c r="F119" s="12">
        <v>0.60484953703703703</v>
      </c>
      <c r="G119" s="11">
        <v>44990</v>
      </c>
      <c r="H119" s="12">
        <v>0.43949074074074074</v>
      </c>
      <c r="I119" s="10" t="s">
        <v>240</v>
      </c>
      <c r="J119" s="10" t="s">
        <v>25</v>
      </c>
      <c r="K119" s="18" t="str">
        <f>_xlfn.XLOOKUP(tblMaster[[#This Row],[Customer_ID]],tblCustomers[Customer_ID],tblCustomers[City],"Not Found",0)</f>
        <v>Vellore</v>
      </c>
      <c r="L119" s="18" t="str">
        <f>_xlfn.XLOOKUP(tblMaster[[#This Row],[Customer_ID]],tblCustomers[Customer_ID],tblCustomers[Name],"Not Found",0)</f>
        <v>Ira Sarna</v>
      </c>
      <c r="M119" s="18" t="str">
        <f>_xlfn.XLOOKUP(tblMaster[[#This Row],[Customer_ID]],tblCustomers[Customer_ID],tblCustomers[Gender],"Not Found",0)</f>
        <v>Male</v>
      </c>
      <c r="N119" s="18" t="str">
        <f>_xlfn.XLOOKUP(tblMaster[[#This Row],[Product_ID]],tblProducts[Product_ID],tblProducts[Product_Name],"Not Found",0)</f>
        <v>Sed Set</v>
      </c>
      <c r="O119" s="18" t="str">
        <f>_xlfn.XLOOKUP(tblMaster[[#This Row],[Product_ID]],tblProducts[Product_ID],tblProducts[Category],"Not Found",0)</f>
        <v>Colors</v>
      </c>
      <c r="P119" s="18" t="str">
        <f>_xlfn.XLOOKUP(tblMaster[[#This Row],[Product_ID]],tblProducts[Product_ID],tblProducts[Occasion],"Not Found",0)</f>
        <v>Holi</v>
      </c>
      <c r="Q119" s="18">
        <f>_xlfn.XLOOKUP(tblMaster[[#This Row],[Product_ID]],tblProducts[Product_ID],tblProducts[Price (INR)],"Not Found",0)</f>
        <v>1356</v>
      </c>
      <c r="R119" s="19">
        <f>tblMaster[[#This Row],[Price]]*tblMaster[[#This Row],[Quantity]]</f>
        <v>1356</v>
      </c>
      <c r="S119" s="19">
        <f>tblMaster[[#This Row],[Price]]*0.7*tblMaster[[#This Row],[Quantity]]</f>
        <v>949.19999999999993</v>
      </c>
      <c r="T119" s="19">
        <f>tblMaster[[#This Row],[Revenue]]-tblMaster[[#This Row],[Estimated Cost (at 70%) ]]</f>
        <v>406.80000000000007</v>
      </c>
      <c r="U119" s="19">
        <f>tblMaster[[#This Row],[Profit]]/tblMaster[[#This Row],[Revenue]]</f>
        <v>0.30000000000000004</v>
      </c>
      <c r="V119" s="19">
        <f>tblMaster[[#This Row],[Delivery_Date]]-tblMaster[[#This Row],[Order_Date]]</f>
        <v>6</v>
      </c>
      <c r="W119" s="19" t="str">
        <f>TEXT(tblMaster[[#This Row],[Order_Date]],"mmmm")</f>
        <v>February</v>
      </c>
      <c r="X119" s="19">
        <f>MONTH(tblMaster[[#This Row],[Order_Date]])</f>
        <v>2</v>
      </c>
      <c r="Y119" s="19" t="str">
        <f>"Q"&amp;ROUNDUP(tblMaster[[#This Row],[Month Number]]/3,0)</f>
        <v>Q1</v>
      </c>
      <c r="Z119" s="19">
        <f>YEAR(tblMaster[[#This Row],[Order_Date]])</f>
        <v>2023</v>
      </c>
      <c r="AA119" s="19" t="str">
        <f>TEXT(DAY(tblMaster[[#This Row],[Order_Date]]),"dddd")</f>
        <v>Friday</v>
      </c>
      <c r="AB119" s="19" t="str">
        <f>IF(tblMaster[[#This Row],[Revenue]]&gt;=5000,"High",IF(tblMaster[[#This Row],[Revenue]]&lt;2000,"Low","Medium"))</f>
        <v>Low</v>
      </c>
    </row>
    <row r="120" spans="1:28" x14ac:dyDescent="0.25">
      <c r="A120" s="7">
        <v>119</v>
      </c>
      <c r="B120" s="7" t="s">
        <v>287</v>
      </c>
      <c r="C120" s="4">
        <v>6</v>
      </c>
      <c r="D120" s="4">
        <v>4</v>
      </c>
      <c r="E120" s="8">
        <v>44989</v>
      </c>
      <c r="F120" s="9">
        <v>0.45983796296296298</v>
      </c>
      <c r="G120" s="8">
        <v>44997</v>
      </c>
      <c r="H120" s="9">
        <v>0.51548611111111109</v>
      </c>
      <c r="I120" s="7" t="s">
        <v>330</v>
      </c>
      <c r="J120" s="7" t="s">
        <v>25</v>
      </c>
      <c r="K120" s="18" t="str">
        <f>_xlfn.XLOOKUP(tblMaster[[#This Row],[Customer_ID]],tblCustomers[Customer_ID],tblCustomers[City],"Not Found",0)</f>
        <v>Kanpur</v>
      </c>
      <c r="L120" s="18" t="str">
        <f>_xlfn.XLOOKUP(tblMaster[[#This Row],[Customer_ID]],tblCustomers[Customer_ID],tblCustomers[Name],"Not Found",0)</f>
        <v>Darshit Dave</v>
      </c>
      <c r="M120" s="18" t="str">
        <f>_xlfn.XLOOKUP(tblMaster[[#This Row],[Customer_ID]],tblCustomers[Customer_ID],tblCustomers[Gender],"Not Found",0)</f>
        <v>Male</v>
      </c>
      <c r="N120" s="18" t="str">
        <f>_xlfn.XLOOKUP(tblMaster[[#This Row],[Product_ID]],tblProducts[Product_ID],tblProducts[Product_Name],"Not Found",0)</f>
        <v>Quos Box</v>
      </c>
      <c r="O120" s="18" t="str">
        <f>_xlfn.XLOOKUP(tblMaster[[#This Row],[Product_ID]],tblProducts[Product_ID],tblProducts[Category],"Not Found",0)</f>
        <v>Cake</v>
      </c>
      <c r="P120" s="18" t="str">
        <f>_xlfn.XLOOKUP(tblMaster[[#This Row],[Product_ID]],tblProducts[Product_ID],tblProducts[Occasion],"Not Found",0)</f>
        <v>Holi</v>
      </c>
      <c r="Q120" s="18">
        <f>_xlfn.XLOOKUP(tblMaster[[#This Row],[Product_ID]],tblProducts[Product_ID],tblProducts[Price (INR)],"Not Found",0)</f>
        <v>1112</v>
      </c>
      <c r="R120" s="19">
        <f>tblMaster[[#This Row],[Price]]*tblMaster[[#This Row],[Quantity]]</f>
        <v>4448</v>
      </c>
      <c r="S120" s="19">
        <f>tblMaster[[#This Row],[Price]]*0.7*tblMaster[[#This Row],[Quantity]]</f>
        <v>3113.6</v>
      </c>
      <c r="T120" s="19">
        <f>tblMaster[[#This Row],[Revenue]]-tblMaster[[#This Row],[Estimated Cost (at 70%) ]]</f>
        <v>1334.4</v>
      </c>
      <c r="U120" s="19">
        <f>tblMaster[[#This Row],[Profit]]/tblMaster[[#This Row],[Revenue]]</f>
        <v>0.30000000000000004</v>
      </c>
      <c r="V120" s="19">
        <f>tblMaster[[#This Row],[Delivery_Date]]-tblMaster[[#This Row],[Order_Date]]</f>
        <v>8</v>
      </c>
      <c r="W120" s="19" t="str">
        <f>TEXT(tblMaster[[#This Row],[Order_Date]],"mmmm")</f>
        <v>March</v>
      </c>
      <c r="X120" s="19">
        <f>MONTH(tblMaster[[#This Row],[Order_Date]])</f>
        <v>3</v>
      </c>
      <c r="Y120" s="19" t="str">
        <f>"Q"&amp;ROUNDUP(tblMaster[[#This Row],[Month Number]]/3,0)</f>
        <v>Q1</v>
      </c>
      <c r="Z120" s="19">
        <f>YEAR(tblMaster[[#This Row],[Order_Date]])</f>
        <v>2023</v>
      </c>
      <c r="AA120" s="19" t="str">
        <f>TEXT(DAY(tblMaster[[#This Row],[Order_Date]]),"dddd")</f>
        <v>Wednesday</v>
      </c>
      <c r="AB120" s="19" t="str">
        <f>IF(tblMaster[[#This Row],[Revenue]]&gt;=5000,"High",IF(tblMaster[[#This Row],[Revenue]]&lt;2000,"Low","Medium"))</f>
        <v>Medium</v>
      </c>
    </row>
    <row r="121" spans="1:28" x14ac:dyDescent="0.25">
      <c r="A121" s="10">
        <v>120</v>
      </c>
      <c r="B121" s="10" t="s">
        <v>276</v>
      </c>
      <c r="C121" s="5">
        <v>61</v>
      </c>
      <c r="D121" s="5">
        <v>1</v>
      </c>
      <c r="E121" s="11">
        <v>45285</v>
      </c>
      <c r="F121" s="12">
        <v>0.935150462962963</v>
      </c>
      <c r="G121" s="11">
        <v>45291</v>
      </c>
      <c r="H121" s="12">
        <v>0.41486111111111112</v>
      </c>
      <c r="I121" s="10" t="s">
        <v>292</v>
      </c>
      <c r="J121" s="10" t="s">
        <v>30</v>
      </c>
      <c r="K121" s="18" t="str">
        <f>_xlfn.XLOOKUP(tblMaster[[#This Row],[Customer_ID]],tblCustomers[Customer_ID],tblCustomers[City],"Not Found",0)</f>
        <v>Imphal</v>
      </c>
      <c r="L121" s="18" t="str">
        <f>_xlfn.XLOOKUP(tblMaster[[#This Row],[Customer_ID]],tblCustomers[Customer_ID],tblCustomers[Name],"Not Found",0)</f>
        <v>Chirag Srinivas</v>
      </c>
      <c r="M121" s="18" t="str">
        <f>_xlfn.XLOOKUP(tblMaster[[#This Row],[Customer_ID]],tblCustomers[Customer_ID],tblCustomers[Gender],"Not Found",0)</f>
        <v>Female</v>
      </c>
      <c r="N121" s="18" t="str">
        <f>_xlfn.XLOOKUP(tblMaster[[#This Row],[Product_ID]],tblProducts[Product_ID],tblProducts[Product_Name],"Not Found",0)</f>
        <v>Iusto Box</v>
      </c>
      <c r="O121" s="18" t="str">
        <f>_xlfn.XLOOKUP(tblMaster[[#This Row],[Product_ID]],tblProducts[Product_ID],tblProducts[Category],"Not Found",0)</f>
        <v>Plants</v>
      </c>
      <c r="P121" s="18" t="str">
        <f>_xlfn.XLOOKUP(tblMaster[[#This Row],[Product_ID]],tblProducts[Product_ID],tblProducts[Occasion],"Not Found",0)</f>
        <v>Anniversary</v>
      </c>
      <c r="Q121" s="18">
        <f>_xlfn.XLOOKUP(tblMaster[[#This Row],[Product_ID]],tblProducts[Product_ID],tblProducts[Price (INR)],"Not Found",0)</f>
        <v>810</v>
      </c>
      <c r="R121" s="19">
        <f>tblMaster[[#This Row],[Price]]*tblMaster[[#This Row],[Quantity]]</f>
        <v>810</v>
      </c>
      <c r="S121" s="19">
        <f>tblMaster[[#This Row],[Price]]*0.7*tblMaster[[#This Row],[Quantity]]</f>
        <v>567</v>
      </c>
      <c r="T121" s="19">
        <f>tblMaster[[#This Row],[Revenue]]-tblMaster[[#This Row],[Estimated Cost (at 70%) ]]</f>
        <v>243</v>
      </c>
      <c r="U121" s="19">
        <f>tblMaster[[#This Row],[Profit]]/tblMaster[[#This Row],[Revenue]]</f>
        <v>0.3</v>
      </c>
      <c r="V121" s="19">
        <f>tblMaster[[#This Row],[Delivery_Date]]-tblMaster[[#This Row],[Order_Date]]</f>
        <v>6</v>
      </c>
      <c r="W121" s="19" t="str">
        <f>TEXT(tblMaster[[#This Row],[Order_Date]],"mmmm")</f>
        <v>December</v>
      </c>
      <c r="X121" s="19">
        <f>MONTH(tblMaster[[#This Row],[Order_Date]])</f>
        <v>12</v>
      </c>
      <c r="Y121" s="19" t="str">
        <f>"Q"&amp;ROUNDUP(tblMaster[[#This Row],[Month Number]]/3,0)</f>
        <v>Q4</v>
      </c>
      <c r="Z121" s="19">
        <f>YEAR(tblMaster[[#This Row],[Order_Date]])</f>
        <v>2023</v>
      </c>
      <c r="AA121" s="19" t="str">
        <f>TEXT(DAY(tblMaster[[#This Row],[Order_Date]]),"dddd")</f>
        <v>Wednesday</v>
      </c>
      <c r="AB121" s="19" t="str">
        <f>IF(tblMaster[[#This Row],[Revenue]]&gt;=5000,"High",IF(tblMaster[[#This Row],[Revenue]]&lt;2000,"Low","Medium"))</f>
        <v>Low</v>
      </c>
    </row>
    <row r="122" spans="1:28" x14ac:dyDescent="0.25">
      <c r="A122" s="7">
        <v>121</v>
      </c>
      <c r="B122" s="7" t="s">
        <v>331</v>
      </c>
      <c r="C122" s="4">
        <v>33</v>
      </c>
      <c r="D122" s="4">
        <v>3</v>
      </c>
      <c r="E122" s="8">
        <v>44962</v>
      </c>
      <c r="F122" s="9">
        <v>9.6469907407407407E-2</v>
      </c>
      <c r="G122" s="8">
        <v>44966</v>
      </c>
      <c r="H122" s="9">
        <v>0.31216435185185187</v>
      </c>
      <c r="I122" s="7" t="s">
        <v>332</v>
      </c>
      <c r="J122" s="7" t="s">
        <v>12</v>
      </c>
      <c r="K122" s="18" t="str">
        <f>_xlfn.XLOOKUP(tblMaster[[#This Row],[Customer_ID]],tblCustomers[Customer_ID],tblCustomers[City],"Not Found",0)</f>
        <v>Guntakal</v>
      </c>
      <c r="L122" s="18" t="str">
        <f>_xlfn.XLOOKUP(tblMaster[[#This Row],[Customer_ID]],tblCustomers[Customer_ID],tblCustomers[Name],"Not Found",0)</f>
        <v>Aradhya Kale</v>
      </c>
      <c r="M122" s="18" t="str">
        <f>_xlfn.XLOOKUP(tblMaster[[#This Row],[Customer_ID]],tblCustomers[Customer_ID],tblCustomers[Gender],"Not Found",0)</f>
        <v>Male</v>
      </c>
      <c r="N122" s="18" t="str">
        <f>_xlfn.XLOOKUP(tblMaster[[#This Row],[Product_ID]],tblProducts[Product_ID],tblProducts[Product_Name],"Not Found",0)</f>
        <v>Earum Set</v>
      </c>
      <c r="O122" s="18" t="str">
        <f>_xlfn.XLOOKUP(tblMaster[[#This Row],[Product_ID]],tblProducts[Product_ID],tblProducts[Category],"Not Found",0)</f>
        <v>Colors</v>
      </c>
      <c r="P122" s="18" t="str">
        <f>_xlfn.XLOOKUP(tblMaster[[#This Row],[Product_ID]],tblProducts[Product_ID],tblProducts[Occasion],"Not Found",0)</f>
        <v>Valentine's Day</v>
      </c>
      <c r="Q122" s="18">
        <f>_xlfn.XLOOKUP(tblMaster[[#This Row],[Product_ID]],tblProducts[Product_ID],tblProducts[Price (INR)],"Not Found",0)</f>
        <v>314</v>
      </c>
      <c r="R122" s="19">
        <f>tblMaster[[#This Row],[Price]]*tblMaster[[#This Row],[Quantity]]</f>
        <v>942</v>
      </c>
      <c r="S122" s="19">
        <f>tblMaster[[#This Row],[Price]]*0.7*tblMaster[[#This Row],[Quantity]]</f>
        <v>659.4</v>
      </c>
      <c r="T122" s="19">
        <f>tblMaster[[#This Row],[Revenue]]-tblMaster[[#This Row],[Estimated Cost (at 70%) ]]</f>
        <v>282.60000000000002</v>
      </c>
      <c r="U122" s="19">
        <f>tblMaster[[#This Row],[Profit]]/tblMaster[[#This Row],[Revenue]]</f>
        <v>0.30000000000000004</v>
      </c>
      <c r="V122" s="19">
        <f>tblMaster[[#This Row],[Delivery_Date]]-tblMaster[[#This Row],[Order_Date]]</f>
        <v>4</v>
      </c>
      <c r="W122" s="19" t="str">
        <f>TEXT(tblMaster[[#This Row],[Order_Date]],"mmmm")</f>
        <v>February</v>
      </c>
      <c r="X122" s="19">
        <f>MONTH(tblMaster[[#This Row],[Order_Date]])</f>
        <v>2</v>
      </c>
      <c r="Y122" s="19" t="str">
        <f>"Q"&amp;ROUNDUP(tblMaster[[#This Row],[Month Number]]/3,0)</f>
        <v>Q1</v>
      </c>
      <c r="Z122" s="19">
        <f>YEAR(tblMaster[[#This Row],[Order_Date]])</f>
        <v>2023</v>
      </c>
      <c r="AA122" s="19" t="str">
        <f>TEXT(DAY(tblMaster[[#This Row],[Order_Date]]),"dddd")</f>
        <v>Thursday</v>
      </c>
      <c r="AB122" s="19" t="str">
        <f>IF(tblMaster[[#This Row],[Revenue]]&gt;=5000,"High",IF(tblMaster[[#This Row],[Revenue]]&lt;2000,"Low","Medium"))</f>
        <v>Low</v>
      </c>
    </row>
    <row r="123" spans="1:28" x14ac:dyDescent="0.25">
      <c r="A123" s="10">
        <v>122</v>
      </c>
      <c r="B123" s="10" t="s">
        <v>333</v>
      </c>
      <c r="C123" s="5">
        <v>24</v>
      </c>
      <c r="D123" s="5">
        <v>5</v>
      </c>
      <c r="E123" s="11">
        <v>45202</v>
      </c>
      <c r="F123" s="12">
        <v>0.37804398148148149</v>
      </c>
      <c r="G123" s="11">
        <v>45212</v>
      </c>
      <c r="H123" s="12">
        <v>0.1355787037037037</v>
      </c>
      <c r="I123" s="10" t="s">
        <v>334</v>
      </c>
      <c r="J123" s="10" t="s">
        <v>36</v>
      </c>
      <c r="K123" s="18" t="str">
        <f>_xlfn.XLOOKUP(tblMaster[[#This Row],[Customer_ID]],tblCustomers[Customer_ID],tblCustomers[City],"Not Found",0)</f>
        <v>Raurkela Industrial Township</v>
      </c>
      <c r="L123" s="18" t="str">
        <f>_xlfn.XLOOKUP(tblMaster[[#This Row],[Customer_ID]],tblCustomers[Customer_ID],tblCustomers[Name],"Not Found",0)</f>
        <v>Aaryahi Sodhi</v>
      </c>
      <c r="M123" s="18" t="str">
        <f>_xlfn.XLOOKUP(tblMaster[[#This Row],[Customer_ID]],tblCustomers[Customer_ID],tblCustomers[Gender],"Not Found",0)</f>
        <v>Male</v>
      </c>
      <c r="N123" s="18" t="str">
        <f>_xlfn.XLOOKUP(tblMaster[[#This Row],[Product_ID]],tblProducts[Product_ID],tblProducts[Product_Name],"Not Found",0)</f>
        <v>Ad Box</v>
      </c>
      <c r="O123" s="18" t="str">
        <f>_xlfn.XLOOKUP(tblMaster[[#This Row],[Product_ID]],tblProducts[Product_ID],tblProducts[Category],"Not Found",0)</f>
        <v>Mugs</v>
      </c>
      <c r="P123" s="18" t="str">
        <f>_xlfn.XLOOKUP(tblMaster[[#This Row],[Product_ID]],tblProducts[Product_ID],tblProducts[Occasion],"Not Found",0)</f>
        <v>Birthday</v>
      </c>
      <c r="Q123" s="18">
        <f>_xlfn.XLOOKUP(tblMaster[[#This Row],[Product_ID]],tblProducts[Product_ID],tblProducts[Price (INR)],"Not Found",0)</f>
        <v>535</v>
      </c>
      <c r="R123" s="19">
        <f>tblMaster[[#This Row],[Price]]*tblMaster[[#This Row],[Quantity]]</f>
        <v>2675</v>
      </c>
      <c r="S123" s="19">
        <f>tblMaster[[#This Row],[Price]]*0.7*tblMaster[[#This Row],[Quantity]]</f>
        <v>1872.5</v>
      </c>
      <c r="T123" s="19">
        <f>tblMaster[[#This Row],[Revenue]]-tblMaster[[#This Row],[Estimated Cost (at 70%) ]]</f>
        <v>802.5</v>
      </c>
      <c r="U123" s="19">
        <f>tblMaster[[#This Row],[Profit]]/tblMaster[[#This Row],[Revenue]]</f>
        <v>0.3</v>
      </c>
      <c r="V123" s="19">
        <f>tblMaster[[#This Row],[Delivery_Date]]-tblMaster[[#This Row],[Order_Date]]</f>
        <v>10</v>
      </c>
      <c r="W123" s="19" t="str">
        <f>TEXT(tblMaster[[#This Row],[Order_Date]],"mmmm")</f>
        <v>October</v>
      </c>
      <c r="X123" s="19">
        <f>MONTH(tblMaster[[#This Row],[Order_Date]])</f>
        <v>10</v>
      </c>
      <c r="Y123" s="19" t="str">
        <f>"Q"&amp;ROUNDUP(tblMaster[[#This Row],[Month Number]]/3,0)</f>
        <v>Q4</v>
      </c>
      <c r="Z123" s="19">
        <f>YEAR(tblMaster[[#This Row],[Order_Date]])</f>
        <v>2023</v>
      </c>
      <c r="AA123" s="19" t="str">
        <f>TEXT(DAY(tblMaster[[#This Row],[Order_Date]]),"dddd")</f>
        <v>Tuesday</v>
      </c>
      <c r="AB123" s="19" t="str">
        <f>IF(tblMaster[[#This Row],[Revenue]]&gt;=5000,"High",IF(tblMaster[[#This Row],[Revenue]]&lt;2000,"Low","Medium"))</f>
        <v>Medium</v>
      </c>
    </row>
    <row r="124" spans="1:28" x14ac:dyDescent="0.25">
      <c r="A124" s="7">
        <v>123</v>
      </c>
      <c r="B124" s="7" t="s">
        <v>335</v>
      </c>
      <c r="C124" s="4">
        <v>38</v>
      </c>
      <c r="D124" s="4">
        <v>1</v>
      </c>
      <c r="E124" s="8">
        <v>44941</v>
      </c>
      <c r="F124" s="9">
        <v>2.1631944444444443E-2</v>
      </c>
      <c r="G124" s="8">
        <v>44951</v>
      </c>
      <c r="H124" s="9">
        <v>0.20744212962962963</v>
      </c>
      <c r="I124" s="7" t="s">
        <v>336</v>
      </c>
      <c r="J124" s="7" t="s">
        <v>36</v>
      </c>
      <c r="K124" s="18" t="str">
        <f>_xlfn.XLOOKUP(tblMaster[[#This Row],[Customer_ID]],tblCustomers[Customer_ID],tblCustomers[City],"Not Found",0)</f>
        <v>Farrukhabad</v>
      </c>
      <c r="L124" s="18" t="str">
        <f>_xlfn.XLOOKUP(tblMaster[[#This Row],[Customer_ID]],tblCustomers[Customer_ID],tblCustomers[Name],"Not Found",0)</f>
        <v>Ira Chahal</v>
      </c>
      <c r="M124" s="18" t="str">
        <f>_xlfn.XLOOKUP(tblMaster[[#This Row],[Customer_ID]],tblCustomers[Customer_ID],tblCustomers[Gender],"Not Found",0)</f>
        <v>Female</v>
      </c>
      <c r="N124" s="18" t="str">
        <f>_xlfn.XLOOKUP(tblMaster[[#This Row],[Product_ID]],tblProducts[Product_ID],tblProducts[Product_Name],"Not Found",0)</f>
        <v>Mollitia Set</v>
      </c>
      <c r="O124" s="18" t="str">
        <f>_xlfn.XLOOKUP(tblMaster[[#This Row],[Product_ID]],tblProducts[Product_ID],tblProducts[Category],"Not Found",0)</f>
        <v>Cake</v>
      </c>
      <c r="P124" s="18" t="str">
        <f>_xlfn.XLOOKUP(tblMaster[[#This Row],[Product_ID]],tblProducts[Product_ID],tblProducts[Occasion],"Not Found",0)</f>
        <v>Birthday</v>
      </c>
      <c r="Q124" s="18">
        <f>_xlfn.XLOOKUP(tblMaster[[#This Row],[Product_ID]],tblProducts[Product_ID],tblProducts[Price (INR)],"Not Found",0)</f>
        <v>562</v>
      </c>
      <c r="R124" s="19">
        <f>tblMaster[[#This Row],[Price]]*tblMaster[[#This Row],[Quantity]]</f>
        <v>562</v>
      </c>
      <c r="S124" s="19">
        <f>tblMaster[[#This Row],[Price]]*0.7*tblMaster[[#This Row],[Quantity]]</f>
        <v>393.4</v>
      </c>
      <c r="T124" s="19">
        <f>tblMaster[[#This Row],[Revenue]]-tblMaster[[#This Row],[Estimated Cost (at 70%) ]]</f>
        <v>168.60000000000002</v>
      </c>
      <c r="U124" s="19">
        <f>tblMaster[[#This Row],[Profit]]/tblMaster[[#This Row],[Revenue]]</f>
        <v>0.30000000000000004</v>
      </c>
      <c r="V124" s="19">
        <f>tblMaster[[#This Row],[Delivery_Date]]-tblMaster[[#This Row],[Order_Date]]</f>
        <v>10</v>
      </c>
      <c r="W124" s="19" t="str">
        <f>TEXT(tblMaster[[#This Row],[Order_Date]],"mmmm")</f>
        <v>January</v>
      </c>
      <c r="X124" s="19">
        <f>MONTH(tblMaster[[#This Row],[Order_Date]])</f>
        <v>1</v>
      </c>
      <c r="Y124" s="19" t="str">
        <f>"Q"&amp;ROUNDUP(tblMaster[[#This Row],[Month Number]]/3,0)</f>
        <v>Q1</v>
      </c>
      <c r="Z124" s="19">
        <f>YEAR(tblMaster[[#This Row],[Order_Date]])</f>
        <v>2023</v>
      </c>
      <c r="AA124" s="19" t="str">
        <f>TEXT(DAY(tblMaster[[#This Row],[Order_Date]]),"dddd")</f>
        <v>Sunday</v>
      </c>
      <c r="AB124" s="19" t="str">
        <f>IF(tblMaster[[#This Row],[Revenue]]&gt;=5000,"High",IF(tblMaster[[#This Row],[Revenue]]&lt;2000,"Low","Medium"))</f>
        <v>Low</v>
      </c>
    </row>
    <row r="125" spans="1:28" x14ac:dyDescent="0.25">
      <c r="A125" s="10">
        <v>124</v>
      </c>
      <c r="B125" s="10" t="s">
        <v>337</v>
      </c>
      <c r="C125" s="5">
        <v>67</v>
      </c>
      <c r="D125" s="5">
        <v>4</v>
      </c>
      <c r="E125" s="11">
        <v>45128</v>
      </c>
      <c r="F125" s="12">
        <v>0.36452546296296295</v>
      </c>
      <c r="G125" s="11">
        <v>45130</v>
      </c>
      <c r="H125" s="12">
        <v>0.22481481481481483</v>
      </c>
      <c r="I125" s="10" t="s">
        <v>338</v>
      </c>
      <c r="J125" s="10" t="s">
        <v>30</v>
      </c>
      <c r="K125" s="18" t="str">
        <f>_xlfn.XLOOKUP(tblMaster[[#This Row],[Customer_ID]],tblCustomers[Customer_ID],tblCustomers[City],"Not Found",0)</f>
        <v>Sambhal</v>
      </c>
      <c r="L125" s="18" t="str">
        <f>_xlfn.XLOOKUP(tblMaster[[#This Row],[Customer_ID]],tblCustomers[Customer_ID],tblCustomers[Name],"Not Found",0)</f>
        <v>Vardaniya Contractor</v>
      </c>
      <c r="M125" s="18" t="str">
        <f>_xlfn.XLOOKUP(tblMaster[[#This Row],[Customer_ID]],tblCustomers[Customer_ID],tblCustomers[Gender],"Not Found",0)</f>
        <v>Male</v>
      </c>
      <c r="N125" s="18" t="str">
        <f>_xlfn.XLOOKUP(tblMaster[[#This Row],[Product_ID]],tblProducts[Product_ID],tblProducts[Product_Name],"Not Found",0)</f>
        <v>Maiores Box</v>
      </c>
      <c r="O125" s="18" t="str">
        <f>_xlfn.XLOOKUP(tblMaster[[#This Row],[Product_ID]],tblProducts[Product_ID],tblProducts[Category],"Not Found",0)</f>
        <v>Raksha Bandhan</v>
      </c>
      <c r="P125" s="18" t="str">
        <f>_xlfn.XLOOKUP(tblMaster[[#This Row],[Product_ID]],tblProducts[Product_ID],tblProducts[Occasion],"Not Found",0)</f>
        <v>Anniversary</v>
      </c>
      <c r="Q125" s="18">
        <f>_xlfn.XLOOKUP(tblMaster[[#This Row],[Product_ID]],tblProducts[Product_ID],tblProducts[Price (INR)],"Not Found",0)</f>
        <v>1374</v>
      </c>
      <c r="R125" s="19">
        <f>tblMaster[[#This Row],[Price]]*tblMaster[[#This Row],[Quantity]]</f>
        <v>5496</v>
      </c>
      <c r="S125" s="19">
        <f>tblMaster[[#This Row],[Price]]*0.7*tblMaster[[#This Row],[Quantity]]</f>
        <v>3847.2</v>
      </c>
      <c r="T125" s="19">
        <f>tblMaster[[#This Row],[Revenue]]-tblMaster[[#This Row],[Estimated Cost (at 70%) ]]</f>
        <v>1648.8000000000002</v>
      </c>
      <c r="U125" s="19">
        <f>tblMaster[[#This Row],[Profit]]/tblMaster[[#This Row],[Revenue]]</f>
        <v>0.30000000000000004</v>
      </c>
      <c r="V125" s="19">
        <f>tblMaster[[#This Row],[Delivery_Date]]-tblMaster[[#This Row],[Order_Date]]</f>
        <v>2</v>
      </c>
      <c r="W125" s="19" t="str">
        <f>TEXT(tblMaster[[#This Row],[Order_Date]],"mmmm")</f>
        <v>July</v>
      </c>
      <c r="X125" s="19">
        <f>MONTH(tblMaster[[#This Row],[Order_Date]])</f>
        <v>7</v>
      </c>
      <c r="Y125" s="19" t="str">
        <f>"Q"&amp;ROUNDUP(tblMaster[[#This Row],[Month Number]]/3,0)</f>
        <v>Q3</v>
      </c>
      <c r="Z125" s="19">
        <f>YEAR(tblMaster[[#This Row],[Order_Date]])</f>
        <v>2023</v>
      </c>
      <c r="AA125" s="19" t="str">
        <f>TEXT(DAY(tblMaster[[#This Row],[Order_Date]]),"dddd")</f>
        <v>Saturday</v>
      </c>
      <c r="AB125" s="19" t="str">
        <f>IF(tblMaster[[#This Row],[Revenue]]&gt;=5000,"High",IF(tblMaster[[#This Row],[Revenue]]&lt;2000,"Low","Medium"))</f>
        <v>High</v>
      </c>
    </row>
    <row r="126" spans="1:28" x14ac:dyDescent="0.25">
      <c r="A126" s="7">
        <v>125</v>
      </c>
      <c r="B126" s="7" t="s">
        <v>246</v>
      </c>
      <c r="C126" s="4">
        <v>31</v>
      </c>
      <c r="D126" s="4">
        <v>2</v>
      </c>
      <c r="E126" s="8">
        <v>45004</v>
      </c>
      <c r="F126" s="9">
        <v>0.38346064814814818</v>
      </c>
      <c r="G126" s="8">
        <v>45010</v>
      </c>
      <c r="H126" s="9">
        <v>0.60846064814814815</v>
      </c>
      <c r="I126" s="7" t="s">
        <v>339</v>
      </c>
      <c r="J126" s="7" t="s">
        <v>8</v>
      </c>
      <c r="K126" s="18" t="str">
        <f>_xlfn.XLOOKUP(tblMaster[[#This Row],[Customer_ID]],tblCustomers[Customer_ID],tblCustomers[City],"Not Found",0)</f>
        <v>Machilipatnam</v>
      </c>
      <c r="L126" s="18" t="str">
        <f>_xlfn.XLOOKUP(tblMaster[[#This Row],[Customer_ID]],tblCustomers[Customer_ID],tblCustomers[Name],"Not Found",0)</f>
        <v>Samaira Ganesh</v>
      </c>
      <c r="M126" s="18" t="str">
        <f>_xlfn.XLOOKUP(tblMaster[[#This Row],[Customer_ID]],tblCustomers[Customer_ID],tblCustomers[Gender],"Not Found",0)</f>
        <v>Male</v>
      </c>
      <c r="N126" s="18" t="str">
        <f>_xlfn.XLOOKUP(tblMaster[[#This Row],[Product_ID]],tblProducts[Product_ID],tblProducts[Product_Name],"Not Found",0)</f>
        <v>Nihil Box</v>
      </c>
      <c r="O126" s="18" t="str">
        <f>_xlfn.XLOOKUP(tblMaster[[#This Row],[Product_ID]],tblProducts[Product_ID],tblProducts[Category],"Not Found",0)</f>
        <v>Colors</v>
      </c>
      <c r="P126" s="18" t="str">
        <f>_xlfn.XLOOKUP(tblMaster[[#This Row],[Product_ID]],tblProducts[Product_ID],tblProducts[Occasion],"Not Found",0)</f>
        <v>All Occasions</v>
      </c>
      <c r="Q126" s="18">
        <f>_xlfn.XLOOKUP(tblMaster[[#This Row],[Product_ID]],tblProducts[Product_ID],tblProducts[Price (INR)],"Not Found",0)</f>
        <v>1804</v>
      </c>
      <c r="R126" s="19">
        <f>tblMaster[[#This Row],[Price]]*tblMaster[[#This Row],[Quantity]]</f>
        <v>3608</v>
      </c>
      <c r="S126" s="19">
        <f>tblMaster[[#This Row],[Price]]*0.7*tblMaster[[#This Row],[Quantity]]</f>
        <v>2525.6</v>
      </c>
      <c r="T126" s="19">
        <f>tblMaster[[#This Row],[Revenue]]-tblMaster[[#This Row],[Estimated Cost (at 70%) ]]</f>
        <v>1082.4000000000001</v>
      </c>
      <c r="U126" s="19">
        <f>tblMaster[[#This Row],[Profit]]/tblMaster[[#This Row],[Revenue]]</f>
        <v>0.30000000000000004</v>
      </c>
      <c r="V126" s="19">
        <f>tblMaster[[#This Row],[Delivery_Date]]-tblMaster[[#This Row],[Order_Date]]</f>
        <v>6</v>
      </c>
      <c r="W126" s="19" t="str">
        <f>TEXT(tblMaster[[#This Row],[Order_Date]],"mmmm")</f>
        <v>March</v>
      </c>
      <c r="X126" s="19">
        <f>MONTH(tblMaster[[#This Row],[Order_Date]])</f>
        <v>3</v>
      </c>
      <c r="Y126" s="19" t="str">
        <f>"Q"&amp;ROUNDUP(tblMaster[[#This Row],[Month Number]]/3,0)</f>
        <v>Q1</v>
      </c>
      <c r="Z126" s="19">
        <f>YEAR(tblMaster[[#This Row],[Order_Date]])</f>
        <v>2023</v>
      </c>
      <c r="AA126" s="19" t="str">
        <f>TEXT(DAY(tblMaster[[#This Row],[Order_Date]]),"dddd")</f>
        <v>Thursday</v>
      </c>
      <c r="AB126" s="19" t="str">
        <f>IF(tblMaster[[#This Row],[Revenue]]&gt;=5000,"High",IF(tblMaster[[#This Row],[Revenue]]&lt;2000,"Low","Medium"))</f>
        <v>Medium</v>
      </c>
    </row>
    <row r="127" spans="1:28" x14ac:dyDescent="0.25">
      <c r="A127" s="10">
        <v>126</v>
      </c>
      <c r="B127" s="10" t="s">
        <v>176</v>
      </c>
      <c r="C127" s="5">
        <v>19</v>
      </c>
      <c r="D127" s="5">
        <v>5</v>
      </c>
      <c r="E127" s="11">
        <v>44961</v>
      </c>
      <c r="F127" s="12">
        <v>0.10305555555555555</v>
      </c>
      <c r="G127" s="11">
        <v>44970</v>
      </c>
      <c r="H127" s="12">
        <v>0.55321759259259262</v>
      </c>
      <c r="I127" s="10" t="s">
        <v>340</v>
      </c>
      <c r="J127" s="10" t="s">
        <v>12</v>
      </c>
      <c r="K127" s="18" t="str">
        <f>_xlfn.XLOOKUP(tblMaster[[#This Row],[Customer_ID]],tblCustomers[Customer_ID],tblCustomers[City],"Not Found",0)</f>
        <v>Pallavaram</v>
      </c>
      <c r="L127" s="18" t="str">
        <f>_xlfn.XLOOKUP(tblMaster[[#This Row],[Customer_ID]],tblCustomers[Customer_ID],tblCustomers[Name],"Not Found",0)</f>
        <v>Hazel Mangat</v>
      </c>
      <c r="M127" s="18" t="str">
        <f>_xlfn.XLOOKUP(tblMaster[[#This Row],[Customer_ID]],tblCustomers[Customer_ID],tblCustomers[Gender],"Not Found",0)</f>
        <v>Female</v>
      </c>
      <c r="N127" s="18" t="str">
        <f>_xlfn.XLOOKUP(tblMaster[[#This Row],[Product_ID]],tblProducts[Product_ID],tblProducts[Product_Name],"Not Found",0)</f>
        <v>Iure Gift</v>
      </c>
      <c r="O127" s="18" t="str">
        <f>_xlfn.XLOOKUP(tblMaster[[#This Row],[Product_ID]],tblProducts[Product_ID],tblProducts[Category],"Not Found",0)</f>
        <v>Mugs</v>
      </c>
      <c r="P127" s="18" t="str">
        <f>_xlfn.XLOOKUP(tblMaster[[#This Row],[Product_ID]],tblProducts[Product_ID],tblProducts[Occasion],"Not Found",0)</f>
        <v>Valentine's Day</v>
      </c>
      <c r="Q127" s="18">
        <f>_xlfn.XLOOKUP(tblMaster[[#This Row],[Product_ID]],tblProducts[Product_ID],tblProducts[Price (INR)],"Not Found",0)</f>
        <v>1234</v>
      </c>
      <c r="R127" s="19">
        <f>tblMaster[[#This Row],[Price]]*tblMaster[[#This Row],[Quantity]]</f>
        <v>6170</v>
      </c>
      <c r="S127" s="19">
        <f>tblMaster[[#This Row],[Price]]*0.7*tblMaster[[#This Row],[Quantity]]</f>
        <v>4319</v>
      </c>
      <c r="T127" s="19">
        <f>tblMaster[[#This Row],[Revenue]]-tblMaster[[#This Row],[Estimated Cost (at 70%) ]]</f>
        <v>1851</v>
      </c>
      <c r="U127" s="19">
        <f>tblMaster[[#This Row],[Profit]]/tblMaster[[#This Row],[Revenue]]</f>
        <v>0.3</v>
      </c>
      <c r="V127" s="19">
        <f>tblMaster[[#This Row],[Delivery_Date]]-tblMaster[[#This Row],[Order_Date]]</f>
        <v>9</v>
      </c>
      <c r="W127" s="19" t="str">
        <f>TEXT(tblMaster[[#This Row],[Order_Date]],"mmmm")</f>
        <v>February</v>
      </c>
      <c r="X127" s="19">
        <f>MONTH(tblMaster[[#This Row],[Order_Date]])</f>
        <v>2</v>
      </c>
      <c r="Y127" s="19" t="str">
        <f>"Q"&amp;ROUNDUP(tblMaster[[#This Row],[Month Number]]/3,0)</f>
        <v>Q1</v>
      </c>
      <c r="Z127" s="19">
        <f>YEAR(tblMaster[[#This Row],[Order_Date]])</f>
        <v>2023</v>
      </c>
      <c r="AA127" s="19" t="str">
        <f>TEXT(DAY(tblMaster[[#This Row],[Order_Date]]),"dddd")</f>
        <v>Wednesday</v>
      </c>
      <c r="AB127" s="19" t="str">
        <f>IF(tblMaster[[#This Row],[Revenue]]&gt;=5000,"High",IF(tblMaster[[#This Row],[Revenue]]&lt;2000,"Low","Medium"))</f>
        <v>High</v>
      </c>
    </row>
    <row r="128" spans="1:28" x14ac:dyDescent="0.25">
      <c r="A128" s="7">
        <v>127</v>
      </c>
      <c r="B128" s="7" t="s">
        <v>341</v>
      </c>
      <c r="C128" s="4">
        <v>60</v>
      </c>
      <c r="D128" s="4">
        <v>4</v>
      </c>
      <c r="E128" s="8">
        <v>45232</v>
      </c>
      <c r="F128" s="9">
        <v>0.58655092592592595</v>
      </c>
      <c r="G128" s="8">
        <v>45233</v>
      </c>
      <c r="H128" s="9">
        <v>0.80903935185185183</v>
      </c>
      <c r="I128" s="7" t="s">
        <v>342</v>
      </c>
      <c r="J128" s="7" t="s">
        <v>19</v>
      </c>
      <c r="K128" s="18" t="str">
        <f>_xlfn.XLOOKUP(tblMaster[[#This Row],[Customer_ID]],tblCustomers[Customer_ID],tblCustomers[City],"Not Found",0)</f>
        <v>Kota</v>
      </c>
      <c r="L128" s="18" t="str">
        <f>_xlfn.XLOOKUP(tblMaster[[#This Row],[Customer_ID]],tblCustomers[Customer_ID],tblCustomers[Name],"Not Found",0)</f>
        <v>Aradhya Batta</v>
      </c>
      <c r="M128" s="18" t="str">
        <f>_xlfn.XLOOKUP(tblMaster[[#This Row],[Customer_ID]],tblCustomers[Customer_ID],tblCustomers[Gender],"Not Found",0)</f>
        <v>Female</v>
      </c>
      <c r="N128" s="18" t="str">
        <f>_xlfn.XLOOKUP(tblMaster[[#This Row],[Product_ID]],tblProducts[Product_ID],tblProducts[Product_Name],"Not Found",0)</f>
        <v>Ea Set</v>
      </c>
      <c r="O128" s="18" t="str">
        <f>_xlfn.XLOOKUP(tblMaster[[#This Row],[Product_ID]],tblProducts[Product_ID],tblProducts[Category],"Not Found",0)</f>
        <v>Sweets</v>
      </c>
      <c r="P128" s="18" t="str">
        <f>_xlfn.XLOOKUP(tblMaster[[#This Row],[Product_ID]],tblProducts[Product_ID],tblProducts[Occasion],"Not Found",0)</f>
        <v>Diwali</v>
      </c>
      <c r="Q128" s="18">
        <f>_xlfn.XLOOKUP(tblMaster[[#This Row],[Product_ID]],tblProducts[Product_ID],tblProducts[Price (INR)],"Not Found",0)</f>
        <v>827</v>
      </c>
      <c r="R128" s="19">
        <f>tblMaster[[#This Row],[Price]]*tblMaster[[#This Row],[Quantity]]</f>
        <v>3308</v>
      </c>
      <c r="S128" s="19">
        <f>tblMaster[[#This Row],[Price]]*0.7*tblMaster[[#This Row],[Quantity]]</f>
        <v>2315.6</v>
      </c>
      <c r="T128" s="19">
        <f>tblMaster[[#This Row],[Revenue]]-tblMaster[[#This Row],[Estimated Cost (at 70%) ]]</f>
        <v>992.40000000000009</v>
      </c>
      <c r="U128" s="19">
        <f>tblMaster[[#This Row],[Profit]]/tblMaster[[#This Row],[Revenue]]</f>
        <v>0.30000000000000004</v>
      </c>
      <c r="V128" s="19">
        <f>tblMaster[[#This Row],[Delivery_Date]]-tblMaster[[#This Row],[Order_Date]]</f>
        <v>1</v>
      </c>
      <c r="W128" s="19" t="str">
        <f>TEXT(tblMaster[[#This Row],[Order_Date]],"mmmm")</f>
        <v>November</v>
      </c>
      <c r="X128" s="19">
        <f>MONTH(tblMaster[[#This Row],[Order_Date]])</f>
        <v>11</v>
      </c>
      <c r="Y128" s="19" t="str">
        <f>"Q"&amp;ROUNDUP(tblMaster[[#This Row],[Month Number]]/3,0)</f>
        <v>Q4</v>
      </c>
      <c r="Z128" s="19">
        <f>YEAR(tblMaster[[#This Row],[Order_Date]])</f>
        <v>2023</v>
      </c>
      <c r="AA128" s="19" t="str">
        <f>TEXT(DAY(tblMaster[[#This Row],[Order_Date]]),"dddd")</f>
        <v>Monday</v>
      </c>
      <c r="AB128" s="19" t="str">
        <f>IF(tblMaster[[#This Row],[Revenue]]&gt;=5000,"High",IF(tblMaster[[#This Row],[Revenue]]&lt;2000,"Low","Medium"))</f>
        <v>Medium</v>
      </c>
    </row>
    <row r="129" spans="1:28" x14ac:dyDescent="0.25">
      <c r="A129" s="10">
        <v>128</v>
      </c>
      <c r="B129" s="10" t="s">
        <v>185</v>
      </c>
      <c r="C129" s="5">
        <v>12</v>
      </c>
      <c r="D129" s="5">
        <v>3</v>
      </c>
      <c r="E129" s="11">
        <v>44991</v>
      </c>
      <c r="F129" s="12">
        <v>0.70171296296296293</v>
      </c>
      <c r="G129" s="11">
        <v>44998</v>
      </c>
      <c r="H129" s="12">
        <v>0.63285879629629627</v>
      </c>
      <c r="I129" s="10" t="s">
        <v>324</v>
      </c>
      <c r="J129" s="10" t="s">
        <v>30</v>
      </c>
      <c r="K129" s="18" t="str">
        <f>_xlfn.XLOOKUP(tblMaster[[#This Row],[Customer_ID]],tblCustomers[Customer_ID],tblCustomers[City],"Not Found",0)</f>
        <v>North Dumdum</v>
      </c>
      <c r="L129" s="18" t="str">
        <f>_xlfn.XLOOKUP(tblMaster[[#This Row],[Customer_ID]],tblCustomers[Customer_ID],tblCustomers[Name],"Not Found",0)</f>
        <v>Badal Vora</v>
      </c>
      <c r="M129" s="18" t="str">
        <f>_xlfn.XLOOKUP(tblMaster[[#This Row],[Customer_ID]],tblCustomers[Customer_ID],tblCustomers[Gender],"Not Found",0)</f>
        <v>Male</v>
      </c>
      <c r="N129" s="18" t="str">
        <f>_xlfn.XLOOKUP(tblMaster[[#This Row],[Product_ID]],tblProducts[Product_ID],tblProducts[Product_Name],"Not Found",0)</f>
        <v>Non Set</v>
      </c>
      <c r="O129" s="18" t="str">
        <f>_xlfn.XLOOKUP(tblMaster[[#This Row],[Product_ID]],tblProducts[Product_ID],tblProducts[Category],"Not Found",0)</f>
        <v>Plants</v>
      </c>
      <c r="P129" s="18" t="str">
        <f>_xlfn.XLOOKUP(tblMaster[[#This Row],[Product_ID]],tblProducts[Product_ID],tblProducts[Occasion],"Not Found",0)</f>
        <v>Anniversary</v>
      </c>
      <c r="Q129" s="18">
        <f>_xlfn.XLOOKUP(tblMaster[[#This Row],[Product_ID]],tblProducts[Product_ID],tblProducts[Price (INR)],"Not Found",0)</f>
        <v>672</v>
      </c>
      <c r="R129" s="19">
        <f>tblMaster[[#This Row],[Price]]*tblMaster[[#This Row],[Quantity]]</f>
        <v>2016</v>
      </c>
      <c r="S129" s="19">
        <f>tblMaster[[#This Row],[Price]]*0.7*tblMaster[[#This Row],[Quantity]]</f>
        <v>1411.1999999999998</v>
      </c>
      <c r="T129" s="19">
        <f>tblMaster[[#This Row],[Revenue]]-tblMaster[[#This Row],[Estimated Cost (at 70%) ]]</f>
        <v>604.80000000000018</v>
      </c>
      <c r="U129" s="19">
        <f>tblMaster[[#This Row],[Profit]]/tblMaster[[#This Row],[Revenue]]</f>
        <v>0.3000000000000001</v>
      </c>
      <c r="V129" s="19">
        <f>tblMaster[[#This Row],[Delivery_Date]]-tblMaster[[#This Row],[Order_Date]]</f>
        <v>7</v>
      </c>
      <c r="W129" s="19" t="str">
        <f>TEXT(tblMaster[[#This Row],[Order_Date]],"mmmm")</f>
        <v>March</v>
      </c>
      <c r="X129" s="19">
        <f>MONTH(tblMaster[[#This Row],[Order_Date]])</f>
        <v>3</v>
      </c>
      <c r="Y129" s="19" t="str">
        <f>"Q"&amp;ROUNDUP(tblMaster[[#This Row],[Month Number]]/3,0)</f>
        <v>Q1</v>
      </c>
      <c r="Z129" s="19">
        <f>YEAR(tblMaster[[#This Row],[Order_Date]])</f>
        <v>2023</v>
      </c>
      <c r="AA129" s="19" t="str">
        <f>TEXT(DAY(tblMaster[[#This Row],[Order_Date]]),"dddd")</f>
        <v>Friday</v>
      </c>
      <c r="AB129" s="19" t="str">
        <f>IF(tblMaster[[#This Row],[Revenue]]&gt;=5000,"High",IF(tblMaster[[#This Row],[Revenue]]&lt;2000,"Low","Medium"))</f>
        <v>Medium</v>
      </c>
    </row>
    <row r="130" spans="1:28" x14ac:dyDescent="0.25">
      <c r="A130" s="7">
        <v>129</v>
      </c>
      <c r="B130" s="7" t="s">
        <v>341</v>
      </c>
      <c r="C130" s="4">
        <v>67</v>
      </c>
      <c r="D130" s="4">
        <v>2</v>
      </c>
      <c r="E130" s="8">
        <v>44974</v>
      </c>
      <c r="F130" s="9">
        <v>0.2232638888888889</v>
      </c>
      <c r="G130" s="8">
        <v>44977</v>
      </c>
      <c r="H130" s="9">
        <v>0.34550925925925924</v>
      </c>
      <c r="I130" s="7" t="s">
        <v>323</v>
      </c>
      <c r="J130" s="7" t="s">
        <v>30</v>
      </c>
      <c r="K130" s="18" t="str">
        <f>_xlfn.XLOOKUP(tblMaster[[#This Row],[Customer_ID]],tblCustomers[Customer_ID],tblCustomers[City],"Not Found",0)</f>
        <v>Kota</v>
      </c>
      <c r="L130" s="18" t="str">
        <f>_xlfn.XLOOKUP(tblMaster[[#This Row],[Customer_ID]],tblCustomers[Customer_ID],tblCustomers[Name],"Not Found",0)</f>
        <v>Aradhya Batta</v>
      </c>
      <c r="M130" s="18" t="str">
        <f>_xlfn.XLOOKUP(tblMaster[[#This Row],[Customer_ID]],tblCustomers[Customer_ID],tblCustomers[Gender],"Not Found",0)</f>
        <v>Female</v>
      </c>
      <c r="N130" s="18" t="str">
        <f>_xlfn.XLOOKUP(tblMaster[[#This Row],[Product_ID]],tblProducts[Product_ID],tblProducts[Product_Name],"Not Found",0)</f>
        <v>Maiores Box</v>
      </c>
      <c r="O130" s="18" t="str">
        <f>_xlfn.XLOOKUP(tblMaster[[#This Row],[Product_ID]],tblProducts[Product_ID],tblProducts[Category],"Not Found",0)</f>
        <v>Raksha Bandhan</v>
      </c>
      <c r="P130" s="18" t="str">
        <f>_xlfn.XLOOKUP(tblMaster[[#This Row],[Product_ID]],tblProducts[Product_ID],tblProducts[Occasion],"Not Found",0)</f>
        <v>Anniversary</v>
      </c>
      <c r="Q130" s="18">
        <f>_xlfn.XLOOKUP(tblMaster[[#This Row],[Product_ID]],tblProducts[Product_ID],tblProducts[Price (INR)],"Not Found",0)</f>
        <v>1374</v>
      </c>
      <c r="R130" s="19">
        <f>tblMaster[[#This Row],[Price]]*tblMaster[[#This Row],[Quantity]]</f>
        <v>2748</v>
      </c>
      <c r="S130" s="19">
        <f>tblMaster[[#This Row],[Price]]*0.7*tblMaster[[#This Row],[Quantity]]</f>
        <v>1923.6</v>
      </c>
      <c r="T130" s="19">
        <f>tblMaster[[#This Row],[Revenue]]-tblMaster[[#This Row],[Estimated Cost (at 70%) ]]</f>
        <v>824.40000000000009</v>
      </c>
      <c r="U130" s="19">
        <f>tblMaster[[#This Row],[Profit]]/tblMaster[[#This Row],[Revenue]]</f>
        <v>0.30000000000000004</v>
      </c>
      <c r="V130" s="19">
        <f>tblMaster[[#This Row],[Delivery_Date]]-tblMaster[[#This Row],[Order_Date]]</f>
        <v>3</v>
      </c>
      <c r="W130" s="19" t="str">
        <f>TEXT(tblMaster[[#This Row],[Order_Date]],"mmmm")</f>
        <v>February</v>
      </c>
      <c r="X130" s="19">
        <f>MONTH(tblMaster[[#This Row],[Order_Date]])</f>
        <v>2</v>
      </c>
      <c r="Y130" s="19" t="str">
        <f>"Q"&amp;ROUNDUP(tblMaster[[#This Row],[Month Number]]/3,0)</f>
        <v>Q1</v>
      </c>
      <c r="Z130" s="19">
        <f>YEAR(tblMaster[[#This Row],[Order_Date]])</f>
        <v>2023</v>
      </c>
      <c r="AA130" s="19" t="str">
        <f>TEXT(DAY(tblMaster[[#This Row],[Order_Date]]),"dddd")</f>
        <v>Tuesday</v>
      </c>
      <c r="AB130" s="19" t="str">
        <f>IF(tblMaster[[#This Row],[Revenue]]&gt;=5000,"High",IF(tblMaster[[#This Row],[Revenue]]&lt;2000,"Low","Medium"))</f>
        <v>Medium</v>
      </c>
    </row>
    <row r="131" spans="1:28" x14ac:dyDescent="0.25">
      <c r="A131" s="10">
        <v>130</v>
      </c>
      <c r="B131" s="10" t="s">
        <v>343</v>
      </c>
      <c r="C131" s="5">
        <v>10</v>
      </c>
      <c r="D131" s="5">
        <v>5</v>
      </c>
      <c r="E131" s="11">
        <v>45038</v>
      </c>
      <c r="F131" s="12">
        <v>0.56436342592592592</v>
      </c>
      <c r="G131" s="11">
        <v>45043</v>
      </c>
      <c r="H131" s="12">
        <v>0.91798611111111106</v>
      </c>
      <c r="I131" s="10" t="s">
        <v>264</v>
      </c>
      <c r="J131" s="10" t="s">
        <v>36</v>
      </c>
      <c r="K131" s="18" t="str">
        <f>_xlfn.XLOOKUP(tblMaster[[#This Row],[Customer_ID]],tblCustomers[Customer_ID],tblCustomers[City],"Not Found",0)</f>
        <v>Bhatpara</v>
      </c>
      <c r="L131" s="18" t="str">
        <f>_xlfn.XLOOKUP(tblMaster[[#This Row],[Customer_ID]],tblCustomers[Customer_ID],tblCustomers[Name],"Not Found",0)</f>
        <v>Emir Gokhale</v>
      </c>
      <c r="M131" s="18" t="str">
        <f>_xlfn.XLOOKUP(tblMaster[[#This Row],[Customer_ID]],tblCustomers[Customer_ID],tblCustomers[Gender],"Not Found",0)</f>
        <v>Male</v>
      </c>
      <c r="N131" s="18" t="str">
        <f>_xlfn.XLOOKUP(tblMaster[[#This Row],[Product_ID]],tblProducts[Product_ID],tblProducts[Product_Name],"Not Found",0)</f>
        <v>Accusantium Gift</v>
      </c>
      <c r="O131" s="18" t="str">
        <f>_xlfn.XLOOKUP(tblMaster[[#This Row],[Product_ID]],tblProducts[Product_ID],tblProducts[Category],"Not Found",0)</f>
        <v>Cake</v>
      </c>
      <c r="P131" s="18" t="str">
        <f>_xlfn.XLOOKUP(tblMaster[[#This Row],[Product_ID]],tblProducts[Product_ID],tblProducts[Occasion],"Not Found",0)</f>
        <v>Birthday</v>
      </c>
      <c r="Q131" s="18">
        <f>_xlfn.XLOOKUP(tblMaster[[#This Row],[Product_ID]],tblProducts[Product_ID],tblProducts[Price (INR)],"Not Found",0)</f>
        <v>259</v>
      </c>
      <c r="R131" s="19">
        <f>tblMaster[[#This Row],[Price]]*tblMaster[[#This Row],[Quantity]]</f>
        <v>1295</v>
      </c>
      <c r="S131" s="19">
        <f>tblMaster[[#This Row],[Price]]*0.7*tblMaster[[#This Row],[Quantity]]</f>
        <v>906.49999999999989</v>
      </c>
      <c r="T131" s="19">
        <f>tblMaster[[#This Row],[Revenue]]-tblMaster[[#This Row],[Estimated Cost (at 70%) ]]</f>
        <v>388.50000000000011</v>
      </c>
      <c r="U131" s="19">
        <f>tblMaster[[#This Row],[Profit]]/tblMaster[[#This Row],[Revenue]]</f>
        <v>0.3000000000000001</v>
      </c>
      <c r="V131" s="19">
        <f>tblMaster[[#This Row],[Delivery_Date]]-tblMaster[[#This Row],[Order_Date]]</f>
        <v>5</v>
      </c>
      <c r="W131" s="19" t="str">
        <f>TEXT(tblMaster[[#This Row],[Order_Date]],"mmmm")</f>
        <v>April</v>
      </c>
      <c r="X131" s="19">
        <f>MONTH(tblMaster[[#This Row],[Order_Date]])</f>
        <v>4</v>
      </c>
      <c r="Y131" s="19" t="str">
        <f>"Q"&amp;ROUNDUP(tblMaster[[#This Row],[Month Number]]/3,0)</f>
        <v>Q2</v>
      </c>
      <c r="Z131" s="19">
        <f>YEAR(tblMaster[[#This Row],[Order_Date]])</f>
        <v>2023</v>
      </c>
      <c r="AA131" s="19" t="str">
        <f>TEXT(DAY(tblMaster[[#This Row],[Order_Date]]),"dddd")</f>
        <v>Sunday</v>
      </c>
      <c r="AB131" s="19" t="str">
        <f>IF(tblMaster[[#This Row],[Revenue]]&gt;=5000,"High",IF(tblMaster[[#This Row],[Revenue]]&lt;2000,"Low","Medium"))</f>
        <v>Low</v>
      </c>
    </row>
    <row r="132" spans="1:28" x14ac:dyDescent="0.25">
      <c r="A132" s="7">
        <v>131</v>
      </c>
      <c r="B132" s="7" t="s">
        <v>174</v>
      </c>
      <c r="C132" s="4">
        <v>3</v>
      </c>
      <c r="D132" s="4">
        <v>5</v>
      </c>
      <c r="E132" s="8">
        <v>44961</v>
      </c>
      <c r="F132" s="9">
        <v>0.85474537037037035</v>
      </c>
      <c r="G132" s="8">
        <v>44968</v>
      </c>
      <c r="H132" s="9">
        <v>0.35350694444444447</v>
      </c>
      <c r="I132" s="7" t="s">
        <v>344</v>
      </c>
      <c r="J132" s="7" t="s">
        <v>12</v>
      </c>
      <c r="K132" s="18" t="str">
        <f>_xlfn.XLOOKUP(tblMaster[[#This Row],[Customer_ID]],tblCustomers[Customer_ID],tblCustomers[City],"Not Found",0)</f>
        <v>Bhubaneswar</v>
      </c>
      <c r="L132" s="18" t="str">
        <f>_xlfn.XLOOKUP(tblMaster[[#This Row],[Customer_ID]],tblCustomers[Customer_ID],tblCustomers[Name],"Not Found",0)</f>
        <v>Jivika Rajan</v>
      </c>
      <c r="M132" s="18" t="str">
        <f>_xlfn.XLOOKUP(tblMaster[[#This Row],[Customer_ID]],tblCustomers[Customer_ID],tblCustomers[Gender],"Not Found",0)</f>
        <v>Female</v>
      </c>
      <c r="N132" s="18" t="str">
        <f>_xlfn.XLOOKUP(tblMaster[[#This Row],[Product_ID]],tblProducts[Product_ID],tblProducts[Product_Name],"Not Found",0)</f>
        <v>Eius Gift</v>
      </c>
      <c r="O132" s="18" t="str">
        <f>_xlfn.XLOOKUP(tblMaster[[#This Row],[Product_ID]],tblProducts[Product_ID],tblProducts[Category],"Not Found",0)</f>
        <v>Colors</v>
      </c>
      <c r="P132" s="18" t="str">
        <f>_xlfn.XLOOKUP(tblMaster[[#This Row],[Product_ID]],tblProducts[Product_ID],tblProducts[Occasion],"Not Found",0)</f>
        <v>Valentine's Day</v>
      </c>
      <c r="Q132" s="18">
        <f>_xlfn.XLOOKUP(tblMaster[[#This Row],[Product_ID]],tblProducts[Product_ID],tblProducts[Price (INR)],"Not Found",0)</f>
        <v>1534</v>
      </c>
      <c r="R132" s="19">
        <f>tblMaster[[#This Row],[Price]]*tblMaster[[#This Row],[Quantity]]</f>
        <v>7670</v>
      </c>
      <c r="S132" s="19">
        <f>tblMaster[[#This Row],[Price]]*0.7*tblMaster[[#This Row],[Quantity]]</f>
        <v>5369</v>
      </c>
      <c r="T132" s="19">
        <f>tblMaster[[#This Row],[Revenue]]-tblMaster[[#This Row],[Estimated Cost (at 70%) ]]</f>
        <v>2301</v>
      </c>
      <c r="U132" s="19">
        <f>tblMaster[[#This Row],[Profit]]/tblMaster[[#This Row],[Revenue]]</f>
        <v>0.3</v>
      </c>
      <c r="V132" s="19">
        <f>tblMaster[[#This Row],[Delivery_Date]]-tblMaster[[#This Row],[Order_Date]]</f>
        <v>7</v>
      </c>
      <c r="W132" s="19" t="str">
        <f>TEXT(tblMaster[[#This Row],[Order_Date]],"mmmm")</f>
        <v>February</v>
      </c>
      <c r="X132" s="19">
        <f>MONTH(tblMaster[[#This Row],[Order_Date]])</f>
        <v>2</v>
      </c>
      <c r="Y132" s="19" t="str">
        <f>"Q"&amp;ROUNDUP(tblMaster[[#This Row],[Month Number]]/3,0)</f>
        <v>Q1</v>
      </c>
      <c r="Z132" s="19">
        <f>YEAR(tblMaster[[#This Row],[Order_Date]])</f>
        <v>2023</v>
      </c>
      <c r="AA132" s="19" t="str">
        <f>TEXT(DAY(tblMaster[[#This Row],[Order_Date]]),"dddd")</f>
        <v>Wednesday</v>
      </c>
      <c r="AB132" s="19" t="str">
        <f>IF(tblMaster[[#This Row],[Revenue]]&gt;=5000,"High",IF(tblMaster[[#This Row],[Revenue]]&lt;2000,"Low","Medium"))</f>
        <v>High</v>
      </c>
    </row>
    <row r="133" spans="1:28" x14ac:dyDescent="0.25">
      <c r="A133" s="10">
        <v>132</v>
      </c>
      <c r="B133" s="10" t="s">
        <v>254</v>
      </c>
      <c r="C133" s="5">
        <v>49</v>
      </c>
      <c r="D133" s="5">
        <v>4</v>
      </c>
      <c r="E133" s="11">
        <v>44961</v>
      </c>
      <c r="F133" s="12">
        <v>0.97478009259259257</v>
      </c>
      <c r="G133" s="11">
        <v>44970</v>
      </c>
      <c r="H133" s="12">
        <v>0.83041666666666669</v>
      </c>
      <c r="I133" s="10" t="s">
        <v>345</v>
      </c>
      <c r="J133" s="10" t="s">
        <v>12</v>
      </c>
      <c r="K133" s="18" t="str">
        <f>_xlfn.XLOOKUP(tblMaster[[#This Row],[Customer_ID]],tblCustomers[Customer_ID],tblCustomers[City],"Not Found",0)</f>
        <v>Maheshtala</v>
      </c>
      <c r="L133" s="18" t="str">
        <f>_xlfn.XLOOKUP(tblMaster[[#This Row],[Customer_ID]],tblCustomers[Customer_ID],tblCustomers[Name],"Not Found",0)</f>
        <v>Divit Mahajan</v>
      </c>
      <c r="M133" s="18" t="str">
        <f>_xlfn.XLOOKUP(tblMaster[[#This Row],[Customer_ID]],tblCustomers[Customer_ID],tblCustomers[Gender],"Not Found",0)</f>
        <v>Female</v>
      </c>
      <c r="N133" s="18" t="str">
        <f>_xlfn.XLOOKUP(tblMaster[[#This Row],[Product_ID]],tblProducts[Product_ID],tblProducts[Product_Name],"Not Found",0)</f>
        <v>Voluptate Pack</v>
      </c>
      <c r="O133" s="18" t="str">
        <f>_xlfn.XLOOKUP(tblMaster[[#This Row],[Product_ID]],tblProducts[Product_ID],tblProducts[Category],"Not Found",0)</f>
        <v>Colors</v>
      </c>
      <c r="P133" s="18" t="str">
        <f>_xlfn.XLOOKUP(tblMaster[[#This Row],[Product_ID]],tblProducts[Product_ID],tblProducts[Occasion],"Not Found",0)</f>
        <v>Valentine's Day</v>
      </c>
      <c r="Q133" s="18">
        <f>_xlfn.XLOOKUP(tblMaster[[#This Row],[Product_ID]],tblProducts[Product_ID],tblProducts[Price (INR)],"Not Found",0)</f>
        <v>903</v>
      </c>
      <c r="R133" s="19">
        <f>tblMaster[[#This Row],[Price]]*tblMaster[[#This Row],[Quantity]]</f>
        <v>3612</v>
      </c>
      <c r="S133" s="19">
        <f>tblMaster[[#This Row],[Price]]*0.7*tblMaster[[#This Row],[Quantity]]</f>
        <v>2528.3999999999996</v>
      </c>
      <c r="T133" s="19">
        <f>tblMaster[[#This Row],[Revenue]]-tblMaster[[#This Row],[Estimated Cost (at 70%) ]]</f>
        <v>1083.6000000000004</v>
      </c>
      <c r="U133" s="19">
        <f>tblMaster[[#This Row],[Profit]]/tblMaster[[#This Row],[Revenue]]</f>
        <v>0.3000000000000001</v>
      </c>
      <c r="V133" s="19">
        <f>tblMaster[[#This Row],[Delivery_Date]]-tblMaster[[#This Row],[Order_Date]]</f>
        <v>9</v>
      </c>
      <c r="W133" s="19" t="str">
        <f>TEXT(tblMaster[[#This Row],[Order_Date]],"mmmm")</f>
        <v>February</v>
      </c>
      <c r="X133" s="19">
        <f>MONTH(tblMaster[[#This Row],[Order_Date]])</f>
        <v>2</v>
      </c>
      <c r="Y133" s="19" t="str">
        <f>"Q"&amp;ROUNDUP(tblMaster[[#This Row],[Month Number]]/3,0)</f>
        <v>Q1</v>
      </c>
      <c r="Z133" s="19">
        <f>YEAR(tblMaster[[#This Row],[Order_Date]])</f>
        <v>2023</v>
      </c>
      <c r="AA133" s="19" t="str">
        <f>TEXT(DAY(tblMaster[[#This Row],[Order_Date]]),"dddd")</f>
        <v>Wednesday</v>
      </c>
      <c r="AB133" s="19" t="str">
        <f>IF(tblMaster[[#This Row],[Revenue]]&gt;=5000,"High",IF(tblMaster[[#This Row],[Revenue]]&lt;2000,"Low","Medium"))</f>
        <v>Medium</v>
      </c>
    </row>
    <row r="134" spans="1:28" x14ac:dyDescent="0.25">
      <c r="A134" s="7">
        <v>133</v>
      </c>
      <c r="B134" s="7" t="s">
        <v>208</v>
      </c>
      <c r="C134" s="4">
        <v>43</v>
      </c>
      <c r="D134" s="4">
        <v>5</v>
      </c>
      <c r="E134" s="8">
        <v>45240</v>
      </c>
      <c r="F134" s="9">
        <v>0.66104166666666664</v>
      </c>
      <c r="G134" s="8">
        <v>45246</v>
      </c>
      <c r="H134" s="9">
        <v>0.47420138888888891</v>
      </c>
      <c r="I134" s="7" t="s">
        <v>346</v>
      </c>
      <c r="J134" s="7" t="s">
        <v>19</v>
      </c>
      <c r="K134" s="18" t="str">
        <f>_xlfn.XLOOKUP(tblMaster[[#This Row],[Customer_ID]],tblCustomers[Customer_ID],tblCustomers[City],"Not Found",0)</f>
        <v>Nizamabad</v>
      </c>
      <c r="L134" s="18" t="str">
        <f>_xlfn.XLOOKUP(tblMaster[[#This Row],[Customer_ID]],tblCustomers[Customer_ID],tblCustomers[Name],"Not Found",0)</f>
        <v>Eva Vaidya</v>
      </c>
      <c r="M134" s="18" t="str">
        <f>_xlfn.XLOOKUP(tblMaster[[#This Row],[Customer_ID]],tblCustomers[Customer_ID],tblCustomers[Gender],"Not Found",0)</f>
        <v>Male</v>
      </c>
      <c r="N134" s="18" t="str">
        <f>_xlfn.XLOOKUP(tblMaster[[#This Row],[Product_ID]],tblProducts[Product_ID],tblProducts[Product_Name],"Not Found",0)</f>
        <v>Quisquam Pack</v>
      </c>
      <c r="O134" s="18" t="str">
        <f>_xlfn.XLOOKUP(tblMaster[[#This Row],[Product_ID]],tblProducts[Product_ID],tblProducts[Category],"Not Found",0)</f>
        <v>Raksha Bandhan</v>
      </c>
      <c r="P134" s="18" t="str">
        <f>_xlfn.XLOOKUP(tblMaster[[#This Row],[Product_ID]],tblProducts[Product_ID],tblProducts[Occasion],"Not Found",0)</f>
        <v>Diwali</v>
      </c>
      <c r="Q134" s="18">
        <f>_xlfn.XLOOKUP(tblMaster[[#This Row],[Product_ID]],tblProducts[Product_ID],tblProducts[Price (INR)],"Not Found",0)</f>
        <v>750</v>
      </c>
      <c r="R134" s="19">
        <f>tblMaster[[#This Row],[Price]]*tblMaster[[#This Row],[Quantity]]</f>
        <v>3750</v>
      </c>
      <c r="S134" s="19">
        <f>tblMaster[[#This Row],[Price]]*0.7*tblMaster[[#This Row],[Quantity]]</f>
        <v>2625</v>
      </c>
      <c r="T134" s="19">
        <f>tblMaster[[#This Row],[Revenue]]-tblMaster[[#This Row],[Estimated Cost (at 70%) ]]</f>
        <v>1125</v>
      </c>
      <c r="U134" s="19">
        <f>tblMaster[[#This Row],[Profit]]/tblMaster[[#This Row],[Revenue]]</f>
        <v>0.3</v>
      </c>
      <c r="V134" s="19">
        <f>tblMaster[[#This Row],[Delivery_Date]]-tblMaster[[#This Row],[Order_Date]]</f>
        <v>6</v>
      </c>
      <c r="W134" s="19" t="str">
        <f>TEXT(tblMaster[[#This Row],[Order_Date]],"mmmm")</f>
        <v>November</v>
      </c>
      <c r="X134" s="19">
        <f>MONTH(tblMaster[[#This Row],[Order_Date]])</f>
        <v>11</v>
      </c>
      <c r="Y134" s="19" t="str">
        <f>"Q"&amp;ROUNDUP(tblMaster[[#This Row],[Month Number]]/3,0)</f>
        <v>Q4</v>
      </c>
      <c r="Z134" s="19">
        <f>YEAR(tblMaster[[#This Row],[Order_Date]])</f>
        <v>2023</v>
      </c>
      <c r="AA134" s="19" t="str">
        <f>TEXT(DAY(tblMaster[[#This Row],[Order_Date]]),"dddd")</f>
        <v>Tuesday</v>
      </c>
      <c r="AB134" s="19" t="str">
        <f>IF(tblMaster[[#This Row],[Revenue]]&gt;=5000,"High",IF(tblMaster[[#This Row],[Revenue]]&lt;2000,"Low","Medium"))</f>
        <v>Medium</v>
      </c>
    </row>
    <row r="135" spans="1:28" x14ac:dyDescent="0.25">
      <c r="A135" s="10">
        <v>134</v>
      </c>
      <c r="B135" s="10" t="s">
        <v>250</v>
      </c>
      <c r="C135" s="5">
        <v>69</v>
      </c>
      <c r="D135" s="5">
        <v>5</v>
      </c>
      <c r="E135" s="11">
        <v>44990</v>
      </c>
      <c r="F135" s="12">
        <v>0.80053240740740739</v>
      </c>
      <c r="G135" s="11">
        <v>44999</v>
      </c>
      <c r="H135" s="12">
        <v>0.20728009259259259</v>
      </c>
      <c r="I135" s="10" t="s">
        <v>297</v>
      </c>
      <c r="J135" s="10" t="s">
        <v>25</v>
      </c>
      <c r="K135" s="18" t="str">
        <f>_xlfn.XLOOKUP(tblMaster[[#This Row],[Customer_ID]],tblCustomers[Customer_ID],tblCustomers[City],"Not Found",0)</f>
        <v>Dibrugarh</v>
      </c>
      <c r="L135" s="18" t="str">
        <f>_xlfn.XLOOKUP(tblMaster[[#This Row],[Customer_ID]],tblCustomers[Customer_ID],tblCustomers[Name],"Not Found",0)</f>
        <v>Biju Bajwa</v>
      </c>
      <c r="M135" s="18" t="str">
        <f>_xlfn.XLOOKUP(tblMaster[[#This Row],[Customer_ID]],tblCustomers[Customer_ID],tblCustomers[Gender],"Not Found",0)</f>
        <v>Female</v>
      </c>
      <c r="N135" s="18" t="str">
        <f>_xlfn.XLOOKUP(tblMaster[[#This Row],[Product_ID]],tblProducts[Product_ID],tblProducts[Product_Name],"Not Found",0)</f>
        <v>Id Box</v>
      </c>
      <c r="O135" s="18" t="str">
        <f>_xlfn.XLOOKUP(tblMaster[[#This Row],[Product_ID]],tblProducts[Product_ID],tblProducts[Category],"Not Found",0)</f>
        <v>Cake</v>
      </c>
      <c r="P135" s="18" t="str">
        <f>_xlfn.XLOOKUP(tblMaster[[#This Row],[Product_ID]],tblProducts[Product_ID],tblProducts[Occasion],"Not Found",0)</f>
        <v>Holi</v>
      </c>
      <c r="Q135" s="18">
        <f>_xlfn.XLOOKUP(tblMaster[[#This Row],[Product_ID]],tblProducts[Product_ID],tblProducts[Price (INR)],"Not Found",0)</f>
        <v>998</v>
      </c>
      <c r="R135" s="19">
        <f>tblMaster[[#This Row],[Price]]*tblMaster[[#This Row],[Quantity]]</f>
        <v>4990</v>
      </c>
      <c r="S135" s="19">
        <f>tblMaster[[#This Row],[Price]]*0.7*tblMaster[[#This Row],[Quantity]]</f>
        <v>3492.9999999999995</v>
      </c>
      <c r="T135" s="19">
        <f>tblMaster[[#This Row],[Revenue]]-tblMaster[[#This Row],[Estimated Cost (at 70%) ]]</f>
        <v>1497.0000000000005</v>
      </c>
      <c r="U135" s="19">
        <f>tblMaster[[#This Row],[Profit]]/tblMaster[[#This Row],[Revenue]]</f>
        <v>0.3000000000000001</v>
      </c>
      <c r="V135" s="19">
        <f>tblMaster[[#This Row],[Delivery_Date]]-tblMaster[[#This Row],[Order_Date]]</f>
        <v>9</v>
      </c>
      <c r="W135" s="19" t="str">
        <f>TEXT(tblMaster[[#This Row],[Order_Date]],"mmmm")</f>
        <v>March</v>
      </c>
      <c r="X135" s="19">
        <f>MONTH(tblMaster[[#This Row],[Order_Date]])</f>
        <v>3</v>
      </c>
      <c r="Y135" s="19" t="str">
        <f>"Q"&amp;ROUNDUP(tblMaster[[#This Row],[Month Number]]/3,0)</f>
        <v>Q1</v>
      </c>
      <c r="Z135" s="19">
        <f>YEAR(tblMaster[[#This Row],[Order_Date]])</f>
        <v>2023</v>
      </c>
      <c r="AA135" s="19" t="str">
        <f>TEXT(DAY(tblMaster[[#This Row],[Order_Date]]),"dddd")</f>
        <v>Thursday</v>
      </c>
      <c r="AB135" s="19" t="str">
        <f>IF(tblMaster[[#This Row],[Revenue]]&gt;=5000,"High",IF(tblMaster[[#This Row],[Revenue]]&lt;2000,"Low","Medium"))</f>
        <v>Medium</v>
      </c>
    </row>
    <row r="136" spans="1:28" x14ac:dyDescent="0.25">
      <c r="A136" s="7">
        <v>135</v>
      </c>
      <c r="B136" s="7" t="s">
        <v>347</v>
      </c>
      <c r="C136" s="4">
        <v>30</v>
      </c>
      <c r="D136" s="4">
        <v>2</v>
      </c>
      <c r="E136" s="8">
        <v>45273</v>
      </c>
      <c r="F136" s="9">
        <v>0.43065972222222221</v>
      </c>
      <c r="G136" s="8">
        <v>45274</v>
      </c>
      <c r="H136" s="9">
        <v>0.65509259259259256</v>
      </c>
      <c r="I136" s="7" t="s">
        <v>348</v>
      </c>
      <c r="J136" s="7" t="s">
        <v>30</v>
      </c>
      <c r="K136" s="18" t="str">
        <f>_xlfn.XLOOKUP(tblMaster[[#This Row],[Customer_ID]],tblCustomers[Customer_ID],tblCustomers[City],"Not Found",0)</f>
        <v>North Dumdum</v>
      </c>
      <c r="L136" s="18" t="str">
        <f>_xlfn.XLOOKUP(tblMaster[[#This Row],[Customer_ID]],tblCustomers[Customer_ID],tblCustomers[Name],"Not Found",0)</f>
        <v>Rania Bhatt</v>
      </c>
      <c r="M136" s="18" t="str">
        <f>_xlfn.XLOOKUP(tblMaster[[#This Row],[Customer_ID]],tblCustomers[Customer_ID],tblCustomers[Gender],"Not Found",0)</f>
        <v>Female</v>
      </c>
      <c r="N136" s="18" t="str">
        <f>_xlfn.XLOOKUP(tblMaster[[#This Row],[Product_ID]],tblProducts[Product_ID],tblProducts[Product_Name],"Not Found",0)</f>
        <v>Recusandae Pack</v>
      </c>
      <c r="O136" s="18" t="str">
        <f>_xlfn.XLOOKUP(tblMaster[[#This Row],[Product_ID]],tblProducts[Product_ID],tblProducts[Category],"Not Found",0)</f>
        <v>Colors</v>
      </c>
      <c r="P136" s="18" t="str">
        <f>_xlfn.XLOOKUP(tblMaster[[#This Row],[Product_ID]],tblProducts[Product_ID],tblProducts[Occasion],"Not Found",0)</f>
        <v>Anniversary</v>
      </c>
      <c r="Q136" s="18">
        <f>_xlfn.XLOOKUP(tblMaster[[#This Row],[Product_ID]],tblProducts[Product_ID],tblProducts[Price (INR)],"Not Found",0)</f>
        <v>751</v>
      </c>
      <c r="R136" s="19">
        <f>tblMaster[[#This Row],[Price]]*tblMaster[[#This Row],[Quantity]]</f>
        <v>1502</v>
      </c>
      <c r="S136" s="19">
        <f>tblMaster[[#This Row],[Price]]*0.7*tblMaster[[#This Row],[Quantity]]</f>
        <v>1051.3999999999999</v>
      </c>
      <c r="T136" s="19">
        <f>tblMaster[[#This Row],[Revenue]]-tblMaster[[#This Row],[Estimated Cost (at 70%) ]]</f>
        <v>450.60000000000014</v>
      </c>
      <c r="U136" s="19">
        <f>tblMaster[[#This Row],[Profit]]/tblMaster[[#This Row],[Revenue]]</f>
        <v>0.3000000000000001</v>
      </c>
      <c r="V136" s="19">
        <f>tblMaster[[#This Row],[Delivery_Date]]-tblMaster[[#This Row],[Order_Date]]</f>
        <v>1</v>
      </c>
      <c r="W136" s="19" t="str">
        <f>TEXT(tblMaster[[#This Row],[Order_Date]],"mmmm")</f>
        <v>December</v>
      </c>
      <c r="X136" s="19">
        <f>MONTH(tblMaster[[#This Row],[Order_Date]])</f>
        <v>12</v>
      </c>
      <c r="Y136" s="19" t="str">
        <f>"Q"&amp;ROUNDUP(tblMaster[[#This Row],[Month Number]]/3,0)</f>
        <v>Q4</v>
      </c>
      <c r="Z136" s="19">
        <f>YEAR(tblMaster[[#This Row],[Order_Date]])</f>
        <v>2023</v>
      </c>
      <c r="AA136" s="19" t="str">
        <f>TEXT(DAY(tblMaster[[#This Row],[Order_Date]]),"dddd")</f>
        <v>Friday</v>
      </c>
      <c r="AB136" s="19" t="str">
        <f>IF(tblMaster[[#This Row],[Revenue]]&gt;=5000,"High",IF(tblMaster[[#This Row],[Revenue]]&lt;2000,"Low","Medium"))</f>
        <v>Low</v>
      </c>
    </row>
    <row r="137" spans="1:28" x14ac:dyDescent="0.25">
      <c r="A137" s="10">
        <v>136</v>
      </c>
      <c r="B137" s="10" t="s">
        <v>250</v>
      </c>
      <c r="C137" s="5">
        <v>56</v>
      </c>
      <c r="D137" s="5">
        <v>1</v>
      </c>
      <c r="E137" s="11">
        <v>45174</v>
      </c>
      <c r="F137" s="12">
        <v>0.67290509259259257</v>
      </c>
      <c r="G137" s="11">
        <v>45178</v>
      </c>
      <c r="H137" s="12">
        <v>0.9252083333333333</v>
      </c>
      <c r="I137" s="10" t="s">
        <v>243</v>
      </c>
      <c r="J137" s="10" t="s">
        <v>30</v>
      </c>
      <c r="K137" s="18" t="str">
        <f>_xlfn.XLOOKUP(tblMaster[[#This Row],[Customer_ID]],tblCustomers[Customer_ID],tblCustomers[City],"Not Found",0)</f>
        <v>Dibrugarh</v>
      </c>
      <c r="L137" s="18" t="str">
        <f>_xlfn.XLOOKUP(tblMaster[[#This Row],[Customer_ID]],tblCustomers[Customer_ID],tblCustomers[Name],"Not Found",0)</f>
        <v>Biju Bajwa</v>
      </c>
      <c r="M137" s="18" t="str">
        <f>_xlfn.XLOOKUP(tblMaster[[#This Row],[Customer_ID]],tblCustomers[Customer_ID],tblCustomers[Gender],"Not Found",0)</f>
        <v>Female</v>
      </c>
      <c r="N137" s="18" t="str">
        <f>_xlfn.XLOOKUP(tblMaster[[#This Row],[Product_ID]],tblProducts[Product_ID],tblProducts[Product_Name],"Not Found",0)</f>
        <v>Quia Gift</v>
      </c>
      <c r="O137" s="18" t="str">
        <f>_xlfn.XLOOKUP(tblMaster[[#This Row],[Product_ID]],tblProducts[Product_ID],tblProducts[Category],"Not Found",0)</f>
        <v>Raksha Bandhan</v>
      </c>
      <c r="P137" s="18" t="str">
        <f>_xlfn.XLOOKUP(tblMaster[[#This Row],[Product_ID]],tblProducts[Product_ID],tblProducts[Occasion],"Not Found",0)</f>
        <v>Anniversary</v>
      </c>
      <c r="Q137" s="18">
        <f>_xlfn.XLOOKUP(tblMaster[[#This Row],[Product_ID]],tblProducts[Product_ID],tblProducts[Price (INR)],"Not Found",0)</f>
        <v>1272</v>
      </c>
      <c r="R137" s="19">
        <f>tblMaster[[#This Row],[Price]]*tblMaster[[#This Row],[Quantity]]</f>
        <v>1272</v>
      </c>
      <c r="S137" s="19">
        <f>tblMaster[[#This Row],[Price]]*0.7*tblMaster[[#This Row],[Quantity]]</f>
        <v>890.4</v>
      </c>
      <c r="T137" s="19">
        <f>tblMaster[[#This Row],[Revenue]]-tblMaster[[#This Row],[Estimated Cost (at 70%) ]]</f>
        <v>381.6</v>
      </c>
      <c r="U137" s="19">
        <f>tblMaster[[#This Row],[Profit]]/tblMaster[[#This Row],[Revenue]]</f>
        <v>0.30000000000000004</v>
      </c>
      <c r="V137" s="19">
        <f>tblMaster[[#This Row],[Delivery_Date]]-tblMaster[[#This Row],[Order_Date]]</f>
        <v>4</v>
      </c>
      <c r="W137" s="19" t="str">
        <f>TEXT(tblMaster[[#This Row],[Order_Date]],"mmmm")</f>
        <v>September</v>
      </c>
      <c r="X137" s="19">
        <f>MONTH(tblMaster[[#This Row],[Order_Date]])</f>
        <v>9</v>
      </c>
      <c r="Y137" s="19" t="str">
        <f>"Q"&amp;ROUNDUP(tblMaster[[#This Row],[Month Number]]/3,0)</f>
        <v>Q3</v>
      </c>
      <c r="Z137" s="19">
        <f>YEAR(tblMaster[[#This Row],[Order_Date]])</f>
        <v>2023</v>
      </c>
      <c r="AA137" s="19" t="str">
        <f>TEXT(DAY(tblMaster[[#This Row],[Order_Date]]),"dddd")</f>
        <v>Thursday</v>
      </c>
      <c r="AB137" s="19" t="str">
        <f>IF(tblMaster[[#This Row],[Revenue]]&gt;=5000,"High",IF(tblMaster[[#This Row],[Revenue]]&lt;2000,"Low","Medium"))</f>
        <v>Low</v>
      </c>
    </row>
    <row r="138" spans="1:28" x14ac:dyDescent="0.25">
      <c r="A138" s="7">
        <v>137</v>
      </c>
      <c r="B138" s="7" t="s">
        <v>343</v>
      </c>
      <c r="C138" s="4">
        <v>47</v>
      </c>
      <c r="D138" s="4">
        <v>2</v>
      </c>
      <c r="E138" s="8">
        <v>44990</v>
      </c>
      <c r="F138" s="9">
        <v>0.6711111111111111</v>
      </c>
      <c r="G138" s="8">
        <v>44996</v>
      </c>
      <c r="H138" s="9">
        <v>0.3120486111111111</v>
      </c>
      <c r="I138" s="7" t="s">
        <v>306</v>
      </c>
      <c r="J138" s="7" t="s">
        <v>25</v>
      </c>
      <c r="K138" s="18" t="str">
        <f>_xlfn.XLOOKUP(tblMaster[[#This Row],[Customer_ID]],tblCustomers[Customer_ID],tblCustomers[City],"Not Found",0)</f>
        <v>Bhatpara</v>
      </c>
      <c r="L138" s="18" t="str">
        <f>_xlfn.XLOOKUP(tblMaster[[#This Row],[Customer_ID]],tblCustomers[Customer_ID],tblCustomers[Name],"Not Found",0)</f>
        <v>Emir Gokhale</v>
      </c>
      <c r="M138" s="18" t="str">
        <f>_xlfn.XLOOKUP(tblMaster[[#This Row],[Customer_ID]],tblCustomers[Customer_ID],tblCustomers[Gender],"Not Found",0)</f>
        <v>Male</v>
      </c>
      <c r="N138" s="18" t="str">
        <f>_xlfn.XLOOKUP(tblMaster[[#This Row],[Product_ID]],tblProducts[Product_ID],tblProducts[Product_Name],"Not Found",0)</f>
        <v>Harum Pack</v>
      </c>
      <c r="O138" s="18" t="str">
        <f>_xlfn.XLOOKUP(tblMaster[[#This Row],[Product_ID]],tblProducts[Product_ID],tblProducts[Category],"Not Found",0)</f>
        <v>Colors</v>
      </c>
      <c r="P138" s="18" t="str">
        <f>_xlfn.XLOOKUP(tblMaster[[#This Row],[Product_ID]],tblProducts[Product_ID],tblProducts[Occasion],"Not Found",0)</f>
        <v>Holi</v>
      </c>
      <c r="Q138" s="18">
        <f>_xlfn.XLOOKUP(tblMaster[[#This Row],[Product_ID]],tblProducts[Product_ID],tblProducts[Price (INR)],"Not Found",0)</f>
        <v>1638</v>
      </c>
      <c r="R138" s="19">
        <f>tblMaster[[#This Row],[Price]]*tblMaster[[#This Row],[Quantity]]</f>
        <v>3276</v>
      </c>
      <c r="S138" s="19">
        <f>tblMaster[[#This Row],[Price]]*0.7*tblMaster[[#This Row],[Quantity]]</f>
        <v>2293.1999999999998</v>
      </c>
      <c r="T138" s="19">
        <f>tblMaster[[#This Row],[Revenue]]-tblMaster[[#This Row],[Estimated Cost (at 70%) ]]</f>
        <v>982.80000000000018</v>
      </c>
      <c r="U138" s="19">
        <f>tblMaster[[#This Row],[Profit]]/tblMaster[[#This Row],[Revenue]]</f>
        <v>0.30000000000000004</v>
      </c>
      <c r="V138" s="19">
        <f>tblMaster[[#This Row],[Delivery_Date]]-tblMaster[[#This Row],[Order_Date]]</f>
        <v>6</v>
      </c>
      <c r="W138" s="19" t="str">
        <f>TEXT(tblMaster[[#This Row],[Order_Date]],"mmmm")</f>
        <v>March</v>
      </c>
      <c r="X138" s="19">
        <f>MONTH(tblMaster[[#This Row],[Order_Date]])</f>
        <v>3</v>
      </c>
      <c r="Y138" s="19" t="str">
        <f>"Q"&amp;ROUNDUP(tblMaster[[#This Row],[Month Number]]/3,0)</f>
        <v>Q1</v>
      </c>
      <c r="Z138" s="19">
        <f>YEAR(tblMaster[[#This Row],[Order_Date]])</f>
        <v>2023</v>
      </c>
      <c r="AA138" s="19" t="str">
        <f>TEXT(DAY(tblMaster[[#This Row],[Order_Date]]),"dddd")</f>
        <v>Thursday</v>
      </c>
      <c r="AB138" s="19" t="str">
        <f>IF(tblMaster[[#This Row],[Revenue]]&gt;=5000,"High",IF(tblMaster[[#This Row],[Revenue]]&lt;2000,"Low","Medium"))</f>
        <v>Medium</v>
      </c>
    </row>
    <row r="139" spans="1:28" x14ac:dyDescent="0.25">
      <c r="A139" s="10">
        <v>138</v>
      </c>
      <c r="B139" s="10" t="s">
        <v>349</v>
      </c>
      <c r="C139" s="5">
        <v>57</v>
      </c>
      <c r="D139" s="5">
        <v>4</v>
      </c>
      <c r="E139" s="11">
        <v>44996</v>
      </c>
      <c r="F139" s="12">
        <v>0.39856481481481482</v>
      </c>
      <c r="G139" s="11">
        <v>45003</v>
      </c>
      <c r="H139" s="12">
        <v>0.25185185185185183</v>
      </c>
      <c r="I139" s="10" t="s">
        <v>350</v>
      </c>
      <c r="J139" s="10" t="s">
        <v>36</v>
      </c>
      <c r="K139" s="18" t="str">
        <f>_xlfn.XLOOKUP(tblMaster[[#This Row],[Customer_ID]],tblCustomers[Customer_ID],tblCustomers[City],"Not Found",0)</f>
        <v>Khandwa</v>
      </c>
      <c r="L139" s="18" t="str">
        <f>_xlfn.XLOOKUP(tblMaster[[#This Row],[Customer_ID]],tblCustomers[Customer_ID],tblCustomers[Name],"Not Found",0)</f>
        <v>Ivana Rout</v>
      </c>
      <c r="M139" s="18" t="str">
        <f>_xlfn.XLOOKUP(tblMaster[[#This Row],[Customer_ID]],tblCustomers[Customer_ID],tblCustomers[Gender],"Not Found",0)</f>
        <v>Male</v>
      </c>
      <c r="N139" s="18" t="str">
        <f>_xlfn.XLOOKUP(tblMaster[[#This Row],[Product_ID]],tblProducts[Product_ID],tblProducts[Product_Name],"Not Found",0)</f>
        <v>Voluptatem Box</v>
      </c>
      <c r="O139" s="18" t="str">
        <f>_xlfn.XLOOKUP(tblMaster[[#This Row],[Product_ID]],tblProducts[Product_ID],tblProducts[Category],"Not Found",0)</f>
        <v>Colors</v>
      </c>
      <c r="P139" s="18" t="str">
        <f>_xlfn.XLOOKUP(tblMaster[[#This Row],[Product_ID]],tblProducts[Product_ID],tblProducts[Occasion],"Not Found",0)</f>
        <v>Birthday</v>
      </c>
      <c r="Q139" s="18">
        <f>_xlfn.XLOOKUP(tblMaster[[#This Row],[Product_ID]],tblProducts[Product_ID],tblProducts[Price (INR)],"Not Found",0)</f>
        <v>1582</v>
      </c>
      <c r="R139" s="19">
        <f>tblMaster[[#This Row],[Price]]*tblMaster[[#This Row],[Quantity]]</f>
        <v>6328</v>
      </c>
      <c r="S139" s="19">
        <f>tblMaster[[#This Row],[Price]]*0.7*tblMaster[[#This Row],[Quantity]]</f>
        <v>4429.5999999999995</v>
      </c>
      <c r="T139" s="19">
        <f>tblMaster[[#This Row],[Revenue]]-tblMaster[[#This Row],[Estimated Cost (at 70%) ]]</f>
        <v>1898.4000000000005</v>
      </c>
      <c r="U139" s="19">
        <f>tblMaster[[#This Row],[Profit]]/tblMaster[[#This Row],[Revenue]]</f>
        <v>0.3000000000000001</v>
      </c>
      <c r="V139" s="19">
        <f>tblMaster[[#This Row],[Delivery_Date]]-tblMaster[[#This Row],[Order_Date]]</f>
        <v>7</v>
      </c>
      <c r="W139" s="19" t="str">
        <f>TEXT(tblMaster[[#This Row],[Order_Date]],"mmmm")</f>
        <v>March</v>
      </c>
      <c r="X139" s="19">
        <f>MONTH(tblMaster[[#This Row],[Order_Date]])</f>
        <v>3</v>
      </c>
      <c r="Y139" s="19" t="str">
        <f>"Q"&amp;ROUNDUP(tblMaster[[#This Row],[Month Number]]/3,0)</f>
        <v>Q1</v>
      </c>
      <c r="Z139" s="19">
        <f>YEAR(tblMaster[[#This Row],[Order_Date]])</f>
        <v>2023</v>
      </c>
      <c r="AA139" s="19" t="str">
        <f>TEXT(DAY(tblMaster[[#This Row],[Order_Date]]),"dddd")</f>
        <v>Wednesday</v>
      </c>
      <c r="AB139" s="19" t="str">
        <f>IF(tblMaster[[#This Row],[Revenue]]&gt;=5000,"High",IF(tblMaster[[#This Row],[Revenue]]&lt;2000,"Low","Medium"))</f>
        <v>High</v>
      </c>
    </row>
    <row r="140" spans="1:28" x14ac:dyDescent="0.25">
      <c r="A140" s="7">
        <v>139</v>
      </c>
      <c r="B140" s="7" t="s">
        <v>224</v>
      </c>
      <c r="C140" s="4">
        <v>54</v>
      </c>
      <c r="D140" s="4">
        <v>4</v>
      </c>
      <c r="E140" s="8">
        <v>45057</v>
      </c>
      <c r="F140" s="9">
        <v>0.17690972222222223</v>
      </c>
      <c r="G140" s="8">
        <v>45062</v>
      </c>
      <c r="H140" s="9">
        <v>0.75884259259259257</v>
      </c>
      <c r="I140" s="7" t="s">
        <v>351</v>
      </c>
      <c r="J140" s="7" t="s">
        <v>30</v>
      </c>
      <c r="K140" s="18" t="str">
        <f>_xlfn.XLOOKUP(tblMaster[[#This Row],[Customer_ID]],tblCustomers[Customer_ID],tblCustomers[City],"Not Found",0)</f>
        <v>Imphal</v>
      </c>
      <c r="L140" s="18" t="str">
        <f>_xlfn.XLOOKUP(tblMaster[[#This Row],[Customer_ID]],tblCustomers[Customer_ID],tblCustomers[Name],"Not Found",0)</f>
        <v>Umang Luthra</v>
      </c>
      <c r="M140" s="18" t="str">
        <f>_xlfn.XLOOKUP(tblMaster[[#This Row],[Customer_ID]],tblCustomers[Customer_ID],tblCustomers[Gender],"Not Found",0)</f>
        <v>Male</v>
      </c>
      <c r="N140" s="18" t="str">
        <f>_xlfn.XLOOKUP(tblMaster[[#This Row],[Product_ID]],tblProducts[Product_ID],tblProducts[Product_Name],"Not Found",0)</f>
        <v>Occaecati Gift</v>
      </c>
      <c r="O140" s="18" t="str">
        <f>_xlfn.XLOOKUP(tblMaster[[#This Row],[Product_ID]],tblProducts[Product_ID],tblProducts[Category],"Not Found",0)</f>
        <v>Cake</v>
      </c>
      <c r="P140" s="18" t="str">
        <f>_xlfn.XLOOKUP(tblMaster[[#This Row],[Product_ID]],tblProducts[Product_ID],tblProducts[Occasion],"Not Found",0)</f>
        <v>Anniversary</v>
      </c>
      <c r="Q140" s="18">
        <f>_xlfn.XLOOKUP(tblMaster[[#This Row],[Product_ID]],tblProducts[Product_ID],tblProducts[Price (INR)],"Not Found",0)</f>
        <v>1236</v>
      </c>
      <c r="R140" s="19">
        <f>tblMaster[[#This Row],[Price]]*tblMaster[[#This Row],[Quantity]]</f>
        <v>4944</v>
      </c>
      <c r="S140" s="19">
        <f>tblMaster[[#This Row],[Price]]*0.7*tblMaster[[#This Row],[Quantity]]</f>
        <v>3460.7999999999997</v>
      </c>
      <c r="T140" s="19">
        <f>tblMaster[[#This Row],[Revenue]]-tblMaster[[#This Row],[Estimated Cost (at 70%) ]]</f>
        <v>1483.2000000000003</v>
      </c>
      <c r="U140" s="19">
        <f>tblMaster[[#This Row],[Profit]]/tblMaster[[#This Row],[Revenue]]</f>
        <v>0.30000000000000004</v>
      </c>
      <c r="V140" s="19">
        <f>tblMaster[[#This Row],[Delivery_Date]]-tblMaster[[#This Row],[Order_Date]]</f>
        <v>5</v>
      </c>
      <c r="W140" s="19" t="str">
        <f>TEXT(tblMaster[[#This Row],[Order_Date]],"mmmm")</f>
        <v>May</v>
      </c>
      <c r="X140" s="19">
        <f>MONTH(tblMaster[[#This Row],[Order_Date]])</f>
        <v>5</v>
      </c>
      <c r="Y140" s="19" t="str">
        <f>"Q"&amp;ROUNDUP(tblMaster[[#This Row],[Month Number]]/3,0)</f>
        <v>Q2</v>
      </c>
      <c r="Z140" s="19">
        <f>YEAR(tblMaster[[#This Row],[Order_Date]])</f>
        <v>2023</v>
      </c>
      <c r="AA140" s="19" t="str">
        <f>TEXT(DAY(tblMaster[[#This Row],[Order_Date]]),"dddd")</f>
        <v>Wednesday</v>
      </c>
      <c r="AB140" s="19" t="str">
        <f>IF(tblMaster[[#This Row],[Revenue]]&gt;=5000,"High",IF(tblMaster[[#This Row],[Revenue]]&lt;2000,"Low","Medium"))</f>
        <v>Medium</v>
      </c>
    </row>
    <row r="141" spans="1:28" x14ac:dyDescent="0.25">
      <c r="A141" s="10">
        <v>140</v>
      </c>
      <c r="B141" s="10" t="s">
        <v>270</v>
      </c>
      <c r="C141" s="5">
        <v>47</v>
      </c>
      <c r="D141" s="5">
        <v>1</v>
      </c>
      <c r="E141" s="11">
        <v>44989</v>
      </c>
      <c r="F141" s="12">
        <v>0.26359953703703703</v>
      </c>
      <c r="G141" s="11">
        <v>44998</v>
      </c>
      <c r="H141" s="12">
        <v>0.89554398148148151</v>
      </c>
      <c r="I141" s="10" t="s">
        <v>352</v>
      </c>
      <c r="J141" s="10" t="s">
        <v>25</v>
      </c>
      <c r="K141" s="18" t="str">
        <f>_xlfn.XLOOKUP(tblMaster[[#This Row],[Customer_ID]],tblCustomers[Customer_ID],tblCustomers[City],"Not Found",0)</f>
        <v>Kolkata</v>
      </c>
      <c r="L141" s="18" t="str">
        <f>_xlfn.XLOOKUP(tblMaster[[#This Row],[Customer_ID]],tblCustomers[Customer_ID],tblCustomers[Name],"Not Found",0)</f>
        <v>Romil Bajwa</v>
      </c>
      <c r="M141" s="18" t="str">
        <f>_xlfn.XLOOKUP(tblMaster[[#This Row],[Customer_ID]],tblCustomers[Customer_ID],tblCustomers[Gender],"Not Found",0)</f>
        <v>Female</v>
      </c>
      <c r="N141" s="18" t="str">
        <f>_xlfn.XLOOKUP(tblMaster[[#This Row],[Product_ID]],tblProducts[Product_ID],tblProducts[Product_Name],"Not Found",0)</f>
        <v>Harum Pack</v>
      </c>
      <c r="O141" s="18" t="str">
        <f>_xlfn.XLOOKUP(tblMaster[[#This Row],[Product_ID]],tblProducts[Product_ID],tblProducts[Category],"Not Found",0)</f>
        <v>Colors</v>
      </c>
      <c r="P141" s="18" t="str">
        <f>_xlfn.XLOOKUP(tblMaster[[#This Row],[Product_ID]],tblProducts[Product_ID],tblProducts[Occasion],"Not Found",0)</f>
        <v>Holi</v>
      </c>
      <c r="Q141" s="18">
        <f>_xlfn.XLOOKUP(tblMaster[[#This Row],[Product_ID]],tblProducts[Product_ID],tblProducts[Price (INR)],"Not Found",0)</f>
        <v>1638</v>
      </c>
      <c r="R141" s="19">
        <f>tblMaster[[#This Row],[Price]]*tblMaster[[#This Row],[Quantity]]</f>
        <v>1638</v>
      </c>
      <c r="S141" s="19">
        <f>tblMaster[[#This Row],[Price]]*0.7*tblMaster[[#This Row],[Quantity]]</f>
        <v>1146.5999999999999</v>
      </c>
      <c r="T141" s="19">
        <f>tblMaster[[#This Row],[Revenue]]-tblMaster[[#This Row],[Estimated Cost (at 70%) ]]</f>
        <v>491.40000000000009</v>
      </c>
      <c r="U141" s="19">
        <f>tblMaster[[#This Row],[Profit]]/tblMaster[[#This Row],[Revenue]]</f>
        <v>0.30000000000000004</v>
      </c>
      <c r="V141" s="19">
        <f>tblMaster[[#This Row],[Delivery_Date]]-tblMaster[[#This Row],[Order_Date]]</f>
        <v>9</v>
      </c>
      <c r="W141" s="19" t="str">
        <f>TEXT(tblMaster[[#This Row],[Order_Date]],"mmmm")</f>
        <v>March</v>
      </c>
      <c r="X141" s="19">
        <f>MONTH(tblMaster[[#This Row],[Order_Date]])</f>
        <v>3</v>
      </c>
      <c r="Y141" s="19" t="str">
        <f>"Q"&amp;ROUNDUP(tblMaster[[#This Row],[Month Number]]/3,0)</f>
        <v>Q1</v>
      </c>
      <c r="Z141" s="19">
        <f>YEAR(tblMaster[[#This Row],[Order_Date]])</f>
        <v>2023</v>
      </c>
      <c r="AA141" s="19" t="str">
        <f>TEXT(DAY(tblMaster[[#This Row],[Order_Date]]),"dddd")</f>
        <v>Wednesday</v>
      </c>
      <c r="AB141" s="19" t="str">
        <f>IF(tblMaster[[#This Row],[Revenue]]&gt;=5000,"High",IF(tblMaster[[#This Row],[Revenue]]&lt;2000,"Low","Medium"))</f>
        <v>Low</v>
      </c>
    </row>
    <row r="142" spans="1:28" x14ac:dyDescent="0.25">
      <c r="A142" s="7">
        <v>141</v>
      </c>
      <c r="B142" s="7" t="s">
        <v>285</v>
      </c>
      <c r="C142" s="4">
        <v>35</v>
      </c>
      <c r="D142" s="4">
        <v>4</v>
      </c>
      <c r="E142" s="8">
        <v>44985</v>
      </c>
      <c r="F142" s="9">
        <v>0.16326388888888888</v>
      </c>
      <c r="G142" s="8">
        <v>44995</v>
      </c>
      <c r="H142" s="9">
        <v>0.10550925925925926</v>
      </c>
      <c r="I142" s="7" t="s">
        <v>353</v>
      </c>
      <c r="J142" s="7" t="s">
        <v>25</v>
      </c>
      <c r="K142" s="18" t="str">
        <f>_xlfn.XLOOKUP(tblMaster[[#This Row],[Customer_ID]],tblCustomers[Customer_ID],tblCustomers[City],"Not Found",0)</f>
        <v>Nagpur</v>
      </c>
      <c r="L142" s="18" t="str">
        <f>_xlfn.XLOOKUP(tblMaster[[#This Row],[Customer_ID]],tblCustomers[Customer_ID],tblCustomers[Name],"Not Found",0)</f>
        <v>Inaaya  Sarraf</v>
      </c>
      <c r="M142" s="18" t="str">
        <f>_xlfn.XLOOKUP(tblMaster[[#This Row],[Customer_ID]],tblCustomers[Customer_ID],tblCustomers[Gender],"Not Found",0)</f>
        <v>Male</v>
      </c>
      <c r="N142" s="18" t="str">
        <f>_xlfn.XLOOKUP(tblMaster[[#This Row],[Product_ID]],tblProducts[Product_ID],tblProducts[Product_Name],"Not Found",0)</f>
        <v>Nam Gift</v>
      </c>
      <c r="O142" s="18" t="str">
        <f>_xlfn.XLOOKUP(tblMaster[[#This Row],[Product_ID]],tblProducts[Product_ID],tblProducts[Category],"Not Found",0)</f>
        <v>Colors</v>
      </c>
      <c r="P142" s="18" t="str">
        <f>_xlfn.XLOOKUP(tblMaster[[#This Row],[Product_ID]],tblProducts[Product_ID],tblProducts[Occasion],"Not Found",0)</f>
        <v>Holi</v>
      </c>
      <c r="Q142" s="18">
        <f>_xlfn.XLOOKUP(tblMaster[[#This Row],[Product_ID]],tblProducts[Product_ID],tblProducts[Price (INR)],"Not Found",0)</f>
        <v>1865</v>
      </c>
      <c r="R142" s="19">
        <f>tblMaster[[#This Row],[Price]]*tblMaster[[#This Row],[Quantity]]</f>
        <v>7460</v>
      </c>
      <c r="S142" s="19">
        <f>tblMaster[[#This Row],[Price]]*0.7*tblMaster[[#This Row],[Quantity]]</f>
        <v>5222</v>
      </c>
      <c r="T142" s="19">
        <f>tblMaster[[#This Row],[Revenue]]-tblMaster[[#This Row],[Estimated Cost (at 70%) ]]</f>
        <v>2238</v>
      </c>
      <c r="U142" s="19">
        <f>tblMaster[[#This Row],[Profit]]/tblMaster[[#This Row],[Revenue]]</f>
        <v>0.3</v>
      </c>
      <c r="V142" s="19">
        <f>tblMaster[[#This Row],[Delivery_Date]]-tblMaster[[#This Row],[Order_Date]]</f>
        <v>10</v>
      </c>
      <c r="W142" s="19" t="str">
        <f>TEXT(tblMaster[[#This Row],[Order_Date]],"mmmm")</f>
        <v>February</v>
      </c>
      <c r="X142" s="19">
        <f>MONTH(tblMaster[[#This Row],[Order_Date]])</f>
        <v>2</v>
      </c>
      <c r="Y142" s="19" t="str">
        <f>"Q"&amp;ROUNDUP(tblMaster[[#This Row],[Month Number]]/3,0)</f>
        <v>Q1</v>
      </c>
      <c r="Z142" s="19">
        <f>YEAR(tblMaster[[#This Row],[Order_Date]])</f>
        <v>2023</v>
      </c>
      <c r="AA142" s="19" t="str">
        <f>TEXT(DAY(tblMaster[[#This Row],[Order_Date]]),"dddd")</f>
        <v>Saturday</v>
      </c>
      <c r="AB142" s="19" t="str">
        <f>IF(tblMaster[[#This Row],[Revenue]]&gt;=5000,"High",IF(tblMaster[[#This Row],[Revenue]]&lt;2000,"Low","Medium"))</f>
        <v>High</v>
      </c>
    </row>
    <row r="143" spans="1:28" x14ac:dyDescent="0.25">
      <c r="A143" s="10">
        <v>142</v>
      </c>
      <c r="B143" s="10" t="s">
        <v>170</v>
      </c>
      <c r="C143" s="5">
        <v>23</v>
      </c>
      <c r="D143" s="5">
        <v>2</v>
      </c>
      <c r="E143" s="11">
        <v>45222</v>
      </c>
      <c r="F143" s="12">
        <v>0.10501157407407408</v>
      </c>
      <c r="G143" s="11">
        <v>45226</v>
      </c>
      <c r="H143" s="12">
        <v>0.18351851851851853</v>
      </c>
      <c r="I143" s="10" t="s">
        <v>352</v>
      </c>
      <c r="J143" s="10" t="s">
        <v>30</v>
      </c>
      <c r="K143" s="18" t="str">
        <f>_xlfn.XLOOKUP(tblMaster[[#This Row],[Customer_ID]],tblCustomers[Customer_ID],tblCustomers[City],"Not Found",0)</f>
        <v>Haridwar</v>
      </c>
      <c r="L143" s="18" t="str">
        <f>_xlfn.XLOOKUP(tblMaster[[#This Row],[Customer_ID]],tblCustomers[Customer_ID],tblCustomers[Name],"Not Found",0)</f>
        <v>Badal Sathe</v>
      </c>
      <c r="M143" s="18" t="str">
        <f>_xlfn.XLOOKUP(tblMaster[[#This Row],[Customer_ID]],tblCustomers[Customer_ID],tblCustomers[Gender],"Not Found",0)</f>
        <v>Female</v>
      </c>
      <c r="N143" s="18" t="str">
        <f>_xlfn.XLOOKUP(tblMaster[[#This Row],[Product_ID]],tblProducts[Product_ID],tblProducts[Product_Name],"Not Found",0)</f>
        <v>Dignissimos Pack</v>
      </c>
      <c r="O143" s="18" t="str">
        <f>_xlfn.XLOOKUP(tblMaster[[#This Row],[Product_ID]],tblProducts[Product_ID],tblProducts[Category],"Not Found",0)</f>
        <v>Sweets</v>
      </c>
      <c r="P143" s="18" t="str">
        <f>_xlfn.XLOOKUP(tblMaster[[#This Row],[Product_ID]],tblProducts[Product_ID],tblProducts[Occasion],"Not Found",0)</f>
        <v>Anniversary</v>
      </c>
      <c r="Q143" s="18">
        <f>_xlfn.XLOOKUP(tblMaster[[#This Row],[Product_ID]],tblProducts[Product_ID],tblProducts[Price (INR)],"Not Found",0)</f>
        <v>1098</v>
      </c>
      <c r="R143" s="19">
        <f>tblMaster[[#This Row],[Price]]*tblMaster[[#This Row],[Quantity]]</f>
        <v>2196</v>
      </c>
      <c r="S143" s="19">
        <f>tblMaster[[#This Row],[Price]]*0.7*tblMaster[[#This Row],[Quantity]]</f>
        <v>1537.1999999999998</v>
      </c>
      <c r="T143" s="19">
        <f>tblMaster[[#This Row],[Revenue]]-tblMaster[[#This Row],[Estimated Cost (at 70%) ]]</f>
        <v>658.80000000000018</v>
      </c>
      <c r="U143" s="19">
        <f>tblMaster[[#This Row],[Profit]]/tblMaster[[#This Row],[Revenue]]</f>
        <v>0.3000000000000001</v>
      </c>
      <c r="V143" s="19">
        <f>tblMaster[[#This Row],[Delivery_Date]]-tblMaster[[#This Row],[Order_Date]]</f>
        <v>4</v>
      </c>
      <c r="W143" s="19" t="str">
        <f>TEXT(tblMaster[[#This Row],[Order_Date]],"mmmm")</f>
        <v>October</v>
      </c>
      <c r="X143" s="19">
        <f>MONTH(tblMaster[[#This Row],[Order_Date]])</f>
        <v>10</v>
      </c>
      <c r="Y143" s="19" t="str">
        <f>"Q"&amp;ROUNDUP(tblMaster[[#This Row],[Month Number]]/3,0)</f>
        <v>Q4</v>
      </c>
      <c r="Z143" s="19">
        <f>YEAR(tblMaster[[#This Row],[Order_Date]])</f>
        <v>2023</v>
      </c>
      <c r="AA143" s="19" t="str">
        <f>TEXT(DAY(tblMaster[[#This Row],[Order_Date]]),"dddd")</f>
        <v>Monday</v>
      </c>
      <c r="AB143" s="19" t="str">
        <f>IF(tblMaster[[#This Row],[Revenue]]&gt;=5000,"High",IF(tblMaster[[#This Row],[Revenue]]&lt;2000,"Low","Medium"))</f>
        <v>Medium</v>
      </c>
    </row>
    <row r="144" spans="1:28" x14ac:dyDescent="0.25">
      <c r="A144" s="7">
        <v>143</v>
      </c>
      <c r="B144" s="7" t="s">
        <v>347</v>
      </c>
      <c r="C144" s="4">
        <v>66</v>
      </c>
      <c r="D144" s="4">
        <v>2</v>
      </c>
      <c r="E144" s="8">
        <v>44985</v>
      </c>
      <c r="F144" s="9">
        <v>0.31756944444444446</v>
      </c>
      <c r="G144" s="8">
        <v>44995</v>
      </c>
      <c r="H144" s="9">
        <v>0.61798611111111112</v>
      </c>
      <c r="I144" s="7" t="s">
        <v>354</v>
      </c>
      <c r="J144" s="7" t="s">
        <v>25</v>
      </c>
      <c r="K144" s="18" t="str">
        <f>_xlfn.XLOOKUP(tblMaster[[#This Row],[Customer_ID]],tblCustomers[Customer_ID],tblCustomers[City],"Not Found",0)</f>
        <v>North Dumdum</v>
      </c>
      <c r="L144" s="18" t="str">
        <f>_xlfn.XLOOKUP(tblMaster[[#This Row],[Customer_ID]],tblCustomers[Customer_ID],tblCustomers[Name],"Not Found",0)</f>
        <v>Rania Bhatt</v>
      </c>
      <c r="M144" s="18" t="str">
        <f>_xlfn.XLOOKUP(tblMaster[[#This Row],[Customer_ID]],tblCustomers[Customer_ID],tblCustomers[Gender],"Not Found",0)</f>
        <v>Female</v>
      </c>
      <c r="N144" s="18" t="str">
        <f>_xlfn.XLOOKUP(tblMaster[[#This Row],[Product_ID]],tblProducts[Product_ID],tblProducts[Product_Name],"Not Found",0)</f>
        <v>Quas Box</v>
      </c>
      <c r="O144" s="18" t="str">
        <f>_xlfn.XLOOKUP(tblMaster[[#This Row],[Product_ID]],tblProducts[Product_ID],tblProducts[Category],"Not Found",0)</f>
        <v>Colors</v>
      </c>
      <c r="P144" s="18" t="str">
        <f>_xlfn.XLOOKUP(tblMaster[[#This Row],[Product_ID]],tblProducts[Product_ID],tblProducts[Occasion],"Not Found",0)</f>
        <v>Holi</v>
      </c>
      <c r="Q144" s="18">
        <f>_xlfn.XLOOKUP(tblMaster[[#This Row],[Product_ID]],tblProducts[Product_ID],tblProducts[Price (INR)],"Not Found",0)</f>
        <v>610</v>
      </c>
      <c r="R144" s="19">
        <f>tblMaster[[#This Row],[Price]]*tblMaster[[#This Row],[Quantity]]</f>
        <v>1220</v>
      </c>
      <c r="S144" s="19">
        <f>tblMaster[[#This Row],[Price]]*0.7*tblMaster[[#This Row],[Quantity]]</f>
        <v>854</v>
      </c>
      <c r="T144" s="19">
        <f>tblMaster[[#This Row],[Revenue]]-tblMaster[[#This Row],[Estimated Cost (at 70%) ]]</f>
        <v>366</v>
      </c>
      <c r="U144" s="19">
        <f>tblMaster[[#This Row],[Profit]]/tblMaster[[#This Row],[Revenue]]</f>
        <v>0.3</v>
      </c>
      <c r="V144" s="19">
        <f>tblMaster[[#This Row],[Delivery_Date]]-tblMaster[[#This Row],[Order_Date]]</f>
        <v>10</v>
      </c>
      <c r="W144" s="19" t="str">
        <f>TEXT(tblMaster[[#This Row],[Order_Date]],"mmmm")</f>
        <v>February</v>
      </c>
      <c r="X144" s="19">
        <f>MONTH(tblMaster[[#This Row],[Order_Date]])</f>
        <v>2</v>
      </c>
      <c r="Y144" s="19" t="str">
        <f>"Q"&amp;ROUNDUP(tblMaster[[#This Row],[Month Number]]/3,0)</f>
        <v>Q1</v>
      </c>
      <c r="Z144" s="19">
        <f>YEAR(tblMaster[[#This Row],[Order_Date]])</f>
        <v>2023</v>
      </c>
      <c r="AA144" s="19" t="str">
        <f>TEXT(DAY(tblMaster[[#This Row],[Order_Date]]),"dddd")</f>
        <v>Saturday</v>
      </c>
      <c r="AB144" s="19" t="str">
        <f>IF(tblMaster[[#This Row],[Revenue]]&gt;=5000,"High",IF(tblMaster[[#This Row],[Revenue]]&lt;2000,"Low","Medium"))</f>
        <v>Low</v>
      </c>
    </row>
    <row r="145" spans="1:28" x14ac:dyDescent="0.25">
      <c r="A145" s="10">
        <v>144</v>
      </c>
      <c r="B145" s="10" t="s">
        <v>202</v>
      </c>
      <c r="C145" s="5">
        <v>51</v>
      </c>
      <c r="D145" s="5">
        <v>5</v>
      </c>
      <c r="E145" s="11">
        <v>44944</v>
      </c>
      <c r="F145" s="12">
        <v>0.37572916666666667</v>
      </c>
      <c r="G145" s="11">
        <v>44949</v>
      </c>
      <c r="H145" s="12">
        <v>0.14114583333333333</v>
      </c>
      <c r="I145" s="10" t="s">
        <v>355</v>
      </c>
      <c r="J145" s="10" t="s">
        <v>8</v>
      </c>
      <c r="K145" s="18" t="str">
        <f>_xlfn.XLOOKUP(tblMaster[[#This Row],[Customer_ID]],tblCustomers[Customer_ID],tblCustomers[City],"Not Found",0)</f>
        <v>Anantapuram</v>
      </c>
      <c r="L145" s="18" t="str">
        <f>_xlfn.XLOOKUP(tblMaster[[#This Row],[Customer_ID]],tblCustomers[Customer_ID],tblCustomers[Name],"Not Found",0)</f>
        <v>Drishya De</v>
      </c>
      <c r="M145" s="18" t="str">
        <f>_xlfn.XLOOKUP(tblMaster[[#This Row],[Customer_ID]],tblCustomers[Customer_ID],tblCustomers[Gender],"Not Found",0)</f>
        <v>Female</v>
      </c>
      <c r="N145" s="18" t="str">
        <f>_xlfn.XLOOKUP(tblMaster[[#This Row],[Product_ID]],tblProducts[Product_ID],tblProducts[Product_Name],"Not Found",0)</f>
        <v>Fugit Set</v>
      </c>
      <c r="O145" s="18" t="str">
        <f>_xlfn.XLOOKUP(tblMaster[[#This Row],[Product_ID]],tblProducts[Product_ID],tblProducts[Category],"Not Found",0)</f>
        <v>Soft Toys</v>
      </c>
      <c r="P145" s="18" t="str">
        <f>_xlfn.XLOOKUP(tblMaster[[#This Row],[Product_ID]],tblProducts[Product_ID],tblProducts[Occasion],"Not Found",0)</f>
        <v>All Occasions</v>
      </c>
      <c r="Q145" s="18">
        <f>_xlfn.XLOOKUP(tblMaster[[#This Row],[Product_ID]],tblProducts[Product_ID],tblProducts[Price (INR)],"Not Found",0)</f>
        <v>1084</v>
      </c>
      <c r="R145" s="19">
        <f>tblMaster[[#This Row],[Price]]*tblMaster[[#This Row],[Quantity]]</f>
        <v>5420</v>
      </c>
      <c r="S145" s="19">
        <f>tblMaster[[#This Row],[Price]]*0.7*tblMaster[[#This Row],[Quantity]]</f>
        <v>3794</v>
      </c>
      <c r="T145" s="19">
        <f>tblMaster[[#This Row],[Revenue]]-tblMaster[[#This Row],[Estimated Cost (at 70%) ]]</f>
        <v>1626</v>
      </c>
      <c r="U145" s="19">
        <f>tblMaster[[#This Row],[Profit]]/tblMaster[[#This Row],[Revenue]]</f>
        <v>0.3</v>
      </c>
      <c r="V145" s="19">
        <f>tblMaster[[#This Row],[Delivery_Date]]-tblMaster[[#This Row],[Order_Date]]</f>
        <v>5</v>
      </c>
      <c r="W145" s="19" t="str">
        <f>TEXT(tblMaster[[#This Row],[Order_Date]],"mmmm")</f>
        <v>January</v>
      </c>
      <c r="X145" s="19">
        <f>MONTH(tblMaster[[#This Row],[Order_Date]])</f>
        <v>1</v>
      </c>
      <c r="Y145" s="19" t="str">
        <f>"Q"&amp;ROUNDUP(tblMaster[[#This Row],[Month Number]]/3,0)</f>
        <v>Q1</v>
      </c>
      <c r="Z145" s="19">
        <f>YEAR(tblMaster[[#This Row],[Order_Date]])</f>
        <v>2023</v>
      </c>
      <c r="AA145" s="19" t="str">
        <f>TEXT(DAY(tblMaster[[#This Row],[Order_Date]]),"dddd")</f>
        <v>Wednesday</v>
      </c>
      <c r="AB145" s="19" t="str">
        <f>IF(tblMaster[[#This Row],[Revenue]]&gt;=5000,"High",IF(tblMaster[[#This Row],[Revenue]]&lt;2000,"Low","Medium"))</f>
        <v>High</v>
      </c>
    </row>
    <row r="146" spans="1:28" x14ac:dyDescent="0.25">
      <c r="A146" s="7">
        <v>145</v>
      </c>
      <c r="B146" s="7" t="s">
        <v>224</v>
      </c>
      <c r="C146" s="4">
        <v>59</v>
      </c>
      <c r="D146" s="4">
        <v>5</v>
      </c>
      <c r="E146" s="8">
        <v>45167</v>
      </c>
      <c r="F146" s="9">
        <v>0.7034259259259259</v>
      </c>
      <c r="G146" s="8">
        <v>45172</v>
      </c>
      <c r="H146" s="9">
        <v>0.54473379629629626</v>
      </c>
      <c r="I146" s="7" t="s">
        <v>356</v>
      </c>
      <c r="J146" s="7" t="s">
        <v>33</v>
      </c>
      <c r="K146" s="18" t="str">
        <f>_xlfn.XLOOKUP(tblMaster[[#This Row],[Customer_ID]],tblCustomers[Customer_ID],tblCustomers[City],"Not Found",0)</f>
        <v>Imphal</v>
      </c>
      <c r="L146" s="18" t="str">
        <f>_xlfn.XLOOKUP(tblMaster[[#This Row],[Customer_ID]],tblCustomers[Customer_ID],tblCustomers[Name],"Not Found",0)</f>
        <v>Umang Luthra</v>
      </c>
      <c r="M146" s="18" t="str">
        <f>_xlfn.XLOOKUP(tblMaster[[#This Row],[Customer_ID]],tblCustomers[Customer_ID],tblCustomers[Gender],"Not Found",0)</f>
        <v>Male</v>
      </c>
      <c r="N146" s="18" t="str">
        <f>_xlfn.XLOOKUP(tblMaster[[#This Row],[Product_ID]],tblProducts[Product_ID],tblProducts[Product_Name],"Not Found",0)</f>
        <v>Pariatur Box</v>
      </c>
      <c r="O146" s="18" t="str">
        <f>_xlfn.XLOOKUP(tblMaster[[#This Row],[Product_ID]],tblProducts[Product_ID],tblProducts[Category],"Not Found",0)</f>
        <v>Cake</v>
      </c>
      <c r="P146" s="18" t="str">
        <f>_xlfn.XLOOKUP(tblMaster[[#This Row],[Product_ID]],tblProducts[Product_ID],tblProducts[Occasion],"Not Found",0)</f>
        <v>Raksha Bandhan</v>
      </c>
      <c r="Q146" s="18">
        <f>_xlfn.XLOOKUP(tblMaster[[#This Row],[Product_ID]],tblProducts[Product_ID],tblProducts[Price (INR)],"Not Found",0)</f>
        <v>811</v>
      </c>
      <c r="R146" s="19">
        <f>tblMaster[[#This Row],[Price]]*tblMaster[[#This Row],[Quantity]]</f>
        <v>4055</v>
      </c>
      <c r="S146" s="19">
        <f>tblMaster[[#This Row],[Price]]*0.7*tblMaster[[#This Row],[Quantity]]</f>
        <v>2838.4999999999995</v>
      </c>
      <c r="T146" s="19">
        <f>tblMaster[[#This Row],[Revenue]]-tblMaster[[#This Row],[Estimated Cost (at 70%) ]]</f>
        <v>1216.5000000000005</v>
      </c>
      <c r="U146" s="19">
        <f>tblMaster[[#This Row],[Profit]]/tblMaster[[#This Row],[Revenue]]</f>
        <v>0.3000000000000001</v>
      </c>
      <c r="V146" s="19">
        <f>tblMaster[[#This Row],[Delivery_Date]]-tblMaster[[#This Row],[Order_Date]]</f>
        <v>5</v>
      </c>
      <c r="W146" s="19" t="str">
        <f>TEXT(tblMaster[[#This Row],[Order_Date]],"mmmm")</f>
        <v>August</v>
      </c>
      <c r="X146" s="19">
        <f>MONTH(tblMaster[[#This Row],[Order_Date]])</f>
        <v>8</v>
      </c>
      <c r="Y146" s="19" t="str">
        <f>"Q"&amp;ROUNDUP(tblMaster[[#This Row],[Month Number]]/3,0)</f>
        <v>Q3</v>
      </c>
      <c r="Z146" s="19">
        <f>YEAR(tblMaster[[#This Row],[Order_Date]])</f>
        <v>2023</v>
      </c>
      <c r="AA146" s="19" t="str">
        <f>TEXT(DAY(tblMaster[[#This Row],[Order_Date]]),"dddd")</f>
        <v>Sunday</v>
      </c>
      <c r="AB146" s="19" t="str">
        <f>IF(tblMaster[[#This Row],[Revenue]]&gt;=5000,"High",IF(tblMaster[[#This Row],[Revenue]]&lt;2000,"Low","Medium"))</f>
        <v>Medium</v>
      </c>
    </row>
    <row r="147" spans="1:28" x14ac:dyDescent="0.25">
      <c r="A147" s="10">
        <v>146</v>
      </c>
      <c r="B147" s="10" t="s">
        <v>337</v>
      </c>
      <c r="C147" s="5">
        <v>52</v>
      </c>
      <c r="D147" s="5">
        <v>5</v>
      </c>
      <c r="E147" s="11">
        <v>44970</v>
      </c>
      <c r="F147" s="12">
        <v>0.7666087962962963</v>
      </c>
      <c r="G147" s="11">
        <v>44973</v>
      </c>
      <c r="H147" s="12">
        <v>0.17195601851851852</v>
      </c>
      <c r="I147" s="10" t="s">
        <v>357</v>
      </c>
      <c r="J147" s="10" t="s">
        <v>12</v>
      </c>
      <c r="K147" s="18" t="str">
        <f>_xlfn.XLOOKUP(tblMaster[[#This Row],[Customer_ID]],tblCustomers[Customer_ID],tblCustomers[City],"Not Found",0)</f>
        <v>Sambhal</v>
      </c>
      <c r="L147" s="18" t="str">
        <f>_xlfn.XLOOKUP(tblMaster[[#This Row],[Customer_ID]],tblCustomers[Customer_ID],tblCustomers[Name],"Not Found",0)</f>
        <v>Vardaniya Contractor</v>
      </c>
      <c r="M147" s="18" t="str">
        <f>_xlfn.XLOOKUP(tblMaster[[#This Row],[Customer_ID]],tblCustomers[Customer_ID],tblCustomers[Gender],"Not Found",0)</f>
        <v>Male</v>
      </c>
      <c r="N147" s="18" t="str">
        <f>_xlfn.XLOOKUP(tblMaster[[#This Row],[Product_ID]],tblProducts[Product_ID],tblProducts[Product_Name],"Not Found",0)</f>
        <v>Dolorum Box</v>
      </c>
      <c r="O147" s="18" t="str">
        <f>_xlfn.XLOOKUP(tblMaster[[#This Row],[Product_ID]],tblProducts[Product_ID],tblProducts[Category],"Not Found",0)</f>
        <v>Raksha Bandhan</v>
      </c>
      <c r="P147" s="18" t="str">
        <f>_xlfn.XLOOKUP(tblMaster[[#This Row],[Product_ID]],tblProducts[Product_ID],tblProducts[Occasion],"Not Found",0)</f>
        <v>Valentine's Day</v>
      </c>
      <c r="Q147" s="18">
        <f>_xlfn.XLOOKUP(tblMaster[[#This Row],[Product_ID]],tblProducts[Product_ID],tblProducts[Price (INR)],"Not Found",0)</f>
        <v>236</v>
      </c>
      <c r="R147" s="19">
        <f>tblMaster[[#This Row],[Price]]*tblMaster[[#This Row],[Quantity]]</f>
        <v>1180</v>
      </c>
      <c r="S147" s="19">
        <f>tblMaster[[#This Row],[Price]]*0.7*tblMaster[[#This Row],[Quantity]]</f>
        <v>826</v>
      </c>
      <c r="T147" s="19">
        <f>tblMaster[[#This Row],[Revenue]]-tblMaster[[#This Row],[Estimated Cost (at 70%) ]]</f>
        <v>354</v>
      </c>
      <c r="U147" s="19">
        <f>tblMaster[[#This Row],[Profit]]/tblMaster[[#This Row],[Revenue]]</f>
        <v>0.3</v>
      </c>
      <c r="V147" s="19">
        <f>tblMaster[[#This Row],[Delivery_Date]]-tblMaster[[#This Row],[Order_Date]]</f>
        <v>3</v>
      </c>
      <c r="W147" s="19" t="str">
        <f>TEXT(tblMaster[[#This Row],[Order_Date]],"mmmm")</f>
        <v>February</v>
      </c>
      <c r="X147" s="19">
        <f>MONTH(tblMaster[[#This Row],[Order_Date]])</f>
        <v>2</v>
      </c>
      <c r="Y147" s="19" t="str">
        <f>"Q"&amp;ROUNDUP(tblMaster[[#This Row],[Month Number]]/3,0)</f>
        <v>Q1</v>
      </c>
      <c r="Z147" s="19">
        <f>YEAR(tblMaster[[#This Row],[Order_Date]])</f>
        <v>2023</v>
      </c>
      <c r="AA147" s="19" t="str">
        <f>TEXT(DAY(tblMaster[[#This Row],[Order_Date]]),"dddd")</f>
        <v>Friday</v>
      </c>
      <c r="AB147" s="19" t="str">
        <f>IF(tblMaster[[#This Row],[Revenue]]&gt;=5000,"High",IF(tblMaster[[#This Row],[Revenue]]&lt;2000,"Low","Medium"))</f>
        <v>Low</v>
      </c>
    </row>
    <row r="148" spans="1:28" x14ac:dyDescent="0.25">
      <c r="A148" s="7">
        <v>147</v>
      </c>
      <c r="B148" s="7" t="s">
        <v>235</v>
      </c>
      <c r="C148" s="4">
        <v>8</v>
      </c>
      <c r="D148" s="4">
        <v>4</v>
      </c>
      <c r="E148" s="8">
        <v>45002</v>
      </c>
      <c r="F148" s="9">
        <v>0.81128472222222225</v>
      </c>
      <c r="G148" s="8">
        <v>45008</v>
      </c>
      <c r="H148" s="9">
        <v>0.57721064814814815</v>
      </c>
      <c r="I148" s="7" t="s">
        <v>358</v>
      </c>
      <c r="J148" s="7" t="s">
        <v>30</v>
      </c>
      <c r="K148" s="18" t="str">
        <f>_xlfn.XLOOKUP(tblMaster[[#This Row],[Customer_ID]],tblCustomers[Customer_ID],tblCustomers[City],"Not Found",0)</f>
        <v>Bhopal</v>
      </c>
      <c r="L148" s="18" t="str">
        <f>_xlfn.XLOOKUP(tblMaster[[#This Row],[Customer_ID]],tblCustomers[Customer_ID],tblCustomers[Name],"Not Found",0)</f>
        <v>Mohanlal Garde</v>
      </c>
      <c r="M148" s="18" t="str">
        <f>_xlfn.XLOOKUP(tblMaster[[#This Row],[Customer_ID]],tblCustomers[Customer_ID],tblCustomers[Gender],"Not Found",0)</f>
        <v>Male</v>
      </c>
      <c r="N148" s="18" t="str">
        <f>_xlfn.XLOOKUP(tblMaster[[#This Row],[Product_ID]],tblProducts[Product_ID],tblProducts[Product_Name],"Not Found",0)</f>
        <v>Qui Box</v>
      </c>
      <c r="O148" s="18" t="str">
        <f>_xlfn.XLOOKUP(tblMaster[[#This Row],[Product_ID]],tblProducts[Product_ID],tblProducts[Category],"Not Found",0)</f>
        <v>Sweets</v>
      </c>
      <c r="P148" s="18" t="str">
        <f>_xlfn.XLOOKUP(tblMaster[[#This Row],[Product_ID]],tblProducts[Product_ID],tblProducts[Occasion],"Not Found",0)</f>
        <v>Anniversary</v>
      </c>
      <c r="Q148" s="18">
        <f>_xlfn.XLOOKUP(tblMaster[[#This Row],[Product_ID]],tblProducts[Product_ID],tblProducts[Price (INR)],"Not Found",0)</f>
        <v>252</v>
      </c>
      <c r="R148" s="19">
        <f>tblMaster[[#This Row],[Price]]*tblMaster[[#This Row],[Quantity]]</f>
        <v>1008</v>
      </c>
      <c r="S148" s="19">
        <f>tblMaster[[#This Row],[Price]]*0.7*tblMaster[[#This Row],[Quantity]]</f>
        <v>705.59999999999991</v>
      </c>
      <c r="T148" s="19">
        <f>tblMaster[[#This Row],[Revenue]]-tblMaster[[#This Row],[Estimated Cost (at 70%) ]]</f>
        <v>302.40000000000009</v>
      </c>
      <c r="U148" s="19">
        <f>tblMaster[[#This Row],[Profit]]/tblMaster[[#This Row],[Revenue]]</f>
        <v>0.3000000000000001</v>
      </c>
      <c r="V148" s="19">
        <f>tblMaster[[#This Row],[Delivery_Date]]-tblMaster[[#This Row],[Order_Date]]</f>
        <v>6</v>
      </c>
      <c r="W148" s="19" t="str">
        <f>TEXT(tblMaster[[#This Row],[Order_Date]],"mmmm")</f>
        <v>March</v>
      </c>
      <c r="X148" s="19">
        <f>MONTH(tblMaster[[#This Row],[Order_Date]])</f>
        <v>3</v>
      </c>
      <c r="Y148" s="19" t="str">
        <f>"Q"&amp;ROUNDUP(tblMaster[[#This Row],[Month Number]]/3,0)</f>
        <v>Q1</v>
      </c>
      <c r="Z148" s="19">
        <f>YEAR(tblMaster[[#This Row],[Order_Date]])</f>
        <v>2023</v>
      </c>
      <c r="AA148" s="19" t="str">
        <f>TEXT(DAY(tblMaster[[#This Row],[Order_Date]]),"dddd")</f>
        <v>Tuesday</v>
      </c>
      <c r="AB148" s="19" t="str">
        <f>IF(tblMaster[[#This Row],[Revenue]]&gt;=5000,"High",IF(tblMaster[[#This Row],[Revenue]]&lt;2000,"Low","Medium"))</f>
        <v>Low</v>
      </c>
    </row>
    <row r="149" spans="1:28" x14ac:dyDescent="0.25">
      <c r="A149" s="10">
        <v>148</v>
      </c>
      <c r="B149" s="10" t="s">
        <v>237</v>
      </c>
      <c r="C149" s="5">
        <v>24</v>
      </c>
      <c r="D149" s="5">
        <v>3</v>
      </c>
      <c r="E149" s="11">
        <v>45265</v>
      </c>
      <c r="F149" s="12">
        <v>8.9675925925925923E-2</v>
      </c>
      <c r="G149" s="11">
        <v>45267</v>
      </c>
      <c r="H149" s="12">
        <v>0.37335648148148148</v>
      </c>
      <c r="I149" s="10" t="s">
        <v>359</v>
      </c>
      <c r="J149" s="10" t="s">
        <v>36</v>
      </c>
      <c r="K149" s="18" t="str">
        <f>_xlfn.XLOOKUP(tblMaster[[#This Row],[Customer_ID]],tblCustomers[Customer_ID],tblCustomers[City],"Not Found",0)</f>
        <v>Guna</v>
      </c>
      <c r="L149" s="18" t="str">
        <f>_xlfn.XLOOKUP(tblMaster[[#This Row],[Customer_ID]],tblCustomers[Customer_ID],tblCustomers[Name],"Not Found",0)</f>
        <v>Tara Kannan</v>
      </c>
      <c r="M149" s="18" t="str">
        <f>_xlfn.XLOOKUP(tblMaster[[#This Row],[Customer_ID]],tblCustomers[Customer_ID],tblCustomers[Gender],"Not Found",0)</f>
        <v>Male</v>
      </c>
      <c r="N149" s="18" t="str">
        <f>_xlfn.XLOOKUP(tblMaster[[#This Row],[Product_ID]],tblProducts[Product_ID],tblProducts[Product_Name],"Not Found",0)</f>
        <v>Ad Box</v>
      </c>
      <c r="O149" s="18" t="str">
        <f>_xlfn.XLOOKUP(tblMaster[[#This Row],[Product_ID]],tblProducts[Product_ID],tblProducts[Category],"Not Found",0)</f>
        <v>Mugs</v>
      </c>
      <c r="P149" s="18" t="str">
        <f>_xlfn.XLOOKUP(tblMaster[[#This Row],[Product_ID]],tblProducts[Product_ID],tblProducts[Occasion],"Not Found",0)</f>
        <v>Birthday</v>
      </c>
      <c r="Q149" s="18">
        <f>_xlfn.XLOOKUP(tblMaster[[#This Row],[Product_ID]],tblProducts[Product_ID],tblProducts[Price (INR)],"Not Found",0)</f>
        <v>535</v>
      </c>
      <c r="R149" s="19">
        <f>tblMaster[[#This Row],[Price]]*tblMaster[[#This Row],[Quantity]]</f>
        <v>1605</v>
      </c>
      <c r="S149" s="19">
        <f>tblMaster[[#This Row],[Price]]*0.7*tblMaster[[#This Row],[Quantity]]</f>
        <v>1123.5</v>
      </c>
      <c r="T149" s="19">
        <f>tblMaster[[#This Row],[Revenue]]-tblMaster[[#This Row],[Estimated Cost (at 70%) ]]</f>
        <v>481.5</v>
      </c>
      <c r="U149" s="19">
        <f>tblMaster[[#This Row],[Profit]]/tblMaster[[#This Row],[Revenue]]</f>
        <v>0.3</v>
      </c>
      <c r="V149" s="19">
        <f>tblMaster[[#This Row],[Delivery_Date]]-tblMaster[[#This Row],[Order_Date]]</f>
        <v>2</v>
      </c>
      <c r="W149" s="19" t="str">
        <f>TEXT(tblMaster[[#This Row],[Order_Date]],"mmmm")</f>
        <v>December</v>
      </c>
      <c r="X149" s="19">
        <f>MONTH(tblMaster[[#This Row],[Order_Date]])</f>
        <v>12</v>
      </c>
      <c r="Y149" s="19" t="str">
        <f>"Q"&amp;ROUNDUP(tblMaster[[#This Row],[Month Number]]/3,0)</f>
        <v>Q4</v>
      </c>
      <c r="Z149" s="19">
        <f>YEAR(tblMaster[[#This Row],[Order_Date]])</f>
        <v>2023</v>
      </c>
      <c r="AA149" s="19" t="str">
        <f>TEXT(DAY(tblMaster[[#This Row],[Order_Date]]),"dddd")</f>
        <v>Thursday</v>
      </c>
      <c r="AB149" s="19" t="str">
        <f>IF(tblMaster[[#This Row],[Revenue]]&gt;=5000,"High",IF(tblMaster[[#This Row],[Revenue]]&lt;2000,"Low","Medium"))</f>
        <v>Low</v>
      </c>
    </row>
    <row r="150" spans="1:28" x14ac:dyDescent="0.25">
      <c r="A150" s="7">
        <v>149</v>
      </c>
      <c r="B150" s="7" t="s">
        <v>289</v>
      </c>
      <c r="C150" s="4">
        <v>5</v>
      </c>
      <c r="D150" s="4">
        <v>3</v>
      </c>
      <c r="E150" s="8">
        <v>45205</v>
      </c>
      <c r="F150" s="9">
        <v>0.97440972222222222</v>
      </c>
      <c r="G150" s="8">
        <v>45208</v>
      </c>
      <c r="H150" s="9">
        <v>0.83972222222222226</v>
      </c>
      <c r="I150" s="7" t="s">
        <v>360</v>
      </c>
      <c r="J150" s="7" t="s">
        <v>8</v>
      </c>
      <c r="K150" s="18" t="str">
        <f>_xlfn.XLOOKUP(tblMaster[[#This Row],[Customer_ID]],tblCustomers[Customer_ID],tblCustomers[City],"Not Found",0)</f>
        <v>Chinsurah</v>
      </c>
      <c r="L150" s="18" t="str">
        <f>_xlfn.XLOOKUP(tblMaster[[#This Row],[Customer_ID]],tblCustomers[Customer_ID],tblCustomers[Name],"Not Found",0)</f>
        <v>Veer Ray</v>
      </c>
      <c r="M150" s="18" t="str">
        <f>_xlfn.XLOOKUP(tblMaster[[#This Row],[Customer_ID]],tblCustomers[Customer_ID],tblCustomers[Gender],"Not Found",0)</f>
        <v>Female</v>
      </c>
      <c r="N150" s="18" t="str">
        <f>_xlfn.XLOOKUP(tblMaster[[#This Row],[Product_ID]],tblProducts[Product_ID],tblProducts[Product_Name],"Not Found",0)</f>
        <v>Natus Gift</v>
      </c>
      <c r="O150" s="18" t="str">
        <f>_xlfn.XLOOKUP(tblMaster[[#This Row],[Product_ID]],tblProducts[Product_ID],tblProducts[Category],"Not Found",0)</f>
        <v>Colors</v>
      </c>
      <c r="P150" s="18" t="str">
        <f>_xlfn.XLOOKUP(tblMaster[[#This Row],[Product_ID]],tblProducts[Product_ID],tblProducts[Occasion],"Not Found",0)</f>
        <v>All Occasions</v>
      </c>
      <c r="Q150" s="18">
        <f>_xlfn.XLOOKUP(tblMaster[[#This Row],[Product_ID]],tblProducts[Product_ID],tblProducts[Price (INR)],"Not Found",0)</f>
        <v>1444</v>
      </c>
      <c r="R150" s="19">
        <f>tblMaster[[#This Row],[Price]]*tblMaster[[#This Row],[Quantity]]</f>
        <v>4332</v>
      </c>
      <c r="S150" s="19">
        <f>tblMaster[[#This Row],[Price]]*0.7*tblMaster[[#This Row],[Quantity]]</f>
        <v>3032.3999999999996</v>
      </c>
      <c r="T150" s="19">
        <f>tblMaster[[#This Row],[Revenue]]-tblMaster[[#This Row],[Estimated Cost (at 70%) ]]</f>
        <v>1299.6000000000004</v>
      </c>
      <c r="U150" s="19">
        <f>tblMaster[[#This Row],[Profit]]/tblMaster[[#This Row],[Revenue]]</f>
        <v>0.3000000000000001</v>
      </c>
      <c r="V150" s="19">
        <f>tblMaster[[#This Row],[Delivery_Date]]-tblMaster[[#This Row],[Order_Date]]</f>
        <v>3</v>
      </c>
      <c r="W150" s="19" t="str">
        <f>TEXT(tblMaster[[#This Row],[Order_Date]],"mmmm")</f>
        <v>October</v>
      </c>
      <c r="X150" s="19">
        <f>MONTH(tblMaster[[#This Row],[Order_Date]])</f>
        <v>10</v>
      </c>
      <c r="Y150" s="19" t="str">
        <f>"Q"&amp;ROUNDUP(tblMaster[[#This Row],[Month Number]]/3,0)</f>
        <v>Q4</v>
      </c>
      <c r="Z150" s="19">
        <f>YEAR(tblMaster[[#This Row],[Order_Date]])</f>
        <v>2023</v>
      </c>
      <c r="AA150" s="19" t="str">
        <f>TEXT(DAY(tblMaster[[#This Row],[Order_Date]]),"dddd")</f>
        <v>Friday</v>
      </c>
      <c r="AB150" s="19" t="str">
        <f>IF(tblMaster[[#This Row],[Revenue]]&gt;=5000,"High",IF(tblMaster[[#This Row],[Revenue]]&lt;2000,"Low","Medium"))</f>
        <v>Medium</v>
      </c>
    </row>
    <row r="151" spans="1:28" x14ac:dyDescent="0.25">
      <c r="A151" s="10">
        <v>150</v>
      </c>
      <c r="B151" s="10" t="s">
        <v>361</v>
      </c>
      <c r="C151" s="5">
        <v>27</v>
      </c>
      <c r="D151" s="5">
        <v>5</v>
      </c>
      <c r="E151" s="11">
        <v>45164</v>
      </c>
      <c r="F151" s="12">
        <v>0.30436342592592591</v>
      </c>
      <c r="G151" s="11">
        <v>45167</v>
      </c>
      <c r="H151" s="12">
        <v>0.70570601851851855</v>
      </c>
      <c r="I151" s="10" t="s">
        <v>362</v>
      </c>
      <c r="J151" s="10" t="s">
        <v>33</v>
      </c>
      <c r="K151" s="18" t="str">
        <f>_xlfn.XLOOKUP(tblMaster[[#This Row],[Customer_ID]],tblCustomers[Customer_ID],tblCustomers[City],"Not Found",0)</f>
        <v>Dibrugarh</v>
      </c>
      <c r="L151" s="18" t="str">
        <f>_xlfn.XLOOKUP(tblMaster[[#This Row],[Customer_ID]],tblCustomers[Customer_ID],tblCustomers[Name],"Not Found",0)</f>
        <v>Zoya Mani</v>
      </c>
      <c r="M151" s="18" t="str">
        <f>_xlfn.XLOOKUP(tblMaster[[#This Row],[Customer_ID]],tblCustomers[Customer_ID],tblCustomers[Gender],"Not Found",0)</f>
        <v>Male</v>
      </c>
      <c r="N151" s="18" t="str">
        <f>_xlfn.XLOOKUP(tblMaster[[#This Row],[Product_ID]],tblProducts[Product_ID],tblProducts[Product_Name],"Not Found",0)</f>
        <v>Architecto Gift</v>
      </c>
      <c r="O151" s="18" t="str">
        <f>_xlfn.XLOOKUP(tblMaster[[#This Row],[Product_ID]],tblProducts[Product_ID],tblProducts[Category],"Not Found",0)</f>
        <v>Cake</v>
      </c>
      <c r="P151" s="18" t="str">
        <f>_xlfn.XLOOKUP(tblMaster[[#This Row],[Product_ID]],tblProducts[Product_ID],tblProducts[Occasion],"Not Found",0)</f>
        <v>Raksha Bandhan</v>
      </c>
      <c r="Q151" s="18">
        <f>_xlfn.XLOOKUP(tblMaster[[#This Row],[Product_ID]],tblProducts[Product_ID],tblProducts[Price (INR)],"Not Found",0)</f>
        <v>548</v>
      </c>
      <c r="R151" s="19">
        <f>tblMaster[[#This Row],[Price]]*tblMaster[[#This Row],[Quantity]]</f>
        <v>2740</v>
      </c>
      <c r="S151" s="19">
        <f>tblMaster[[#This Row],[Price]]*0.7*tblMaster[[#This Row],[Quantity]]</f>
        <v>1917.9999999999998</v>
      </c>
      <c r="T151" s="19">
        <f>tblMaster[[#This Row],[Revenue]]-tblMaster[[#This Row],[Estimated Cost (at 70%) ]]</f>
        <v>822.00000000000023</v>
      </c>
      <c r="U151" s="19">
        <f>tblMaster[[#This Row],[Profit]]/tblMaster[[#This Row],[Revenue]]</f>
        <v>0.3000000000000001</v>
      </c>
      <c r="V151" s="19">
        <f>tblMaster[[#This Row],[Delivery_Date]]-tblMaster[[#This Row],[Order_Date]]</f>
        <v>3</v>
      </c>
      <c r="W151" s="19" t="str">
        <f>TEXT(tblMaster[[#This Row],[Order_Date]],"mmmm")</f>
        <v>August</v>
      </c>
      <c r="X151" s="19">
        <f>MONTH(tblMaster[[#This Row],[Order_Date]])</f>
        <v>8</v>
      </c>
      <c r="Y151" s="19" t="str">
        <f>"Q"&amp;ROUNDUP(tblMaster[[#This Row],[Month Number]]/3,0)</f>
        <v>Q3</v>
      </c>
      <c r="Z151" s="19">
        <f>YEAR(tblMaster[[#This Row],[Order_Date]])</f>
        <v>2023</v>
      </c>
      <c r="AA151" s="19" t="str">
        <f>TEXT(DAY(tblMaster[[#This Row],[Order_Date]]),"dddd")</f>
        <v>Thursday</v>
      </c>
      <c r="AB151" s="19" t="str">
        <f>IF(tblMaster[[#This Row],[Revenue]]&gt;=5000,"High",IF(tblMaster[[#This Row],[Revenue]]&lt;2000,"Low","Medium"))</f>
        <v>Medium</v>
      </c>
    </row>
    <row r="152" spans="1:28" x14ac:dyDescent="0.25">
      <c r="A152" s="7">
        <v>151</v>
      </c>
      <c r="B152" s="7" t="s">
        <v>341</v>
      </c>
      <c r="C152" s="4">
        <v>43</v>
      </c>
      <c r="D152" s="4">
        <v>1</v>
      </c>
      <c r="E152" s="8">
        <v>45233</v>
      </c>
      <c r="F152" s="9">
        <v>0.90446759259259257</v>
      </c>
      <c r="G152" s="8">
        <v>45240</v>
      </c>
      <c r="H152" s="9">
        <v>0.16391203703703705</v>
      </c>
      <c r="I152" s="7" t="s">
        <v>363</v>
      </c>
      <c r="J152" s="7" t="s">
        <v>19</v>
      </c>
      <c r="K152" s="18" t="str">
        <f>_xlfn.XLOOKUP(tblMaster[[#This Row],[Customer_ID]],tblCustomers[Customer_ID],tblCustomers[City],"Not Found",0)</f>
        <v>Kota</v>
      </c>
      <c r="L152" s="18" t="str">
        <f>_xlfn.XLOOKUP(tblMaster[[#This Row],[Customer_ID]],tblCustomers[Customer_ID],tblCustomers[Name],"Not Found",0)</f>
        <v>Aradhya Batta</v>
      </c>
      <c r="M152" s="18" t="str">
        <f>_xlfn.XLOOKUP(tblMaster[[#This Row],[Customer_ID]],tblCustomers[Customer_ID],tblCustomers[Gender],"Not Found",0)</f>
        <v>Female</v>
      </c>
      <c r="N152" s="18" t="str">
        <f>_xlfn.XLOOKUP(tblMaster[[#This Row],[Product_ID]],tblProducts[Product_ID],tblProducts[Product_Name],"Not Found",0)</f>
        <v>Quisquam Pack</v>
      </c>
      <c r="O152" s="18" t="str">
        <f>_xlfn.XLOOKUP(tblMaster[[#This Row],[Product_ID]],tblProducts[Product_ID],tblProducts[Category],"Not Found",0)</f>
        <v>Raksha Bandhan</v>
      </c>
      <c r="P152" s="18" t="str">
        <f>_xlfn.XLOOKUP(tblMaster[[#This Row],[Product_ID]],tblProducts[Product_ID],tblProducts[Occasion],"Not Found",0)</f>
        <v>Diwali</v>
      </c>
      <c r="Q152" s="18">
        <f>_xlfn.XLOOKUP(tblMaster[[#This Row],[Product_ID]],tblProducts[Product_ID],tblProducts[Price (INR)],"Not Found",0)</f>
        <v>750</v>
      </c>
      <c r="R152" s="19">
        <f>tblMaster[[#This Row],[Price]]*tblMaster[[#This Row],[Quantity]]</f>
        <v>750</v>
      </c>
      <c r="S152" s="19">
        <f>tblMaster[[#This Row],[Price]]*0.7*tblMaster[[#This Row],[Quantity]]</f>
        <v>525</v>
      </c>
      <c r="T152" s="19">
        <f>tblMaster[[#This Row],[Revenue]]-tblMaster[[#This Row],[Estimated Cost (at 70%) ]]</f>
        <v>225</v>
      </c>
      <c r="U152" s="19">
        <f>tblMaster[[#This Row],[Profit]]/tblMaster[[#This Row],[Revenue]]</f>
        <v>0.3</v>
      </c>
      <c r="V152" s="19">
        <f>tblMaster[[#This Row],[Delivery_Date]]-tblMaster[[#This Row],[Order_Date]]</f>
        <v>7</v>
      </c>
      <c r="W152" s="19" t="str">
        <f>TEXT(tblMaster[[#This Row],[Order_Date]],"mmmm")</f>
        <v>November</v>
      </c>
      <c r="X152" s="19">
        <f>MONTH(tblMaster[[#This Row],[Order_Date]])</f>
        <v>11</v>
      </c>
      <c r="Y152" s="19" t="str">
        <f>"Q"&amp;ROUNDUP(tblMaster[[#This Row],[Month Number]]/3,0)</f>
        <v>Q4</v>
      </c>
      <c r="Z152" s="19">
        <f>YEAR(tblMaster[[#This Row],[Order_Date]])</f>
        <v>2023</v>
      </c>
      <c r="AA152" s="19" t="str">
        <f>TEXT(DAY(tblMaster[[#This Row],[Order_Date]]),"dddd")</f>
        <v>Tuesday</v>
      </c>
      <c r="AB152" s="19" t="str">
        <f>IF(tblMaster[[#This Row],[Revenue]]&gt;=5000,"High",IF(tblMaster[[#This Row],[Revenue]]&lt;2000,"Low","Medium"))</f>
        <v>Low</v>
      </c>
    </row>
    <row r="153" spans="1:28" x14ac:dyDescent="0.25">
      <c r="A153" s="10">
        <v>152</v>
      </c>
      <c r="B153" s="10" t="s">
        <v>364</v>
      </c>
      <c r="C153" s="5">
        <v>51</v>
      </c>
      <c r="D153" s="5">
        <v>2</v>
      </c>
      <c r="E153" s="11">
        <v>44984</v>
      </c>
      <c r="F153" s="12">
        <v>0.45059027777777777</v>
      </c>
      <c r="G153" s="11">
        <v>44990</v>
      </c>
      <c r="H153" s="12">
        <v>0.69400462962962961</v>
      </c>
      <c r="I153" s="10" t="s">
        <v>346</v>
      </c>
      <c r="J153" s="10" t="s">
        <v>8</v>
      </c>
      <c r="K153" s="18" t="str">
        <f>_xlfn.XLOOKUP(tblMaster[[#This Row],[Customer_ID]],tblCustomers[Customer_ID],tblCustomers[City],"Not Found",0)</f>
        <v>Tiruchirappalli</v>
      </c>
      <c r="L153" s="18" t="str">
        <f>_xlfn.XLOOKUP(tblMaster[[#This Row],[Customer_ID]],tblCustomers[Customer_ID],tblCustomers[Name],"Not Found",0)</f>
        <v>Anahita Shankar</v>
      </c>
      <c r="M153" s="18" t="str">
        <f>_xlfn.XLOOKUP(tblMaster[[#This Row],[Customer_ID]],tblCustomers[Customer_ID],tblCustomers[Gender],"Not Found",0)</f>
        <v>Male</v>
      </c>
      <c r="N153" s="18" t="str">
        <f>_xlfn.XLOOKUP(tblMaster[[#This Row],[Product_ID]],tblProducts[Product_ID],tblProducts[Product_Name],"Not Found",0)</f>
        <v>Fugit Set</v>
      </c>
      <c r="O153" s="18" t="str">
        <f>_xlfn.XLOOKUP(tblMaster[[#This Row],[Product_ID]],tblProducts[Product_ID],tblProducts[Category],"Not Found",0)</f>
        <v>Soft Toys</v>
      </c>
      <c r="P153" s="18" t="str">
        <f>_xlfn.XLOOKUP(tblMaster[[#This Row],[Product_ID]],tblProducts[Product_ID],tblProducts[Occasion],"Not Found",0)</f>
        <v>All Occasions</v>
      </c>
      <c r="Q153" s="18">
        <f>_xlfn.XLOOKUP(tblMaster[[#This Row],[Product_ID]],tblProducts[Product_ID],tblProducts[Price (INR)],"Not Found",0)</f>
        <v>1084</v>
      </c>
      <c r="R153" s="19">
        <f>tblMaster[[#This Row],[Price]]*tblMaster[[#This Row],[Quantity]]</f>
        <v>2168</v>
      </c>
      <c r="S153" s="19">
        <f>tblMaster[[#This Row],[Price]]*0.7*tblMaster[[#This Row],[Quantity]]</f>
        <v>1517.6</v>
      </c>
      <c r="T153" s="19">
        <f>tblMaster[[#This Row],[Revenue]]-tblMaster[[#This Row],[Estimated Cost (at 70%) ]]</f>
        <v>650.40000000000009</v>
      </c>
      <c r="U153" s="19">
        <f>tblMaster[[#This Row],[Profit]]/tblMaster[[#This Row],[Revenue]]</f>
        <v>0.30000000000000004</v>
      </c>
      <c r="V153" s="19">
        <f>tblMaster[[#This Row],[Delivery_Date]]-tblMaster[[#This Row],[Order_Date]]</f>
        <v>6</v>
      </c>
      <c r="W153" s="19" t="str">
        <f>TEXT(tblMaster[[#This Row],[Order_Date]],"mmmm")</f>
        <v>February</v>
      </c>
      <c r="X153" s="19">
        <f>MONTH(tblMaster[[#This Row],[Order_Date]])</f>
        <v>2</v>
      </c>
      <c r="Y153" s="19" t="str">
        <f>"Q"&amp;ROUNDUP(tblMaster[[#This Row],[Month Number]]/3,0)</f>
        <v>Q1</v>
      </c>
      <c r="Z153" s="19">
        <f>YEAR(tblMaster[[#This Row],[Order_Date]])</f>
        <v>2023</v>
      </c>
      <c r="AA153" s="19" t="str">
        <f>TEXT(DAY(tblMaster[[#This Row],[Order_Date]]),"dddd")</f>
        <v>Friday</v>
      </c>
      <c r="AB153" s="19" t="str">
        <f>IF(tblMaster[[#This Row],[Revenue]]&gt;=5000,"High",IF(tblMaster[[#This Row],[Revenue]]&lt;2000,"Low","Medium"))</f>
        <v>Medium</v>
      </c>
    </row>
    <row r="154" spans="1:28" x14ac:dyDescent="0.25">
      <c r="A154" s="7">
        <v>153</v>
      </c>
      <c r="B154" s="7" t="s">
        <v>365</v>
      </c>
      <c r="C154" s="4">
        <v>16</v>
      </c>
      <c r="D154" s="4">
        <v>4</v>
      </c>
      <c r="E154" s="8">
        <v>44989</v>
      </c>
      <c r="F154" s="9">
        <v>0.51041666666666663</v>
      </c>
      <c r="G154" s="8">
        <v>44995</v>
      </c>
      <c r="H154" s="9">
        <v>0.25327546296296294</v>
      </c>
      <c r="I154" s="7" t="s">
        <v>366</v>
      </c>
      <c r="J154" s="7" t="s">
        <v>25</v>
      </c>
      <c r="K154" s="18" t="str">
        <f>_xlfn.XLOOKUP(tblMaster[[#This Row],[Customer_ID]],tblCustomers[Customer_ID],tblCustomers[City],"Not Found",0)</f>
        <v>Deoghar</v>
      </c>
      <c r="L154" s="18" t="str">
        <f>_xlfn.XLOOKUP(tblMaster[[#This Row],[Customer_ID]],tblCustomers[Customer_ID],tblCustomers[Name],"Not Found",0)</f>
        <v>Raghav Babu</v>
      </c>
      <c r="M154" s="18" t="str">
        <f>_xlfn.XLOOKUP(tblMaster[[#This Row],[Customer_ID]],tblCustomers[Customer_ID],tblCustomers[Gender],"Not Found",0)</f>
        <v>Female</v>
      </c>
      <c r="N154" s="18" t="str">
        <f>_xlfn.XLOOKUP(tblMaster[[#This Row],[Product_ID]],tblProducts[Product_ID],tblProducts[Product_Name],"Not Found",0)</f>
        <v>Ut Pack</v>
      </c>
      <c r="O154" s="18" t="str">
        <f>_xlfn.XLOOKUP(tblMaster[[#This Row],[Product_ID]],tblProducts[Product_ID],tblProducts[Category],"Not Found",0)</f>
        <v>Sweets</v>
      </c>
      <c r="P154" s="18" t="str">
        <f>_xlfn.XLOOKUP(tblMaster[[#This Row],[Product_ID]],tblProducts[Product_ID],tblProducts[Occasion],"Not Found",0)</f>
        <v>Holi</v>
      </c>
      <c r="Q154" s="18">
        <f>_xlfn.XLOOKUP(tblMaster[[#This Row],[Product_ID]],tblProducts[Product_ID],tblProducts[Price (INR)],"Not Found",0)</f>
        <v>1721</v>
      </c>
      <c r="R154" s="19">
        <f>tblMaster[[#This Row],[Price]]*tblMaster[[#This Row],[Quantity]]</f>
        <v>6884</v>
      </c>
      <c r="S154" s="19">
        <f>tblMaster[[#This Row],[Price]]*0.7*tblMaster[[#This Row],[Quantity]]</f>
        <v>4818.7999999999993</v>
      </c>
      <c r="T154" s="19">
        <f>tblMaster[[#This Row],[Revenue]]-tblMaster[[#This Row],[Estimated Cost (at 70%) ]]</f>
        <v>2065.2000000000007</v>
      </c>
      <c r="U154" s="19">
        <f>tblMaster[[#This Row],[Profit]]/tblMaster[[#This Row],[Revenue]]</f>
        <v>0.3000000000000001</v>
      </c>
      <c r="V154" s="19">
        <f>tblMaster[[#This Row],[Delivery_Date]]-tblMaster[[#This Row],[Order_Date]]</f>
        <v>6</v>
      </c>
      <c r="W154" s="19" t="str">
        <f>TEXT(tblMaster[[#This Row],[Order_Date]],"mmmm")</f>
        <v>March</v>
      </c>
      <c r="X154" s="19">
        <f>MONTH(tblMaster[[#This Row],[Order_Date]])</f>
        <v>3</v>
      </c>
      <c r="Y154" s="19" t="str">
        <f>"Q"&amp;ROUNDUP(tblMaster[[#This Row],[Month Number]]/3,0)</f>
        <v>Q1</v>
      </c>
      <c r="Z154" s="19">
        <f>YEAR(tblMaster[[#This Row],[Order_Date]])</f>
        <v>2023</v>
      </c>
      <c r="AA154" s="19" t="str">
        <f>TEXT(DAY(tblMaster[[#This Row],[Order_Date]]),"dddd")</f>
        <v>Wednesday</v>
      </c>
      <c r="AB154" s="19" t="str">
        <f>IF(tblMaster[[#This Row],[Revenue]]&gt;=5000,"High",IF(tblMaster[[#This Row],[Revenue]]&lt;2000,"Low","Medium"))</f>
        <v>High</v>
      </c>
    </row>
    <row r="155" spans="1:28" x14ac:dyDescent="0.25">
      <c r="A155" s="10">
        <v>154</v>
      </c>
      <c r="B155" s="10" t="s">
        <v>367</v>
      </c>
      <c r="C155" s="5">
        <v>45</v>
      </c>
      <c r="D155" s="5">
        <v>5</v>
      </c>
      <c r="E155" s="11">
        <v>45251</v>
      </c>
      <c r="F155" s="12">
        <v>0.96826388888888892</v>
      </c>
      <c r="G155" s="11">
        <v>45255</v>
      </c>
      <c r="H155" s="12">
        <v>8.6793981481481486E-2</v>
      </c>
      <c r="I155" s="10" t="s">
        <v>230</v>
      </c>
      <c r="J155" s="10" t="s">
        <v>36</v>
      </c>
      <c r="K155" s="18" t="str">
        <f>_xlfn.XLOOKUP(tblMaster[[#This Row],[Customer_ID]],tblCustomers[Customer_ID],tblCustomers[City],"Not Found",0)</f>
        <v>Imphal</v>
      </c>
      <c r="L155" s="18" t="str">
        <f>_xlfn.XLOOKUP(tblMaster[[#This Row],[Customer_ID]],tblCustomers[Customer_ID],tblCustomers[Name],"Not Found",0)</f>
        <v>Aarush Balasubramanian</v>
      </c>
      <c r="M155" s="18" t="str">
        <f>_xlfn.XLOOKUP(tblMaster[[#This Row],[Customer_ID]],tblCustomers[Customer_ID],tblCustomers[Gender],"Not Found",0)</f>
        <v>Female</v>
      </c>
      <c r="N155" s="18" t="str">
        <f>_xlfn.XLOOKUP(tblMaster[[#This Row],[Product_ID]],tblProducts[Product_ID],tblProducts[Product_Name],"Not Found",0)</f>
        <v>Iusto Set</v>
      </c>
      <c r="O155" s="18" t="str">
        <f>_xlfn.XLOOKUP(tblMaster[[#This Row],[Product_ID]],tblProducts[Product_ID],tblProducts[Category],"Not Found",0)</f>
        <v>Raksha Bandhan</v>
      </c>
      <c r="P155" s="18" t="str">
        <f>_xlfn.XLOOKUP(tblMaster[[#This Row],[Product_ID]],tblProducts[Product_ID],tblProducts[Occasion],"Not Found",0)</f>
        <v>Birthday</v>
      </c>
      <c r="Q155" s="18">
        <f>_xlfn.XLOOKUP(tblMaster[[#This Row],[Product_ID]],tblProducts[Product_ID],tblProducts[Price (INR)],"Not Found",0)</f>
        <v>722</v>
      </c>
      <c r="R155" s="19">
        <f>tblMaster[[#This Row],[Price]]*tblMaster[[#This Row],[Quantity]]</f>
        <v>3610</v>
      </c>
      <c r="S155" s="19">
        <f>tblMaster[[#This Row],[Price]]*0.7*tblMaster[[#This Row],[Quantity]]</f>
        <v>2527</v>
      </c>
      <c r="T155" s="19">
        <f>tblMaster[[#This Row],[Revenue]]-tblMaster[[#This Row],[Estimated Cost (at 70%) ]]</f>
        <v>1083</v>
      </c>
      <c r="U155" s="19">
        <f>tblMaster[[#This Row],[Profit]]/tblMaster[[#This Row],[Revenue]]</f>
        <v>0.3</v>
      </c>
      <c r="V155" s="19">
        <f>tblMaster[[#This Row],[Delivery_Date]]-tblMaster[[#This Row],[Order_Date]]</f>
        <v>4</v>
      </c>
      <c r="W155" s="19" t="str">
        <f>TEXT(tblMaster[[#This Row],[Order_Date]],"mmmm")</f>
        <v>November</v>
      </c>
      <c r="X155" s="19">
        <f>MONTH(tblMaster[[#This Row],[Order_Date]])</f>
        <v>11</v>
      </c>
      <c r="Y155" s="19" t="str">
        <f>"Q"&amp;ROUNDUP(tblMaster[[#This Row],[Month Number]]/3,0)</f>
        <v>Q4</v>
      </c>
      <c r="Z155" s="19">
        <f>YEAR(tblMaster[[#This Row],[Order_Date]])</f>
        <v>2023</v>
      </c>
      <c r="AA155" s="19" t="str">
        <f>TEXT(DAY(tblMaster[[#This Row],[Order_Date]]),"dddd")</f>
        <v>Saturday</v>
      </c>
      <c r="AB155" s="19" t="str">
        <f>IF(tblMaster[[#This Row],[Revenue]]&gt;=5000,"High",IF(tblMaster[[#This Row],[Revenue]]&lt;2000,"Low","Medium"))</f>
        <v>Medium</v>
      </c>
    </row>
    <row r="156" spans="1:28" x14ac:dyDescent="0.25">
      <c r="A156" s="7">
        <v>155</v>
      </c>
      <c r="B156" s="7" t="s">
        <v>252</v>
      </c>
      <c r="C156" s="4">
        <v>23</v>
      </c>
      <c r="D156" s="4">
        <v>3</v>
      </c>
      <c r="E156" s="8">
        <v>45047</v>
      </c>
      <c r="F156" s="9">
        <v>0.61594907407407407</v>
      </c>
      <c r="G156" s="8">
        <v>45052</v>
      </c>
      <c r="H156" s="9">
        <v>3.4722222222222224E-4</v>
      </c>
      <c r="I156" s="7" t="s">
        <v>368</v>
      </c>
      <c r="J156" s="7" t="s">
        <v>30</v>
      </c>
      <c r="K156" s="18" t="str">
        <f>_xlfn.XLOOKUP(tblMaster[[#This Row],[Customer_ID]],tblCustomers[Customer_ID],tblCustomers[City],"Not Found",0)</f>
        <v>Bidhannagar</v>
      </c>
      <c r="L156" s="18" t="str">
        <f>_xlfn.XLOOKUP(tblMaster[[#This Row],[Customer_ID]],tblCustomers[Customer_ID],tblCustomers[Name],"Not Found",0)</f>
        <v>Abram Sandhu</v>
      </c>
      <c r="M156" s="18" t="str">
        <f>_xlfn.XLOOKUP(tblMaster[[#This Row],[Customer_ID]],tblCustomers[Customer_ID],tblCustomers[Gender],"Not Found",0)</f>
        <v>Male</v>
      </c>
      <c r="N156" s="18" t="str">
        <f>_xlfn.XLOOKUP(tblMaster[[#This Row],[Product_ID]],tblProducts[Product_ID],tblProducts[Product_Name],"Not Found",0)</f>
        <v>Dignissimos Pack</v>
      </c>
      <c r="O156" s="18" t="str">
        <f>_xlfn.XLOOKUP(tblMaster[[#This Row],[Product_ID]],tblProducts[Product_ID],tblProducts[Category],"Not Found",0)</f>
        <v>Sweets</v>
      </c>
      <c r="P156" s="18" t="str">
        <f>_xlfn.XLOOKUP(tblMaster[[#This Row],[Product_ID]],tblProducts[Product_ID],tblProducts[Occasion],"Not Found",0)</f>
        <v>Anniversary</v>
      </c>
      <c r="Q156" s="18">
        <f>_xlfn.XLOOKUP(tblMaster[[#This Row],[Product_ID]],tblProducts[Product_ID],tblProducts[Price (INR)],"Not Found",0)</f>
        <v>1098</v>
      </c>
      <c r="R156" s="19">
        <f>tblMaster[[#This Row],[Price]]*tblMaster[[#This Row],[Quantity]]</f>
        <v>3294</v>
      </c>
      <c r="S156" s="19">
        <f>tblMaster[[#This Row],[Price]]*0.7*tblMaster[[#This Row],[Quantity]]</f>
        <v>2305.7999999999997</v>
      </c>
      <c r="T156" s="19">
        <f>tblMaster[[#This Row],[Revenue]]-tblMaster[[#This Row],[Estimated Cost (at 70%) ]]</f>
        <v>988.20000000000027</v>
      </c>
      <c r="U156" s="19">
        <f>tblMaster[[#This Row],[Profit]]/tblMaster[[#This Row],[Revenue]]</f>
        <v>0.3000000000000001</v>
      </c>
      <c r="V156" s="19">
        <f>tblMaster[[#This Row],[Delivery_Date]]-tblMaster[[#This Row],[Order_Date]]</f>
        <v>5</v>
      </c>
      <c r="W156" s="19" t="str">
        <f>TEXT(tblMaster[[#This Row],[Order_Date]],"mmmm")</f>
        <v>May</v>
      </c>
      <c r="X156" s="19">
        <f>MONTH(tblMaster[[#This Row],[Order_Date]])</f>
        <v>5</v>
      </c>
      <c r="Y156" s="19" t="str">
        <f>"Q"&amp;ROUNDUP(tblMaster[[#This Row],[Month Number]]/3,0)</f>
        <v>Q2</v>
      </c>
      <c r="Z156" s="19">
        <f>YEAR(tblMaster[[#This Row],[Order_Date]])</f>
        <v>2023</v>
      </c>
      <c r="AA156" s="19" t="str">
        <f>TEXT(DAY(tblMaster[[#This Row],[Order_Date]]),"dddd")</f>
        <v>Sunday</v>
      </c>
      <c r="AB156" s="19" t="str">
        <f>IF(tblMaster[[#This Row],[Revenue]]&gt;=5000,"High",IF(tblMaster[[#This Row],[Revenue]]&lt;2000,"Low","Medium"))</f>
        <v>Medium</v>
      </c>
    </row>
    <row r="157" spans="1:28" x14ac:dyDescent="0.25">
      <c r="A157" s="10">
        <v>156</v>
      </c>
      <c r="B157" s="10" t="s">
        <v>337</v>
      </c>
      <c r="C157" s="5">
        <v>61</v>
      </c>
      <c r="D157" s="5">
        <v>2</v>
      </c>
      <c r="E157" s="11">
        <v>44966</v>
      </c>
      <c r="F157" s="12">
        <v>0.34780092592592593</v>
      </c>
      <c r="G157" s="11">
        <v>44969</v>
      </c>
      <c r="H157" s="12">
        <v>0.4508564814814815</v>
      </c>
      <c r="I157" s="10" t="s">
        <v>314</v>
      </c>
      <c r="J157" s="10" t="s">
        <v>30</v>
      </c>
      <c r="K157" s="18" t="str">
        <f>_xlfn.XLOOKUP(tblMaster[[#This Row],[Customer_ID]],tblCustomers[Customer_ID],tblCustomers[City],"Not Found",0)</f>
        <v>Sambhal</v>
      </c>
      <c r="L157" s="18" t="str">
        <f>_xlfn.XLOOKUP(tblMaster[[#This Row],[Customer_ID]],tblCustomers[Customer_ID],tblCustomers[Name],"Not Found",0)</f>
        <v>Vardaniya Contractor</v>
      </c>
      <c r="M157" s="18" t="str">
        <f>_xlfn.XLOOKUP(tblMaster[[#This Row],[Customer_ID]],tblCustomers[Customer_ID],tblCustomers[Gender],"Not Found",0)</f>
        <v>Male</v>
      </c>
      <c r="N157" s="18" t="str">
        <f>_xlfn.XLOOKUP(tblMaster[[#This Row],[Product_ID]],tblProducts[Product_ID],tblProducts[Product_Name],"Not Found",0)</f>
        <v>Iusto Box</v>
      </c>
      <c r="O157" s="18" t="str">
        <f>_xlfn.XLOOKUP(tblMaster[[#This Row],[Product_ID]],tblProducts[Product_ID],tblProducts[Category],"Not Found",0)</f>
        <v>Plants</v>
      </c>
      <c r="P157" s="18" t="str">
        <f>_xlfn.XLOOKUP(tblMaster[[#This Row],[Product_ID]],tblProducts[Product_ID],tblProducts[Occasion],"Not Found",0)</f>
        <v>Anniversary</v>
      </c>
      <c r="Q157" s="18">
        <f>_xlfn.XLOOKUP(tblMaster[[#This Row],[Product_ID]],tblProducts[Product_ID],tblProducts[Price (INR)],"Not Found",0)</f>
        <v>810</v>
      </c>
      <c r="R157" s="19">
        <f>tblMaster[[#This Row],[Price]]*tblMaster[[#This Row],[Quantity]]</f>
        <v>1620</v>
      </c>
      <c r="S157" s="19">
        <f>tblMaster[[#This Row],[Price]]*0.7*tblMaster[[#This Row],[Quantity]]</f>
        <v>1134</v>
      </c>
      <c r="T157" s="19">
        <f>tblMaster[[#This Row],[Revenue]]-tblMaster[[#This Row],[Estimated Cost (at 70%) ]]</f>
        <v>486</v>
      </c>
      <c r="U157" s="19">
        <f>tblMaster[[#This Row],[Profit]]/tblMaster[[#This Row],[Revenue]]</f>
        <v>0.3</v>
      </c>
      <c r="V157" s="19">
        <f>tblMaster[[#This Row],[Delivery_Date]]-tblMaster[[#This Row],[Order_Date]]</f>
        <v>3</v>
      </c>
      <c r="W157" s="19" t="str">
        <f>TEXT(tblMaster[[#This Row],[Order_Date]],"mmmm")</f>
        <v>February</v>
      </c>
      <c r="X157" s="19">
        <f>MONTH(tblMaster[[#This Row],[Order_Date]])</f>
        <v>2</v>
      </c>
      <c r="Y157" s="19" t="str">
        <f>"Q"&amp;ROUNDUP(tblMaster[[#This Row],[Month Number]]/3,0)</f>
        <v>Q1</v>
      </c>
      <c r="Z157" s="19">
        <f>YEAR(tblMaster[[#This Row],[Order_Date]])</f>
        <v>2023</v>
      </c>
      <c r="AA157" s="19" t="str">
        <f>TEXT(DAY(tblMaster[[#This Row],[Order_Date]]),"dddd")</f>
        <v>Monday</v>
      </c>
      <c r="AB157" s="19" t="str">
        <f>IF(tblMaster[[#This Row],[Revenue]]&gt;=5000,"High",IF(tblMaster[[#This Row],[Revenue]]&lt;2000,"Low","Medium"))</f>
        <v>Low</v>
      </c>
    </row>
    <row r="158" spans="1:28" x14ac:dyDescent="0.25">
      <c r="A158" s="7">
        <v>157</v>
      </c>
      <c r="B158" s="7" t="s">
        <v>168</v>
      </c>
      <c r="C158" s="4">
        <v>35</v>
      </c>
      <c r="D158" s="4">
        <v>3</v>
      </c>
      <c r="E158" s="8">
        <v>44983</v>
      </c>
      <c r="F158" s="9">
        <v>0.53075231481481477</v>
      </c>
      <c r="G158" s="8">
        <v>44991</v>
      </c>
      <c r="H158" s="9">
        <v>0.48314814814814816</v>
      </c>
      <c r="I158" s="7" t="s">
        <v>263</v>
      </c>
      <c r="J158" s="7" t="s">
        <v>25</v>
      </c>
      <c r="K158" s="18" t="str">
        <f>_xlfn.XLOOKUP(tblMaster[[#This Row],[Customer_ID]],tblCustomers[Customer_ID],tblCustomers[City],"Not Found",0)</f>
        <v>Danapur</v>
      </c>
      <c r="L158" s="18" t="str">
        <f>_xlfn.XLOOKUP(tblMaster[[#This Row],[Customer_ID]],tblCustomers[Customer_ID],tblCustomers[Name],"Not Found",0)</f>
        <v>Amira Sengupta</v>
      </c>
      <c r="M158" s="18" t="str">
        <f>_xlfn.XLOOKUP(tblMaster[[#This Row],[Customer_ID]],tblCustomers[Customer_ID],tblCustomers[Gender],"Not Found",0)</f>
        <v>Male</v>
      </c>
      <c r="N158" s="18" t="str">
        <f>_xlfn.XLOOKUP(tblMaster[[#This Row],[Product_ID]],tblProducts[Product_ID],tblProducts[Product_Name],"Not Found",0)</f>
        <v>Nam Gift</v>
      </c>
      <c r="O158" s="18" t="str">
        <f>_xlfn.XLOOKUP(tblMaster[[#This Row],[Product_ID]],tblProducts[Product_ID],tblProducts[Category],"Not Found",0)</f>
        <v>Colors</v>
      </c>
      <c r="P158" s="18" t="str">
        <f>_xlfn.XLOOKUP(tblMaster[[#This Row],[Product_ID]],tblProducts[Product_ID],tblProducts[Occasion],"Not Found",0)</f>
        <v>Holi</v>
      </c>
      <c r="Q158" s="18">
        <f>_xlfn.XLOOKUP(tblMaster[[#This Row],[Product_ID]],tblProducts[Product_ID],tblProducts[Price (INR)],"Not Found",0)</f>
        <v>1865</v>
      </c>
      <c r="R158" s="19">
        <f>tblMaster[[#This Row],[Price]]*tblMaster[[#This Row],[Quantity]]</f>
        <v>5595</v>
      </c>
      <c r="S158" s="19">
        <f>tblMaster[[#This Row],[Price]]*0.7*tblMaster[[#This Row],[Quantity]]</f>
        <v>3916.5</v>
      </c>
      <c r="T158" s="19">
        <f>tblMaster[[#This Row],[Revenue]]-tblMaster[[#This Row],[Estimated Cost (at 70%) ]]</f>
        <v>1678.5</v>
      </c>
      <c r="U158" s="19">
        <f>tblMaster[[#This Row],[Profit]]/tblMaster[[#This Row],[Revenue]]</f>
        <v>0.3</v>
      </c>
      <c r="V158" s="19">
        <f>tblMaster[[#This Row],[Delivery_Date]]-tblMaster[[#This Row],[Order_Date]]</f>
        <v>8</v>
      </c>
      <c r="W158" s="19" t="str">
        <f>TEXT(tblMaster[[#This Row],[Order_Date]],"mmmm")</f>
        <v>February</v>
      </c>
      <c r="X158" s="19">
        <f>MONTH(tblMaster[[#This Row],[Order_Date]])</f>
        <v>2</v>
      </c>
      <c r="Y158" s="19" t="str">
        <f>"Q"&amp;ROUNDUP(tblMaster[[#This Row],[Month Number]]/3,0)</f>
        <v>Q1</v>
      </c>
      <c r="Z158" s="19">
        <f>YEAR(tblMaster[[#This Row],[Order_Date]])</f>
        <v>2023</v>
      </c>
      <c r="AA158" s="19" t="str">
        <f>TEXT(DAY(tblMaster[[#This Row],[Order_Date]]),"dddd")</f>
        <v>Thursday</v>
      </c>
      <c r="AB158" s="19" t="str">
        <f>IF(tblMaster[[#This Row],[Revenue]]&gt;=5000,"High",IF(tblMaster[[#This Row],[Revenue]]&lt;2000,"Low","Medium"))</f>
        <v>High</v>
      </c>
    </row>
    <row r="159" spans="1:28" x14ac:dyDescent="0.25">
      <c r="A159" s="10">
        <v>158</v>
      </c>
      <c r="B159" s="10" t="s">
        <v>369</v>
      </c>
      <c r="C159" s="5">
        <v>35</v>
      </c>
      <c r="D159" s="5">
        <v>2</v>
      </c>
      <c r="E159" s="11">
        <v>44988</v>
      </c>
      <c r="F159" s="12">
        <v>0.65297453703703701</v>
      </c>
      <c r="G159" s="11">
        <v>44993</v>
      </c>
      <c r="H159" s="12">
        <v>0.12015046296296296</v>
      </c>
      <c r="I159" s="10" t="s">
        <v>370</v>
      </c>
      <c r="J159" s="10" t="s">
        <v>25</v>
      </c>
      <c r="K159" s="18" t="str">
        <f>_xlfn.XLOOKUP(tblMaster[[#This Row],[Customer_ID]],tblCustomers[Customer_ID],tblCustomers[City],"Not Found",0)</f>
        <v>Berhampore</v>
      </c>
      <c r="L159" s="18" t="str">
        <f>_xlfn.XLOOKUP(tblMaster[[#This Row],[Customer_ID]],tblCustomers[Customer_ID],tblCustomers[Name],"Not Found",0)</f>
        <v>Jayant Kamdar</v>
      </c>
      <c r="M159" s="18" t="str">
        <f>_xlfn.XLOOKUP(tblMaster[[#This Row],[Customer_ID]],tblCustomers[Customer_ID],tblCustomers[Gender],"Not Found",0)</f>
        <v>Male</v>
      </c>
      <c r="N159" s="18" t="str">
        <f>_xlfn.XLOOKUP(tblMaster[[#This Row],[Product_ID]],tblProducts[Product_ID],tblProducts[Product_Name],"Not Found",0)</f>
        <v>Nam Gift</v>
      </c>
      <c r="O159" s="18" t="str">
        <f>_xlfn.XLOOKUP(tblMaster[[#This Row],[Product_ID]],tblProducts[Product_ID],tblProducts[Category],"Not Found",0)</f>
        <v>Colors</v>
      </c>
      <c r="P159" s="18" t="str">
        <f>_xlfn.XLOOKUP(tblMaster[[#This Row],[Product_ID]],tblProducts[Product_ID],tblProducts[Occasion],"Not Found",0)</f>
        <v>Holi</v>
      </c>
      <c r="Q159" s="18">
        <f>_xlfn.XLOOKUP(tblMaster[[#This Row],[Product_ID]],tblProducts[Product_ID],tblProducts[Price (INR)],"Not Found",0)</f>
        <v>1865</v>
      </c>
      <c r="R159" s="19">
        <f>tblMaster[[#This Row],[Price]]*tblMaster[[#This Row],[Quantity]]</f>
        <v>3730</v>
      </c>
      <c r="S159" s="19">
        <f>tblMaster[[#This Row],[Price]]*0.7*tblMaster[[#This Row],[Quantity]]</f>
        <v>2611</v>
      </c>
      <c r="T159" s="19">
        <f>tblMaster[[#This Row],[Revenue]]-tblMaster[[#This Row],[Estimated Cost (at 70%) ]]</f>
        <v>1119</v>
      </c>
      <c r="U159" s="19">
        <f>tblMaster[[#This Row],[Profit]]/tblMaster[[#This Row],[Revenue]]</f>
        <v>0.3</v>
      </c>
      <c r="V159" s="19">
        <f>tblMaster[[#This Row],[Delivery_Date]]-tblMaster[[#This Row],[Order_Date]]</f>
        <v>5</v>
      </c>
      <c r="W159" s="19" t="str">
        <f>TEXT(tblMaster[[#This Row],[Order_Date]],"mmmm")</f>
        <v>March</v>
      </c>
      <c r="X159" s="19">
        <f>MONTH(tblMaster[[#This Row],[Order_Date]])</f>
        <v>3</v>
      </c>
      <c r="Y159" s="19" t="str">
        <f>"Q"&amp;ROUNDUP(tblMaster[[#This Row],[Month Number]]/3,0)</f>
        <v>Q1</v>
      </c>
      <c r="Z159" s="19">
        <f>YEAR(tblMaster[[#This Row],[Order_Date]])</f>
        <v>2023</v>
      </c>
      <c r="AA159" s="19" t="str">
        <f>TEXT(DAY(tblMaster[[#This Row],[Order_Date]]),"dddd")</f>
        <v>Tuesday</v>
      </c>
      <c r="AB159" s="19" t="str">
        <f>IF(tblMaster[[#This Row],[Revenue]]&gt;=5000,"High",IF(tblMaster[[#This Row],[Revenue]]&lt;2000,"Low","Medium"))</f>
        <v>Medium</v>
      </c>
    </row>
    <row r="160" spans="1:28" x14ac:dyDescent="0.25">
      <c r="A160" s="7">
        <v>159</v>
      </c>
      <c r="B160" s="7" t="s">
        <v>258</v>
      </c>
      <c r="C160" s="4">
        <v>43</v>
      </c>
      <c r="D160" s="4">
        <v>3</v>
      </c>
      <c r="E160" s="8">
        <v>45239</v>
      </c>
      <c r="F160" s="9">
        <v>0.89697916666666666</v>
      </c>
      <c r="G160" s="8">
        <v>45241</v>
      </c>
      <c r="H160" s="9">
        <v>0.20550925925925925</v>
      </c>
      <c r="I160" s="7" t="s">
        <v>371</v>
      </c>
      <c r="J160" s="7" t="s">
        <v>19</v>
      </c>
      <c r="K160" s="18" t="str">
        <f>_xlfn.XLOOKUP(tblMaster[[#This Row],[Customer_ID]],tblCustomers[Customer_ID],tblCustomers[City],"Not Found",0)</f>
        <v>Warangal</v>
      </c>
      <c r="L160" s="18" t="str">
        <f>_xlfn.XLOOKUP(tblMaster[[#This Row],[Customer_ID]],tblCustomers[Customer_ID],tblCustomers[Name],"Not Found",0)</f>
        <v>Mahika Cherian</v>
      </c>
      <c r="M160" s="18" t="str">
        <f>_xlfn.XLOOKUP(tblMaster[[#This Row],[Customer_ID]],tblCustomers[Customer_ID],tblCustomers[Gender],"Not Found",0)</f>
        <v>Female</v>
      </c>
      <c r="N160" s="18" t="str">
        <f>_xlfn.XLOOKUP(tblMaster[[#This Row],[Product_ID]],tblProducts[Product_ID],tblProducts[Product_Name],"Not Found",0)</f>
        <v>Quisquam Pack</v>
      </c>
      <c r="O160" s="18" t="str">
        <f>_xlfn.XLOOKUP(tblMaster[[#This Row],[Product_ID]],tblProducts[Product_ID],tblProducts[Category],"Not Found",0)</f>
        <v>Raksha Bandhan</v>
      </c>
      <c r="P160" s="18" t="str">
        <f>_xlfn.XLOOKUP(tblMaster[[#This Row],[Product_ID]],tblProducts[Product_ID],tblProducts[Occasion],"Not Found",0)</f>
        <v>Diwali</v>
      </c>
      <c r="Q160" s="18">
        <f>_xlfn.XLOOKUP(tblMaster[[#This Row],[Product_ID]],tblProducts[Product_ID],tblProducts[Price (INR)],"Not Found",0)</f>
        <v>750</v>
      </c>
      <c r="R160" s="19">
        <f>tblMaster[[#This Row],[Price]]*tblMaster[[#This Row],[Quantity]]</f>
        <v>2250</v>
      </c>
      <c r="S160" s="19">
        <f>tblMaster[[#This Row],[Price]]*0.7*tblMaster[[#This Row],[Quantity]]</f>
        <v>1575</v>
      </c>
      <c r="T160" s="19">
        <f>tblMaster[[#This Row],[Revenue]]-tblMaster[[#This Row],[Estimated Cost (at 70%) ]]</f>
        <v>675</v>
      </c>
      <c r="U160" s="19">
        <f>tblMaster[[#This Row],[Profit]]/tblMaster[[#This Row],[Revenue]]</f>
        <v>0.3</v>
      </c>
      <c r="V160" s="19">
        <f>tblMaster[[#This Row],[Delivery_Date]]-tblMaster[[#This Row],[Order_Date]]</f>
        <v>2</v>
      </c>
      <c r="W160" s="19" t="str">
        <f>TEXT(tblMaster[[#This Row],[Order_Date]],"mmmm")</f>
        <v>November</v>
      </c>
      <c r="X160" s="19">
        <f>MONTH(tblMaster[[#This Row],[Order_Date]])</f>
        <v>11</v>
      </c>
      <c r="Y160" s="19" t="str">
        <f>"Q"&amp;ROUNDUP(tblMaster[[#This Row],[Month Number]]/3,0)</f>
        <v>Q4</v>
      </c>
      <c r="Z160" s="19">
        <f>YEAR(tblMaster[[#This Row],[Order_Date]])</f>
        <v>2023</v>
      </c>
      <c r="AA160" s="19" t="str">
        <f>TEXT(DAY(tblMaster[[#This Row],[Order_Date]]),"dddd")</f>
        <v>Monday</v>
      </c>
      <c r="AB160" s="19" t="str">
        <f>IF(tblMaster[[#This Row],[Revenue]]&gt;=5000,"High",IF(tblMaster[[#This Row],[Revenue]]&lt;2000,"Low","Medium"))</f>
        <v>Medium</v>
      </c>
    </row>
    <row r="161" spans="1:28" x14ac:dyDescent="0.25">
      <c r="A161" s="10">
        <v>160</v>
      </c>
      <c r="B161" s="10" t="s">
        <v>166</v>
      </c>
      <c r="C161" s="5">
        <v>36</v>
      </c>
      <c r="D161" s="5">
        <v>3</v>
      </c>
      <c r="E161" s="11">
        <v>45079</v>
      </c>
      <c r="F161" s="12">
        <v>2.0104166666666666E-2</v>
      </c>
      <c r="G161" s="11">
        <v>45087</v>
      </c>
      <c r="H161" s="12">
        <v>0.32846064814814813</v>
      </c>
      <c r="I161" s="10" t="s">
        <v>198</v>
      </c>
      <c r="J161" s="10" t="s">
        <v>36</v>
      </c>
      <c r="K161" s="18" t="str">
        <f>_xlfn.XLOOKUP(tblMaster[[#This Row],[Customer_ID]],tblCustomers[Customer_ID],tblCustomers[City],"Not Found",0)</f>
        <v>Davanagere</v>
      </c>
      <c r="L161" s="18" t="str">
        <f>_xlfn.XLOOKUP(tblMaster[[#This Row],[Customer_ID]],tblCustomers[Customer_ID],tblCustomers[Name],"Not Found",0)</f>
        <v>Aradhya Kumar</v>
      </c>
      <c r="M161" s="18" t="str">
        <f>_xlfn.XLOOKUP(tblMaster[[#This Row],[Customer_ID]],tblCustomers[Customer_ID],tblCustomers[Gender],"Not Found",0)</f>
        <v>Male</v>
      </c>
      <c r="N161" s="18" t="str">
        <f>_xlfn.XLOOKUP(tblMaster[[#This Row],[Product_ID]],tblProducts[Product_ID],tblProducts[Product_Name],"Not Found",0)</f>
        <v>Cum Gift</v>
      </c>
      <c r="O161" s="18" t="str">
        <f>_xlfn.XLOOKUP(tblMaster[[#This Row],[Product_ID]],tblProducts[Product_ID],tblProducts[Category],"Not Found",0)</f>
        <v>Plants</v>
      </c>
      <c r="P161" s="18" t="str">
        <f>_xlfn.XLOOKUP(tblMaster[[#This Row],[Product_ID]],tblProducts[Product_ID],tblProducts[Occasion],"Not Found",0)</f>
        <v>Birthday</v>
      </c>
      <c r="Q161" s="18">
        <f>_xlfn.XLOOKUP(tblMaster[[#This Row],[Product_ID]],tblProducts[Product_ID],tblProducts[Price (INR)],"Not Found",0)</f>
        <v>203</v>
      </c>
      <c r="R161" s="19">
        <f>tblMaster[[#This Row],[Price]]*tblMaster[[#This Row],[Quantity]]</f>
        <v>609</v>
      </c>
      <c r="S161" s="19">
        <f>tblMaster[[#This Row],[Price]]*0.7*tblMaster[[#This Row],[Quantity]]</f>
        <v>426.29999999999995</v>
      </c>
      <c r="T161" s="19">
        <f>tblMaster[[#This Row],[Revenue]]-tblMaster[[#This Row],[Estimated Cost (at 70%) ]]</f>
        <v>182.70000000000005</v>
      </c>
      <c r="U161" s="19">
        <f>tblMaster[[#This Row],[Profit]]/tblMaster[[#This Row],[Revenue]]</f>
        <v>0.3000000000000001</v>
      </c>
      <c r="V161" s="19">
        <f>tblMaster[[#This Row],[Delivery_Date]]-tblMaster[[#This Row],[Order_Date]]</f>
        <v>8</v>
      </c>
      <c r="W161" s="19" t="str">
        <f>TEXT(tblMaster[[#This Row],[Order_Date]],"mmmm")</f>
        <v>June</v>
      </c>
      <c r="X161" s="19">
        <f>MONTH(tblMaster[[#This Row],[Order_Date]])</f>
        <v>6</v>
      </c>
      <c r="Y161" s="19" t="str">
        <f>"Q"&amp;ROUNDUP(tblMaster[[#This Row],[Month Number]]/3,0)</f>
        <v>Q2</v>
      </c>
      <c r="Z161" s="19">
        <f>YEAR(tblMaster[[#This Row],[Order_Date]])</f>
        <v>2023</v>
      </c>
      <c r="AA161" s="19" t="str">
        <f>TEXT(DAY(tblMaster[[#This Row],[Order_Date]]),"dddd")</f>
        <v>Monday</v>
      </c>
      <c r="AB161" s="19" t="str">
        <f>IF(tblMaster[[#This Row],[Revenue]]&gt;=5000,"High",IF(tblMaster[[#This Row],[Revenue]]&lt;2000,"Low","Medium"))</f>
        <v>Low</v>
      </c>
    </row>
    <row r="162" spans="1:28" x14ac:dyDescent="0.25">
      <c r="A162" s="7">
        <v>161</v>
      </c>
      <c r="B162" s="7" t="s">
        <v>204</v>
      </c>
      <c r="C162" s="4">
        <v>58</v>
      </c>
      <c r="D162" s="4">
        <v>3</v>
      </c>
      <c r="E162" s="8">
        <v>44970</v>
      </c>
      <c r="F162" s="9">
        <v>0.13062499999999999</v>
      </c>
      <c r="G162" s="8">
        <v>44971</v>
      </c>
      <c r="H162" s="9">
        <v>0.96667824074074071</v>
      </c>
      <c r="I162" s="7" t="s">
        <v>372</v>
      </c>
      <c r="J162" s="7" t="s">
        <v>12</v>
      </c>
      <c r="K162" s="18" t="str">
        <f>_xlfn.XLOOKUP(tblMaster[[#This Row],[Customer_ID]],tblCustomers[Customer_ID],tblCustomers[City],"Not Found",0)</f>
        <v>Bidhannagar</v>
      </c>
      <c r="L162" s="18" t="str">
        <f>_xlfn.XLOOKUP(tblMaster[[#This Row],[Customer_ID]],tblCustomers[Customer_ID],tblCustomers[Name],"Not Found",0)</f>
        <v>Umang Ahuja</v>
      </c>
      <c r="M162" s="18" t="str">
        <f>_xlfn.XLOOKUP(tblMaster[[#This Row],[Customer_ID]],tblCustomers[Customer_ID],tblCustomers[Gender],"Not Found",0)</f>
        <v>Female</v>
      </c>
      <c r="N162" s="18" t="str">
        <f>_xlfn.XLOOKUP(tblMaster[[#This Row],[Product_ID]],tblProducts[Product_ID],tblProducts[Product_Name],"Not Found",0)</f>
        <v>Sed Pack</v>
      </c>
      <c r="O162" s="18" t="str">
        <f>_xlfn.XLOOKUP(tblMaster[[#This Row],[Product_ID]],tblProducts[Product_ID],tblProducts[Category],"Not Found",0)</f>
        <v>Cake</v>
      </c>
      <c r="P162" s="18" t="str">
        <f>_xlfn.XLOOKUP(tblMaster[[#This Row],[Product_ID]],tblProducts[Product_ID],tblProducts[Occasion],"Not Found",0)</f>
        <v>Valentine's Day</v>
      </c>
      <c r="Q162" s="18">
        <f>_xlfn.XLOOKUP(tblMaster[[#This Row],[Product_ID]],tblProducts[Product_ID],tblProducts[Price (INR)],"Not Found",0)</f>
        <v>1492</v>
      </c>
      <c r="R162" s="19">
        <f>tblMaster[[#This Row],[Price]]*tblMaster[[#This Row],[Quantity]]</f>
        <v>4476</v>
      </c>
      <c r="S162" s="19">
        <f>tblMaster[[#This Row],[Price]]*0.7*tblMaster[[#This Row],[Quantity]]</f>
        <v>3133.2</v>
      </c>
      <c r="T162" s="19">
        <f>tblMaster[[#This Row],[Revenue]]-tblMaster[[#This Row],[Estimated Cost (at 70%) ]]</f>
        <v>1342.8000000000002</v>
      </c>
      <c r="U162" s="19">
        <f>tblMaster[[#This Row],[Profit]]/tblMaster[[#This Row],[Revenue]]</f>
        <v>0.30000000000000004</v>
      </c>
      <c r="V162" s="19">
        <f>tblMaster[[#This Row],[Delivery_Date]]-tblMaster[[#This Row],[Order_Date]]</f>
        <v>1</v>
      </c>
      <c r="W162" s="19" t="str">
        <f>TEXT(tblMaster[[#This Row],[Order_Date]],"mmmm")</f>
        <v>February</v>
      </c>
      <c r="X162" s="19">
        <f>MONTH(tblMaster[[#This Row],[Order_Date]])</f>
        <v>2</v>
      </c>
      <c r="Y162" s="19" t="str">
        <f>"Q"&amp;ROUNDUP(tblMaster[[#This Row],[Month Number]]/3,0)</f>
        <v>Q1</v>
      </c>
      <c r="Z162" s="19">
        <f>YEAR(tblMaster[[#This Row],[Order_Date]])</f>
        <v>2023</v>
      </c>
      <c r="AA162" s="19" t="str">
        <f>TEXT(DAY(tblMaster[[#This Row],[Order_Date]]),"dddd")</f>
        <v>Friday</v>
      </c>
      <c r="AB162" s="19" t="str">
        <f>IF(tblMaster[[#This Row],[Revenue]]&gt;=5000,"High",IF(tblMaster[[#This Row],[Revenue]]&lt;2000,"Low","Medium"))</f>
        <v>Medium</v>
      </c>
    </row>
    <row r="163" spans="1:28" x14ac:dyDescent="0.25">
      <c r="A163" s="10">
        <v>162</v>
      </c>
      <c r="B163" s="10" t="s">
        <v>276</v>
      </c>
      <c r="C163" s="5">
        <v>55</v>
      </c>
      <c r="D163" s="5">
        <v>3</v>
      </c>
      <c r="E163" s="11">
        <v>45165</v>
      </c>
      <c r="F163" s="12">
        <v>0.2600810185185185</v>
      </c>
      <c r="G163" s="11">
        <v>45174</v>
      </c>
      <c r="H163" s="12">
        <v>0.66232638888888884</v>
      </c>
      <c r="I163" s="10" t="s">
        <v>373</v>
      </c>
      <c r="J163" s="10" t="s">
        <v>33</v>
      </c>
      <c r="K163" s="18" t="str">
        <f>_xlfn.XLOOKUP(tblMaster[[#This Row],[Customer_ID]],tblCustomers[Customer_ID],tblCustomers[City],"Not Found",0)</f>
        <v>Imphal</v>
      </c>
      <c r="L163" s="18" t="str">
        <f>_xlfn.XLOOKUP(tblMaster[[#This Row],[Customer_ID]],tblCustomers[Customer_ID],tblCustomers[Name],"Not Found",0)</f>
        <v>Chirag Srinivas</v>
      </c>
      <c r="M163" s="18" t="str">
        <f>_xlfn.XLOOKUP(tblMaster[[#This Row],[Customer_ID]],tblCustomers[Customer_ID],tblCustomers[Gender],"Not Found",0)</f>
        <v>Female</v>
      </c>
      <c r="N163" s="18" t="str">
        <f>_xlfn.XLOOKUP(tblMaster[[#This Row],[Product_ID]],tblProducts[Product_ID],tblProducts[Product_Name],"Not Found",0)</f>
        <v>Dolores Gift</v>
      </c>
      <c r="O163" s="18" t="str">
        <f>_xlfn.XLOOKUP(tblMaster[[#This Row],[Product_ID]],tblProducts[Product_ID],tblProducts[Category],"Not Found",0)</f>
        <v>Soft Toys</v>
      </c>
      <c r="P163" s="18" t="str">
        <f>_xlfn.XLOOKUP(tblMaster[[#This Row],[Product_ID]],tblProducts[Product_ID],tblProducts[Occasion],"Not Found",0)</f>
        <v>Raksha Bandhan</v>
      </c>
      <c r="Q163" s="18">
        <f>_xlfn.XLOOKUP(tblMaster[[#This Row],[Product_ID]],tblProducts[Product_ID],tblProducts[Price (INR)],"Not Found",0)</f>
        <v>1904</v>
      </c>
      <c r="R163" s="19">
        <f>tblMaster[[#This Row],[Price]]*tblMaster[[#This Row],[Quantity]]</f>
        <v>5712</v>
      </c>
      <c r="S163" s="19">
        <f>tblMaster[[#This Row],[Price]]*0.7*tblMaster[[#This Row],[Quantity]]</f>
        <v>3998.3999999999996</v>
      </c>
      <c r="T163" s="19">
        <f>tblMaster[[#This Row],[Revenue]]-tblMaster[[#This Row],[Estimated Cost (at 70%) ]]</f>
        <v>1713.6000000000004</v>
      </c>
      <c r="U163" s="19">
        <f>tblMaster[[#This Row],[Profit]]/tblMaster[[#This Row],[Revenue]]</f>
        <v>0.30000000000000004</v>
      </c>
      <c r="V163" s="19">
        <f>tblMaster[[#This Row],[Delivery_Date]]-tblMaster[[#This Row],[Order_Date]]</f>
        <v>9</v>
      </c>
      <c r="W163" s="19" t="str">
        <f>TEXT(tblMaster[[#This Row],[Order_Date]],"mmmm")</f>
        <v>August</v>
      </c>
      <c r="X163" s="19">
        <f>MONTH(tblMaster[[#This Row],[Order_Date]])</f>
        <v>8</v>
      </c>
      <c r="Y163" s="19" t="str">
        <f>"Q"&amp;ROUNDUP(tblMaster[[#This Row],[Month Number]]/3,0)</f>
        <v>Q3</v>
      </c>
      <c r="Z163" s="19">
        <f>YEAR(tblMaster[[#This Row],[Order_Date]])</f>
        <v>2023</v>
      </c>
      <c r="AA163" s="19" t="str">
        <f>TEXT(DAY(tblMaster[[#This Row],[Order_Date]]),"dddd")</f>
        <v>Friday</v>
      </c>
      <c r="AB163" s="19" t="str">
        <f>IF(tblMaster[[#This Row],[Revenue]]&gt;=5000,"High",IF(tblMaster[[#This Row],[Revenue]]&lt;2000,"Low","Medium"))</f>
        <v>High</v>
      </c>
    </row>
    <row r="164" spans="1:28" x14ac:dyDescent="0.25">
      <c r="A164" s="7">
        <v>163</v>
      </c>
      <c r="B164" s="7" t="s">
        <v>333</v>
      </c>
      <c r="C164" s="4">
        <v>54</v>
      </c>
      <c r="D164" s="4">
        <v>4</v>
      </c>
      <c r="E164" s="8">
        <v>44974</v>
      </c>
      <c r="F164" s="9">
        <v>0.82650462962962967</v>
      </c>
      <c r="G164" s="8">
        <v>44982</v>
      </c>
      <c r="H164" s="9">
        <v>0.43074074074074076</v>
      </c>
      <c r="I164" s="7" t="s">
        <v>374</v>
      </c>
      <c r="J164" s="7" t="s">
        <v>30</v>
      </c>
      <c r="K164" s="18" t="str">
        <f>_xlfn.XLOOKUP(tblMaster[[#This Row],[Customer_ID]],tblCustomers[Customer_ID],tblCustomers[City],"Not Found",0)</f>
        <v>Raurkela Industrial Township</v>
      </c>
      <c r="L164" s="18" t="str">
        <f>_xlfn.XLOOKUP(tblMaster[[#This Row],[Customer_ID]],tblCustomers[Customer_ID],tblCustomers[Name],"Not Found",0)</f>
        <v>Aaryahi Sodhi</v>
      </c>
      <c r="M164" s="18" t="str">
        <f>_xlfn.XLOOKUP(tblMaster[[#This Row],[Customer_ID]],tblCustomers[Customer_ID],tblCustomers[Gender],"Not Found",0)</f>
        <v>Male</v>
      </c>
      <c r="N164" s="18" t="str">
        <f>_xlfn.XLOOKUP(tblMaster[[#This Row],[Product_ID]],tblProducts[Product_ID],tblProducts[Product_Name],"Not Found",0)</f>
        <v>Occaecati Gift</v>
      </c>
      <c r="O164" s="18" t="str">
        <f>_xlfn.XLOOKUP(tblMaster[[#This Row],[Product_ID]],tblProducts[Product_ID],tblProducts[Category],"Not Found",0)</f>
        <v>Cake</v>
      </c>
      <c r="P164" s="18" t="str">
        <f>_xlfn.XLOOKUP(tblMaster[[#This Row],[Product_ID]],tblProducts[Product_ID],tblProducts[Occasion],"Not Found",0)</f>
        <v>Anniversary</v>
      </c>
      <c r="Q164" s="18">
        <f>_xlfn.XLOOKUP(tblMaster[[#This Row],[Product_ID]],tblProducts[Product_ID],tblProducts[Price (INR)],"Not Found",0)</f>
        <v>1236</v>
      </c>
      <c r="R164" s="19">
        <f>tblMaster[[#This Row],[Price]]*tblMaster[[#This Row],[Quantity]]</f>
        <v>4944</v>
      </c>
      <c r="S164" s="19">
        <f>tblMaster[[#This Row],[Price]]*0.7*tblMaster[[#This Row],[Quantity]]</f>
        <v>3460.7999999999997</v>
      </c>
      <c r="T164" s="19">
        <f>tblMaster[[#This Row],[Revenue]]-tblMaster[[#This Row],[Estimated Cost (at 70%) ]]</f>
        <v>1483.2000000000003</v>
      </c>
      <c r="U164" s="19">
        <f>tblMaster[[#This Row],[Profit]]/tblMaster[[#This Row],[Revenue]]</f>
        <v>0.30000000000000004</v>
      </c>
      <c r="V164" s="19">
        <f>tblMaster[[#This Row],[Delivery_Date]]-tblMaster[[#This Row],[Order_Date]]</f>
        <v>8</v>
      </c>
      <c r="W164" s="19" t="str">
        <f>TEXT(tblMaster[[#This Row],[Order_Date]],"mmmm")</f>
        <v>February</v>
      </c>
      <c r="X164" s="19">
        <f>MONTH(tblMaster[[#This Row],[Order_Date]])</f>
        <v>2</v>
      </c>
      <c r="Y164" s="19" t="str">
        <f>"Q"&amp;ROUNDUP(tblMaster[[#This Row],[Month Number]]/3,0)</f>
        <v>Q1</v>
      </c>
      <c r="Z164" s="19">
        <f>YEAR(tblMaster[[#This Row],[Order_Date]])</f>
        <v>2023</v>
      </c>
      <c r="AA164" s="19" t="str">
        <f>TEXT(DAY(tblMaster[[#This Row],[Order_Date]]),"dddd")</f>
        <v>Tuesday</v>
      </c>
      <c r="AB164" s="19" t="str">
        <f>IF(tblMaster[[#This Row],[Revenue]]&gt;=5000,"High",IF(tblMaster[[#This Row],[Revenue]]&lt;2000,"Low","Medium"))</f>
        <v>Medium</v>
      </c>
    </row>
    <row r="165" spans="1:28" x14ac:dyDescent="0.25">
      <c r="A165" s="10">
        <v>164</v>
      </c>
      <c r="B165" s="10" t="s">
        <v>213</v>
      </c>
      <c r="C165" s="5">
        <v>14</v>
      </c>
      <c r="D165" s="5">
        <v>5</v>
      </c>
      <c r="E165" s="11">
        <v>45041</v>
      </c>
      <c r="F165" s="12">
        <v>8.6134259259259258E-2</v>
      </c>
      <c r="G165" s="11">
        <v>45043</v>
      </c>
      <c r="H165" s="12">
        <v>0.49274305555555553</v>
      </c>
      <c r="I165" s="10" t="s">
        <v>320</v>
      </c>
      <c r="J165" s="10" t="s">
        <v>36</v>
      </c>
      <c r="K165" s="18" t="str">
        <f>_xlfn.XLOOKUP(tblMaster[[#This Row],[Customer_ID]],tblCustomers[Customer_ID],tblCustomers[City],"Not Found",0)</f>
        <v>Jamnagar</v>
      </c>
      <c r="L165" s="18" t="str">
        <f>_xlfn.XLOOKUP(tblMaster[[#This Row],[Customer_ID]],tblCustomers[Customer_ID],tblCustomers[Name],"Not Found",0)</f>
        <v>Arhaan Ahluwalia</v>
      </c>
      <c r="M165" s="18" t="str">
        <f>_xlfn.XLOOKUP(tblMaster[[#This Row],[Customer_ID]],tblCustomers[Customer_ID],tblCustomers[Gender],"Not Found",0)</f>
        <v>Male</v>
      </c>
      <c r="N165" s="18" t="str">
        <f>_xlfn.XLOOKUP(tblMaster[[#This Row],[Product_ID]],tblProducts[Product_ID],tblProducts[Product_Name],"Not Found",0)</f>
        <v>Deserunt Box</v>
      </c>
      <c r="O165" s="18" t="str">
        <f>_xlfn.XLOOKUP(tblMaster[[#This Row],[Product_ID]],tblProducts[Product_ID],tblProducts[Category],"Not Found",0)</f>
        <v>Colors</v>
      </c>
      <c r="P165" s="18" t="str">
        <f>_xlfn.XLOOKUP(tblMaster[[#This Row],[Product_ID]],tblProducts[Product_ID],tblProducts[Occasion],"Not Found",0)</f>
        <v>Birthday</v>
      </c>
      <c r="Q165" s="18">
        <f>_xlfn.XLOOKUP(tblMaster[[#This Row],[Product_ID]],tblProducts[Product_ID],tblProducts[Price (INR)],"Not Found",0)</f>
        <v>1915</v>
      </c>
      <c r="R165" s="19">
        <f>tblMaster[[#This Row],[Price]]*tblMaster[[#This Row],[Quantity]]</f>
        <v>9575</v>
      </c>
      <c r="S165" s="19">
        <f>tblMaster[[#This Row],[Price]]*0.7*tblMaster[[#This Row],[Quantity]]</f>
        <v>6702.5</v>
      </c>
      <c r="T165" s="19">
        <f>tblMaster[[#This Row],[Revenue]]-tblMaster[[#This Row],[Estimated Cost (at 70%) ]]</f>
        <v>2872.5</v>
      </c>
      <c r="U165" s="19">
        <f>tblMaster[[#This Row],[Profit]]/tblMaster[[#This Row],[Revenue]]</f>
        <v>0.3</v>
      </c>
      <c r="V165" s="19">
        <f>tblMaster[[#This Row],[Delivery_Date]]-tblMaster[[#This Row],[Order_Date]]</f>
        <v>2</v>
      </c>
      <c r="W165" s="19" t="str">
        <f>TEXT(tblMaster[[#This Row],[Order_Date]],"mmmm")</f>
        <v>April</v>
      </c>
      <c r="X165" s="19">
        <f>MONTH(tblMaster[[#This Row],[Order_Date]])</f>
        <v>4</v>
      </c>
      <c r="Y165" s="19" t="str">
        <f>"Q"&amp;ROUNDUP(tblMaster[[#This Row],[Month Number]]/3,0)</f>
        <v>Q2</v>
      </c>
      <c r="Z165" s="19">
        <f>YEAR(tblMaster[[#This Row],[Order_Date]])</f>
        <v>2023</v>
      </c>
      <c r="AA165" s="19" t="str">
        <f>TEXT(DAY(tblMaster[[#This Row],[Order_Date]]),"dddd")</f>
        <v>Wednesday</v>
      </c>
      <c r="AB165" s="19" t="str">
        <f>IF(tblMaster[[#This Row],[Revenue]]&gt;=5000,"High",IF(tblMaster[[#This Row],[Revenue]]&lt;2000,"Low","Medium"))</f>
        <v>High</v>
      </c>
    </row>
    <row r="166" spans="1:28" x14ac:dyDescent="0.25">
      <c r="A166" s="7">
        <v>165</v>
      </c>
      <c r="B166" s="7" t="s">
        <v>265</v>
      </c>
      <c r="C166" s="4">
        <v>40</v>
      </c>
      <c r="D166" s="4">
        <v>5</v>
      </c>
      <c r="E166" s="8">
        <v>45144</v>
      </c>
      <c r="F166" s="9">
        <v>0.54949074074074078</v>
      </c>
      <c r="G166" s="8">
        <v>45148</v>
      </c>
      <c r="H166" s="9">
        <v>0.35918981481481482</v>
      </c>
      <c r="I166" s="7" t="s">
        <v>375</v>
      </c>
      <c r="J166" s="7" t="s">
        <v>30</v>
      </c>
      <c r="K166" s="18" t="str">
        <f>_xlfn.XLOOKUP(tblMaster[[#This Row],[Customer_ID]],tblCustomers[Customer_ID],tblCustomers[City],"Not Found",0)</f>
        <v>Guntakal</v>
      </c>
      <c r="L166" s="18" t="str">
        <f>_xlfn.XLOOKUP(tblMaster[[#This Row],[Customer_ID]],tblCustomers[Customer_ID],tblCustomers[Name],"Not Found",0)</f>
        <v>Charvi Kanda</v>
      </c>
      <c r="M166" s="18" t="str">
        <f>_xlfn.XLOOKUP(tblMaster[[#This Row],[Customer_ID]],tblCustomers[Customer_ID],tblCustomers[Gender],"Not Found",0)</f>
        <v>Male</v>
      </c>
      <c r="N166" s="18" t="str">
        <f>_xlfn.XLOOKUP(tblMaster[[#This Row],[Product_ID]],tblProducts[Product_ID],tblProducts[Product_Name],"Not Found",0)</f>
        <v>Provident Pack</v>
      </c>
      <c r="O166" s="18" t="str">
        <f>_xlfn.XLOOKUP(tblMaster[[#This Row],[Product_ID]],tblProducts[Product_ID],tblProducts[Category],"Not Found",0)</f>
        <v>Sweets</v>
      </c>
      <c r="P166" s="18" t="str">
        <f>_xlfn.XLOOKUP(tblMaster[[#This Row],[Product_ID]],tblProducts[Product_ID],tblProducts[Occasion],"Not Found",0)</f>
        <v>Anniversary</v>
      </c>
      <c r="Q166" s="18">
        <f>_xlfn.XLOOKUP(tblMaster[[#This Row],[Product_ID]],tblProducts[Product_ID],tblProducts[Price (INR)],"Not Found",0)</f>
        <v>1923</v>
      </c>
      <c r="R166" s="19">
        <f>tblMaster[[#This Row],[Price]]*tblMaster[[#This Row],[Quantity]]</f>
        <v>9615</v>
      </c>
      <c r="S166" s="19">
        <f>tblMaster[[#This Row],[Price]]*0.7*tblMaster[[#This Row],[Quantity]]</f>
        <v>6730.5</v>
      </c>
      <c r="T166" s="19">
        <f>tblMaster[[#This Row],[Revenue]]-tblMaster[[#This Row],[Estimated Cost (at 70%) ]]</f>
        <v>2884.5</v>
      </c>
      <c r="U166" s="19">
        <f>tblMaster[[#This Row],[Profit]]/tblMaster[[#This Row],[Revenue]]</f>
        <v>0.3</v>
      </c>
      <c r="V166" s="19">
        <f>tblMaster[[#This Row],[Delivery_Date]]-tblMaster[[#This Row],[Order_Date]]</f>
        <v>4</v>
      </c>
      <c r="W166" s="19" t="str">
        <f>TEXT(tblMaster[[#This Row],[Order_Date]],"mmmm")</f>
        <v>August</v>
      </c>
      <c r="X166" s="19">
        <f>MONTH(tblMaster[[#This Row],[Order_Date]])</f>
        <v>8</v>
      </c>
      <c r="Y166" s="19" t="str">
        <f>"Q"&amp;ROUNDUP(tblMaster[[#This Row],[Month Number]]/3,0)</f>
        <v>Q3</v>
      </c>
      <c r="Z166" s="19">
        <f>YEAR(tblMaster[[#This Row],[Order_Date]])</f>
        <v>2023</v>
      </c>
      <c r="AA166" s="19" t="str">
        <f>TEXT(DAY(tblMaster[[#This Row],[Order_Date]]),"dddd")</f>
        <v>Friday</v>
      </c>
      <c r="AB166" s="19" t="str">
        <f>IF(tblMaster[[#This Row],[Revenue]]&gt;=5000,"High",IF(tblMaster[[#This Row],[Revenue]]&lt;2000,"Low","Medium"))</f>
        <v>High</v>
      </c>
    </row>
    <row r="167" spans="1:28" x14ac:dyDescent="0.25">
      <c r="A167" s="10">
        <v>166</v>
      </c>
      <c r="B167" s="10" t="s">
        <v>329</v>
      </c>
      <c r="C167" s="5">
        <v>4</v>
      </c>
      <c r="D167" s="5">
        <v>3</v>
      </c>
      <c r="E167" s="11">
        <v>45237</v>
      </c>
      <c r="F167" s="12">
        <v>0.96212962962962967</v>
      </c>
      <c r="G167" s="11">
        <v>45240</v>
      </c>
      <c r="H167" s="12">
        <v>0.25886574074074076</v>
      </c>
      <c r="I167" s="10" t="s">
        <v>376</v>
      </c>
      <c r="J167" s="10" t="s">
        <v>19</v>
      </c>
      <c r="K167" s="18" t="str">
        <f>_xlfn.XLOOKUP(tblMaster[[#This Row],[Customer_ID]],tblCustomers[Customer_ID],tblCustomers[City],"Not Found",0)</f>
        <v>Vellore</v>
      </c>
      <c r="L167" s="18" t="str">
        <f>_xlfn.XLOOKUP(tblMaster[[#This Row],[Customer_ID]],tblCustomers[Customer_ID],tblCustomers[Name],"Not Found",0)</f>
        <v>Ira Sarna</v>
      </c>
      <c r="M167" s="18" t="str">
        <f>_xlfn.XLOOKUP(tblMaster[[#This Row],[Customer_ID]],tblCustomers[Customer_ID],tblCustomers[Gender],"Not Found",0)</f>
        <v>Male</v>
      </c>
      <c r="N167" s="18" t="str">
        <f>_xlfn.XLOOKUP(tblMaster[[#This Row],[Product_ID]],tblProducts[Product_ID],tblProducts[Product_Name],"Not Found",0)</f>
        <v>Accusantium Set</v>
      </c>
      <c r="O167" s="18" t="str">
        <f>_xlfn.XLOOKUP(tblMaster[[#This Row],[Product_ID]],tblProducts[Product_ID],tblProducts[Category],"Not Found",0)</f>
        <v>Sweets</v>
      </c>
      <c r="P167" s="18" t="str">
        <f>_xlfn.XLOOKUP(tblMaster[[#This Row],[Product_ID]],tblProducts[Product_ID],tblProducts[Occasion],"Not Found",0)</f>
        <v>Diwali</v>
      </c>
      <c r="Q167" s="18">
        <f>_xlfn.XLOOKUP(tblMaster[[#This Row],[Product_ID]],tblProducts[Product_ID],tblProducts[Price (INR)],"Not Found",0)</f>
        <v>1199</v>
      </c>
      <c r="R167" s="19">
        <f>tblMaster[[#This Row],[Price]]*tblMaster[[#This Row],[Quantity]]</f>
        <v>3597</v>
      </c>
      <c r="S167" s="19">
        <f>tblMaster[[#This Row],[Price]]*0.7*tblMaster[[#This Row],[Quantity]]</f>
        <v>2517.8999999999996</v>
      </c>
      <c r="T167" s="19">
        <f>tblMaster[[#This Row],[Revenue]]-tblMaster[[#This Row],[Estimated Cost (at 70%) ]]</f>
        <v>1079.1000000000004</v>
      </c>
      <c r="U167" s="19">
        <f>tblMaster[[#This Row],[Profit]]/tblMaster[[#This Row],[Revenue]]</f>
        <v>0.3000000000000001</v>
      </c>
      <c r="V167" s="19">
        <f>tblMaster[[#This Row],[Delivery_Date]]-tblMaster[[#This Row],[Order_Date]]</f>
        <v>3</v>
      </c>
      <c r="W167" s="19" t="str">
        <f>TEXT(tblMaster[[#This Row],[Order_Date]],"mmmm")</f>
        <v>November</v>
      </c>
      <c r="X167" s="19">
        <f>MONTH(tblMaster[[#This Row],[Order_Date]])</f>
        <v>11</v>
      </c>
      <c r="Y167" s="19" t="str">
        <f>"Q"&amp;ROUNDUP(tblMaster[[#This Row],[Month Number]]/3,0)</f>
        <v>Q4</v>
      </c>
      <c r="Z167" s="19">
        <f>YEAR(tblMaster[[#This Row],[Order_Date]])</f>
        <v>2023</v>
      </c>
      <c r="AA167" s="19" t="str">
        <f>TEXT(DAY(tblMaster[[#This Row],[Order_Date]]),"dddd")</f>
        <v>Saturday</v>
      </c>
      <c r="AB167" s="19" t="str">
        <f>IF(tblMaster[[#This Row],[Revenue]]&gt;=5000,"High",IF(tblMaster[[#This Row],[Revenue]]&lt;2000,"Low","Medium"))</f>
        <v>Medium</v>
      </c>
    </row>
    <row r="168" spans="1:28" x14ac:dyDescent="0.25">
      <c r="A168" s="7">
        <v>167</v>
      </c>
      <c r="B168" s="7" t="s">
        <v>168</v>
      </c>
      <c r="C168" s="4">
        <v>37</v>
      </c>
      <c r="D168" s="4">
        <v>4</v>
      </c>
      <c r="E168" s="8">
        <v>45234</v>
      </c>
      <c r="F168" s="9">
        <v>6.0312499999999998E-2</v>
      </c>
      <c r="G168" s="8">
        <v>45237</v>
      </c>
      <c r="H168" s="9">
        <v>0.63642361111111112</v>
      </c>
      <c r="I168" s="7" t="s">
        <v>247</v>
      </c>
      <c r="J168" s="7" t="s">
        <v>19</v>
      </c>
      <c r="K168" s="18" t="str">
        <f>_xlfn.XLOOKUP(tblMaster[[#This Row],[Customer_ID]],tblCustomers[Customer_ID],tblCustomers[City],"Not Found",0)</f>
        <v>Danapur</v>
      </c>
      <c r="L168" s="18" t="str">
        <f>_xlfn.XLOOKUP(tblMaster[[#This Row],[Customer_ID]],tblCustomers[Customer_ID],tblCustomers[Name],"Not Found",0)</f>
        <v>Amira Sengupta</v>
      </c>
      <c r="M168" s="18" t="str">
        <f>_xlfn.XLOOKUP(tblMaster[[#This Row],[Customer_ID]],tblCustomers[Customer_ID],tblCustomers[Gender],"Not Found",0)</f>
        <v>Male</v>
      </c>
      <c r="N168" s="18" t="str">
        <f>_xlfn.XLOOKUP(tblMaster[[#This Row],[Product_ID]],tblProducts[Product_ID],tblProducts[Product_Name],"Not Found",0)</f>
        <v>Officiis Pack</v>
      </c>
      <c r="O168" s="18" t="str">
        <f>_xlfn.XLOOKUP(tblMaster[[#This Row],[Product_ID]],tblProducts[Product_ID],tblProducts[Category],"Not Found",0)</f>
        <v>Colors</v>
      </c>
      <c r="P168" s="18" t="str">
        <f>_xlfn.XLOOKUP(tblMaster[[#This Row],[Product_ID]],tblProducts[Product_ID],tblProducts[Occasion],"Not Found",0)</f>
        <v>Diwali</v>
      </c>
      <c r="Q168" s="18">
        <f>_xlfn.XLOOKUP(tblMaster[[#This Row],[Product_ID]],tblProducts[Product_ID],tblProducts[Price (INR)],"Not Found",0)</f>
        <v>1428</v>
      </c>
      <c r="R168" s="19">
        <f>tblMaster[[#This Row],[Price]]*tblMaster[[#This Row],[Quantity]]</f>
        <v>5712</v>
      </c>
      <c r="S168" s="19">
        <f>tblMaster[[#This Row],[Price]]*0.7*tblMaster[[#This Row],[Quantity]]</f>
        <v>3998.3999999999996</v>
      </c>
      <c r="T168" s="19">
        <f>tblMaster[[#This Row],[Revenue]]-tblMaster[[#This Row],[Estimated Cost (at 70%) ]]</f>
        <v>1713.6000000000004</v>
      </c>
      <c r="U168" s="19">
        <f>tblMaster[[#This Row],[Profit]]/tblMaster[[#This Row],[Revenue]]</f>
        <v>0.30000000000000004</v>
      </c>
      <c r="V168" s="19">
        <f>tblMaster[[#This Row],[Delivery_Date]]-tblMaster[[#This Row],[Order_Date]]</f>
        <v>3</v>
      </c>
      <c r="W168" s="19" t="str">
        <f>TEXT(tblMaster[[#This Row],[Order_Date]],"mmmm")</f>
        <v>November</v>
      </c>
      <c r="X168" s="19">
        <f>MONTH(tblMaster[[#This Row],[Order_Date]])</f>
        <v>11</v>
      </c>
      <c r="Y168" s="19" t="str">
        <f>"Q"&amp;ROUNDUP(tblMaster[[#This Row],[Month Number]]/3,0)</f>
        <v>Q4</v>
      </c>
      <c r="Z168" s="19">
        <f>YEAR(tblMaster[[#This Row],[Order_Date]])</f>
        <v>2023</v>
      </c>
      <c r="AA168" s="19" t="str">
        <f>TEXT(DAY(tblMaster[[#This Row],[Order_Date]]),"dddd")</f>
        <v>Wednesday</v>
      </c>
      <c r="AB168" s="19" t="str">
        <f>IF(tblMaster[[#This Row],[Revenue]]&gt;=5000,"High",IF(tblMaster[[#This Row],[Revenue]]&lt;2000,"Low","Medium"))</f>
        <v>High</v>
      </c>
    </row>
    <row r="169" spans="1:28" x14ac:dyDescent="0.25">
      <c r="A169" s="10">
        <v>168</v>
      </c>
      <c r="B169" s="10" t="s">
        <v>361</v>
      </c>
      <c r="C169" s="5">
        <v>35</v>
      </c>
      <c r="D169" s="5">
        <v>2</v>
      </c>
      <c r="E169" s="11">
        <v>44989</v>
      </c>
      <c r="F169" s="12">
        <v>0.65003472222222225</v>
      </c>
      <c r="G169" s="11">
        <v>44992</v>
      </c>
      <c r="H169" s="12">
        <v>0.46020833333333333</v>
      </c>
      <c r="I169" s="10" t="s">
        <v>362</v>
      </c>
      <c r="J169" s="10" t="s">
        <v>25</v>
      </c>
      <c r="K169" s="18" t="str">
        <f>_xlfn.XLOOKUP(tblMaster[[#This Row],[Customer_ID]],tblCustomers[Customer_ID],tblCustomers[City],"Not Found",0)</f>
        <v>Dibrugarh</v>
      </c>
      <c r="L169" s="18" t="str">
        <f>_xlfn.XLOOKUP(tblMaster[[#This Row],[Customer_ID]],tblCustomers[Customer_ID],tblCustomers[Name],"Not Found",0)</f>
        <v>Zoya Mani</v>
      </c>
      <c r="M169" s="18" t="str">
        <f>_xlfn.XLOOKUP(tblMaster[[#This Row],[Customer_ID]],tblCustomers[Customer_ID],tblCustomers[Gender],"Not Found",0)</f>
        <v>Male</v>
      </c>
      <c r="N169" s="18" t="str">
        <f>_xlfn.XLOOKUP(tblMaster[[#This Row],[Product_ID]],tblProducts[Product_ID],tblProducts[Product_Name],"Not Found",0)</f>
        <v>Nam Gift</v>
      </c>
      <c r="O169" s="18" t="str">
        <f>_xlfn.XLOOKUP(tblMaster[[#This Row],[Product_ID]],tblProducts[Product_ID],tblProducts[Category],"Not Found",0)</f>
        <v>Colors</v>
      </c>
      <c r="P169" s="18" t="str">
        <f>_xlfn.XLOOKUP(tblMaster[[#This Row],[Product_ID]],tblProducts[Product_ID],tblProducts[Occasion],"Not Found",0)</f>
        <v>Holi</v>
      </c>
      <c r="Q169" s="18">
        <f>_xlfn.XLOOKUP(tblMaster[[#This Row],[Product_ID]],tblProducts[Product_ID],tblProducts[Price (INR)],"Not Found",0)</f>
        <v>1865</v>
      </c>
      <c r="R169" s="19">
        <f>tblMaster[[#This Row],[Price]]*tblMaster[[#This Row],[Quantity]]</f>
        <v>3730</v>
      </c>
      <c r="S169" s="19">
        <f>tblMaster[[#This Row],[Price]]*0.7*tblMaster[[#This Row],[Quantity]]</f>
        <v>2611</v>
      </c>
      <c r="T169" s="19">
        <f>tblMaster[[#This Row],[Revenue]]-tblMaster[[#This Row],[Estimated Cost (at 70%) ]]</f>
        <v>1119</v>
      </c>
      <c r="U169" s="19">
        <f>tblMaster[[#This Row],[Profit]]/tblMaster[[#This Row],[Revenue]]</f>
        <v>0.3</v>
      </c>
      <c r="V169" s="19">
        <f>tblMaster[[#This Row],[Delivery_Date]]-tblMaster[[#This Row],[Order_Date]]</f>
        <v>3</v>
      </c>
      <c r="W169" s="19" t="str">
        <f>TEXT(tblMaster[[#This Row],[Order_Date]],"mmmm")</f>
        <v>March</v>
      </c>
      <c r="X169" s="19">
        <f>MONTH(tblMaster[[#This Row],[Order_Date]])</f>
        <v>3</v>
      </c>
      <c r="Y169" s="19" t="str">
        <f>"Q"&amp;ROUNDUP(tblMaster[[#This Row],[Month Number]]/3,0)</f>
        <v>Q1</v>
      </c>
      <c r="Z169" s="19">
        <f>YEAR(tblMaster[[#This Row],[Order_Date]])</f>
        <v>2023</v>
      </c>
      <c r="AA169" s="19" t="str">
        <f>TEXT(DAY(tblMaster[[#This Row],[Order_Date]]),"dddd")</f>
        <v>Wednesday</v>
      </c>
      <c r="AB169" s="19" t="str">
        <f>IF(tblMaster[[#This Row],[Revenue]]&gt;=5000,"High",IF(tblMaster[[#This Row],[Revenue]]&lt;2000,"Low","Medium"))</f>
        <v>Medium</v>
      </c>
    </row>
    <row r="170" spans="1:28" x14ac:dyDescent="0.25">
      <c r="A170" s="7">
        <v>169</v>
      </c>
      <c r="B170" s="7" t="s">
        <v>341</v>
      </c>
      <c r="C170" s="4">
        <v>3</v>
      </c>
      <c r="D170" s="4">
        <v>2</v>
      </c>
      <c r="E170" s="8">
        <v>44963</v>
      </c>
      <c r="F170" s="9">
        <v>0.43677083333333333</v>
      </c>
      <c r="G170" s="8">
        <v>44973</v>
      </c>
      <c r="H170" s="9">
        <v>5.994212962962963E-2</v>
      </c>
      <c r="I170" s="7" t="s">
        <v>281</v>
      </c>
      <c r="J170" s="7" t="s">
        <v>12</v>
      </c>
      <c r="K170" s="18" t="str">
        <f>_xlfn.XLOOKUP(tblMaster[[#This Row],[Customer_ID]],tblCustomers[Customer_ID],tblCustomers[City],"Not Found",0)</f>
        <v>Kota</v>
      </c>
      <c r="L170" s="18" t="str">
        <f>_xlfn.XLOOKUP(tblMaster[[#This Row],[Customer_ID]],tblCustomers[Customer_ID],tblCustomers[Name],"Not Found",0)</f>
        <v>Aradhya Batta</v>
      </c>
      <c r="M170" s="18" t="str">
        <f>_xlfn.XLOOKUP(tblMaster[[#This Row],[Customer_ID]],tblCustomers[Customer_ID],tblCustomers[Gender],"Not Found",0)</f>
        <v>Female</v>
      </c>
      <c r="N170" s="18" t="str">
        <f>_xlfn.XLOOKUP(tblMaster[[#This Row],[Product_ID]],tblProducts[Product_ID],tblProducts[Product_Name],"Not Found",0)</f>
        <v>Eius Gift</v>
      </c>
      <c r="O170" s="18" t="str">
        <f>_xlfn.XLOOKUP(tblMaster[[#This Row],[Product_ID]],tblProducts[Product_ID],tblProducts[Category],"Not Found",0)</f>
        <v>Colors</v>
      </c>
      <c r="P170" s="18" t="str">
        <f>_xlfn.XLOOKUP(tblMaster[[#This Row],[Product_ID]],tblProducts[Product_ID],tblProducts[Occasion],"Not Found",0)</f>
        <v>Valentine's Day</v>
      </c>
      <c r="Q170" s="18">
        <f>_xlfn.XLOOKUP(tblMaster[[#This Row],[Product_ID]],tblProducts[Product_ID],tblProducts[Price (INR)],"Not Found",0)</f>
        <v>1534</v>
      </c>
      <c r="R170" s="19">
        <f>tblMaster[[#This Row],[Price]]*tblMaster[[#This Row],[Quantity]]</f>
        <v>3068</v>
      </c>
      <c r="S170" s="19">
        <f>tblMaster[[#This Row],[Price]]*0.7*tblMaster[[#This Row],[Quantity]]</f>
        <v>2147.6</v>
      </c>
      <c r="T170" s="19">
        <f>tblMaster[[#This Row],[Revenue]]-tblMaster[[#This Row],[Estimated Cost (at 70%) ]]</f>
        <v>920.40000000000009</v>
      </c>
      <c r="U170" s="19">
        <f>tblMaster[[#This Row],[Profit]]/tblMaster[[#This Row],[Revenue]]</f>
        <v>0.30000000000000004</v>
      </c>
      <c r="V170" s="19">
        <f>tblMaster[[#This Row],[Delivery_Date]]-tblMaster[[#This Row],[Order_Date]]</f>
        <v>10</v>
      </c>
      <c r="W170" s="19" t="str">
        <f>TEXT(tblMaster[[#This Row],[Order_Date]],"mmmm")</f>
        <v>February</v>
      </c>
      <c r="X170" s="19">
        <f>MONTH(tblMaster[[#This Row],[Order_Date]])</f>
        <v>2</v>
      </c>
      <c r="Y170" s="19" t="str">
        <f>"Q"&amp;ROUNDUP(tblMaster[[#This Row],[Month Number]]/3,0)</f>
        <v>Q1</v>
      </c>
      <c r="Z170" s="19">
        <f>YEAR(tblMaster[[#This Row],[Order_Date]])</f>
        <v>2023</v>
      </c>
      <c r="AA170" s="19" t="str">
        <f>TEXT(DAY(tblMaster[[#This Row],[Order_Date]]),"dddd")</f>
        <v>Friday</v>
      </c>
      <c r="AB170" s="19" t="str">
        <f>IF(tblMaster[[#This Row],[Revenue]]&gt;=5000,"High",IF(tblMaster[[#This Row],[Revenue]]&lt;2000,"Low","Medium"))</f>
        <v>Medium</v>
      </c>
    </row>
    <row r="171" spans="1:28" x14ac:dyDescent="0.25">
      <c r="A171" s="10">
        <v>170</v>
      </c>
      <c r="B171" s="10" t="s">
        <v>176</v>
      </c>
      <c r="C171" s="5">
        <v>32</v>
      </c>
      <c r="D171" s="5">
        <v>2</v>
      </c>
      <c r="E171" s="11">
        <v>45006</v>
      </c>
      <c r="F171" s="12">
        <v>0.49876157407407407</v>
      </c>
      <c r="G171" s="11">
        <v>45012</v>
      </c>
      <c r="H171" s="12">
        <v>0.21813657407407408</v>
      </c>
      <c r="I171" s="10" t="s">
        <v>377</v>
      </c>
      <c r="J171" s="10" t="s">
        <v>36</v>
      </c>
      <c r="K171" s="18" t="str">
        <f>_xlfn.XLOOKUP(tblMaster[[#This Row],[Customer_ID]],tblCustomers[Customer_ID],tblCustomers[City],"Not Found",0)</f>
        <v>Pallavaram</v>
      </c>
      <c r="L171" s="18" t="str">
        <f>_xlfn.XLOOKUP(tblMaster[[#This Row],[Customer_ID]],tblCustomers[Customer_ID],tblCustomers[Name],"Not Found",0)</f>
        <v>Hazel Mangat</v>
      </c>
      <c r="M171" s="18" t="str">
        <f>_xlfn.XLOOKUP(tblMaster[[#This Row],[Customer_ID]],tblCustomers[Customer_ID],tblCustomers[Gender],"Not Found",0)</f>
        <v>Female</v>
      </c>
      <c r="N171" s="18" t="str">
        <f>_xlfn.XLOOKUP(tblMaster[[#This Row],[Product_ID]],tblProducts[Product_ID],tblProducts[Product_Name],"Not Found",0)</f>
        <v>Fuga Set</v>
      </c>
      <c r="O171" s="18" t="str">
        <f>_xlfn.XLOOKUP(tblMaster[[#This Row],[Product_ID]],tblProducts[Product_ID],tblProducts[Category],"Not Found",0)</f>
        <v>Soft Toys</v>
      </c>
      <c r="P171" s="18" t="str">
        <f>_xlfn.XLOOKUP(tblMaster[[#This Row],[Product_ID]],tblProducts[Product_ID],tblProducts[Occasion],"Not Found",0)</f>
        <v>Birthday</v>
      </c>
      <c r="Q171" s="18">
        <f>_xlfn.XLOOKUP(tblMaster[[#This Row],[Product_ID]],tblProducts[Product_ID],tblProducts[Price (INR)],"Not Found",0)</f>
        <v>1792</v>
      </c>
      <c r="R171" s="19">
        <f>tblMaster[[#This Row],[Price]]*tblMaster[[#This Row],[Quantity]]</f>
        <v>3584</v>
      </c>
      <c r="S171" s="19">
        <f>tblMaster[[#This Row],[Price]]*0.7*tblMaster[[#This Row],[Quantity]]</f>
        <v>2508.7999999999997</v>
      </c>
      <c r="T171" s="19">
        <f>tblMaster[[#This Row],[Revenue]]-tblMaster[[#This Row],[Estimated Cost (at 70%) ]]</f>
        <v>1075.2000000000003</v>
      </c>
      <c r="U171" s="19">
        <f>tblMaster[[#This Row],[Profit]]/tblMaster[[#This Row],[Revenue]]</f>
        <v>0.3000000000000001</v>
      </c>
      <c r="V171" s="19">
        <f>tblMaster[[#This Row],[Delivery_Date]]-tblMaster[[#This Row],[Order_Date]]</f>
        <v>6</v>
      </c>
      <c r="W171" s="19" t="str">
        <f>TEXT(tblMaster[[#This Row],[Order_Date]],"mmmm")</f>
        <v>March</v>
      </c>
      <c r="X171" s="19">
        <f>MONTH(tblMaster[[#This Row],[Order_Date]])</f>
        <v>3</v>
      </c>
      <c r="Y171" s="19" t="str">
        <f>"Q"&amp;ROUNDUP(tblMaster[[#This Row],[Month Number]]/3,0)</f>
        <v>Q1</v>
      </c>
      <c r="Z171" s="19">
        <f>YEAR(tblMaster[[#This Row],[Order_Date]])</f>
        <v>2023</v>
      </c>
      <c r="AA171" s="19" t="str">
        <f>TEXT(DAY(tblMaster[[#This Row],[Order_Date]]),"dddd")</f>
        <v>Saturday</v>
      </c>
      <c r="AB171" s="19" t="str">
        <f>IF(tblMaster[[#This Row],[Revenue]]&gt;=5000,"High",IF(tblMaster[[#This Row],[Revenue]]&lt;2000,"Low","Medium"))</f>
        <v>Medium</v>
      </c>
    </row>
    <row r="172" spans="1:28" x14ac:dyDescent="0.25">
      <c r="A172" s="7">
        <v>171</v>
      </c>
      <c r="B172" s="7" t="s">
        <v>222</v>
      </c>
      <c r="C172" s="4">
        <v>54</v>
      </c>
      <c r="D172" s="4">
        <v>3</v>
      </c>
      <c r="E172" s="8">
        <v>45107</v>
      </c>
      <c r="F172" s="9">
        <v>0.49153935185185182</v>
      </c>
      <c r="G172" s="8">
        <v>45115</v>
      </c>
      <c r="H172" s="9">
        <v>0.5188194444444445</v>
      </c>
      <c r="I172" s="7" t="s">
        <v>378</v>
      </c>
      <c r="J172" s="7" t="s">
        <v>30</v>
      </c>
      <c r="K172" s="18" t="str">
        <f>_xlfn.XLOOKUP(tblMaster[[#This Row],[Customer_ID]],tblCustomers[Customer_ID],tblCustomers[City],"Not Found",0)</f>
        <v>Tiruppur</v>
      </c>
      <c r="L172" s="18" t="str">
        <f>_xlfn.XLOOKUP(tblMaster[[#This Row],[Customer_ID]],tblCustomers[Customer_ID],tblCustomers[Name],"Not Found",0)</f>
        <v>Purab Sheth</v>
      </c>
      <c r="M172" s="18" t="str">
        <f>_xlfn.XLOOKUP(tblMaster[[#This Row],[Customer_ID]],tblCustomers[Customer_ID],tblCustomers[Gender],"Not Found",0)</f>
        <v>Male</v>
      </c>
      <c r="N172" s="18" t="str">
        <f>_xlfn.XLOOKUP(tblMaster[[#This Row],[Product_ID]],tblProducts[Product_ID],tblProducts[Product_Name],"Not Found",0)</f>
        <v>Occaecati Gift</v>
      </c>
      <c r="O172" s="18" t="str">
        <f>_xlfn.XLOOKUP(tblMaster[[#This Row],[Product_ID]],tblProducts[Product_ID],tblProducts[Category],"Not Found",0)</f>
        <v>Cake</v>
      </c>
      <c r="P172" s="18" t="str">
        <f>_xlfn.XLOOKUP(tblMaster[[#This Row],[Product_ID]],tblProducts[Product_ID],tblProducts[Occasion],"Not Found",0)</f>
        <v>Anniversary</v>
      </c>
      <c r="Q172" s="18">
        <f>_xlfn.XLOOKUP(tblMaster[[#This Row],[Product_ID]],tblProducts[Product_ID],tblProducts[Price (INR)],"Not Found",0)</f>
        <v>1236</v>
      </c>
      <c r="R172" s="19">
        <f>tblMaster[[#This Row],[Price]]*tblMaster[[#This Row],[Quantity]]</f>
        <v>3708</v>
      </c>
      <c r="S172" s="19">
        <f>tblMaster[[#This Row],[Price]]*0.7*tblMaster[[#This Row],[Quantity]]</f>
        <v>2595.6</v>
      </c>
      <c r="T172" s="19">
        <f>tblMaster[[#This Row],[Revenue]]-tblMaster[[#This Row],[Estimated Cost (at 70%) ]]</f>
        <v>1112.4000000000001</v>
      </c>
      <c r="U172" s="19">
        <f>tblMaster[[#This Row],[Profit]]/tblMaster[[#This Row],[Revenue]]</f>
        <v>0.30000000000000004</v>
      </c>
      <c r="V172" s="19">
        <f>tblMaster[[#This Row],[Delivery_Date]]-tblMaster[[#This Row],[Order_Date]]</f>
        <v>8</v>
      </c>
      <c r="W172" s="19" t="str">
        <f>TEXT(tblMaster[[#This Row],[Order_Date]],"mmmm")</f>
        <v>June</v>
      </c>
      <c r="X172" s="19">
        <f>MONTH(tblMaster[[#This Row],[Order_Date]])</f>
        <v>6</v>
      </c>
      <c r="Y172" s="19" t="str">
        <f>"Q"&amp;ROUNDUP(tblMaster[[#This Row],[Month Number]]/3,0)</f>
        <v>Q2</v>
      </c>
      <c r="Z172" s="19">
        <f>YEAR(tblMaster[[#This Row],[Order_Date]])</f>
        <v>2023</v>
      </c>
      <c r="AA172" s="19" t="str">
        <f>TEXT(DAY(tblMaster[[#This Row],[Order_Date]]),"dddd")</f>
        <v>Monday</v>
      </c>
      <c r="AB172" s="19" t="str">
        <f>IF(tblMaster[[#This Row],[Revenue]]&gt;=5000,"High",IF(tblMaster[[#This Row],[Revenue]]&lt;2000,"Low","Medium"))</f>
        <v>Medium</v>
      </c>
    </row>
    <row r="173" spans="1:28" x14ac:dyDescent="0.25">
      <c r="A173" s="10">
        <v>172</v>
      </c>
      <c r="B173" s="10" t="s">
        <v>343</v>
      </c>
      <c r="C173" s="5">
        <v>62</v>
      </c>
      <c r="D173" s="5">
        <v>4</v>
      </c>
      <c r="E173" s="11">
        <v>44988</v>
      </c>
      <c r="F173" s="12">
        <v>0.19449074074074074</v>
      </c>
      <c r="G173" s="11">
        <v>44993</v>
      </c>
      <c r="H173" s="12">
        <v>0.21721064814814814</v>
      </c>
      <c r="I173" s="10" t="s">
        <v>379</v>
      </c>
      <c r="J173" s="10" t="s">
        <v>25</v>
      </c>
      <c r="K173" s="18" t="str">
        <f>_xlfn.XLOOKUP(tblMaster[[#This Row],[Customer_ID]],tblCustomers[Customer_ID],tblCustomers[City],"Not Found",0)</f>
        <v>Bhatpara</v>
      </c>
      <c r="L173" s="18" t="str">
        <f>_xlfn.XLOOKUP(tblMaster[[#This Row],[Customer_ID]],tblCustomers[Customer_ID],tblCustomers[Name],"Not Found",0)</f>
        <v>Emir Gokhale</v>
      </c>
      <c r="M173" s="18" t="str">
        <f>_xlfn.XLOOKUP(tblMaster[[#This Row],[Customer_ID]],tblCustomers[Customer_ID],tblCustomers[Gender],"Not Found",0)</f>
        <v>Male</v>
      </c>
      <c r="N173" s="18" t="str">
        <f>_xlfn.XLOOKUP(tblMaster[[#This Row],[Product_ID]],tblProducts[Product_ID],tblProducts[Product_Name],"Not Found",0)</f>
        <v>Sed Set</v>
      </c>
      <c r="O173" s="18" t="str">
        <f>_xlfn.XLOOKUP(tblMaster[[#This Row],[Product_ID]],tblProducts[Product_ID],tblProducts[Category],"Not Found",0)</f>
        <v>Colors</v>
      </c>
      <c r="P173" s="18" t="str">
        <f>_xlfn.XLOOKUP(tblMaster[[#This Row],[Product_ID]],tblProducts[Product_ID],tblProducts[Occasion],"Not Found",0)</f>
        <v>Holi</v>
      </c>
      <c r="Q173" s="18">
        <f>_xlfn.XLOOKUP(tblMaster[[#This Row],[Product_ID]],tblProducts[Product_ID],tblProducts[Price (INR)],"Not Found",0)</f>
        <v>1356</v>
      </c>
      <c r="R173" s="19">
        <f>tblMaster[[#This Row],[Price]]*tblMaster[[#This Row],[Quantity]]</f>
        <v>5424</v>
      </c>
      <c r="S173" s="19">
        <f>tblMaster[[#This Row],[Price]]*0.7*tblMaster[[#This Row],[Quantity]]</f>
        <v>3796.7999999999997</v>
      </c>
      <c r="T173" s="19">
        <f>tblMaster[[#This Row],[Revenue]]-tblMaster[[#This Row],[Estimated Cost (at 70%) ]]</f>
        <v>1627.2000000000003</v>
      </c>
      <c r="U173" s="19">
        <f>tblMaster[[#This Row],[Profit]]/tblMaster[[#This Row],[Revenue]]</f>
        <v>0.30000000000000004</v>
      </c>
      <c r="V173" s="19">
        <f>tblMaster[[#This Row],[Delivery_Date]]-tblMaster[[#This Row],[Order_Date]]</f>
        <v>5</v>
      </c>
      <c r="W173" s="19" t="str">
        <f>TEXT(tblMaster[[#This Row],[Order_Date]],"mmmm")</f>
        <v>March</v>
      </c>
      <c r="X173" s="19">
        <f>MONTH(tblMaster[[#This Row],[Order_Date]])</f>
        <v>3</v>
      </c>
      <c r="Y173" s="19" t="str">
        <f>"Q"&amp;ROUNDUP(tblMaster[[#This Row],[Month Number]]/3,0)</f>
        <v>Q1</v>
      </c>
      <c r="Z173" s="19">
        <f>YEAR(tblMaster[[#This Row],[Order_Date]])</f>
        <v>2023</v>
      </c>
      <c r="AA173" s="19" t="str">
        <f>TEXT(DAY(tblMaster[[#This Row],[Order_Date]]),"dddd")</f>
        <v>Tuesday</v>
      </c>
      <c r="AB173" s="19" t="str">
        <f>IF(tblMaster[[#This Row],[Revenue]]&gt;=5000,"High",IF(tblMaster[[#This Row],[Revenue]]&lt;2000,"Low","Medium"))</f>
        <v>High</v>
      </c>
    </row>
    <row r="174" spans="1:28" x14ac:dyDescent="0.25">
      <c r="A174" s="7">
        <v>173</v>
      </c>
      <c r="B174" s="7" t="s">
        <v>197</v>
      </c>
      <c r="C174" s="4">
        <v>58</v>
      </c>
      <c r="D174" s="4">
        <v>2</v>
      </c>
      <c r="E174" s="8">
        <v>44964</v>
      </c>
      <c r="F174" s="9">
        <v>0.96917824074074077</v>
      </c>
      <c r="G174" s="8">
        <v>44970</v>
      </c>
      <c r="H174" s="9">
        <v>7.7696759259259257E-2</v>
      </c>
      <c r="I174" s="7" t="s">
        <v>380</v>
      </c>
      <c r="J174" s="7" t="s">
        <v>12</v>
      </c>
      <c r="K174" s="18" t="str">
        <f>_xlfn.XLOOKUP(tblMaster[[#This Row],[Customer_ID]],tblCustomers[Customer_ID],tblCustomers[City],"Not Found",0)</f>
        <v>Hyderabad</v>
      </c>
      <c r="L174" s="18" t="str">
        <f>_xlfn.XLOOKUP(tblMaster[[#This Row],[Customer_ID]],tblCustomers[Customer_ID],tblCustomers[Name],"Not Found",0)</f>
        <v>Charvi Karnik</v>
      </c>
      <c r="M174" s="18" t="str">
        <f>_xlfn.XLOOKUP(tblMaster[[#This Row],[Customer_ID]],tblCustomers[Customer_ID],tblCustomers[Gender],"Not Found",0)</f>
        <v>Male</v>
      </c>
      <c r="N174" s="18" t="str">
        <f>_xlfn.XLOOKUP(tblMaster[[#This Row],[Product_ID]],tblProducts[Product_ID],tblProducts[Product_Name],"Not Found",0)</f>
        <v>Sed Pack</v>
      </c>
      <c r="O174" s="18" t="str">
        <f>_xlfn.XLOOKUP(tblMaster[[#This Row],[Product_ID]],tblProducts[Product_ID],tblProducts[Category],"Not Found",0)</f>
        <v>Cake</v>
      </c>
      <c r="P174" s="18" t="str">
        <f>_xlfn.XLOOKUP(tblMaster[[#This Row],[Product_ID]],tblProducts[Product_ID],tblProducts[Occasion],"Not Found",0)</f>
        <v>Valentine's Day</v>
      </c>
      <c r="Q174" s="18">
        <f>_xlfn.XLOOKUP(tblMaster[[#This Row],[Product_ID]],tblProducts[Product_ID],tblProducts[Price (INR)],"Not Found",0)</f>
        <v>1492</v>
      </c>
      <c r="R174" s="19">
        <f>tblMaster[[#This Row],[Price]]*tblMaster[[#This Row],[Quantity]]</f>
        <v>2984</v>
      </c>
      <c r="S174" s="19">
        <f>tblMaster[[#This Row],[Price]]*0.7*tblMaster[[#This Row],[Quantity]]</f>
        <v>2088.7999999999997</v>
      </c>
      <c r="T174" s="19">
        <f>tblMaster[[#This Row],[Revenue]]-tblMaster[[#This Row],[Estimated Cost (at 70%) ]]</f>
        <v>895.20000000000027</v>
      </c>
      <c r="U174" s="19">
        <f>tblMaster[[#This Row],[Profit]]/tblMaster[[#This Row],[Revenue]]</f>
        <v>0.3000000000000001</v>
      </c>
      <c r="V174" s="19">
        <f>tblMaster[[#This Row],[Delivery_Date]]-tblMaster[[#This Row],[Order_Date]]</f>
        <v>6</v>
      </c>
      <c r="W174" s="19" t="str">
        <f>TEXT(tblMaster[[#This Row],[Order_Date]],"mmmm")</f>
        <v>February</v>
      </c>
      <c r="X174" s="19">
        <f>MONTH(tblMaster[[#This Row],[Order_Date]])</f>
        <v>2</v>
      </c>
      <c r="Y174" s="19" t="str">
        <f>"Q"&amp;ROUNDUP(tblMaster[[#This Row],[Month Number]]/3,0)</f>
        <v>Q1</v>
      </c>
      <c r="Z174" s="19">
        <f>YEAR(tblMaster[[#This Row],[Order_Date]])</f>
        <v>2023</v>
      </c>
      <c r="AA174" s="19" t="str">
        <f>TEXT(DAY(tblMaster[[#This Row],[Order_Date]]),"dddd")</f>
        <v>Saturday</v>
      </c>
      <c r="AB174" s="19" t="str">
        <f>IF(tblMaster[[#This Row],[Revenue]]&gt;=5000,"High",IF(tblMaster[[#This Row],[Revenue]]&lt;2000,"Low","Medium"))</f>
        <v>Medium</v>
      </c>
    </row>
    <row r="175" spans="1:28" x14ac:dyDescent="0.25">
      <c r="A175" s="10">
        <v>174</v>
      </c>
      <c r="B175" s="10" t="s">
        <v>331</v>
      </c>
      <c r="C175" s="5">
        <v>4</v>
      </c>
      <c r="D175" s="5">
        <v>3</v>
      </c>
      <c r="E175" s="11">
        <v>45233</v>
      </c>
      <c r="F175" s="12">
        <v>0.65231481481481479</v>
      </c>
      <c r="G175" s="11">
        <v>45243</v>
      </c>
      <c r="H175" s="12">
        <v>0.75469907407407411</v>
      </c>
      <c r="I175" s="10" t="s">
        <v>297</v>
      </c>
      <c r="J175" s="10" t="s">
        <v>19</v>
      </c>
      <c r="K175" s="18" t="str">
        <f>_xlfn.XLOOKUP(tblMaster[[#This Row],[Customer_ID]],tblCustomers[Customer_ID],tblCustomers[City],"Not Found",0)</f>
        <v>Guntakal</v>
      </c>
      <c r="L175" s="18" t="str">
        <f>_xlfn.XLOOKUP(tblMaster[[#This Row],[Customer_ID]],tblCustomers[Customer_ID],tblCustomers[Name],"Not Found",0)</f>
        <v>Aradhya Kale</v>
      </c>
      <c r="M175" s="18" t="str">
        <f>_xlfn.XLOOKUP(tblMaster[[#This Row],[Customer_ID]],tblCustomers[Customer_ID],tblCustomers[Gender],"Not Found",0)</f>
        <v>Male</v>
      </c>
      <c r="N175" s="18" t="str">
        <f>_xlfn.XLOOKUP(tblMaster[[#This Row],[Product_ID]],tblProducts[Product_ID],tblProducts[Product_Name],"Not Found",0)</f>
        <v>Accusantium Set</v>
      </c>
      <c r="O175" s="18" t="str">
        <f>_xlfn.XLOOKUP(tblMaster[[#This Row],[Product_ID]],tblProducts[Product_ID],tblProducts[Category],"Not Found",0)</f>
        <v>Sweets</v>
      </c>
      <c r="P175" s="18" t="str">
        <f>_xlfn.XLOOKUP(tblMaster[[#This Row],[Product_ID]],tblProducts[Product_ID],tblProducts[Occasion],"Not Found",0)</f>
        <v>Diwali</v>
      </c>
      <c r="Q175" s="18">
        <f>_xlfn.XLOOKUP(tblMaster[[#This Row],[Product_ID]],tblProducts[Product_ID],tblProducts[Price (INR)],"Not Found",0)</f>
        <v>1199</v>
      </c>
      <c r="R175" s="19">
        <f>tblMaster[[#This Row],[Price]]*tblMaster[[#This Row],[Quantity]]</f>
        <v>3597</v>
      </c>
      <c r="S175" s="19">
        <f>tblMaster[[#This Row],[Price]]*0.7*tblMaster[[#This Row],[Quantity]]</f>
        <v>2517.8999999999996</v>
      </c>
      <c r="T175" s="19">
        <f>tblMaster[[#This Row],[Revenue]]-tblMaster[[#This Row],[Estimated Cost (at 70%) ]]</f>
        <v>1079.1000000000004</v>
      </c>
      <c r="U175" s="19">
        <f>tblMaster[[#This Row],[Profit]]/tblMaster[[#This Row],[Revenue]]</f>
        <v>0.3000000000000001</v>
      </c>
      <c r="V175" s="19">
        <f>tblMaster[[#This Row],[Delivery_Date]]-tblMaster[[#This Row],[Order_Date]]</f>
        <v>10</v>
      </c>
      <c r="W175" s="19" t="str">
        <f>TEXT(tblMaster[[#This Row],[Order_Date]],"mmmm")</f>
        <v>November</v>
      </c>
      <c r="X175" s="19">
        <f>MONTH(tblMaster[[#This Row],[Order_Date]])</f>
        <v>11</v>
      </c>
      <c r="Y175" s="19" t="str">
        <f>"Q"&amp;ROUNDUP(tblMaster[[#This Row],[Month Number]]/3,0)</f>
        <v>Q4</v>
      </c>
      <c r="Z175" s="19">
        <f>YEAR(tblMaster[[#This Row],[Order_Date]])</f>
        <v>2023</v>
      </c>
      <c r="AA175" s="19" t="str">
        <f>TEXT(DAY(tblMaster[[#This Row],[Order_Date]]),"dddd")</f>
        <v>Tuesday</v>
      </c>
      <c r="AB175" s="19" t="str">
        <f>IF(tblMaster[[#This Row],[Revenue]]&gt;=5000,"High",IF(tblMaster[[#This Row],[Revenue]]&lt;2000,"Low","Medium"))</f>
        <v>Medium</v>
      </c>
    </row>
    <row r="176" spans="1:28" x14ac:dyDescent="0.25">
      <c r="A176" s="7">
        <v>175</v>
      </c>
      <c r="B176" s="7" t="s">
        <v>190</v>
      </c>
      <c r="C176" s="4">
        <v>31</v>
      </c>
      <c r="D176" s="4">
        <v>1</v>
      </c>
      <c r="E176" s="8">
        <v>45212</v>
      </c>
      <c r="F176" s="9">
        <v>5.4016203703703705E-2</v>
      </c>
      <c r="G176" s="8">
        <v>45219</v>
      </c>
      <c r="H176" s="9">
        <v>0.30754629629629632</v>
      </c>
      <c r="I176" s="7" t="s">
        <v>381</v>
      </c>
      <c r="J176" s="7" t="s">
        <v>8</v>
      </c>
      <c r="K176" s="18" t="str">
        <f>_xlfn.XLOOKUP(tblMaster[[#This Row],[Customer_ID]],tblCustomers[Customer_ID],tblCustomers[City],"Not Found",0)</f>
        <v>Ajmer</v>
      </c>
      <c r="L176" s="18" t="str">
        <f>_xlfn.XLOOKUP(tblMaster[[#This Row],[Customer_ID]],tblCustomers[Customer_ID],tblCustomers[Name],"Not Found",0)</f>
        <v>Eshani Sharma</v>
      </c>
      <c r="M176" s="18" t="str">
        <f>_xlfn.XLOOKUP(tblMaster[[#This Row],[Customer_ID]],tblCustomers[Customer_ID],tblCustomers[Gender],"Not Found",0)</f>
        <v>Male</v>
      </c>
      <c r="N176" s="18" t="str">
        <f>_xlfn.XLOOKUP(tblMaster[[#This Row],[Product_ID]],tblProducts[Product_ID],tblProducts[Product_Name],"Not Found",0)</f>
        <v>Nihil Box</v>
      </c>
      <c r="O176" s="18" t="str">
        <f>_xlfn.XLOOKUP(tblMaster[[#This Row],[Product_ID]],tblProducts[Product_ID],tblProducts[Category],"Not Found",0)</f>
        <v>Colors</v>
      </c>
      <c r="P176" s="18" t="str">
        <f>_xlfn.XLOOKUP(tblMaster[[#This Row],[Product_ID]],tblProducts[Product_ID],tblProducts[Occasion],"Not Found",0)</f>
        <v>All Occasions</v>
      </c>
      <c r="Q176" s="18">
        <f>_xlfn.XLOOKUP(tblMaster[[#This Row],[Product_ID]],tblProducts[Product_ID],tblProducts[Price (INR)],"Not Found",0)</f>
        <v>1804</v>
      </c>
      <c r="R176" s="19">
        <f>tblMaster[[#This Row],[Price]]*tblMaster[[#This Row],[Quantity]]</f>
        <v>1804</v>
      </c>
      <c r="S176" s="19">
        <f>tblMaster[[#This Row],[Price]]*0.7*tblMaster[[#This Row],[Quantity]]</f>
        <v>1262.8</v>
      </c>
      <c r="T176" s="19">
        <f>tblMaster[[#This Row],[Revenue]]-tblMaster[[#This Row],[Estimated Cost (at 70%) ]]</f>
        <v>541.20000000000005</v>
      </c>
      <c r="U176" s="19">
        <f>tblMaster[[#This Row],[Profit]]/tblMaster[[#This Row],[Revenue]]</f>
        <v>0.30000000000000004</v>
      </c>
      <c r="V176" s="19">
        <f>tblMaster[[#This Row],[Delivery_Date]]-tblMaster[[#This Row],[Order_Date]]</f>
        <v>7</v>
      </c>
      <c r="W176" s="19" t="str">
        <f>TEXT(tblMaster[[#This Row],[Order_Date]],"mmmm")</f>
        <v>October</v>
      </c>
      <c r="X176" s="19">
        <f>MONTH(tblMaster[[#This Row],[Order_Date]])</f>
        <v>10</v>
      </c>
      <c r="Y176" s="19" t="str">
        <f>"Q"&amp;ROUNDUP(tblMaster[[#This Row],[Month Number]]/3,0)</f>
        <v>Q4</v>
      </c>
      <c r="Z176" s="19">
        <f>YEAR(tblMaster[[#This Row],[Order_Date]])</f>
        <v>2023</v>
      </c>
      <c r="AA176" s="19" t="str">
        <f>TEXT(DAY(tblMaster[[#This Row],[Order_Date]]),"dddd")</f>
        <v>Friday</v>
      </c>
      <c r="AB176" s="19" t="str">
        <f>IF(tblMaster[[#This Row],[Revenue]]&gt;=5000,"High",IF(tblMaster[[#This Row],[Revenue]]&lt;2000,"Low","Medium"))</f>
        <v>Low</v>
      </c>
    </row>
    <row r="177" spans="1:28" x14ac:dyDescent="0.25">
      <c r="A177" s="10">
        <v>176</v>
      </c>
      <c r="B177" s="10" t="s">
        <v>308</v>
      </c>
      <c r="C177" s="5">
        <v>17</v>
      </c>
      <c r="D177" s="5">
        <v>2</v>
      </c>
      <c r="E177" s="11">
        <v>44995</v>
      </c>
      <c r="F177" s="12">
        <v>0.14914351851851851</v>
      </c>
      <c r="G177" s="11">
        <v>45001</v>
      </c>
      <c r="H177" s="12">
        <v>0.72559027777777774</v>
      </c>
      <c r="I177" s="10" t="s">
        <v>198</v>
      </c>
      <c r="J177" s="10" t="s">
        <v>30</v>
      </c>
      <c r="K177" s="18" t="str">
        <f>_xlfn.XLOOKUP(tblMaster[[#This Row],[Customer_ID]],tblCustomers[Customer_ID],tblCustomers[City],"Not Found",0)</f>
        <v>Kamarhati</v>
      </c>
      <c r="L177" s="18" t="str">
        <f>_xlfn.XLOOKUP(tblMaster[[#This Row],[Customer_ID]],tblCustomers[Customer_ID],tblCustomers[Name],"Not Found",0)</f>
        <v>Kaira Bahl</v>
      </c>
      <c r="M177" s="18" t="str">
        <f>_xlfn.XLOOKUP(tblMaster[[#This Row],[Customer_ID]],tblCustomers[Customer_ID],tblCustomers[Gender],"Not Found",0)</f>
        <v>Male</v>
      </c>
      <c r="N177" s="18" t="str">
        <f>_xlfn.XLOOKUP(tblMaster[[#This Row],[Product_ID]],tblProducts[Product_ID],tblProducts[Product_Name],"Not Found",0)</f>
        <v>Delectus Gift</v>
      </c>
      <c r="O177" s="18" t="str">
        <f>_xlfn.XLOOKUP(tblMaster[[#This Row],[Product_ID]],tblProducts[Product_ID],tblProducts[Category],"Not Found",0)</f>
        <v>Soft Toys</v>
      </c>
      <c r="P177" s="18" t="str">
        <f>_xlfn.XLOOKUP(tblMaster[[#This Row],[Product_ID]],tblProducts[Product_ID],tblProducts[Occasion],"Not Found",0)</f>
        <v>Anniversary</v>
      </c>
      <c r="Q177" s="18">
        <f>_xlfn.XLOOKUP(tblMaster[[#This Row],[Product_ID]],tblProducts[Product_ID],tblProducts[Price (INR)],"Not Found",0)</f>
        <v>1899</v>
      </c>
      <c r="R177" s="19">
        <f>tblMaster[[#This Row],[Price]]*tblMaster[[#This Row],[Quantity]]</f>
        <v>3798</v>
      </c>
      <c r="S177" s="19">
        <f>tblMaster[[#This Row],[Price]]*0.7*tblMaster[[#This Row],[Quantity]]</f>
        <v>2658.6</v>
      </c>
      <c r="T177" s="19">
        <f>tblMaster[[#This Row],[Revenue]]-tblMaster[[#This Row],[Estimated Cost (at 70%) ]]</f>
        <v>1139.4000000000001</v>
      </c>
      <c r="U177" s="19">
        <f>tblMaster[[#This Row],[Profit]]/tblMaster[[#This Row],[Revenue]]</f>
        <v>0.30000000000000004</v>
      </c>
      <c r="V177" s="19">
        <f>tblMaster[[#This Row],[Delivery_Date]]-tblMaster[[#This Row],[Order_Date]]</f>
        <v>6</v>
      </c>
      <c r="W177" s="19" t="str">
        <f>TEXT(tblMaster[[#This Row],[Order_Date]],"mmmm")</f>
        <v>March</v>
      </c>
      <c r="X177" s="19">
        <f>MONTH(tblMaster[[#This Row],[Order_Date]])</f>
        <v>3</v>
      </c>
      <c r="Y177" s="19" t="str">
        <f>"Q"&amp;ROUNDUP(tblMaster[[#This Row],[Month Number]]/3,0)</f>
        <v>Q1</v>
      </c>
      <c r="Z177" s="19">
        <f>YEAR(tblMaster[[#This Row],[Order_Date]])</f>
        <v>2023</v>
      </c>
      <c r="AA177" s="19" t="str">
        <f>TEXT(DAY(tblMaster[[#This Row],[Order_Date]]),"dddd")</f>
        <v>Tuesday</v>
      </c>
      <c r="AB177" s="19" t="str">
        <f>IF(tblMaster[[#This Row],[Revenue]]&gt;=5000,"High",IF(tblMaster[[#This Row],[Revenue]]&lt;2000,"Low","Medium"))</f>
        <v>Medium</v>
      </c>
    </row>
    <row r="178" spans="1:28" x14ac:dyDescent="0.25">
      <c r="A178" s="7">
        <v>177</v>
      </c>
      <c r="B178" s="7" t="s">
        <v>382</v>
      </c>
      <c r="C178" s="4">
        <v>62</v>
      </c>
      <c r="D178" s="4">
        <v>4</v>
      </c>
      <c r="E178" s="8">
        <v>44990</v>
      </c>
      <c r="F178" s="9">
        <v>7.5833333333333336E-2</v>
      </c>
      <c r="G178" s="8">
        <v>44992</v>
      </c>
      <c r="H178" s="9">
        <v>0.61854166666666666</v>
      </c>
      <c r="I178" s="7" t="s">
        <v>344</v>
      </c>
      <c r="J178" s="7" t="s">
        <v>25</v>
      </c>
      <c r="K178" s="18" t="str">
        <f>_xlfn.XLOOKUP(tblMaster[[#This Row],[Customer_ID]],tblCustomers[Customer_ID],tblCustomers[City],"Not Found",0)</f>
        <v>Raipur</v>
      </c>
      <c r="L178" s="18" t="str">
        <f>_xlfn.XLOOKUP(tblMaster[[#This Row],[Customer_ID]],tblCustomers[Customer_ID],tblCustomers[Name],"Not Found",0)</f>
        <v>Bhamini Johal</v>
      </c>
      <c r="M178" s="18" t="str">
        <f>_xlfn.XLOOKUP(tblMaster[[#This Row],[Customer_ID]],tblCustomers[Customer_ID],tblCustomers[Gender],"Not Found",0)</f>
        <v>Male</v>
      </c>
      <c r="N178" s="18" t="str">
        <f>_xlfn.XLOOKUP(tblMaster[[#This Row],[Product_ID]],tblProducts[Product_ID],tblProducts[Product_Name],"Not Found",0)</f>
        <v>Sed Set</v>
      </c>
      <c r="O178" s="18" t="str">
        <f>_xlfn.XLOOKUP(tblMaster[[#This Row],[Product_ID]],tblProducts[Product_ID],tblProducts[Category],"Not Found",0)</f>
        <v>Colors</v>
      </c>
      <c r="P178" s="18" t="str">
        <f>_xlfn.XLOOKUP(tblMaster[[#This Row],[Product_ID]],tblProducts[Product_ID],tblProducts[Occasion],"Not Found",0)</f>
        <v>Holi</v>
      </c>
      <c r="Q178" s="18">
        <f>_xlfn.XLOOKUP(tblMaster[[#This Row],[Product_ID]],tblProducts[Product_ID],tblProducts[Price (INR)],"Not Found",0)</f>
        <v>1356</v>
      </c>
      <c r="R178" s="19">
        <f>tblMaster[[#This Row],[Price]]*tblMaster[[#This Row],[Quantity]]</f>
        <v>5424</v>
      </c>
      <c r="S178" s="19">
        <f>tblMaster[[#This Row],[Price]]*0.7*tblMaster[[#This Row],[Quantity]]</f>
        <v>3796.7999999999997</v>
      </c>
      <c r="T178" s="19">
        <f>tblMaster[[#This Row],[Revenue]]-tblMaster[[#This Row],[Estimated Cost (at 70%) ]]</f>
        <v>1627.2000000000003</v>
      </c>
      <c r="U178" s="19">
        <f>tblMaster[[#This Row],[Profit]]/tblMaster[[#This Row],[Revenue]]</f>
        <v>0.30000000000000004</v>
      </c>
      <c r="V178" s="19">
        <f>tblMaster[[#This Row],[Delivery_Date]]-tblMaster[[#This Row],[Order_Date]]</f>
        <v>2</v>
      </c>
      <c r="W178" s="19" t="str">
        <f>TEXT(tblMaster[[#This Row],[Order_Date]],"mmmm")</f>
        <v>March</v>
      </c>
      <c r="X178" s="19">
        <f>MONTH(tblMaster[[#This Row],[Order_Date]])</f>
        <v>3</v>
      </c>
      <c r="Y178" s="19" t="str">
        <f>"Q"&amp;ROUNDUP(tblMaster[[#This Row],[Month Number]]/3,0)</f>
        <v>Q1</v>
      </c>
      <c r="Z178" s="19">
        <f>YEAR(tblMaster[[#This Row],[Order_Date]])</f>
        <v>2023</v>
      </c>
      <c r="AA178" s="19" t="str">
        <f>TEXT(DAY(tblMaster[[#This Row],[Order_Date]]),"dddd")</f>
        <v>Thursday</v>
      </c>
      <c r="AB178" s="19" t="str">
        <f>IF(tblMaster[[#This Row],[Revenue]]&gt;=5000,"High",IF(tblMaster[[#This Row],[Revenue]]&lt;2000,"Low","Medium"))</f>
        <v>High</v>
      </c>
    </row>
    <row r="179" spans="1:28" x14ac:dyDescent="0.25">
      <c r="A179" s="10">
        <v>178</v>
      </c>
      <c r="B179" s="10" t="s">
        <v>180</v>
      </c>
      <c r="C179" s="5">
        <v>61</v>
      </c>
      <c r="D179" s="5">
        <v>1</v>
      </c>
      <c r="E179" s="11">
        <v>45244</v>
      </c>
      <c r="F179" s="12">
        <v>0.96146990740740745</v>
      </c>
      <c r="G179" s="11">
        <v>45246</v>
      </c>
      <c r="H179" s="12">
        <v>9.3321759259259257E-2</v>
      </c>
      <c r="I179" s="10" t="s">
        <v>383</v>
      </c>
      <c r="J179" s="10" t="s">
        <v>30</v>
      </c>
      <c r="K179" s="18" t="str">
        <f>_xlfn.XLOOKUP(tblMaster[[#This Row],[Customer_ID]],tblCustomers[Customer_ID],tblCustomers[City],"Not Found",0)</f>
        <v>Sri Ganganagar</v>
      </c>
      <c r="L179" s="18" t="str">
        <f>_xlfn.XLOOKUP(tblMaster[[#This Row],[Customer_ID]],tblCustomers[Customer_ID],tblCustomers[Name],"Not Found",0)</f>
        <v>Nakul Randhawa</v>
      </c>
      <c r="M179" s="18" t="str">
        <f>_xlfn.XLOOKUP(tblMaster[[#This Row],[Customer_ID]],tblCustomers[Customer_ID],tblCustomers[Gender],"Not Found",0)</f>
        <v>Female</v>
      </c>
      <c r="N179" s="18" t="str">
        <f>_xlfn.XLOOKUP(tblMaster[[#This Row],[Product_ID]],tblProducts[Product_ID],tblProducts[Product_Name],"Not Found",0)</f>
        <v>Iusto Box</v>
      </c>
      <c r="O179" s="18" t="str">
        <f>_xlfn.XLOOKUP(tblMaster[[#This Row],[Product_ID]],tblProducts[Product_ID],tblProducts[Category],"Not Found",0)</f>
        <v>Plants</v>
      </c>
      <c r="P179" s="18" t="str">
        <f>_xlfn.XLOOKUP(tblMaster[[#This Row],[Product_ID]],tblProducts[Product_ID],tblProducts[Occasion],"Not Found",0)</f>
        <v>Anniversary</v>
      </c>
      <c r="Q179" s="18">
        <f>_xlfn.XLOOKUP(tblMaster[[#This Row],[Product_ID]],tblProducts[Product_ID],tblProducts[Price (INR)],"Not Found",0)</f>
        <v>810</v>
      </c>
      <c r="R179" s="19">
        <f>tblMaster[[#This Row],[Price]]*tblMaster[[#This Row],[Quantity]]</f>
        <v>810</v>
      </c>
      <c r="S179" s="19">
        <f>tblMaster[[#This Row],[Price]]*0.7*tblMaster[[#This Row],[Quantity]]</f>
        <v>567</v>
      </c>
      <c r="T179" s="19">
        <f>tblMaster[[#This Row],[Revenue]]-tblMaster[[#This Row],[Estimated Cost (at 70%) ]]</f>
        <v>243</v>
      </c>
      <c r="U179" s="19">
        <f>tblMaster[[#This Row],[Profit]]/tblMaster[[#This Row],[Revenue]]</f>
        <v>0.3</v>
      </c>
      <c r="V179" s="19">
        <f>tblMaster[[#This Row],[Delivery_Date]]-tblMaster[[#This Row],[Order_Date]]</f>
        <v>2</v>
      </c>
      <c r="W179" s="19" t="str">
        <f>TEXT(tblMaster[[#This Row],[Order_Date]],"mmmm")</f>
        <v>November</v>
      </c>
      <c r="X179" s="19">
        <f>MONTH(tblMaster[[#This Row],[Order_Date]])</f>
        <v>11</v>
      </c>
      <c r="Y179" s="19" t="str">
        <f>"Q"&amp;ROUNDUP(tblMaster[[#This Row],[Month Number]]/3,0)</f>
        <v>Q4</v>
      </c>
      <c r="Z179" s="19">
        <f>YEAR(tblMaster[[#This Row],[Order_Date]])</f>
        <v>2023</v>
      </c>
      <c r="AA179" s="19" t="str">
        <f>TEXT(DAY(tblMaster[[#This Row],[Order_Date]]),"dddd")</f>
        <v>Saturday</v>
      </c>
      <c r="AB179" s="19" t="str">
        <f>IF(tblMaster[[#This Row],[Revenue]]&gt;=5000,"High",IF(tblMaster[[#This Row],[Revenue]]&lt;2000,"Low","Medium"))</f>
        <v>Low</v>
      </c>
    </row>
    <row r="180" spans="1:28" x14ac:dyDescent="0.25">
      <c r="A180" s="7">
        <v>179</v>
      </c>
      <c r="B180" s="7" t="s">
        <v>174</v>
      </c>
      <c r="C180" s="4">
        <v>47</v>
      </c>
      <c r="D180" s="4">
        <v>3</v>
      </c>
      <c r="E180" s="8">
        <v>44985</v>
      </c>
      <c r="F180" s="9">
        <v>0.63613425925925926</v>
      </c>
      <c r="G180" s="8">
        <v>44995</v>
      </c>
      <c r="H180" s="9">
        <v>0.60494212962962968</v>
      </c>
      <c r="I180" s="7" t="s">
        <v>199</v>
      </c>
      <c r="J180" s="7" t="s">
        <v>25</v>
      </c>
      <c r="K180" s="18" t="str">
        <f>_xlfn.XLOOKUP(tblMaster[[#This Row],[Customer_ID]],tblCustomers[Customer_ID],tblCustomers[City],"Not Found",0)</f>
        <v>Bhubaneswar</v>
      </c>
      <c r="L180" s="18" t="str">
        <f>_xlfn.XLOOKUP(tblMaster[[#This Row],[Customer_ID]],tblCustomers[Customer_ID],tblCustomers[Name],"Not Found",0)</f>
        <v>Jivika Rajan</v>
      </c>
      <c r="M180" s="18" t="str">
        <f>_xlfn.XLOOKUP(tblMaster[[#This Row],[Customer_ID]],tblCustomers[Customer_ID],tblCustomers[Gender],"Not Found",0)</f>
        <v>Female</v>
      </c>
      <c r="N180" s="18" t="str">
        <f>_xlfn.XLOOKUP(tblMaster[[#This Row],[Product_ID]],tblProducts[Product_ID],tblProducts[Product_Name],"Not Found",0)</f>
        <v>Harum Pack</v>
      </c>
      <c r="O180" s="18" t="str">
        <f>_xlfn.XLOOKUP(tblMaster[[#This Row],[Product_ID]],tblProducts[Product_ID],tblProducts[Category],"Not Found",0)</f>
        <v>Colors</v>
      </c>
      <c r="P180" s="18" t="str">
        <f>_xlfn.XLOOKUP(tblMaster[[#This Row],[Product_ID]],tblProducts[Product_ID],tblProducts[Occasion],"Not Found",0)</f>
        <v>Holi</v>
      </c>
      <c r="Q180" s="18">
        <f>_xlfn.XLOOKUP(tblMaster[[#This Row],[Product_ID]],tblProducts[Product_ID],tblProducts[Price (INR)],"Not Found",0)</f>
        <v>1638</v>
      </c>
      <c r="R180" s="19">
        <f>tblMaster[[#This Row],[Price]]*tblMaster[[#This Row],[Quantity]]</f>
        <v>4914</v>
      </c>
      <c r="S180" s="19">
        <f>tblMaster[[#This Row],[Price]]*0.7*tblMaster[[#This Row],[Quantity]]</f>
        <v>3439.7999999999997</v>
      </c>
      <c r="T180" s="19">
        <f>tblMaster[[#This Row],[Revenue]]-tblMaster[[#This Row],[Estimated Cost (at 70%) ]]</f>
        <v>1474.2000000000003</v>
      </c>
      <c r="U180" s="19">
        <f>tblMaster[[#This Row],[Profit]]/tblMaster[[#This Row],[Revenue]]</f>
        <v>0.30000000000000004</v>
      </c>
      <c r="V180" s="19">
        <f>tblMaster[[#This Row],[Delivery_Date]]-tblMaster[[#This Row],[Order_Date]]</f>
        <v>10</v>
      </c>
      <c r="W180" s="19" t="str">
        <f>TEXT(tblMaster[[#This Row],[Order_Date]],"mmmm")</f>
        <v>February</v>
      </c>
      <c r="X180" s="19">
        <f>MONTH(tblMaster[[#This Row],[Order_Date]])</f>
        <v>2</v>
      </c>
      <c r="Y180" s="19" t="str">
        <f>"Q"&amp;ROUNDUP(tblMaster[[#This Row],[Month Number]]/3,0)</f>
        <v>Q1</v>
      </c>
      <c r="Z180" s="19">
        <f>YEAR(tblMaster[[#This Row],[Order_Date]])</f>
        <v>2023</v>
      </c>
      <c r="AA180" s="19" t="str">
        <f>TEXT(DAY(tblMaster[[#This Row],[Order_Date]]),"dddd")</f>
        <v>Saturday</v>
      </c>
      <c r="AB180" s="19" t="str">
        <f>IF(tblMaster[[#This Row],[Revenue]]&gt;=5000,"High",IF(tblMaster[[#This Row],[Revenue]]&lt;2000,"Low","Medium"))</f>
        <v>Medium</v>
      </c>
    </row>
    <row r="181" spans="1:28" x14ac:dyDescent="0.25">
      <c r="A181" s="10">
        <v>180</v>
      </c>
      <c r="B181" s="10" t="s">
        <v>265</v>
      </c>
      <c r="C181" s="5">
        <v>55</v>
      </c>
      <c r="D181" s="5">
        <v>2</v>
      </c>
      <c r="E181" s="11">
        <v>45162</v>
      </c>
      <c r="F181" s="12">
        <v>0.69482638888888892</v>
      </c>
      <c r="G181" s="11">
        <v>45165</v>
      </c>
      <c r="H181" s="12">
        <v>0.36474537037037036</v>
      </c>
      <c r="I181" s="10" t="s">
        <v>384</v>
      </c>
      <c r="J181" s="10" t="s">
        <v>33</v>
      </c>
      <c r="K181" s="18" t="str">
        <f>_xlfn.XLOOKUP(tblMaster[[#This Row],[Customer_ID]],tblCustomers[Customer_ID],tblCustomers[City],"Not Found",0)</f>
        <v>Guntakal</v>
      </c>
      <c r="L181" s="18" t="str">
        <f>_xlfn.XLOOKUP(tblMaster[[#This Row],[Customer_ID]],tblCustomers[Customer_ID],tblCustomers[Name],"Not Found",0)</f>
        <v>Charvi Kanda</v>
      </c>
      <c r="M181" s="18" t="str">
        <f>_xlfn.XLOOKUP(tblMaster[[#This Row],[Customer_ID]],tblCustomers[Customer_ID],tblCustomers[Gender],"Not Found",0)</f>
        <v>Male</v>
      </c>
      <c r="N181" s="18" t="str">
        <f>_xlfn.XLOOKUP(tblMaster[[#This Row],[Product_ID]],tblProducts[Product_ID],tblProducts[Product_Name],"Not Found",0)</f>
        <v>Dolores Gift</v>
      </c>
      <c r="O181" s="18" t="str">
        <f>_xlfn.XLOOKUP(tblMaster[[#This Row],[Product_ID]],tblProducts[Product_ID],tblProducts[Category],"Not Found",0)</f>
        <v>Soft Toys</v>
      </c>
      <c r="P181" s="18" t="str">
        <f>_xlfn.XLOOKUP(tblMaster[[#This Row],[Product_ID]],tblProducts[Product_ID],tblProducts[Occasion],"Not Found",0)</f>
        <v>Raksha Bandhan</v>
      </c>
      <c r="Q181" s="18">
        <f>_xlfn.XLOOKUP(tblMaster[[#This Row],[Product_ID]],tblProducts[Product_ID],tblProducts[Price (INR)],"Not Found",0)</f>
        <v>1904</v>
      </c>
      <c r="R181" s="19">
        <f>tblMaster[[#This Row],[Price]]*tblMaster[[#This Row],[Quantity]]</f>
        <v>3808</v>
      </c>
      <c r="S181" s="19">
        <f>tblMaster[[#This Row],[Price]]*0.7*tblMaster[[#This Row],[Quantity]]</f>
        <v>2665.6</v>
      </c>
      <c r="T181" s="19">
        <f>tblMaster[[#This Row],[Revenue]]-tblMaster[[#This Row],[Estimated Cost (at 70%) ]]</f>
        <v>1142.4000000000001</v>
      </c>
      <c r="U181" s="19">
        <f>tblMaster[[#This Row],[Profit]]/tblMaster[[#This Row],[Revenue]]</f>
        <v>0.30000000000000004</v>
      </c>
      <c r="V181" s="19">
        <f>tblMaster[[#This Row],[Delivery_Date]]-tblMaster[[#This Row],[Order_Date]]</f>
        <v>3</v>
      </c>
      <c r="W181" s="19" t="str">
        <f>TEXT(tblMaster[[#This Row],[Order_Date]],"mmmm")</f>
        <v>August</v>
      </c>
      <c r="X181" s="19">
        <f>MONTH(tblMaster[[#This Row],[Order_Date]])</f>
        <v>8</v>
      </c>
      <c r="Y181" s="19" t="str">
        <f>"Q"&amp;ROUNDUP(tblMaster[[#This Row],[Month Number]]/3,0)</f>
        <v>Q3</v>
      </c>
      <c r="Z181" s="19">
        <f>YEAR(tblMaster[[#This Row],[Order_Date]])</f>
        <v>2023</v>
      </c>
      <c r="AA181" s="19" t="str">
        <f>TEXT(DAY(tblMaster[[#This Row],[Order_Date]]),"dddd")</f>
        <v>Tuesday</v>
      </c>
      <c r="AB181" s="19" t="str">
        <f>IF(tblMaster[[#This Row],[Revenue]]&gt;=5000,"High",IF(tblMaster[[#This Row],[Revenue]]&lt;2000,"Low","Medium"))</f>
        <v>Medium</v>
      </c>
    </row>
    <row r="182" spans="1:28" x14ac:dyDescent="0.25">
      <c r="A182" s="7">
        <v>181</v>
      </c>
      <c r="B182" s="7" t="s">
        <v>216</v>
      </c>
      <c r="C182" s="4">
        <v>10</v>
      </c>
      <c r="D182" s="4">
        <v>4</v>
      </c>
      <c r="E182" s="8">
        <v>45166</v>
      </c>
      <c r="F182" s="9">
        <v>0.24678240740740739</v>
      </c>
      <c r="G182" s="8">
        <v>45175</v>
      </c>
      <c r="H182" s="9">
        <v>0.20379629629629631</v>
      </c>
      <c r="I182" s="7" t="s">
        <v>327</v>
      </c>
      <c r="J182" s="7" t="s">
        <v>36</v>
      </c>
      <c r="K182" s="18" t="str">
        <f>_xlfn.XLOOKUP(tblMaster[[#This Row],[Customer_ID]],tblCustomers[Customer_ID],tblCustomers[City],"Not Found",0)</f>
        <v>Srikakulam</v>
      </c>
      <c r="L182" s="18" t="str">
        <f>_xlfn.XLOOKUP(tblMaster[[#This Row],[Customer_ID]],tblCustomers[Customer_ID],tblCustomers[Name],"Not Found",0)</f>
        <v>Indrajit Kale</v>
      </c>
      <c r="M182" s="18" t="str">
        <f>_xlfn.XLOOKUP(tblMaster[[#This Row],[Customer_ID]],tblCustomers[Customer_ID],tblCustomers[Gender],"Not Found",0)</f>
        <v>Male</v>
      </c>
      <c r="N182" s="18" t="str">
        <f>_xlfn.XLOOKUP(tblMaster[[#This Row],[Product_ID]],tblProducts[Product_ID],tblProducts[Product_Name],"Not Found",0)</f>
        <v>Accusantium Gift</v>
      </c>
      <c r="O182" s="18" t="str">
        <f>_xlfn.XLOOKUP(tblMaster[[#This Row],[Product_ID]],tblProducts[Product_ID],tblProducts[Category],"Not Found",0)</f>
        <v>Cake</v>
      </c>
      <c r="P182" s="18" t="str">
        <f>_xlfn.XLOOKUP(tblMaster[[#This Row],[Product_ID]],tblProducts[Product_ID],tblProducts[Occasion],"Not Found",0)</f>
        <v>Birthday</v>
      </c>
      <c r="Q182" s="18">
        <f>_xlfn.XLOOKUP(tblMaster[[#This Row],[Product_ID]],tblProducts[Product_ID],tblProducts[Price (INR)],"Not Found",0)</f>
        <v>259</v>
      </c>
      <c r="R182" s="19">
        <f>tblMaster[[#This Row],[Price]]*tblMaster[[#This Row],[Quantity]]</f>
        <v>1036</v>
      </c>
      <c r="S182" s="19">
        <f>tblMaster[[#This Row],[Price]]*0.7*tblMaster[[#This Row],[Quantity]]</f>
        <v>725.19999999999993</v>
      </c>
      <c r="T182" s="19">
        <f>tblMaster[[#This Row],[Revenue]]-tblMaster[[#This Row],[Estimated Cost (at 70%) ]]</f>
        <v>310.80000000000007</v>
      </c>
      <c r="U182" s="19">
        <f>tblMaster[[#This Row],[Profit]]/tblMaster[[#This Row],[Revenue]]</f>
        <v>0.30000000000000004</v>
      </c>
      <c r="V182" s="19">
        <f>tblMaster[[#This Row],[Delivery_Date]]-tblMaster[[#This Row],[Order_Date]]</f>
        <v>9</v>
      </c>
      <c r="W182" s="19" t="str">
        <f>TEXT(tblMaster[[#This Row],[Order_Date]],"mmmm")</f>
        <v>August</v>
      </c>
      <c r="X182" s="19">
        <f>MONTH(tblMaster[[#This Row],[Order_Date]])</f>
        <v>8</v>
      </c>
      <c r="Y182" s="19" t="str">
        <f>"Q"&amp;ROUNDUP(tblMaster[[#This Row],[Month Number]]/3,0)</f>
        <v>Q3</v>
      </c>
      <c r="Z182" s="19">
        <f>YEAR(tblMaster[[#This Row],[Order_Date]])</f>
        <v>2023</v>
      </c>
      <c r="AA182" s="19" t="str">
        <f>TEXT(DAY(tblMaster[[#This Row],[Order_Date]]),"dddd")</f>
        <v>Saturday</v>
      </c>
      <c r="AB182" s="19" t="str">
        <f>IF(tblMaster[[#This Row],[Revenue]]&gt;=5000,"High",IF(tblMaster[[#This Row],[Revenue]]&lt;2000,"Low","Medium"))</f>
        <v>Low</v>
      </c>
    </row>
    <row r="183" spans="1:28" x14ac:dyDescent="0.25">
      <c r="A183" s="10">
        <v>182</v>
      </c>
      <c r="B183" s="10" t="s">
        <v>343</v>
      </c>
      <c r="C183" s="5">
        <v>2</v>
      </c>
      <c r="D183" s="5">
        <v>1</v>
      </c>
      <c r="E183" s="11">
        <v>44965</v>
      </c>
      <c r="F183" s="12">
        <v>0.97326388888888893</v>
      </c>
      <c r="G183" s="11">
        <v>44972</v>
      </c>
      <c r="H183" s="12">
        <v>0.25524305555555554</v>
      </c>
      <c r="I183" s="10" t="s">
        <v>385</v>
      </c>
      <c r="J183" s="10" t="s">
        <v>12</v>
      </c>
      <c r="K183" s="18" t="str">
        <f>_xlfn.XLOOKUP(tblMaster[[#This Row],[Customer_ID]],tblCustomers[Customer_ID],tblCustomers[City],"Not Found",0)</f>
        <v>Bhatpara</v>
      </c>
      <c r="L183" s="18" t="str">
        <f>_xlfn.XLOOKUP(tblMaster[[#This Row],[Customer_ID]],tblCustomers[Customer_ID],tblCustomers[Name],"Not Found",0)</f>
        <v>Emir Gokhale</v>
      </c>
      <c r="M183" s="18" t="str">
        <f>_xlfn.XLOOKUP(tblMaster[[#This Row],[Customer_ID]],tblCustomers[Customer_ID],tblCustomers[Gender],"Not Found",0)</f>
        <v>Male</v>
      </c>
      <c r="N183" s="18" t="str">
        <f>_xlfn.XLOOKUP(tblMaster[[#This Row],[Product_ID]],tblProducts[Product_ID],tblProducts[Product_Name],"Not Found",0)</f>
        <v>Voluptas Box</v>
      </c>
      <c r="O183" s="18" t="str">
        <f>_xlfn.XLOOKUP(tblMaster[[#This Row],[Product_ID]],tblProducts[Product_ID],tblProducts[Category],"Not Found",0)</f>
        <v>Plants</v>
      </c>
      <c r="P183" s="18" t="str">
        <f>_xlfn.XLOOKUP(tblMaster[[#This Row],[Product_ID]],tblProducts[Product_ID],tblProducts[Occasion],"Not Found",0)</f>
        <v>Valentine's Day</v>
      </c>
      <c r="Q183" s="18">
        <f>_xlfn.XLOOKUP(tblMaster[[#This Row],[Product_ID]],tblProducts[Product_ID],tblProducts[Price (INR)],"Not Found",0)</f>
        <v>441</v>
      </c>
      <c r="R183" s="19">
        <f>tblMaster[[#This Row],[Price]]*tblMaster[[#This Row],[Quantity]]</f>
        <v>441</v>
      </c>
      <c r="S183" s="19">
        <f>tblMaster[[#This Row],[Price]]*0.7*tblMaster[[#This Row],[Quantity]]</f>
        <v>308.7</v>
      </c>
      <c r="T183" s="19">
        <f>tblMaster[[#This Row],[Revenue]]-tblMaster[[#This Row],[Estimated Cost (at 70%) ]]</f>
        <v>132.30000000000001</v>
      </c>
      <c r="U183" s="19">
        <f>tblMaster[[#This Row],[Profit]]/tblMaster[[#This Row],[Revenue]]</f>
        <v>0.30000000000000004</v>
      </c>
      <c r="V183" s="19">
        <f>tblMaster[[#This Row],[Delivery_Date]]-tblMaster[[#This Row],[Order_Date]]</f>
        <v>7</v>
      </c>
      <c r="W183" s="19" t="str">
        <f>TEXT(tblMaster[[#This Row],[Order_Date]],"mmmm")</f>
        <v>February</v>
      </c>
      <c r="X183" s="19">
        <f>MONTH(tblMaster[[#This Row],[Order_Date]])</f>
        <v>2</v>
      </c>
      <c r="Y183" s="19" t="str">
        <f>"Q"&amp;ROUNDUP(tblMaster[[#This Row],[Month Number]]/3,0)</f>
        <v>Q1</v>
      </c>
      <c r="Z183" s="19">
        <f>YEAR(tblMaster[[#This Row],[Order_Date]])</f>
        <v>2023</v>
      </c>
      <c r="AA183" s="19" t="str">
        <f>TEXT(DAY(tblMaster[[#This Row],[Order_Date]]),"dddd")</f>
        <v>Sunday</v>
      </c>
      <c r="AB183" s="19" t="str">
        <f>IF(tblMaster[[#This Row],[Revenue]]&gt;=5000,"High",IF(tblMaster[[#This Row],[Revenue]]&lt;2000,"Low","Medium"))</f>
        <v>Low</v>
      </c>
    </row>
    <row r="184" spans="1:28" x14ac:dyDescent="0.25">
      <c r="A184" s="7">
        <v>183</v>
      </c>
      <c r="B184" s="7" t="s">
        <v>316</v>
      </c>
      <c r="C184" s="4">
        <v>48</v>
      </c>
      <c r="D184" s="4">
        <v>3</v>
      </c>
      <c r="E184" s="8">
        <v>45239</v>
      </c>
      <c r="F184" s="9">
        <v>0.7581134259259259</v>
      </c>
      <c r="G184" s="8">
        <v>45241</v>
      </c>
      <c r="H184" s="9">
        <v>0.64543981481481483</v>
      </c>
      <c r="I184" s="7" t="s">
        <v>386</v>
      </c>
      <c r="J184" s="7" t="s">
        <v>19</v>
      </c>
      <c r="K184" s="18" t="str">
        <f>_xlfn.XLOOKUP(tblMaster[[#This Row],[Customer_ID]],tblCustomers[Customer_ID],tblCustomers[City],"Not Found",0)</f>
        <v>Ahmednagar</v>
      </c>
      <c r="L184" s="18" t="str">
        <f>_xlfn.XLOOKUP(tblMaster[[#This Row],[Customer_ID]],tblCustomers[Customer_ID],tblCustomers[Name],"Not Found",0)</f>
        <v>Anya Chaudhari</v>
      </c>
      <c r="M184" s="18" t="str">
        <f>_xlfn.XLOOKUP(tblMaster[[#This Row],[Customer_ID]],tblCustomers[Customer_ID],tblCustomers[Gender],"Not Found",0)</f>
        <v>Female</v>
      </c>
      <c r="N184" s="18" t="str">
        <f>_xlfn.XLOOKUP(tblMaster[[#This Row],[Product_ID]],tblProducts[Product_ID],tblProducts[Product_Name],"Not Found",0)</f>
        <v>Maiores Gift</v>
      </c>
      <c r="O184" s="18" t="str">
        <f>_xlfn.XLOOKUP(tblMaster[[#This Row],[Product_ID]],tblProducts[Product_ID],tblProducts[Category],"Not Found",0)</f>
        <v>Colors</v>
      </c>
      <c r="P184" s="18" t="str">
        <f>_xlfn.XLOOKUP(tblMaster[[#This Row],[Product_ID]],tblProducts[Product_ID],tblProducts[Occasion],"Not Found",0)</f>
        <v>Diwali</v>
      </c>
      <c r="Q184" s="18">
        <f>_xlfn.XLOOKUP(tblMaster[[#This Row],[Product_ID]],tblProducts[Product_ID],tblProducts[Price (INR)],"Not Found",0)</f>
        <v>433</v>
      </c>
      <c r="R184" s="19">
        <f>tblMaster[[#This Row],[Price]]*tblMaster[[#This Row],[Quantity]]</f>
        <v>1299</v>
      </c>
      <c r="S184" s="19">
        <f>tblMaster[[#This Row],[Price]]*0.7*tblMaster[[#This Row],[Quantity]]</f>
        <v>909.3</v>
      </c>
      <c r="T184" s="19">
        <f>tblMaster[[#This Row],[Revenue]]-tblMaster[[#This Row],[Estimated Cost (at 70%) ]]</f>
        <v>389.70000000000005</v>
      </c>
      <c r="U184" s="19">
        <f>tblMaster[[#This Row],[Profit]]/tblMaster[[#This Row],[Revenue]]</f>
        <v>0.30000000000000004</v>
      </c>
      <c r="V184" s="19">
        <f>tblMaster[[#This Row],[Delivery_Date]]-tblMaster[[#This Row],[Order_Date]]</f>
        <v>2</v>
      </c>
      <c r="W184" s="19" t="str">
        <f>TEXT(tblMaster[[#This Row],[Order_Date]],"mmmm")</f>
        <v>November</v>
      </c>
      <c r="X184" s="19">
        <f>MONTH(tblMaster[[#This Row],[Order_Date]])</f>
        <v>11</v>
      </c>
      <c r="Y184" s="19" t="str">
        <f>"Q"&amp;ROUNDUP(tblMaster[[#This Row],[Month Number]]/3,0)</f>
        <v>Q4</v>
      </c>
      <c r="Z184" s="19">
        <f>YEAR(tblMaster[[#This Row],[Order_Date]])</f>
        <v>2023</v>
      </c>
      <c r="AA184" s="19" t="str">
        <f>TEXT(DAY(tblMaster[[#This Row],[Order_Date]]),"dddd")</f>
        <v>Monday</v>
      </c>
      <c r="AB184" s="19" t="str">
        <f>IF(tblMaster[[#This Row],[Revenue]]&gt;=5000,"High",IF(tblMaster[[#This Row],[Revenue]]&lt;2000,"Low","Medium"))</f>
        <v>Low</v>
      </c>
    </row>
    <row r="185" spans="1:28" x14ac:dyDescent="0.25">
      <c r="A185" s="10">
        <v>184</v>
      </c>
      <c r="B185" s="10" t="s">
        <v>387</v>
      </c>
      <c r="C185" s="5">
        <v>52</v>
      </c>
      <c r="D185" s="5">
        <v>3</v>
      </c>
      <c r="E185" s="11">
        <v>44968</v>
      </c>
      <c r="F185" s="12">
        <v>0.89922453703703709</v>
      </c>
      <c r="G185" s="11">
        <v>44977</v>
      </c>
      <c r="H185" s="12">
        <v>0.20866898148148147</v>
      </c>
      <c r="I185" s="10" t="s">
        <v>340</v>
      </c>
      <c r="J185" s="10" t="s">
        <v>12</v>
      </c>
      <c r="K185" s="18" t="str">
        <f>_xlfn.XLOOKUP(tblMaster[[#This Row],[Customer_ID]],tblCustomers[Customer_ID],tblCustomers[City],"Not Found",0)</f>
        <v>Serampore</v>
      </c>
      <c r="L185" s="18" t="str">
        <f>_xlfn.XLOOKUP(tblMaster[[#This Row],[Customer_ID]],tblCustomers[Customer_ID],tblCustomers[Name],"Not Found",0)</f>
        <v>Kashvi Sur</v>
      </c>
      <c r="M185" s="18" t="str">
        <f>_xlfn.XLOOKUP(tblMaster[[#This Row],[Customer_ID]],tblCustomers[Customer_ID],tblCustomers[Gender],"Not Found",0)</f>
        <v>Female</v>
      </c>
      <c r="N185" s="18" t="str">
        <f>_xlfn.XLOOKUP(tblMaster[[#This Row],[Product_ID]],tblProducts[Product_ID],tblProducts[Product_Name],"Not Found",0)</f>
        <v>Dolorum Box</v>
      </c>
      <c r="O185" s="18" t="str">
        <f>_xlfn.XLOOKUP(tblMaster[[#This Row],[Product_ID]],tblProducts[Product_ID],tblProducts[Category],"Not Found",0)</f>
        <v>Raksha Bandhan</v>
      </c>
      <c r="P185" s="18" t="str">
        <f>_xlfn.XLOOKUP(tblMaster[[#This Row],[Product_ID]],tblProducts[Product_ID],tblProducts[Occasion],"Not Found",0)</f>
        <v>Valentine's Day</v>
      </c>
      <c r="Q185" s="18">
        <f>_xlfn.XLOOKUP(tblMaster[[#This Row],[Product_ID]],tblProducts[Product_ID],tblProducts[Price (INR)],"Not Found",0)</f>
        <v>236</v>
      </c>
      <c r="R185" s="19">
        <f>tblMaster[[#This Row],[Price]]*tblMaster[[#This Row],[Quantity]]</f>
        <v>708</v>
      </c>
      <c r="S185" s="19">
        <f>tblMaster[[#This Row],[Price]]*0.7*tblMaster[[#This Row],[Quantity]]</f>
        <v>495.59999999999997</v>
      </c>
      <c r="T185" s="19">
        <f>tblMaster[[#This Row],[Revenue]]-tblMaster[[#This Row],[Estimated Cost (at 70%) ]]</f>
        <v>212.40000000000003</v>
      </c>
      <c r="U185" s="19">
        <f>tblMaster[[#This Row],[Profit]]/tblMaster[[#This Row],[Revenue]]</f>
        <v>0.30000000000000004</v>
      </c>
      <c r="V185" s="19">
        <f>tblMaster[[#This Row],[Delivery_Date]]-tblMaster[[#This Row],[Order_Date]]</f>
        <v>9</v>
      </c>
      <c r="W185" s="19" t="str">
        <f>TEXT(tblMaster[[#This Row],[Order_Date]],"mmmm")</f>
        <v>February</v>
      </c>
      <c r="X185" s="19">
        <f>MONTH(tblMaster[[#This Row],[Order_Date]])</f>
        <v>2</v>
      </c>
      <c r="Y185" s="19" t="str">
        <f>"Q"&amp;ROUNDUP(tblMaster[[#This Row],[Month Number]]/3,0)</f>
        <v>Q1</v>
      </c>
      <c r="Z185" s="19">
        <f>YEAR(tblMaster[[#This Row],[Order_Date]])</f>
        <v>2023</v>
      </c>
      <c r="AA185" s="19" t="str">
        <f>TEXT(DAY(tblMaster[[#This Row],[Order_Date]]),"dddd")</f>
        <v>Wednesday</v>
      </c>
      <c r="AB185" s="19" t="str">
        <f>IF(tblMaster[[#This Row],[Revenue]]&gt;=5000,"High",IF(tblMaster[[#This Row],[Revenue]]&lt;2000,"Low","Medium"))</f>
        <v>Low</v>
      </c>
    </row>
    <row r="186" spans="1:28" x14ac:dyDescent="0.25">
      <c r="A186" s="7">
        <v>185</v>
      </c>
      <c r="B186" s="7" t="s">
        <v>388</v>
      </c>
      <c r="C186" s="4">
        <v>18</v>
      </c>
      <c r="D186" s="4">
        <v>1</v>
      </c>
      <c r="E186" s="8">
        <v>45053</v>
      </c>
      <c r="F186" s="9">
        <v>0.29913194444444446</v>
      </c>
      <c r="G186" s="8">
        <v>45063</v>
      </c>
      <c r="H186" s="9">
        <v>0.83383101851851849</v>
      </c>
      <c r="I186" s="7" t="s">
        <v>389</v>
      </c>
      <c r="J186" s="7" t="s">
        <v>36</v>
      </c>
      <c r="K186" s="18" t="str">
        <f>_xlfn.XLOOKUP(tblMaster[[#This Row],[Customer_ID]],tblCustomers[Customer_ID],tblCustomers[City],"Not Found",0)</f>
        <v>Kalyan-Dombivli</v>
      </c>
      <c r="L186" s="18" t="str">
        <f>_xlfn.XLOOKUP(tblMaster[[#This Row],[Customer_ID]],tblCustomers[Customer_ID],tblCustomers[Name],"Not Found",0)</f>
        <v>Ritvik Garde</v>
      </c>
      <c r="M186" s="18" t="str">
        <f>_xlfn.XLOOKUP(tblMaster[[#This Row],[Customer_ID]],tblCustomers[Customer_ID],tblCustomers[Gender],"Not Found",0)</f>
        <v>Male</v>
      </c>
      <c r="N186" s="18" t="str">
        <f>_xlfn.XLOOKUP(tblMaster[[#This Row],[Product_ID]],tblProducts[Product_ID],tblProducts[Product_Name],"Not Found",0)</f>
        <v>Nemo Set</v>
      </c>
      <c r="O186" s="18" t="str">
        <f>_xlfn.XLOOKUP(tblMaster[[#This Row],[Product_ID]],tblProducts[Product_ID],tblProducts[Category],"Not Found",0)</f>
        <v>Plants</v>
      </c>
      <c r="P186" s="18" t="str">
        <f>_xlfn.XLOOKUP(tblMaster[[#This Row],[Product_ID]],tblProducts[Product_ID],tblProducts[Occasion],"Not Found",0)</f>
        <v>Birthday</v>
      </c>
      <c r="Q186" s="18">
        <f>_xlfn.XLOOKUP(tblMaster[[#This Row],[Product_ID]],tblProducts[Product_ID],tblProducts[Price (INR)],"Not Found",0)</f>
        <v>781</v>
      </c>
      <c r="R186" s="19">
        <f>tblMaster[[#This Row],[Price]]*tblMaster[[#This Row],[Quantity]]</f>
        <v>781</v>
      </c>
      <c r="S186" s="19">
        <f>tblMaster[[#This Row],[Price]]*0.7*tblMaster[[#This Row],[Quantity]]</f>
        <v>546.69999999999993</v>
      </c>
      <c r="T186" s="19">
        <f>tblMaster[[#This Row],[Revenue]]-tblMaster[[#This Row],[Estimated Cost (at 70%) ]]</f>
        <v>234.30000000000007</v>
      </c>
      <c r="U186" s="19">
        <f>tblMaster[[#This Row],[Profit]]/tblMaster[[#This Row],[Revenue]]</f>
        <v>0.3000000000000001</v>
      </c>
      <c r="V186" s="19">
        <f>tblMaster[[#This Row],[Delivery_Date]]-tblMaster[[#This Row],[Order_Date]]</f>
        <v>10</v>
      </c>
      <c r="W186" s="19" t="str">
        <f>TEXT(tblMaster[[#This Row],[Order_Date]],"mmmm")</f>
        <v>May</v>
      </c>
      <c r="X186" s="19">
        <f>MONTH(tblMaster[[#This Row],[Order_Date]])</f>
        <v>5</v>
      </c>
      <c r="Y186" s="19" t="str">
        <f>"Q"&amp;ROUNDUP(tblMaster[[#This Row],[Month Number]]/3,0)</f>
        <v>Q2</v>
      </c>
      <c r="Z186" s="19">
        <f>YEAR(tblMaster[[#This Row],[Order_Date]])</f>
        <v>2023</v>
      </c>
      <c r="AA186" s="19" t="str">
        <f>TEXT(DAY(tblMaster[[#This Row],[Order_Date]]),"dddd")</f>
        <v>Saturday</v>
      </c>
      <c r="AB186" s="19" t="str">
        <f>IF(tblMaster[[#This Row],[Revenue]]&gt;=5000,"High",IF(tblMaster[[#This Row],[Revenue]]&lt;2000,"Low","Medium"))</f>
        <v>Low</v>
      </c>
    </row>
    <row r="187" spans="1:28" x14ac:dyDescent="0.25">
      <c r="A187" s="10">
        <v>186</v>
      </c>
      <c r="B187" s="10" t="s">
        <v>331</v>
      </c>
      <c r="C187" s="5">
        <v>61</v>
      </c>
      <c r="D187" s="5">
        <v>1</v>
      </c>
      <c r="E187" s="11">
        <v>45055</v>
      </c>
      <c r="F187" s="12">
        <v>0.38175925925925924</v>
      </c>
      <c r="G187" s="11">
        <v>45057</v>
      </c>
      <c r="H187" s="12">
        <v>1.1377314814814814E-2</v>
      </c>
      <c r="I187" s="10" t="s">
        <v>217</v>
      </c>
      <c r="J187" s="10" t="s">
        <v>30</v>
      </c>
      <c r="K187" s="18" t="str">
        <f>_xlfn.XLOOKUP(tblMaster[[#This Row],[Customer_ID]],tblCustomers[Customer_ID],tblCustomers[City],"Not Found",0)</f>
        <v>Guntakal</v>
      </c>
      <c r="L187" s="18" t="str">
        <f>_xlfn.XLOOKUP(tblMaster[[#This Row],[Customer_ID]],tblCustomers[Customer_ID],tblCustomers[Name],"Not Found",0)</f>
        <v>Aradhya Kale</v>
      </c>
      <c r="M187" s="18" t="str">
        <f>_xlfn.XLOOKUP(tblMaster[[#This Row],[Customer_ID]],tblCustomers[Customer_ID],tblCustomers[Gender],"Not Found",0)</f>
        <v>Male</v>
      </c>
      <c r="N187" s="18" t="str">
        <f>_xlfn.XLOOKUP(tblMaster[[#This Row],[Product_ID]],tblProducts[Product_ID],tblProducts[Product_Name],"Not Found",0)</f>
        <v>Iusto Box</v>
      </c>
      <c r="O187" s="18" t="str">
        <f>_xlfn.XLOOKUP(tblMaster[[#This Row],[Product_ID]],tblProducts[Product_ID],tblProducts[Category],"Not Found",0)</f>
        <v>Plants</v>
      </c>
      <c r="P187" s="18" t="str">
        <f>_xlfn.XLOOKUP(tblMaster[[#This Row],[Product_ID]],tblProducts[Product_ID],tblProducts[Occasion],"Not Found",0)</f>
        <v>Anniversary</v>
      </c>
      <c r="Q187" s="18">
        <f>_xlfn.XLOOKUP(tblMaster[[#This Row],[Product_ID]],tblProducts[Product_ID],tblProducts[Price (INR)],"Not Found",0)</f>
        <v>810</v>
      </c>
      <c r="R187" s="19">
        <f>tblMaster[[#This Row],[Price]]*tblMaster[[#This Row],[Quantity]]</f>
        <v>810</v>
      </c>
      <c r="S187" s="19">
        <f>tblMaster[[#This Row],[Price]]*0.7*tblMaster[[#This Row],[Quantity]]</f>
        <v>567</v>
      </c>
      <c r="T187" s="19">
        <f>tblMaster[[#This Row],[Revenue]]-tblMaster[[#This Row],[Estimated Cost (at 70%) ]]</f>
        <v>243</v>
      </c>
      <c r="U187" s="19">
        <f>tblMaster[[#This Row],[Profit]]/tblMaster[[#This Row],[Revenue]]</f>
        <v>0.3</v>
      </c>
      <c r="V187" s="19">
        <f>tblMaster[[#This Row],[Delivery_Date]]-tblMaster[[#This Row],[Order_Date]]</f>
        <v>2</v>
      </c>
      <c r="W187" s="19" t="str">
        <f>TEXT(tblMaster[[#This Row],[Order_Date]],"mmmm")</f>
        <v>May</v>
      </c>
      <c r="X187" s="19">
        <f>MONTH(tblMaster[[#This Row],[Order_Date]])</f>
        <v>5</v>
      </c>
      <c r="Y187" s="19" t="str">
        <f>"Q"&amp;ROUNDUP(tblMaster[[#This Row],[Month Number]]/3,0)</f>
        <v>Q2</v>
      </c>
      <c r="Z187" s="19">
        <f>YEAR(tblMaster[[#This Row],[Order_Date]])</f>
        <v>2023</v>
      </c>
      <c r="AA187" s="19" t="str">
        <f>TEXT(DAY(tblMaster[[#This Row],[Order_Date]]),"dddd")</f>
        <v>Monday</v>
      </c>
      <c r="AB187" s="19" t="str">
        <f>IF(tblMaster[[#This Row],[Revenue]]&gt;=5000,"High",IF(tblMaster[[#This Row],[Revenue]]&lt;2000,"Low","Medium"))</f>
        <v>Low</v>
      </c>
    </row>
    <row r="188" spans="1:28" x14ac:dyDescent="0.25">
      <c r="A188" s="7">
        <v>187</v>
      </c>
      <c r="B188" s="7" t="s">
        <v>289</v>
      </c>
      <c r="C188" s="4">
        <v>49</v>
      </c>
      <c r="D188" s="4">
        <v>5</v>
      </c>
      <c r="E188" s="8">
        <v>44968</v>
      </c>
      <c r="F188" s="9">
        <v>0.88241898148148146</v>
      </c>
      <c r="G188" s="8">
        <v>44973</v>
      </c>
      <c r="H188" s="9">
        <v>0.39871527777777777</v>
      </c>
      <c r="I188" s="7" t="s">
        <v>390</v>
      </c>
      <c r="J188" s="7" t="s">
        <v>12</v>
      </c>
      <c r="K188" s="18" t="str">
        <f>_xlfn.XLOOKUP(tblMaster[[#This Row],[Customer_ID]],tblCustomers[Customer_ID],tblCustomers[City],"Not Found",0)</f>
        <v>Chinsurah</v>
      </c>
      <c r="L188" s="18" t="str">
        <f>_xlfn.XLOOKUP(tblMaster[[#This Row],[Customer_ID]],tblCustomers[Customer_ID],tblCustomers[Name],"Not Found",0)</f>
        <v>Veer Ray</v>
      </c>
      <c r="M188" s="18" t="str">
        <f>_xlfn.XLOOKUP(tblMaster[[#This Row],[Customer_ID]],tblCustomers[Customer_ID],tblCustomers[Gender],"Not Found",0)</f>
        <v>Female</v>
      </c>
      <c r="N188" s="18" t="str">
        <f>_xlfn.XLOOKUP(tblMaster[[#This Row],[Product_ID]],tblProducts[Product_ID],tblProducts[Product_Name],"Not Found",0)</f>
        <v>Voluptate Pack</v>
      </c>
      <c r="O188" s="18" t="str">
        <f>_xlfn.XLOOKUP(tblMaster[[#This Row],[Product_ID]],tblProducts[Product_ID],tblProducts[Category],"Not Found",0)</f>
        <v>Colors</v>
      </c>
      <c r="P188" s="18" t="str">
        <f>_xlfn.XLOOKUP(tblMaster[[#This Row],[Product_ID]],tblProducts[Product_ID],tblProducts[Occasion],"Not Found",0)</f>
        <v>Valentine's Day</v>
      </c>
      <c r="Q188" s="18">
        <f>_xlfn.XLOOKUP(tblMaster[[#This Row],[Product_ID]],tblProducts[Product_ID],tblProducts[Price (INR)],"Not Found",0)</f>
        <v>903</v>
      </c>
      <c r="R188" s="19">
        <f>tblMaster[[#This Row],[Price]]*tblMaster[[#This Row],[Quantity]]</f>
        <v>4515</v>
      </c>
      <c r="S188" s="19">
        <f>tblMaster[[#This Row],[Price]]*0.7*tblMaster[[#This Row],[Quantity]]</f>
        <v>3160.4999999999995</v>
      </c>
      <c r="T188" s="19">
        <f>tblMaster[[#This Row],[Revenue]]-tblMaster[[#This Row],[Estimated Cost (at 70%) ]]</f>
        <v>1354.5000000000005</v>
      </c>
      <c r="U188" s="19">
        <f>tblMaster[[#This Row],[Profit]]/tblMaster[[#This Row],[Revenue]]</f>
        <v>0.3000000000000001</v>
      </c>
      <c r="V188" s="19">
        <f>tblMaster[[#This Row],[Delivery_Date]]-tblMaster[[#This Row],[Order_Date]]</f>
        <v>5</v>
      </c>
      <c r="W188" s="19" t="str">
        <f>TEXT(tblMaster[[#This Row],[Order_Date]],"mmmm")</f>
        <v>February</v>
      </c>
      <c r="X188" s="19">
        <f>MONTH(tblMaster[[#This Row],[Order_Date]])</f>
        <v>2</v>
      </c>
      <c r="Y188" s="19" t="str">
        <f>"Q"&amp;ROUNDUP(tblMaster[[#This Row],[Month Number]]/3,0)</f>
        <v>Q1</v>
      </c>
      <c r="Z188" s="19">
        <f>YEAR(tblMaster[[#This Row],[Order_Date]])</f>
        <v>2023</v>
      </c>
      <c r="AA188" s="19" t="str">
        <f>TEXT(DAY(tblMaster[[#This Row],[Order_Date]]),"dddd")</f>
        <v>Wednesday</v>
      </c>
      <c r="AB188" s="19" t="str">
        <f>IF(tblMaster[[#This Row],[Revenue]]&gt;=5000,"High",IF(tblMaster[[#This Row],[Revenue]]&lt;2000,"Low","Medium"))</f>
        <v>Medium</v>
      </c>
    </row>
    <row r="189" spans="1:28" x14ac:dyDescent="0.25">
      <c r="A189" s="10">
        <v>188</v>
      </c>
      <c r="B189" s="10" t="s">
        <v>229</v>
      </c>
      <c r="C189" s="5">
        <v>22</v>
      </c>
      <c r="D189" s="5">
        <v>5</v>
      </c>
      <c r="E189" s="11">
        <v>45187</v>
      </c>
      <c r="F189" s="12">
        <v>6.8437499999999998E-2</v>
      </c>
      <c r="G189" s="11">
        <v>45194</v>
      </c>
      <c r="H189" s="12">
        <v>0.58486111111111116</v>
      </c>
      <c r="I189" s="10" t="s">
        <v>391</v>
      </c>
      <c r="J189" s="10" t="s">
        <v>8</v>
      </c>
      <c r="K189" s="18" t="str">
        <f>_xlfn.XLOOKUP(tblMaster[[#This Row],[Customer_ID]],tblCustomers[Customer_ID],tblCustomers[City],"Not Found",0)</f>
        <v>Anand</v>
      </c>
      <c r="L189" s="18" t="str">
        <f>_xlfn.XLOOKUP(tblMaster[[#This Row],[Customer_ID]],tblCustomers[Customer_ID],tblCustomers[Name],"Not Found",0)</f>
        <v>Eva Sankaran</v>
      </c>
      <c r="M189" s="18" t="str">
        <f>_xlfn.XLOOKUP(tblMaster[[#This Row],[Customer_ID]],tblCustomers[Customer_ID],tblCustomers[Gender],"Not Found",0)</f>
        <v>Male</v>
      </c>
      <c r="N189" s="18" t="str">
        <f>_xlfn.XLOOKUP(tblMaster[[#This Row],[Product_ID]],tblProducts[Product_ID],tblProducts[Product_Name],"Not Found",0)</f>
        <v>Exercitationem Pack</v>
      </c>
      <c r="O189" s="18" t="str">
        <f>_xlfn.XLOOKUP(tblMaster[[#This Row],[Product_ID]],tblProducts[Product_ID],tblProducts[Category],"Not Found",0)</f>
        <v>Soft Toys</v>
      </c>
      <c r="P189" s="18" t="str">
        <f>_xlfn.XLOOKUP(tblMaster[[#This Row],[Product_ID]],tblProducts[Product_ID],tblProducts[Occasion],"Not Found",0)</f>
        <v>All Occasions</v>
      </c>
      <c r="Q189" s="18">
        <f>_xlfn.XLOOKUP(tblMaster[[#This Row],[Product_ID]],tblProducts[Product_ID],tblProducts[Price (INR)],"Not Found",0)</f>
        <v>1639</v>
      </c>
      <c r="R189" s="19">
        <f>tblMaster[[#This Row],[Price]]*tblMaster[[#This Row],[Quantity]]</f>
        <v>8195</v>
      </c>
      <c r="S189" s="19">
        <f>tblMaster[[#This Row],[Price]]*0.7*tblMaster[[#This Row],[Quantity]]</f>
        <v>5736.5</v>
      </c>
      <c r="T189" s="19">
        <f>tblMaster[[#This Row],[Revenue]]-tblMaster[[#This Row],[Estimated Cost (at 70%) ]]</f>
        <v>2458.5</v>
      </c>
      <c r="U189" s="19">
        <f>tblMaster[[#This Row],[Profit]]/tblMaster[[#This Row],[Revenue]]</f>
        <v>0.3</v>
      </c>
      <c r="V189" s="19">
        <f>tblMaster[[#This Row],[Delivery_Date]]-tblMaster[[#This Row],[Order_Date]]</f>
        <v>7</v>
      </c>
      <c r="W189" s="19" t="str">
        <f>TEXT(tblMaster[[#This Row],[Order_Date]],"mmmm")</f>
        <v>September</v>
      </c>
      <c r="X189" s="19">
        <f>MONTH(tblMaster[[#This Row],[Order_Date]])</f>
        <v>9</v>
      </c>
      <c r="Y189" s="19" t="str">
        <f>"Q"&amp;ROUNDUP(tblMaster[[#This Row],[Month Number]]/3,0)</f>
        <v>Q3</v>
      </c>
      <c r="Z189" s="19">
        <f>YEAR(tblMaster[[#This Row],[Order_Date]])</f>
        <v>2023</v>
      </c>
      <c r="AA189" s="19" t="str">
        <f>TEXT(DAY(tblMaster[[#This Row],[Order_Date]]),"dddd")</f>
        <v>Wednesday</v>
      </c>
      <c r="AB189" s="19" t="str">
        <f>IF(tblMaster[[#This Row],[Revenue]]&gt;=5000,"High",IF(tblMaster[[#This Row],[Revenue]]&lt;2000,"Low","Medium"))</f>
        <v>High</v>
      </c>
    </row>
    <row r="190" spans="1:28" x14ac:dyDescent="0.25">
      <c r="A190" s="7">
        <v>189</v>
      </c>
      <c r="B190" s="7" t="s">
        <v>392</v>
      </c>
      <c r="C190" s="4">
        <v>57</v>
      </c>
      <c r="D190" s="4">
        <v>1</v>
      </c>
      <c r="E190" s="8">
        <v>45249</v>
      </c>
      <c r="F190" s="9">
        <v>0.7238310185185185</v>
      </c>
      <c r="G190" s="8">
        <v>45252</v>
      </c>
      <c r="H190" s="9">
        <v>0.55687500000000001</v>
      </c>
      <c r="I190" s="7" t="s">
        <v>393</v>
      </c>
      <c r="J190" s="7" t="s">
        <v>36</v>
      </c>
      <c r="K190" s="18" t="str">
        <f>_xlfn.XLOOKUP(tblMaster[[#This Row],[Customer_ID]],tblCustomers[Customer_ID],tblCustomers[City],"Not Found",0)</f>
        <v>Tenali</v>
      </c>
      <c r="L190" s="18" t="str">
        <f>_xlfn.XLOOKUP(tblMaster[[#This Row],[Customer_ID]],tblCustomers[Customer_ID],tblCustomers[Name],"Not Found",0)</f>
        <v>Amani Ganesh</v>
      </c>
      <c r="M190" s="18" t="str">
        <f>_xlfn.XLOOKUP(tblMaster[[#This Row],[Customer_ID]],tblCustomers[Customer_ID],tblCustomers[Gender],"Not Found",0)</f>
        <v>Male</v>
      </c>
      <c r="N190" s="18" t="str">
        <f>_xlfn.XLOOKUP(tblMaster[[#This Row],[Product_ID]],tblProducts[Product_ID],tblProducts[Product_Name],"Not Found",0)</f>
        <v>Voluptatem Box</v>
      </c>
      <c r="O190" s="18" t="str">
        <f>_xlfn.XLOOKUP(tblMaster[[#This Row],[Product_ID]],tblProducts[Product_ID],tblProducts[Category],"Not Found",0)</f>
        <v>Colors</v>
      </c>
      <c r="P190" s="18" t="str">
        <f>_xlfn.XLOOKUP(tblMaster[[#This Row],[Product_ID]],tblProducts[Product_ID],tblProducts[Occasion],"Not Found",0)</f>
        <v>Birthday</v>
      </c>
      <c r="Q190" s="18">
        <f>_xlfn.XLOOKUP(tblMaster[[#This Row],[Product_ID]],tblProducts[Product_ID],tblProducts[Price (INR)],"Not Found",0)</f>
        <v>1582</v>
      </c>
      <c r="R190" s="19">
        <f>tblMaster[[#This Row],[Price]]*tblMaster[[#This Row],[Quantity]]</f>
        <v>1582</v>
      </c>
      <c r="S190" s="19">
        <f>tblMaster[[#This Row],[Price]]*0.7*tblMaster[[#This Row],[Quantity]]</f>
        <v>1107.3999999999999</v>
      </c>
      <c r="T190" s="19">
        <f>tblMaster[[#This Row],[Revenue]]-tblMaster[[#This Row],[Estimated Cost (at 70%) ]]</f>
        <v>474.60000000000014</v>
      </c>
      <c r="U190" s="19">
        <f>tblMaster[[#This Row],[Profit]]/tblMaster[[#This Row],[Revenue]]</f>
        <v>0.3000000000000001</v>
      </c>
      <c r="V190" s="19">
        <f>tblMaster[[#This Row],[Delivery_Date]]-tblMaster[[#This Row],[Order_Date]]</f>
        <v>3</v>
      </c>
      <c r="W190" s="19" t="str">
        <f>TEXT(tblMaster[[#This Row],[Order_Date]],"mmmm")</f>
        <v>November</v>
      </c>
      <c r="X190" s="19">
        <f>MONTH(tblMaster[[#This Row],[Order_Date]])</f>
        <v>11</v>
      </c>
      <c r="Y190" s="19" t="str">
        <f>"Q"&amp;ROUNDUP(tblMaster[[#This Row],[Month Number]]/3,0)</f>
        <v>Q4</v>
      </c>
      <c r="Z190" s="19">
        <f>YEAR(tblMaster[[#This Row],[Order_Date]])</f>
        <v>2023</v>
      </c>
      <c r="AA190" s="19" t="str">
        <f>TEXT(DAY(tblMaster[[#This Row],[Order_Date]]),"dddd")</f>
        <v>Thursday</v>
      </c>
      <c r="AB190" s="19" t="str">
        <f>IF(tblMaster[[#This Row],[Revenue]]&gt;=5000,"High",IF(tblMaster[[#This Row],[Revenue]]&lt;2000,"Low","Medium"))</f>
        <v>Low</v>
      </c>
    </row>
    <row r="191" spans="1:28" x14ac:dyDescent="0.25">
      <c r="A191" s="10">
        <v>190</v>
      </c>
      <c r="B191" s="10" t="s">
        <v>227</v>
      </c>
      <c r="C191" s="5">
        <v>60</v>
      </c>
      <c r="D191" s="5">
        <v>5</v>
      </c>
      <c r="E191" s="11">
        <v>45239</v>
      </c>
      <c r="F191" s="12">
        <v>0.52348379629629627</v>
      </c>
      <c r="G191" s="11">
        <v>45243</v>
      </c>
      <c r="H191" s="12">
        <v>0.57041666666666668</v>
      </c>
      <c r="I191" s="10" t="s">
        <v>264</v>
      </c>
      <c r="J191" s="10" t="s">
        <v>19</v>
      </c>
      <c r="K191" s="18" t="str">
        <f>_xlfn.XLOOKUP(tblMaster[[#This Row],[Customer_ID]],tblCustomers[Customer_ID],tblCustomers[City],"Not Found",0)</f>
        <v>Medininagar</v>
      </c>
      <c r="L191" s="18" t="str">
        <f>_xlfn.XLOOKUP(tblMaster[[#This Row],[Customer_ID]],tblCustomers[Customer_ID],tblCustomers[Name],"Not Found",0)</f>
        <v>Kavya Reddy</v>
      </c>
      <c r="M191" s="18" t="str">
        <f>_xlfn.XLOOKUP(tblMaster[[#This Row],[Customer_ID]],tblCustomers[Customer_ID],tblCustomers[Gender],"Not Found",0)</f>
        <v>Male</v>
      </c>
      <c r="N191" s="18" t="str">
        <f>_xlfn.XLOOKUP(tblMaster[[#This Row],[Product_ID]],tblProducts[Product_ID],tblProducts[Product_Name],"Not Found",0)</f>
        <v>Ea Set</v>
      </c>
      <c r="O191" s="18" t="str">
        <f>_xlfn.XLOOKUP(tblMaster[[#This Row],[Product_ID]],tblProducts[Product_ID],tblProducts[Category],"Not Found",0)</f>
        <v>Sweets</v>
      </c>
      <c r="P191" s="18" t="str">
        <f>_xlfn.XLOOKUP(tblMaster[[#This Row],[Product_ID]],tblProducts[Product_ID],tblProducts[Occasion],"Not Found",0)</f>
        <v>Diwali</v>
      </c>
      <c r="Q191" s="18">
        <f>_xlfn.XLOOKUP(tblMaster[[#This Row],[Product_ID]],tblProducts[Product_ID],tblProducts[Price (INR)],"Not Found",0)</f>
        <v>827</v>
      </c>
      <c r="R191" s="19">
        <f>tblMaster[[#This Row],[Price]]*tblMaster[[#This Row],[Quantity]]</f>
        <v>4135</v>
      </c>
      <c r="S191" s="19">
        <f>tblMaster[[#This Row],[Price]]*0.7*tblMaster[[#This Row],[Quantity]]</f>
        <v>2894.5</v>
      </c>
      <c r="T191" s="19">
        <f>tblMaster[[#This Row],[Revenue]]-tblMaster[[#This Row],[Estimated Cost (at 70%) ]]</f>
        <v>1240.5</v>
      </c>
      <c r="U191" s="19">
        <f>tblMaster[[#This Row],[Profit]]/tblMaster[[#This Row],[Revenue]]</f>
        <v>0.3</v>
      </c>
      <c r="V191" s="19">
        <f>tblMaster[[#This Row],[Delivery_Date]]-tblMaster[[#This Row],[Order_Date]]</f>
        <v>4</v>
      </c>
      <c r="W191" s="19" t="str">
        <f>TEXT(tblMaster[[#This Row],[Order_Date]],"mmmm")</f>
        <v>November</v>
      </c>
      <c r="X191" s="19">
        <f>MONTH(tblMaster[[#This Row],[Order_Date]])</f>
        <v>11</v>
      </c>
      <c r="Y191" s="19" t="str">
        <f>"Q"&amp;ROUNDUP(tblMaster[[#This Row],[Month Number]]/3,0)</f>
        <v>Q4</v>
      </c>
      <c r="Z191" s="19">
        <f>YEAR(tblMaster[[#This Row],[Order_Date]])</f>
        <v>2023</v>
      </c>
      <c r="AA191" s="19" t="str">
        <f>TEXT(DAY(tblMaster[[#This Row],[Order_Date]]),"dddd")</f>
        <v>Monday</v>
      </c>
      <c r="AB191" s="19" t="str">
        <f>IF(tblMaster[[#This Row],[Revenue]]&gt;=5000,"High",IF(tblMaster[[#This Row],[Revenue]]&lt;2000,"Low","Medium"))</f>
        <v>Medium</v>
      </c>
    </row>
    <row r="192" spans="1:28" x14ac:dyDescent="0.25">
      <c r="A192" s="7">
        <v>191</v>
      </c>
      <c r="B192" s="7" t="s">
        <v>172</v>
      </c>
      <c r="C192" s="4">
        <v>24</v>
      </c>
      <c r="D192" s="4">
        <v>3</v>
      </c>
      <c r="E192" s="8">
        <v>45211</v>
      </c>
      <c r="F192" s="9">
        <v>0.7590972222222222</v>
      </c>
      <c r="G192" s="8">
        <v>45216</v>
      </c>
      <c r="H192" s="9">
        <v>0.36807870370370371</v>
      </c>
      <c r="I192" s="7" t="s">
        <v>394</v>
      </c>
      <c r="J192" s="7" t="s">
        <v>36</v>
      </c>
      <c r="K192" s="18" t="str">
        <f>_xlfn.XLOOKUP(tblMaster[[#This Row],[Customer_ID]],tblCustomers[Customer_ID],tblCustomers[City],"Not Found",0)</f>
        <v>Bilaspur</v>
      </c>
      <c r="L192" s="18" t="str">
        <f>_xlfn.XLOOKUP(tblMaster[[#This Row],[Customer_ID]],tblCustomers[Customer_ID],tblCustomers[Name],"Not Found",0)</f>
        <v>Onkar Mangat</v>
      </c>
      <c r="M192" s="18" t="str">
        <f>_xlfn.XLOOKUP(tblMaster[[#This Row],[Customer_ID]],tblCustomers[Customer_ID],tblCustomers[Gender],"Not Found",0)</f>
        <v>Male</v>
      </c>
      <c r="N192" s="18" t="str">
        <f>_xlfn.XLOOKUP(tblMaster[[#This Row],[Product_ID]],tblProducts[Product_ID],tblProducts[Product_Name],"Not Found",0)</f>
        <v>Ad Box</v>
      </c>
      <c r="O192" s="18" t="str">
        <f>_xlfn.XLOOKUP(tblMaster[[#This Row],[Product_ID]],tblProducts[Product_ID],tblProducts[Category],"Not Found",0)</f>
        <v>Mugs</v>
      </c>
      <c r="P192" s="18" t="str">
        <f>_xlfn.XLOOKUP(tblMaster[[#This Row],[Product_ID]],tblProducts[Product_ID],tblProducts[Occasion],"Not Found",0)</f>
        <v>Birthday</v>
      </c>
      <c r="Q192" s="18">
        <f>_xlfn.XLOOKUP(tblMaster[[#This Row],[Product_ID]],tblProducts[Product_ID],tblProducts[Price (INR)],"Not Found",0)</f>
        <v>535</v>
      </c>
      <c r="R192" s="19">
        <f>tblMaster[[#This Row],[Price]]*tblMaster[[#This Row],[Quantity]]</f>
        <v>1605</v>
      </c>
      <c r="S192" s="19">
        <f>tblMaster[[#This Row],[Price]]*0.7*tblMaster[[#This Row],[Quantity]]</f>
        <v>1123.5</v>
      </c>
      <c r="T192" s="19">
        <f>tblMaster[[#This Row],[Revenue]]-tblMaster[[#This Row],[Estimated Cost (at 70%) ]]</f>
        <v>481.5</v>
      </c>
      <c r="U192" s="19">
        <f>tblMaster[[#This Row],[Profit]]/tblMaster[[#This Row],[Revenue]]</f>
        <v>0.3</v>
      </c>
      <c r="V192" s="19">
        <f>tblMaster[[#This Row],[Delivery_Date]]-tblMaster[[#This Row],[Order_Date]]</f>
        <v>5</v>
      </c>
      <c r="W192" s="19" t="str">
        <f>TEXT(tblMaster[[#This Row],[Order_Date]],"mmmm")</f>
        <v>October</v>
      </c>
      <c r="X192" s="19">
        <f>MONTH(tblMaster[[#This Row],[Order_Date]])</f>
        <v>10</v>
      </c>
      <c r="Y192" s="19" t="str">
        <f>"Q"&amp;ROUNDUP(tblMaster[[#This Row],[Month Number]]/3,0)</f>
        <v>Q4</v>
      </c>
      <c r="Z192" s="19">
        <f>YEAR(tblMaster[[#This Row],[Order_Date]])</f>
        <v>2023</v>
      </c>
      <c r="AA192" s="19" t="str">
        <f>TEXT(DAY(tblMaster[[#This Row],[Order_Date]]),"dddd")</f>
        <v>Thursday</v>
      </c>
      <c r="AB192" s="19" t="str">
        <f>IF(tblMaster[[#This Row],[Revenue]]&gt;=5000,"High",IF(tblMaster[[#This Row],[Revenue]]&lt;2000,"Low","Medium"))</f>
        <v>Low</v>
      </c>
    </row>
    <row r="193" spans="1:28" x14ac:dyDescent="0.25">
      <c r="A193" s="10">
        <v>192</v>
      </c>
      <c r="B193" s="10" t="s">
        <v>299</v>
      </c>
      <c r="C193" s="5">
        <v>64</v>
      </c>
      <c r="D193" s="5">
        <v>5</v>
      </c>
      <c r="E193" s="11">
        <v>45158</v>
      </c>
      <c r="F193" s="12">
        <v>0.51981481481481484</v>
      </c>
      <c r="G193" s="11">
        <v>45159</v>
      </c>
      <c r="H193" s="12">
        <v>9.1180555555555556E-2</v>
      </c>
      <c r="I193" s="10" t="s">
        <v>199</v>
      </c>
      <c r="J193" s="10" t="s">
        <v>33</v>
      </c>
      <c r="K193" s="18" t="str">
        <f>_xlfn.XLOOKUP(tblMaster[[#This Row],[Customer_ID]],tblCustomers[Customer_ID],tblCustomers[City],"Not Found",0)</f>
        <v>Satara</v>
      </c>
      <c r="L193" s="18" t="str">
        <f>_xlfn.XLOOKUP(tblMaster[[#This Row],[Customer_ID]],tblCustomers[Customer_ID],tblCustomers[Name],"Not Found",0)</f>
        <v>Riya Wagle</v>
      </c>
      <c r="M193" s="18" t="str">
        <f>_xlfn.XLOOKUP(tblMaster[[#This Row],[Customer_ID]],tblCustomers[Customer_ID],tblCustomers[Gender],"Not Found",0)</f>
        <v>Male</v>
      </c>
      <c r="N193" s="18" t="str">
        <f>_xlfn.XLOOKUP(tblMaster[[#This Row],[Product_ID]],tblProducts[Product_ID],tblProducts[Product_Name],"Not Found",0)</f>
        <v>Nostrum Box</v>
      </c>
      <c r="O193" s="18" t="str">
        <f>_xlfn.XLOOKUP(tblMaster[[#This Row],[Product_ID]],tblProducts[Product_ID],tblProducts[Category],"Not Found",0)</f>
        <v>Soft Toys</v>
      </c>
      <c r="P193" s="18" t="str">
        <f>_xlfn.XLOOKUP(tblMaster[[#This Row],[Product_ID]],tblProducts[Product_ID],tblProducts[Occasion],"Not Found",0)</f>
        <v>Raksha Bandhan</v>
      </c>
      <c r="Q193" s="18">
        <f>_xlfn.XLOOKUP(tblMaster[[#This Row],[Product_ID]],tblProducts[Product_ID],tblProducts[Price (INR)],"Not Found",0)</f>
        <v>1878</v>
      </c>
      <c r="R193" s="19">
        <f>tblMaster[[#This Row],[Price]]*tblMaster[[#This Row],[Quantity]]</f>
        <v>9390</v>
      </c>
      <c r="S193" s="19">
        <f>tblMaster[[#This Row],[Price]]*0.7*tblMaster[[#This Row],[Quantity]]</f>
        <v>6573</v>
      </c>
      <c r="T193" s="19">
        <f>tblMaster[[#This Row],[Revenue]]-tblMaster[[#This Row],[Estimated Cost (at 70%) ]]</f>
        <v>2817</v>
      </c>
      <c r="U193" s="19">
        <f>tblMaster[[#This Row],[Profit]]/tblMaster[[#This Row],[Revenue]]</f>
        <v>0.3</v>
      </c>
      <c r="V193" s="19">
        <f>tblMaster[[#This Row],[Delivery_Date]]-tblMaster[[#This Row],[Order_Date]]</f>
        <v>1</v>
      </c>
      <c r="W193" s="19" t="str">
        <f>TEXT(tblMaster[[#This Row],[Order_Date]],"mmmm")</f>
        <v>August</v>
      </c>
      <c r="X193" s="19">
        <f>MONTH(tblMaster[[#This Row],[Order_Date]])</f>
        <v>8</v>
      </c>
      <c r="Y193" s="19" t="str">
        <f>"Q"&amp;ROUNDUP(tblMaster[[#This Row],[Month Number]]/3,0)</f>
        <v>Q3</v>
      </c>
      <c r="Z193" s="19">
        <f>YEAR(tblMaster[[#This Row],[Order_Date]])</f>
        <v>2023</v>
      </c>
      <c r="AA193" s="19" t="str">
        <f>TEXT(DAY(tblMaster[[#This Row],[Order_Date]]),"dddd")</f>
        <v>Friday</v>
      </c>
      <c r="AB193" s="19" t="str">
        <f>IF(tblMaster[[#This Row],[Revenue]]&gt;=5000,"High",IF(tblMaster[[#This Row],[Revenue]]&lt;2000,"Low","Medium"))</f>
        <v>High</v>
      </c>
    </row>
    <row r="194" spans="1:28" x14ac:dyDescent="0.25">
      <c r="A194" s="7">
        <v>193</v>
      </c>
      <c r="B194" s="7" t="s">
        <v>293</v>
      </c>
      <c r="C194" s="4">
        <v>42</v>
      </c>
      <c r="D194" s="4">
        <v>4</v>
      </c>
      <c r="E194" s="8">
        <v>45154</v>
      </c>
      <c r="F194" s="9">
        <v>0.98922453703703705</v>
      </c>
      <c r="G194" s="8">
        <v>45157</v>
      </c>
      <c r="H194" s="9">
        <v>0.10696759259259259</v>
      </c>
      <c r="I194" s="7" t="s">
        <v>179</v>
      </c>
      <c r="J194" s="7" t="s">
        <v>8</v>
      </c>
      <c r="K194" s="18" t="str">
        <f>_xlfn.XLOOKUP(tblMaster[[#This Row],[Customer_ID]],tblCustomers[Customer_ID],tblCustomers[City],"Not Found",0)</f>
        <v>Aizawl</v>
      </c>
      <c r="L194" s="18" t="str">
        <f>_xlfn.XLOOKUP(tblMaster[[#This Row],[Customer_ID]],tblCustomers[Customer_ID],tblCustomers[Name],"Not Found",0)</f>
        <v>Yakshit Shah</v>
      </c>
      <c r="M194" s="18" t="str">
        <f>_xlfn.XLOOKUP(tblMaster[[#This Row],[Customer_ID]],tblCustomers[Customer_ID],tblCustomers[Gender],"Not Found",0)</f>
        <v>Female</v>
      </c>
      <c r="N194" s="18" t="str">
        <f>_xlfn.XLOOKUP(tblMaster[[#This Row],[Product_ID]],tblProducts[Product_ID],tblProducts[Product_Name],"Not Found",0)</f>
        <v>Expedita Gift</v>
      </c>
      <c r="O194" s="18" t="str">
        <f>_xlfn.XLOOKUP(tblMaster[[#This Row],[Product_ID]],tblProducts[Product_ID],tblProducts[Category],"Not Found",0)</f>
        <v>Sweets</v>
      </c>
      <c r="P194" s="18" t="str">
        <f>_xlfn.XLOOKUP(tblMaster[[#This Row],[Product_ID]],tblProducts[Product_ID],tblProducts[Occasion],"Not Found",0)</f>
        <v>All Occasions</v>
      </c>
      <c r="Q194" s="18">
        <f>_xlfn.XLOOKUP(tblMaster[[#This Row],[Product_ID]],tblProducts[Product_ID],tblProducts[Price (INR)],"Not Found",0)</f>
        <v>1744</v>
      </c>
      <c r="R194" s="19">
        <f>tblMaster[[#This Row],[Price]]*tblMaster[[#This Row],[Quantity]]</f>
        <v>6976</v>
      </c>
      <c r="S194" s="19">
        <f>tblMaster[[#This Row],[Price]]*0.7*tblMaster[[#This Row],[Quantity]]</f>
        <v>4883.2</v>
      </c>
      <c r="T194" s="19">
        <f>tblMaster[[#This Row],[Revenue]]-tblMaster[[#This Row],[Estimated Cost (at 70%) ]]</f>
        <v>2092.8000000000002</v>
      </c>
      <c r="U194" s="19">
        <f>tblMaster[[#This Row],[Profit]]/tblMaster[[#This Row],[Revenue]]</f>
        <v>0.30000000000000004</v>
      </c>
      <c r="V194" s="19">
        <f>tblMaster[[#This Row],[Delivery_Date]]-tblMaster[[#This Row],[Order_Date]]</f>
        <v>3</v>
      </c>
      <c r="W194" s="19" t="str">
        <f>TEXT(tblMaster[[#This Row],[Order_Date]],"mmmm")</f>
        <v>August</v>
      </c>
      <c r="X194" s="19">
        <f>MONTH(tblMaster[[#This Row],[Order_Date]])</f>
        <v>8</v>
      </c>
      <c r="Y194" s="19" t="str">
        <f>"Q"&amp;ROUNDUP(tblMaster[[#This Row],[Month Number]]/3,0)</f>
        <v>Q3</v>
      </c>
      <c r="Z194" s="19">
        <f>YEAR(tblMaster[[#This Row],[Order_Date]])</f>
        <v>2023</v>
      </c>
      <c r="AA194" s="19" t="str">
        <f>TEXT(DAY(tblMaster[[#This Row],[Order_Date]]),"dddd")</f>
        <v>Monday</v>
      </c>
      <c r="AB194" s="19" t="str">
        <f>IF(tblMaster[[#This Row],[Revenue]]&gt;=5000,"High",IF(tblMaster[[#This Row],[Revenue]]&lt;2000,"Low","Medium"))</f>
        <v>High</v>
      </c>
    </row>
    <row r="195" spans="1:28" x14ac:dyDescent="0.25">
      <c r="A195" s="10">
        <v>194</v>
      </c>
      <c r="B195" s="10" t="s">
        <v>337</v>
      </c>
      <c r="C195" s="5">
        <v>58</v>
      </c>
      <c r="D195" s="5">
        <v>4</v>
      </c>
      <c r="E195" s="11">
        <v>44965</v>
      </c>
      <c r="F195" s="12">
        <v>0.48714120370370373</v>
      </c>
      <c r="G195" s="11">
        <v>44966</v>
      </c>
      <c r="H195" s="12">
        <v>0.20451388888888888</v>
      </c>
      <c r="I195" s="10" t="s">
        <v>395</v>
      </c>
      <c r="J195" s="10" t="s">
        <v>12</v>
      </c>
      <c r="K195" s="18" t="str">
        <f>_xlfn.XLOOKUP(tblMaster[[#This Row],[Customer_ID]],tblCustomers[Customer_ID],tblCustomers[City],"Not Found",0)</f>
        <v>Sambhal</v>
      </c>
      <c r="L195" s="18" t="str">
        <f>_xlfn.XLOOKUP(tblMaster[[#This Row],[Customer_ID]],tblCustomers[Customer_ID],tblCustomers[Name],"Not Found",0)</f>
        <v>Vardaniya Contractor</v>
      </c>
      <c r="M195" s="18" t="str">
        <f>_xlfn.XLOOKUP(tblMaster[[#This Row],[Customer_ID]],tblCustomers[Customer_ID],tblCustomers[Gender],"Not Found",0)</f>
        <v>Male</v>
      </c>
      <c r="N195" s="18" t="str">
        <f>_xlfn.XLOOKUP(tblMaster[[#This Row],[Product_ID]],tblProducts[Product_ID],tblProducts[Product_Name],"Not Found",0)</f>
        <v>Sed Pack</v>
      </c>
      <c r="O195" s="18" t="str">
        <f>_xlfn.XLOOKUP(tblMaster[[#This Row],[Product_ID]],tblProducts[Product_ID],tblProducts[Category],"Not Found",0)</f>
        <v>Cake</v>
      </c>
      <c r="P195" s="18" t="str">
        <f>_xlfn.XLOOKUP(tblMaster[[#This Row],[Product_ID]],tblProducts[Product_ID],tblProducts[Occasion],"Not Found",0)</f>
        <v>Valentine's Day</v>
      </c>
      <c r="Q195" s="18">
        <f>_xlfn.XLOOKUP(tblMaster[[#This Row],[Product_ID]],tblProducts[Product_ID],tblProducts[Price (INR)],"Not Found",0)</f>
        <v>1492</v>
      </c>
      <c r="R195" s="19">
        <f>tblMaster[[#This Row],[Price]]*tblMaster[[#This Row],[Quantity]]</f>
        <v>5968</v>
      </c>
      <c r="S195" s="19">
        <f>tblMaster[[#This Row],[Price]]*0.7*tblMaster[[#This Row],[Quantity]]</f>
        <v>4177.5999999999995</v>
      </c>
      <c r="T195" s="19">
        <f>tblMaster[[#This Row],[Revenue]]-tblMaster[[#This Row],[Estimated Cost (at 70%) ]]</f>
        <v>1790.4000000000005</v>
      </c>
      <c r="U195" s="19">
        <f>tblMaster[[#This Row],[Profit]]/tblMaster[[#This Row],[Revenue]]</f>
        <v>0.3000000000000001</v>
      </c>
      <c r="V195" s="19">
        <f>tblMaster[[#This Row],[Delivery_Date]]-tblMaster[[#This Row],[Order_Date]]</f>
        <v>1</v>
      </c>
      <c r="W195" s="19" t="str">
        <f>TEXT(tblMaster[[#This Row],[Order_Date]],"mmmm")</f>
        <v>February</v>
      </c>
      <c r="X195" s="19">
        <f>MONTH(tblMaster[[#This Row],[Order_Date]])</f>
        <v>2</v>
      </c>
      <c r="Y195" s="19" t="str">
        <f>"Q"&amp;ROUNDUP(tblMaster[[#This Row],[Month Number]]/3,0)</f>
        <v>Q1</v>
      </c>
      <c r="Z195" s="19">
        <f>YEAR(tblMaster[[#This Row],[Order_Date]])</f>
        <v>2023</v>
      </c>
      <c r="AA195" s="19" t="str">
        <f>TEXT(DAY(tblMaster[[#This Row],[Order_Date]]),"dddd")</f>
        <v>Sunday</v>
      </c>
      <c r="AB195" s="19" t="str">
        <f>IF(tblMaster[[#This Row],[Revenue]]&gt;=5000,"High",IF(tblMaster[[#This Row],[Revenue]]&lt;2000,"Low","Medium"))</f>
        <v>High</v>
      </c>
    </row>
    <row r="196" spans="1:28" x14ac:dyDescent="0.25">
      <c r="A196" s="7">
        <v>195</v>
      </c>
      <c r="B196" s="7" t="s">
        <v>166</v>
      </c>
      <c r="C196" s="4">
        <v>67</v>
      </c>
      <c r="D196" s="4">
        <v>5</v>
      </c>
      <c r="E196" s="8">
        <v>45026</v>
      </c>
      <c r="F196" s="9">
        <v>0.23186342592592593</v>
      </c>
      <c r="G196" s="8">
        <v>45033</v>
      </c>
      <c r="H196" s="9">
        <v>0.32754629629629628</v>
      </c>
      <c r="I196" s="7" t="s">
        <v>249</v>
      </c>
      <c r="J196" s="7" t="s">
        <v>30</v>
      </c>
      <c r="K196" s="18" t="str">
        <f>_xlfn.XLOOKUP(tblMaster[[#This Row],[Customer_ID]],tblCustomers[Customer_ID],tblCustomers[City],"Not Found",0)</f>
        <v>Davanagere</v>
      </c>
      <c r="L196" s="18" t="str">
        <f>_xlfn.XLOOKUP(tblMaster[[#This Row],[Customer_ID]],tblCustomers[Customer_ID],tblCustomers[Name],"Not Found",0)</f>
        <v>Aradhya Kumar</v>
      </c>
      <c r="M196" s="18" t="str">
        <f>_xlfn.XLOOKUP(tblMaster[[#This Row],[Customer_ID]],tblCustomers[Customer_ID],tblCustomers[Gender],"Not Found",0)</f>
        <v>Male</v>
      </c>
      <c r="N196" s="18" t="str">
        <f>_xlfn.XLOOKUP(tblMaster[[#This Row],[Product_ID]],tblProducts[Product_ID],tblProducts[Product_Name],"Not Found",0)</f>
        <v>Maiores Box</v>
      </c>
      <c r="O196" s="18" t="str">
        <f>_xlfn.XLOOKUP(tblMaster[[#This Row],[Product_ID]],tblProducts[Product_ID],tblProducts[Category],"Not Found",0)</f>
        <v>Raksha Bandhan</v>
      </c>
      <c r="P196" s="18" t="str">
        <f>_xlfn.XLOOKUP(tblMaster[[#This Row],[Product_ID]],tblProducts[Product_ID],tblProducts[Occasion],"Not Found",0)</f>
        <v>Anniversary</v>
      </c>
      <c r="Q196" s="18">
        <f>_xlfn.XLOOKUP(tblMaster[[#This Row],[Product_ID]],tblProducts[Product_ID],tblProducts[Price (INR)],"Not Found",0)</f>
        <v>1374</v>
      </c>
      <c r="R196" s="19">
        <f>tblMaster[[#This Row],[Price]]*tblMaster[[#This Row],[Quantity]]</f>
        <v>6870</v>
      </c>
      <c r="S196" s="19">
        <f>tblMaster[[#This Row],[Price]]*0.7*tblMaster[[#This Row],[Quantity]]</f>
        <v>4809</v>
      </c>
      <c r="T196" s="19">
        <f>tblMaster[[#This Row],[Revenue]]-tblMaster[[#This Row],[Estimated Cost (at 70%) ]]</f>
        <v>2061</v>
      </c>
      <c r="U196" s="19">
        <f>tblMaster[[#This Row],[Profit]]/tblMaster[[#This Row],[Revenue]]</f>
        <v>0.3</v>
      </c>
      <c r="V196" s="19">
        <f>tblMaster[[#This Row],[Delivery_Date]]-tblMaster[[#This Row],[Order_Date]]</f>
        <v>7</v>
      </c>
      <c r="W196" s="19" t="str">
        <f>TEXT(tblMaster[[#This Row],[Order_Date]],"mmmm")</f>
        <v>April</v>
      </c>
      <c r="X196" s="19">
        <f>MONTH(tblMaster[[#This Row],[Order_Date]])</f>
        <v>4</v>
      </c>
      <c r="Y196" s="19" t="str">
        <f>"Q"&amp;ROUNDUP(tblMaster[[#This Row],[Month Number]]/3,0)</f>
        <v>Q2</v>
      </c>
      <c r="Z196" s="19">
        <f>YEAR(tblMaster[[#This Row],[Order_Date]])</f>
        <v>2023</v>
      </c>
      <c r="AA196" s="19" t="str">
        <f>TEXT(DAY(tblMaster[[#This Row],[Order_Date]]),"dddd")</f>
        <v>Tuesday</v>
      </c>
      <c r="AB196" s="19" t="str">
        <f>IF(tblMaster[[#This Row],[Revenue]]&gt;=5000,"High",IF(tblMaster[[#This Row],[Revenue]]&lt;2000,"Low","Medium"))</f>
        <v>High</v>
      </c>
    </row>
    <row r="197" spans="1:28" x14ac:dyDescent="0.25">
      <c r="A197" s="10">
        <v>196</v>
      </c>
      <c r="B197" s="10" t="s">
        <v>213</v>
      </c>
      <c r="C197" s="5">
        <v>30</v>
      </c>
      <c r="D197" s="5">
        <v>2</v>
      </c>
      <c r="E197" s="11">
        <v>45143</v>
      </c>
      <c r="F197" s="12">
        <v>0.40127314814814813</v>
      </c>
      <c r="G197" s="11">
        <v>45151</v>
      </c>
      <c r="H197" s="12">
        <v>0.37368055555555557</v>
      </c>
      <c r="I197" s="10" t="s">
        <v>396</v>
      </c>
      <c r="J197" s="10" t="s">
        <v>30</v>
      </c>
      <c r="K197" s="18" t="str">
        <f>_xlfn.XLOOKUP(tblMaster[[#This Row],[Customer_ID]],tblCustomers[Customer_ID],tblCustomers[City],"Not Found",0)</f>
        <v>Jamnagar</v>
      </c>
      <c r="L197" s="18" t="str">
        <f>_xlfn.XLOOKUP(tblMaster[[#This Row],[Customer_ID]],tblCustomers[Customer_ID],tblCustomers[Name],"Not Found",0)</f>
        <v>Arhaan Ahluwalia</v>
      </c>
      <c r="M197" s="18" t="str">
        <f>_xlfn.XLOOKUP(tblMaster[[#This Row],[Customer_ID]],tblCustomers[Customer_ID],tblCustomers[Gender],"Not Found",0)</f>
        <v>Male</v>
      </c>
      <c r="N197" s="18" t="str">
        <f>_xlfn.XLOOKUP(tblMaster[[#This Row],[Product_ID]],tblProducts[Product_ID],tblProducts[Product_Name],"Not Found",0)</f>
        <v>Recusandae Pack</v>
      </c>
      <c r="O197" s="18" t="str">
        <f>_xlfn.XLOOKUP(tblMaster[[#This Row],[Product_ID]],tblProducts[Product_ID],tblProducts[Category],"Not Found",0)</f>
        <v>Colors</v>
      </c>
      <c r="P197" s="18" t="str">
        <f>_xlfn.XLOOKUP(tblMaster[[#This Row],[Product_ID]],tblProducts[Product_ID],tblProducts[Occasion],"Not Found",0)</f>
        <v>Anniversary</v>
      </c>
      <c r="Q197" s="18">
        <f>_xlfn.XLOOKUP(tblMaster[[#This Row],[Product_ID]],tblProducts[Product_ID],tblProducts[Price (INR)],"Not Found",0)</f>
        <v>751</v>
      </c>
      <c r="R197" s="19">
        <f>tblMaster[[#This Row],[Price]]*tblMaster[[#This Row],[Quantity]]</f>
        <v>1502</v>
      </c>
      <c r="S197" s="19">
        <f>tblMaster[[#This Row],[Price]]*0.7*tblMaster[[#This Row],[Quantity]]</f>
        <v>1051.3999999999999</v>
      </c>
      <c r="T197" s="19">
        <f>tblMaster[[#This Row],[Revenue]]-tblMaster[[#This Row],[Estimated Cost (at 70%) ]]</f>
        <v>450.60000000000014</v>
      </c>
      <c r="U197" s="19">
        <f>tblMaster[[#This Row],[Profit]]/tblMaster[[#This Row],[Revenue]]</f>
        <v>0.3000000000000001</v>
      </c>
      <c r="V197" s="19">
        <f>tblMaster[[#This Row],[Delivery_Date]]-tblMaster[[#This Row],[Order_Date]]</f>
        <v>8</v>
      </c>
      <c r="W197" s="19" t="str">
        <f>TEXT(tblMaster[[#This Row],[Order_Date]],"mmmm")</f>
        <v>August</v>
      </c>
      <c r="X197" s="19">
        <f>MONTH(tblMaster[[#This Row],[Order_Date]])</f>
        <v>8</v>
      </c>
      <c r="Y197" s="19" t="str">
        <f>"Q"&amp;ROUNDUP(tblMaster[[#This Row],[Month Number]]/3,0)</f>
        <v>Q3</v>
      </c>
      <c r="Z197" s="19">
        <f>YEAR(tblMaster[[#This Row],[Order_Date]])</f>
        <v>2023</v>
      </c>
      <c r="AA197" s="19" t="str">
        <f>TEXT(DAY(tblMaster[[#This Row],[Order_Date]]),"dddd")</f>
        <v>Thursday</v>
      </c>
      <c r="AB197" s="19" t="str">
        <f>IF(tblMaster[[#This Row],[Revenue]]&gt;=5000,"High",IF(tblMaster[[#This Row],[Revenue]]&lt;2000,"Low","Medium"))</f>
        <v>Low</v>
      </c>
    </row>
    <row r="198" spans="1:28" x14ac:dyDescent="0.25">
      <c r="A198" s="7">
        <v>197</v>
      </c>
      <c r="B198" s="7" t="s">
        <v>258</v>
      </c>
      <c r="C198" s="4">
        <v>45</v>
      </c>
      <c r="D198" s="4">
        <v>2</v>
      </c>
      <c r="E198" s="8">
        <v>45007</v>
      </c>
      <c r="F198" s="9">
        <v>0.77687499999999998</v>
      </c>
      <c r="G198" s="8">
        <v>45011</v>
      </c>
      <c r="H198" s="9">
        <v>0.14590277777777777</v>
      </c>
      <c r="I198" s="7" t="s">
        <v>394</v>
      </c>
      <c r="J198" s="7" t="s">
        <v>36</v>
      </c>
      <c r="K198" s="18" t="str">
        <f>_xlfn.XLOOKUP(tblMaster[[#This Row],[Customer_ID]],tblCustomers[Customer_ID],tblCustomers[City],"Not Found",0)</f>
        <v>Warangal</v>
      </c>
      <c r="L198" s="18" t="str">
        <f>_xlfn.XLOOKUP(tblMaster[[#This Row],[Customer_ID]],tblCustomers[Customer_ID],tblCustomers[Name],"Not Found",0)</f>
        <v>Mahika Cherian</v>
      </c>
      <c r="M198" s="18" t="str">
        <f>_xlfn.XLOOKUP(tblMaster[[#This Row],[Customer_ID]],tblCustomers[Customer_ID],tblCustomers[Gender],"Not Found",0)</f>
        <v>Female</v>
      </c>
      <c r="N198" s="18" t="str">
        <f>_xlfn.XLOOKUP(tblMaster[[#This Row],[Product_ID]],tblProducts[Product_ID],tblProducts[Product_Name],"Not Found",0)</f>
        <v>Iusto Set</v>
      </c>
      <c r="O198" s="18" t="str">
        <f>_xlfn.XLOOKUP(tblMaster[[#This Row],[Product_ID]],tblProducts[Product_ID],tblProducts[Category],"Not Found",0)</f>
        <v>Raksha Bandhan</v>
      </c>
      <c r="P198" s="18" t="str">
        <f>_xlfn.XLOOKUP(tblMaster[[#This Row],[Product_ID]],tblProducts[Product_ID],tblProducts[Occasion],"Not Found",0)</f>
        <v>Birthday</v>
      </c>
      <c r="Q198" s="18">
        <f>_xlfn.XLOOKUP(tblMaster[[#This Row],[Product_ID]],tblProducts[Product_ID],tblProducts[Price (INR)],"Not Found",0)</f>
        <v>722</v>
      </c>
      <c r="R198" s="19">
        <f>tblMaster[[#This Row],[Price]]*tblMaster[[#This Row],[Quantity]]</f>
        <v>1444</v>
      </c>
      <c r="S198" s="19">
        <f>tblMaster[[#This Row],[Price]]*0.7*tblMaster[[#This Row],[Quantity]]</f>
        <v>1010.8</v>
      </c>
      <c r="T198" s="19">
        <f>tblMaster[[#This Row],[Revenue]]-tblMaster[[#This Row],[Estimated Cost (at 70%) ]]</f>
        <v>433.20000000000005</v>
      </c>
      <c r="U198" s="19">
        <f>tblMaster[[#This Row],[Profit]]/tblMaster[[#This Row],[Revenue]]</f>
        <v>0.30000000000000004</v>
      </c>
      <c r="V198" s="19">
        <f>tblMaster[[#This Row],[Delivery_Date]]-tblMaster[[#This Row],[Order_Date]]</f>
        <v>4</v>
      </c>
      <c r="W198" s="19" t="str">
        <f>TEXT(tblMaster[[#This Row],[Order_Date]],"mmmm")</f>
        <v>March</v>
      </c>
      <c r="X198" s="19">
        <f>MONTH(tblMaster[[#This Row],[Order_Date]])</f>
        <v>3</v>
      </c>
      <c r="Y198" s="19" t="str">
        <f>"Q"&amp;ROUNDUP(tblMaster[[#This Row],[Month Number]]/3,0)</f>
        <v>Q1</v>
      </c>
      <c r="Z198" s="19">
        <f>YEAR(tblMaster[[#This Row],[Order_Date]])</f>
        <v>2023</v>
      </c>
      <c r="AA198" s="19" t="str">
        <f>TEXT(DAY(tblMaster[[#This Row],[Order_Date]]),"dddd")</f>
        <v>Sunday</v>
      </c>
      <c r="AB198" s="19" t="str">
        <f>IF(tblMaster[[#This Row],[Revenue]]&gt;=5000,"High",IF(tblMaster[[#This Row],[Revenue]]&lt;2000,"Low","Medium"))</f>
        <v>Low</v>
      </c>
    </row>
    <row r="199" spans="1:28" x14ac:dyDescent="0.25">
      <c r="A199" s="10">
        <v>198</v>
      </c>
      <c r="B199" s="10" t="s">
        <v>202</v>
      </c>
      <c r="C199" s="5">
        <v>24</v>
      </c>
      <c r="D199" s="5">
        <v>2</v>
      </c>
      <c r="E199" s="11">
        <v>45165</v>
      </c>
      <c r="F199" s="12">
        <v>0.9400115740740741</v>
      </c>
      <c r="G199" s="11">
        <v>45173</v>
      </c>
      <c r="H199" s="12">
        <v>4.8495370370370369E-2</v>
      </c>
      <c r="I199" s="10" t="s">
        <v>397</v>
      </c>
      <c r="J199" s="10" t="s">
        <v>36</v>
      </c>
      <c r="K199" s="18" t="str">
        <f>_xlfn.XLOOKUP(tblMaster[[#This Row],[Customer_ID]],tblCustomers[Customer_ID],tblCustomers[City],"Not Found",0)</f>
        <v>Anantapuram</v>
      </c>
      <c r="L199" s="18" t="str">
        <f>_xlfn.XLOOKUP(tblMaster[[#This Row],[Customer_ID]],tblCustomers[Customer_ID],tblCustomers[Name],"Not Found",0)</f>
        <v>Drishya De</v>
      </c>
      <c r="M199" s="18" t="str">
        <f>_xlfn.XLOOKUP(tblMaster[[#This Row],[Customer_ID]],tblCustomers[Customer_ID],tblCustomers[Gender],"Not Found",0)</f>
        <v>Female</v>
      </c>
      <c r="N199" s="18" t="str">
        <f>_xlfn.XLOOKUP(tblMaster[[#This Row],[Product_ID]],tblProducts[Product_ID],tblProducts[Product_Name],"Not Found",0)</f>
        <v>Ad Box</v>
      </c>
      <c r="O199" s="18" t="str">
        <f>_xlfn.XLOOKUP(tblMaster[[#This Row],[Product_ID]],tblProducts[Product_ID],tblProducts[Category],"Not Found",0)</f>
        <v>Mugs</v>
      </c>
      <c r="P199" s="18" t="str">
        <f>_xlfn.XLOOKUP(tblMaster[[#This Row],[Product_ID]],tblProducts[Product_ID],tblProducts[Occasion],"Not Found",0)</f>
        <v>Birthday</v>
      </c>
      <c r="Q199" s="18">
        <f>_xlfn.XLOOKUP(tblMaster[[#This Row],[Product_ID]],tblProducts[Product_ID],tblProducts[Price (INR)],"Not Found",0)</f>
        <v>535</v>
      </c>
      <c r="R199" s="19">
        <f>tblMaster[[#This Row],[Price]]*tblMaster[[#This Row],[Quantity]]</f>
        <v>1070</v>
      </c>
      <c r="S199" s="19">
        <f>tblMaster[[#This Row],[Price]]*0.7*tblMaster[[#This Row],[Quantity]]</f>
        <v>749</v>
      </c>
      <c r="T199" s="19">
        <f>tblMaster[[#This Row],[Revenue]]-tblMaster[[#This Row],[Estimated Cost (at 70%) ]]</f>
        <v>321</v>
      </c>
      <c r="U199" s="19">
        <f>tblMaster[[#This Row],[Profit]]/tblMaster[[#This Row],[Revenue]]</f>
        <v>0.3</v>
      </c>
      <c r="V199" s="19">
        <f>tblMaster[[#This Row],[Delivery_Date]]-tblMaster[[#This Row],[Order_Date]]</f>
        <v>8</v>
      </c>
      <c r="W199" s="19" t="str">
        <f>TEXT(tblMaster[[#This Row],[Order_Date]],"mmmm")</f>
        <v>August</v>
      </c>
      <c r="X199" s="19">
        <f>MONTH(tblMaster[[#This Row],[Order_Date]])</f>
        <v>8</v>
      </c>
      <c r="Y199" s="19" t="str">
        <f>"Q"&amp;ROUNDUP(tblMaster[[#This Row],[Month Number]]/3,0)</f>
        <v>Q3</v>
      </c>
      <c r="Z199" s="19">
        <f>YEAR(tblMaster[[#This Row],[Order_Date]])</f>
        <v>2023</v>
      </c>
      <c r="AA199" s="19" t="str">
        <f>TEXT(DAY(tblMaster[[#This Row],[Order_Date]]),"dddd")</f>
        <v>Friday</v>
      </c>
      <c r="AB199" s="19" t="str">
        <f>IF(tblMaster[[#This Row],[Revenue]]&gt;=5000,"High",IF(tblMaster[[#This Row],[Revenue]]&lt;2000,"Low","Medium"))</f>
        <v>Low</v>
      </c>
    </row>
    <row r="200" spans="1:28" x14ac:dyDescent="0.25">
      <c r="A200" s="7">
        <v>199</v>
      </c>
      <c r="B200" s="7" t="s">
        <v>398</v>
      </c>
      <c r="C200" s="4">
        <v>70</v>
      </c>
      <c r="D200" s="4">
        <v>5</v>
      </c>
      <c r="E200" s="8">
        <v>45154</v>
      </c>
      <c r="F200" s="9">
        <v>7.9513888888888884E-2</v>
      </c>
      <c r="G200" s="8">
        <v>45157</v>
      </c>
      <c r="H200" s="9">
        <v>0.68401620370370375</v>
      </c>
      <c r="I200" s="7" t="s">
        <v>399</v>
      </c>
      <c r="J200" s="7" t="s">
        <v>36</v>
      </c>
      <c r="K200" s="18" t="str">
        <f>_xlfn.XLOOKUP(tblMaster[[#This Row],[Customer_ID]],tblCustomers[Customer_ID],tblCustomers[City],"Not Found",0)</f>
        <v>Tumkur</v>
      </c>
      <c r="L200" s="18" t="str">
        <f>_xlfn.XLOOKUP(tblMaster[[#This Row],[Customer_ID]],tblCustomers[Customer_ID],tblCustomers[Name],"Not Found",0)</f>
        <v>Mamooty Bawa</v>
      </c>
      <c r="M200" s="18" t="str">
        <f>_xlfn.XLOOKUP(tblMaster[[#This Row],[Customer_ID]],tblCustomers[Customer_ID],tblCustomers[Gender],"Not Found",0)</f>
        <v>Male</v>
      </c>
      <c r="N200" s="18" t="str">
        <f>_xlfn.XLOOKUP(tblMaster[[#This Row],[Product_ID]],tblProducts[Product_ID],tblProducts[Product_Name],"Not Found",0)</f>
        <v>Error Gift</v>
      </c>
      <c r="O200" s="18" t="str">
        <f>_xlfn.XLOOKUP(tblMaster[[#This Row],[Product_ID]],tblProducts[Product_ID],tblProducts[Category],"Not Found",0)</f>
        <v>Sweets</v>
      </c>
      <c r="P200" s="18" t="str">
        <f>_xlfn.XLOOKUP(tblMaster[[#This Row],[Product_ID]],tblProducts[Product_ID],tblProducts[Occasion],"Not Found",0)</f>
        <v>Birthday</v>
      </c>
      <c r="Q200" s="18">
        <f>_xlfn.XLOOKUP(tblMaster[[#This Row],[Product_ID]],tblProducts[Product_ID],tblProducts[Price (INR)],"Not Found",0)</f>
        <v>866</v>
      </c>
      <c r="R200" s="19">
        <f>tblMaster[[#This Row],[Price]]*tblMaster[[#This Row],[Quantity]]</f>
        <v>4330</v>
      </c>
      <c r="S200" s="19">
        <f>tblMaster[[#This Row],[Price]]*0.7*tblMaster[[#This Row],[Quantity]]</f>
        <v>3030.9999999999995</v>
      </c>
      <c r="T200" s="19">
        <f>tblMaster[[#This Row],[Revenue]]-tblMaster[[#This Row],[Estimated Cost (at 70%) ]]</f>
        <v>1299.0000000000005</v>
      </c>
      <c r="U200" s="19">
        <f>tblMaster[[#This Row],[Profit]]/tblMaster[[#This Row],[Revenue]]</f>
        <v>0.3000000000000001</v>
      </c>
      <c r="V200" s="19">
        <f>tblMaster[[#This Row],[Delivery_Date]]-tblMaster[[#This Row],[Order_Date]]</f>
        <v>3</v>
      </c>
      <c r="W200" s="19" t="str">
        <f>TEXT(tblMaster[[#This Row],[Order_Date]],"mmmm")</f>
        <v>August</v>
      </c>
      <c r="X200" s="19">
        <f>MONTH(tblMaster[[#This Row],[Order_Date]])</f>
        <v>8</v>
      </c>
      <c r="Y200" s="19" t="str">
        <f>"Q"&amp;ROUNDUP(tblMaster[[#This Row],[Month Number]]/3,0)</f>
        <v>Q3</v>
      </c>
      <c r="Z200" s="19">
        <f>YEAR(tblMaster[[#This Row],[Order_Date]])</f>
        <v>2023</v>
      </c>
      <c r="AA200" s="19" t="str">
        <f>TEXT(DAY(tblMaster[[#This Row],[Order_Date]]),"dddd")</f>
        <v>Monday</v>
      </c>
      <c r="AB200" s="19" t="str">
        <f>IF(tblMaster[[#This Row],[Revenue]]&gt;=5000,"High",IF(tblMaster[[#This Row],[Revenue]]&lt;2000,"Low","Medium"))</f>
        <v>Medium</v>
      </c>
    </row>
    <row r="201" spans="1:28" x14ac:dyDescent="0.25">
      <c r="A201" s="10">
        <v>200</v>
      </c>
      <c r="B201" s="10" t="s">
        <v>229</v>
      </c>
      <c r="C201" s="5">
        <v>23</v>
      </c>
      <c r="D201" s="5">
        <v>5</v>
      </c>
      <c r="E201" s="11">
        <v>44929</v>
      </c>
      <c r="F201" s="12">
        <v>0.83629629629629632</v>
      </c>
      <c r="G201" s="11">
        <v>44934</v>
      </c>
      <c r="H201" s="12">
        <v>0.97143518518518523</v>
      </c>
      <c r="I201" s="10" t="s">
        <v>251</v>
      </c>
      <c r="J201" s="10" t="s">
        <v>30</v>
      </c>
      <c r="K201" s="18" t="str">
        <f>_xlfn.XLOOKUP(tblMaster[[#This Row],[Customer_ID]],tblCustomers[Customer_ID],tblCustomers[City],"Not Found",0)</f>
        <v>Anand</v>
      </c>
      <c r="L201" s="18" t="str">
        <f>_xlfn.XLOOKUP(tblMaster[[#This Row],[Customer_ID]],tblCustomers[Customer_ID],tblCustomers[Name],"Not Found",0)</f>
        <v>Eva Sankaran</v>
      </c>
      <c r="M201" s="18" t="str">
        <f>_xlfn.XLOOKUP(tblMaster[[#This Row],[Customer_ID]],tblCustomers[Customer_ID],tblCustomers[Gender],"Not Found",0)</f>
        <v>Male</v>
      </c>
      <c r="N201" s="18" t="str">
        <f>_xlfn.XLOOKUP(tblMaster[[#This Row],[Product_ID]],tblProducts[Product_ID],tblProducts[Product_Name],"Not Found",0)</f>
        <v>Dignissimos Pack</v>
      </c>
      <c r="O201" s="18" t="str">
        <f>_xlfn.XLOOKUP(tblMaster[[#This Row],[Product_ID]],tblProducts[Product_ID],tblProducts[Category],"Not Found",0)</f>
        <v>Sweets</v>
      </c>
      <c r="P201" s="18" t="str">
        <f>_xlfn.XLOOKUP(tblMaster[[#This Row],[Product_ID]],tblProducts[Product_ID],tblProducts[Occasion],"Not Found",0)</f>
        <v>Anniversary</v>
      </c>
      <c r="Q201" s="18">
        <f>_xlfn.XLOOKUP(tblMaster[[#This Row],[Product_ID]],tblProducts[Product_ID],tblProducts[Price (INR)],"Not Found",0)</f>
        <v>1098</v>
      </c>
      <c r="R201" s="19">
        <f>tblMaster[[#This Row],[Price]]*tblMaster[[#This Row],[Quantity]]</f>
        <v>5490</v>
      </c>
      <c r="S201" s="19">
        <f>tblMaster[[#This Row],[Price]]*0.7*tblMaster[[#This Row],[Quantity]]</f>
        <v>3842.9999999999995</v>
      </c>
      <c r="T201" s="19">
        <f>tblMaster[[#This Row],[Revenue]]-tblMaster[[#This Row],[Estimated Cost (at 70%) ]]</f>
        <v>1647.0000000000005</v>
      </c>
      <c r="U201" s="19">
        <f>tblMaster[[#This Row],[Profit]]/tblMaster[[#This Row],[Revenue]]</f>
        <v>0.3000000000000001</v>
      </c>
      <c r="V201" s="19">
        <f>tblMaster[[#This Row],[Delivery_Date]]-tblMaster[[#This Row],[Order_Date]]</f>
        <v>5</v>
      </c>
      <c r="W201" s="19" t="str">
        <f>TEXT(tblMaster[[#This Row],[Order_Date]],"mmmm")</f>
        <v>January</v>
      </c>
      <c r="X201" s="19">
        <f>MONTH(tblMaster[[#This Row],[Order_Date]])</f>
        <v>1</v>
      </c>
      <c r="Y201" s="19" t="str">
        <f>"Q"&amp;ROUNDUP(tblMaster[[#This Row],[Month Number]]/3,0)</f>
        <v>Q1</v>
      </c>
      <c r="Z201" s="19">
        <f>YEAR(tblMaster[[#This Row],[Order_Date]])</f>
        <v>2023</v>
      </c>
      <c r="AA201" s="19" t="str">
        <f>TEXT(DAY(tblMaster[[#This Row],[Order_Date]]),"dddd")</f>
        <v>Tuesday</v>
      </c>
      <c r="AB201" s="19" t="str">
        <f>IF(tblMaster[[#This Row],[Revenue]]&gt;=5000,"High",IF(tblMaster[[#This Row],[Revenue]]&lt;2000,"Low","Medium"))</f>
        <v>High</v>
      </c>
    </row>
    <row r="202" spans="1:28" x14ac:dyDescent="0.25">
      <c r="A202" s="7">
        <v>201</v>
      </c>
      <c r="B202" s="7" t="s">
        <v>400</v>
      </c>
      <c r="C202" s="4">
        <v>55</v>
      </c>
      <c r="D202" s="4">
        <v>4</v>
      </c>
      <c r="E202" s="8">
        <v>45162</v>
      </c>
      <c r="F202" s="9">
        <v>0.19460648148148149</v>
      </c>
      <c r="G202" s="8">
        <v>45168</v>
      </c>
      <c r="H202" s="9">
        <v>0.16143518518518518</v>
      </c>
      <c r="I202" s="7" t="s">
        <v>401</v>
      </c>
      <c r="J202" s="7" t="s">
        <v>33</v>
      </c>
      <c r="K202" s="18" t="str">
        <f>_xlfn.XLOOKUP(tblMaster[[#This Row],[Customer_ID]],tblCustomers[Customer_ID],tblCustomers[City],"Not Found",0)</f>
        <v>Miryalaguda</v>
      </c>
      <c r="L202" s="18" t="str">
        <f>_xlfn.XLOOKUP(tblMaster[[#This Row],[Customer_ID]],tblCustomers[Customer_ID],tblCustomers[Name],"Not Found",0)</f>
        <v>Tarini Bava</v>
      </c>
      <c r="M202" s="18" t="str">
        <f>_xlfn.XLOOKUP(tblMaster[[#This Row],[Customer_ID]],tblCustomers[Customer_ID],tblCustomers[Gender],"Not Found",0)</f>
        <v>Male</v>
      </c>
      <c r="N202" s="18" t="str">
        <f>_xlfn.XLOOKUP(tblMaster[[#This Row],[Product_ID]],tblProducts[Product_ID],tblProducts[Product_Name],"Not Found",0)</f>
        <v>Dolores Gift</v>
      </c>
      <c r="O202" s="18" t="str">
        <f>_xlfn.XLOOKUP(tblMaster[[#This Row],[Product_ID]],tblProducts[Product_ID],tblProducts[Category],"Not Found",0)</f>
        <v>Soft Toys</v>
      </c>
      <c r="P202" s="18" t="str">
        <f>_xlfn.XLOOKUP(tblMaster[[#This Row],[Product_ID]],tblProducts[Product_ID],tblProducts[Occasion],"Not Found",0)</f>
        <v>Raksha Bandhan</v>
      </c>
      <c r="Q202" s="18">
        <f>_xlfn.XLOOKUP(tblMaster[[#This Row],[Product_ID]],tblProducts[Product_ID],tblProducts[Price (INR)],"Not Found",0)</f>
        <v>1904</v>
      </c>
      <c r="R202" s="19">
        <f>tblMaster[[#This Row],[Price]]*tblMaster[[#This Row],[Quantity]]</f>
        <v>7616</v>
      </c>
      <c r="S202" s="19">
        <f>tblMaster[[#This Row],[Price]]*0.7*tblMaster[[#This Row],[Quantity]]</f>
        <v>5331.2</v>
      </c>
      <c r="T202" s="19">
        <f>tblMaster[[#This Row],[Revenue]]-tblMaster[[#This Row],[Estimated Cost (at 70%) ]]</f>
        <v>2284.8000000000002</v>
      </c>
      <c r="U202" s="19">
        <f>tblMaster[[#This Row],[Profit]]/tblMaster[[#This Row],[Revenue]]</f>
        <v>0.30000000000000004</v>
      </c>
      <c r="V202" s="19">
        <f>tblMaster[[#This Row],[Delivery_Date]]-tblMaster[[#This Row],[Order_Date]]</f>
        <v>6</v>
      </c>
      <c r="W202" s="19" t="str">
        <f>TEXT(tblMaster[[#This Row],[Order_Date]],"mmmm")</f>
        <v>August</v>
      </c>
      <c r="X202" s="19">
        <f>MONTH(tblMaster[[#This Row],[Order_Date]])</f>
        <v>8</v>
      </c>
      <c r="Y202" s="19" t="str">
        <f>"Q"&amp;ROUNDUP(tblMaster[[#This Row],[Month Number]]/3,0)</f>
        <v>Q3</v>
      </c>
      <c r="Z202" s="19">
        <f>YEAR(tblMaster[[#This Row],[Order_Date]])</f>
        <v>2023</v>
      </c>
      <c r="AA202" s="19" t="str">
        <f>TEXT(DAY(tblMaster[[#This Row],[Order_Date]]),"dddd")</f>
        <v>Tuesday</v>
      </c>
      <c r="AB202" s="19" t="str">
        <f>IF(tblMaster[[#This Row],[Revenue]]&gt;=5000,"High",IF(tblMaster[[#This Row],[Revenue]]&lt;2000,"Low","Medium"))</f>
        <v>High</v>
      </c>
    </row>
    <row r="203" spans="1:28" x14ac:dyDescent="0.25">
      <c r="A203" s="10">
        <v>202</v>
      </c>
      <c r="B203" s="10" t="s">
        <v>402</v>
      </c>
      <c r="C203" s="5">
        <v>36</v>
      </c>
      <c r="D203" s="5">
        <v>5</v>
      </c>
      <c r="E203" s="11">
        <v>45134</v>
      </c>
      <c r="F203" s="12">
        <v>0.34291666666666665</v>
      </c>
      <c r="G203" s="11">
        <v>45139</v>
      </c>
      <c r="H203" s="12">
        <v>0.12640046296296295</v>
      </c>
      <c r="I203" s="10" t="s">
        <v>403</v>
      </c>
      <c r="J203" s="10" t="s">
        <v>36</v>
      </c>
      <c r="K203" s="18" t="str">
        <f>_xlfn.XLOOKUP(tblMaster[[#This Row],[Customer_ID]],tblCustomers[Customer_ID],tblCustomers[City],"Not Found",0)</f>
        <v>Nellore</v>
      </c>
      <c r="L203" s="18" t="str">
        <f>_xlfn.XLOOKUP(tblMaster[[#This Row],[Customer_ID]],tblCustomers[Customer_ID],tblCustomers[Name],"Not Found",0)</f>
        <v>Oorja Dey</v>
      </c>
      <c r="M203" s="18" t="str">
        <f>_xlfn.XLOOKUP(tblMaster[[#This Row],[Customer_ID]],tblCustomers[Customer_ID],tblCustomers[Gender],"Not Found",0)</f>
        <v>Female</v>
      </c>
      <c r="N203" s="18" t="str">
        <f>_xlfn.XLOOKUP(tblMaster[[#This Row],[Product_ID]],tblProducts[Product_ID],tblProducts[Product_Name],"Not Found",0)</f>
        <v>Cum Gift</v>
      </c>
      <c r="O203" s="18" t="str">
        <f>_xlfn.XLOOKUP(tblMaster[[#This Row],[Product_ID]],tblProducts[Product_ID],tblProducts[Category],"Not Found",0)</f>
        <v>Plants</v>
      </c>
      <c r="P203" s="18" t="str">
        <f>_xlfn.XLOOKUP(tblMaster[[#This Row],[Product_ID]],tblProducts[Product_ID],tblProducts[Occasion],"Not Found",0)</f>
        <v>Birthday</v>
      </c>
      <c r="Q203" s="18">
        <f>_xlfn.XLOOKUP(tblMaster[[#This Row],[Product_ID]],tblProducts[Product_ID],tblProducts[Price (INR)],"Not Found",0)</f>
        <v>203</v>
      </c>
      <c r="R203" s="19">
        <f>tblMaster[[#This Row],[Price]]*tblMaster[[#This Row],[Quantity]]</f>
        <v>1015</v>
      </c>
      <c r="S203" s="19">
        <f>tblMaster[[#This Row],[Price]]*0.7*tblMaster[[#This Row],[Quantity]]</f>
        <v>710.5</v>
      </c>
      <c r="T203" s="19">
        <f>tblMaster[[#This Row],[Revenue]]-tblMaster[[#This Row],[Estimated Cost (at 70%) ]]</f>
        <v>304.5</v>
      </c>
      <c r="U203" s="19">
        <f>tblMaster[[#This Row],[Profit]]/tblMaster[[#This Row],[Revenue]]</f>
        <v>0.3</v>
      </c>
      <c r="V203" s="19">
        <f>tblMaster[[#This Row],[Delivery_Date]]-tblMaster[[#This Row],[Order_Date]]</f>
        <v>5</v>
      </c>
      <c r="W203" s="19" t="str">
        <f>TEXT(tblMaster[[#This Row],[Order_Date]],"mmmm")</f>
        <v>July</v>
      </c>
      <c r="X203" s="19">
        <f>MONTH(tblMaster[[#This Row],[Order_Date]])</f>
        <v>7</v>
      </c>
      <c r="Y203" s="19" t="str">
        <f>"Q"&amp;ROUNDUP(tblMaster[[#This Row],[Month Number]]/3,0)</f>
        <v>Q3</v>
      </c>
      <c r="Z203" s="19">
        <f>YEAR(tblMaster[[#This Row],[Order_Date]])</f>
        <v>2023</v>
      </c>
      <c r="AA203" s="19" t="str">
        <f>TEXT(DAY(tblMaster[[#This Row],[Order_Date]]),"dddd")</f>
        <v>Friday</v>
      </c>
      <c r="AB203" s="19" t="str">
        <f>IF(tblMaster[[#This Row],[Revenue]]&gt;=5000,"High",IF(tblMaster[[#This Row],[Revenue]]&lt;2000,"Low","Medium"))</f>
        <v>Low</v>
      </c>
    </row>
    <row r="204" spans="1:28" x14ac:dyDescent="0.25">
      <c r="A204" s="7">
        <v>203</v>
      </c>
      <c r="B204" s="7" t="s">
        <v>308</v>
      </c>
      <c r="C204" s="4">
        <v>9</v>
      </c>
      <c r="D204" s="4">
        <v>5</v>
      </c>
      <c r="E204" s="8">
        <v>45167</v>
      </c>
      <c r="F204" s="9">
        <v>0.23541666666666666</v>
      </c>
      <c r="G204" s="8">
        <v>45177</v>
      </c>
      <c r="H204" s="9">
        <v>0.94460648148148152</v>
      </c>
      <c r="I204" s="7" t="s">
        <v>199</v>
      </c>
      <c r="J204" s="7" t="s">
        <v>33</v>
      </c>
      <c r="K204" s="18" t="str">
        <f>_xlfn.XLOOKUP(tblMaster[[#This Row],[Customer_ID]],tblCustomers[Customer_ID],tblCustomers[City],"Not Found",0)</f>
        <v>Kamarhati</v>
      </c>
      <c r="L204" s="18" t="str">
        <f>_xlfn.XLOOKUP(tblMaster[[#This Row],[Customer_ID]],tblCustomers[Customer_ID],tblCustomers[Name],"Not Found",0)</f>
        <v>Kaira Bahl</v>
      </c>
      <c r="M204" s="18" t="str">
        <f>_xlfn.XLOOKUP(tblMaster[[#This Row],[Customer_ID]],tblCustomers[Customer_ID],tblCustomers[Gender],"Not Found",0)</f>
        <v>Male</v>
      </c>
      <c r="N204" s="18" t="str">
        <f>_xlfn.XLOOKUP(tblMaster[[#This Row],[Product_ID]],tblProducts[Product_ID],tblProducts[Product_Name],"Not Found",0)</f>
        <v>Aperiam Box</v>
      </c>
      <c r="O204" s="18" t="str">
        <f>_xlfn.XLOOKUP(tblMaster[[#This Row],[Product_ID]],tblProducts[Product_ID],tblProducts[Category],"Not Found",0)</f>
        <v>Colors</v>
      </c>
      <c r="P204" s="18" t="str">
        <f>_xlfn.XLOOKUP(tblMaster[[#This Row],[Product_ID]],tblProducts[Product_ID],tblProducts[Occasion],"Not Found",0)</f>
        <v>Raksha Bandhan</v>
      </c>
      <c r="Q204" s="18">
        <f>_xlfn.XLOOKUP(tblMaster[[#This Row],[Product_ID]],tblProducts[Product_ID],tblProducts[Price (INR)],"Not Found",0)</f>
        <v>1605</v>
      </c>
      <c r="R204" s="19">
        <f>tblMaster[[#This Row],[Price]]*tblMaster[[#This Row],[Quantity]]</f>
        <v>8025</v>
      </c>
      <c r="S204" s="19">
        <f>tblMaster[[#This Row],[Price]]*0.7*tblMaster[[#This Row],[Quantity]]</f>
        <v>5617.5</v>
      </c>
      <c r="T204" s="19">
        <f>tblMaster[[#This Row],[Revenue]]-tblMaster[[#This Row],[Estimated Cost (at 70%) ]]</f>
        <v>2407.5</v>
      </c>
      <c r="U204" s="19">
        <f>tblMaster[[#This Row],[Profit]]/tblMaster[[#This Row],[Revenue]]</f>
        <v>0.3</v>
      </c>
      <c r="V204" s="19">
        <f>tblMaster[[#This Row],[Delivery_Date]]-tblMaster[[#This Row],[Order_Date]]</f>
        <v>10</v>
      </c>
      <c r="W204" s="19" t="str">
        <f>TEXT(tblMaster[[#This Row],[Order_Date]],"mmmm")</f>
        <v>August</v>
      </c>
      <c r="X204" s="19">
        <f>MONTH(tblMaster[[#This Row],[Order_Date]])</f>
        <v>8</v>
      </c>
      <c r="Y204" s="19" t="str">
        <f>"Q"&amp;ROUNDUP(tblMaster[[#This Row],[Month Number]]/3,0)</f>
        <v>Q3</v>
      </c>
      <c r="Z204" s="19">
        <f>YEAR(tblMaster[[#This Row],[Order_Date]])</f>
        <v>2023</v>
      </c>
      <c r="AA204" s="19" t="str">
        <f>TEXT(DAY(tblMaster[[#This Row],[Order_Date]]),"dddd")</f>
        <v>Sunday</v>
      </c>
      <c r="AB204" s="19" t="str">
        <f>IF(tblMaster[[#This Row],[Revenue]]&gt;=5000,"High",IF(tblMaster[[#This Row],[Revenue]]&lt;2000,"Low","Medium"))</f>
        <v>High</v>
      </c>
    </row>
    <row r="205" spans="1:28" x14ac:dyDescent="0.25">
      <c r="A205" s="10">
        <v>204</v>
      </c>
      <c r="B205" s="10" t="s">
        <v>285</v>
      </c>
      <c r="C205" s="5">
        <v>10</v>
      </c>
      <c r="D205" s="5">
        <v>4</v>
      </c>
      <c r="E205" s="11">
        <v>45110</v>
      </c>
      <c r="F205" s="12">
        <v>0.4491087962962963</v>
      </c>
      <c r="G205" s="11">
        <v>45116</v>
      </c>
      <c r="H205" s="12">
        <v>0.2701736111111111</v>
      </c>
      <c r="I205" s="10" t="s">
        <v>169</v>
      </c>
      <c r="J205" s="10" t="s">
        <v>36</v>
      </c>
      <c r="K205" s="18" t="str">
        <f>_xlfn.XLOOKUP(tblMaster[[#This Row],[Customer_ID]],tblCustomers[Customer_ID],tblCustomers[City],"Not Found",0)</f>
        <v>Nagpur</v>
      </c>
      <c r="L205" s="18" t="str">
        <f>_xlfn.XLOOKUP(tblMaster[[#This Row],[Customer_ID]],tblCustomers[Customer_ID],tblCustomers[Name],"Not Found",0)</f>
        <v>Inaaya  Sarraf</v>
      </c>
      <c r="M205" s="18" t="str">
        <f>_xlfn.XLOOKUP(tblMaster[[#This Row],[Customer_ID]],tblCustomers[Customer_ID],tblCustomers[Gender],"Not Found",0)</f>
        <v>Male</v>
      </c>
      <c r="N205" s="18" t="str">
        <f>_xlfn.XLOOKUP(tblMaster[[#This Row],[Product_ID]],tblProducts[Product_ID],tblProducts[Product_Name],"Not Found",0)</f>
        <v>Accusantium Gift</v>
      </c>
      <c r="O205" s="18" t="str">
        <f>_xlfn.XLOOKUP(tblMaster[[#This Row],[Product_ID]],tblProducts[Product_ID],tblProducts[Category],"Not Found",0)</f>
        <v>Cake</v>
      </c>
      <c r="P205" s="18" t="str">
        <f>_xlfn.XLOOKUP(tblMaster[[#This Row],[Product_ID]],tblProducts[Product_ID],tblProducts[Occasion],"Not Found",0)</f>
        <v>Birthday</v>
      </c>
      <c r="Q205" s="18">
        <f>_xlfn.XLOOKUP(tblMaster[[#This Row],[Product_ID]],tblProducts[Product_ID],tblProducts[Price (INR)],"Not Found",0)</f>
        <v>259</v>
      </c>
      <c r="R205" s="19">
        <f>tblMaster[[#This Row],[Price]]*tblMaster[[#This Row],[Quantity]]</f>
        <v>1036</v>
      </c>
      <c r="S205" s="19">
        <f>tblMaster[[#This Row],[Price]]*0.7*tblMaster[[#This Row],[Quantity]]</f>
        <v>725.19999999999993</v>
      </c>
      <c r="T205" s="19">
        <f>tblMaster[[#This Row],[Revenue]]-tblMaster[[#This Row],[Estimated Cost (at 70%) ]]</f>
        <v>310.80000000000007</v>
      </c>
      <c r="U205" s="19">
        <f>tblMaster[[#This Row],[Profit]]/tblMaster[[#This Row],[Revenue]]</f>
        <v>0.30000000000000004</v>
      </c>
      <c r="V205" s="19">
        <f>tblMaster[[#This Row],[Delivery_Date]]-tblMaster[[#This Row],[Order_Date]]</f>
        <v>6</v>
      </c>
      <c r="W205" s="19" t="str">
        <f>TEXT(tblMaster[[#This Row],[Order_Date]],"mmmm")</f>
        <v>July</v>
      </c>
      <c r="X205" s="19">
        <f>MONTH(tblMaster[[#This Row],[Order_Date]])</f>
        <v>7</v>
      </c>
      <c r="Y205" s="19" t="str">
        <f>"Q"&amp;ROUNDUP(tblMaster[[#This Row],[Month Number]]/3,0)</f>
        <v>Q3</v>
      </c>
      <c r="Z205" s="19">
        <f>YEAR(tblMaster[[#This Row],[Order_Date]])</f>
        <v>2023</v>
      </c>
      <c r="AA205" s="19" t="str">
        <f>TEXT(DAY(tblMaster[[#This Row],[Order_Date]]),"dddd")</f>
        <v>Tuesday</v>
      </c>
      <c r="AB205" s="19" t="str">
        <f>IF(tblMaster[[#This Row],[Revenue]]&gt;=5000,"High",IF(tblMaster[[#This Row],[Revenue]]&lt;2000,"Low","Medium"))</f>
        <v>Low</v>
      </c>
    </row>
    <row r="206" spans="1:28" x14ac:dyDescent="0.25">
      <c r="A206" s="7">
        <v>205</v>
      </c>
      <c r="B206" s="7" t="s">
        <v>349</v>
      </c>
      <c r="C206" s="4">
        <v>46</v>
      </c>
      <c r="D206" s="4">
        <v>5</v>
      </c>
      <c r="E206" s="8">
        <v>45113</v>
      </c>
      <c r="F206" s="9">
        <v>0.22038194444444445</v>
      </c>
      <c r="G206" s="8">
        <v>45116</v>
      </c>
      <c r="H206" s="9">
        <v>0.49111111111111111</v>
      </c>
      <c r="I206" s="7" t="s">
        <v>371</v>
      </c>
      <c r="J206" s="7" t="s">
        <v>30</v>
      </c>
      <c r="K206" s="18" t="str">
        <f>_xlfn.XLOOKUP(tblMaster[[#This Row],[Customer_ID]],tblCustomers[Customer_ID],tblCustomers[City],"Not Found",0)</f>
        <v>Khandwa</v>
      </c>
      <c r="L206" s="18" t="str">
        <f>_xlfn.XLOOKUP(tblMaster[[#This Row],[Customer_ID]],tblCustomers[Customer_ID],tblCustomers[Name],"Not Found",0)</f>
        <v>Ivana Rout</v>
      </c>
      <c r="M206" s="18" t="str">
        <f>_xlfn.XLOOKUP(tblMaster[[#This Row],[Customer_ID]],tblCustomers[Customer_ID],tblCustomers[Gender],"Not Found",0)</f>
        <v>Male</v>
      </c>
      <c r="N206" s="18" t="str">
        <f>_xlfn.XLOOKUP(tblMaster[[#This Row],[Product_ID]],tblProducts[Product_ID],tblProducts[Product_Name],"Not Found",0)</f>
        <v>Pariatur Set</v>
      </c>
      <c r="O206" s="18" t="str">
        <f>_xlfn.XLOOKUP(tblMaster[[#This Row],[Product_ID]],tblProducts[Product_ID],tblProducts[Category],"Not Found",0)</f>
        <v>Cake</v>
      </c>
      <c r="P206" s="18" t="str">
        <f>_xlfn.XLOOKUP(tblMaster[[#This Row],[Product_ID]],tblProducts[Product_ID],tblProducts[Occasion],"Not Found",0)</f>
        <v>Anniversary</v>
      </c>
      <c r="Q206" s="18">
        <f>_xlfn.XLOOKUP(tblMaster[[#This Row],[Product_ID]],tblProducts[Product_ID],tblProducts[Price (INR)],"Not Found",0)</f>
        <v>758</v>
      </c>
      <c r="R206" s="19">
        <f>tblMaster[[#This Row],[Price]]*tblMaster[[#This Row],[Quantity]]</f>
        <v>3790</v>
      </c>
      <c r="S206" s="19">
        <f>tblMaster[[#This Row],[Price]]*0.7*tblMaster[[#This Row],[Quantity]]</f>
        <v>2653</v>
      </c>
      <c r="T206" s="19">
        <f>tblMaster[[#This Row],[Revenue]]-tblMaster[[#This Row],[Estimated Cost (at 70%) ]]</f>
        <v>1137</v>
      </c>
      <c r="U206" s="19">
        <f>tblMaster[[#This Row],[Profit]]/tblMaster[[#This Row],[Revenue]]</f>
        <v>0.3</v>
      </c>
      <c r="V206" s="19">
        <f>tblMaster[[#This Row],[Delivery_Date]]-tblMaster[[#This Row],[Order_Date]]</f>
        <v>3</v>
      </c>
      <c r="W206" s="19" t="str">
        <f>TEXT(tblMaster[[#This Row],[Order_Date]],"mmmm")</f>
        <v>July</v>
      </c>
      <c r="X206" s="19">
        <f>MONTH(tblMaster[[#This Row],[Order_Date]])</f>
        <v>7</v>
      </c>
      <c r="Y206" s="19" t="str">
        <f>"Q"&amp;ROUNDUP(tblMaster[[#This Row],[Month Number]]/3,0)</f>
        <v>Q3</v>
      </c>
      <c r="Z206" s="19">
        <f>YEAR(tblMaster[[#This Row],[Order_Date]])</f>
        <v>2023</v>
      </c>
      <c r="AA206" s="19" t="str">
        <f>TEXT(DAY(tblMaster[[#This Row],[Order_Date]]),"dddd")</f>
        <v>Friday</v>
      </c>
      <c r="AB206" s="19" t="str">
        <f>IF(tblMaster[[#This Row],[Revenue]]&gt;=5000,"High",IF(tblMaster[[#This Row],[Revenue]]&lt;2000,"Low","Medium"))</f>
        <v>Medium</v>
      </c>
    </row>
    <row r="207" spans="1:28" x14ac:dyDescent="0.25">
      <c r="A207" s="10">
        <v>206</v>
      </c>
      <c r="B207" s="10" t="s">
        <v>183</v>
      </c>
      <c r="C207" s="5">
        <v>68</v>
      </c>
      <c r="D207" s="5">
        <v>3</v>
      </c>
      <c r="E207" s="11">
        <v>44968</v>
      </c>
      <c r="F207" s="12">
        <v>0.92518518518518522</v>
      </c>
      <c r="G207" s="11">
        <v>44970</v>
      </c>
      <c r="H207" s="12">
        <v>0.52917824074074071</v>
      </c>
      <c r="I207" s="10" t="s">
        <v>404</v>
      </c>
      <c r="J207" s="10" t="s">
        <v>12</v>
      </c>
      <c r="K207" s="18" t="str">
        <f>_xlfn.XLOOKUP(tblMaster[[#This Row],[Customer_ID]],tblCustomers[Customer_ID],tblCustomers[City],"Not Found",0)</f>
        <v>Dhanbad</v>
      </c>
      <c r="L207" s="18" t="str">
        <f>_xlfn.XLOOKUP(tblMaster[[#This Row],[Customer_ID]],tblCustomers[Customer_ID],tblCustomers[Name],"Not Found",0)</f>
        <v>Ranbir Loyal</v>
      </c>
      <c r="M207" s="18" t="str">
        <f>_xlfn.XLOOKUP(tblMaster[[#This Row],[Customer_ID]],tblCustomers[Customer_ID],tblCustomers[Gender],"Not Found",0)</f>
        <v>Female</v>
      </c>
      <c r="N207" s="18" t="str">
        <f>_xlfn.XLOOKUP(tblMaster[[#This Row],[Product_ID]],tblProducts[Product_ID],tblProducts[Product_Name],"Not Found",0)</f>
        <v>Quas Gift</v>
      </c>
      <c r="O207" s="18" t="str">
        <f>_xlfn.XLOOKUP(tblMaster[[#This Row],[Product_ID]],tblProducts[Product_ID],tblProducts[Category],"Not Found",0)</f>
        <v>Soft Toys</v>
      </c>
      <c r="P207" s="18" t="str">
        <f>_xlfn.XLOOKUP(tblMaster[[#This Row],[Product_ID]],tblProducts[Product_ID],tblProducts[Occasion],"Not Found",0)</f>
        <v>Valentine's Day</v>
      </c>
      <c r="Q207" s="18">
        <f>_xlfn.XLOOKUP(tblMaster[[#This Row],[Product_ID]],tblProducts[Product_ID],tblProducts[Price (INR)],"Not Found",0)</f>
        <v>597</v>
      </c>
      <c r="R207" s="19">
        <f>tblMaster[[#This Row],[Price]]*tblMaster[[#This Row],[Quantity]]</f>
        <v>1791</v>
      </c>
      <c r="S207" s="19">
        <f>tblMaster[[#This Row],[Price]]*0.7*tblMaster[[#This Row],[Quantity]]</f>
        <v>1253.6999999999998</v>
      </c>
      <c r="T207" s="19">
        <f>tblMaster[[#This Row],[Revenue]]-tblMaster[[#This Row],[Estimated Cost (at 70%) ]]</f>
        <v>537.30000000000018</v>
      </c>
      <c r="U207" s="19">
        <f>tblMaster[[#This Row],[Profit]]/tblMaster[[#This Row],[Revenue]]</f>
        <v>0.3000000000000001</v>
      </c>
      <c r="V207" s="19">
        <f>tblMaster[[#This Row],[Delivery_Date]]-tblMaster[[#This Row],[Order_Date]]</f>
        <v>2</v>
      </c>
      <c r="W207" s="19" t="str">
        <f>TEXT(tblMaster[[#This Row],[Order_Date]],"mmmm")</f>
        <v>February</v>
      </c>
      <c r="X207" s="19">
        <f>MONTH(tblMaster[[#This Row],[Order_Date]])</f>
        <v>2</v>
      </c>
      <c r="Y207" s="19" t="str">
        <f>"Q"&amp;ROUNDUP(tblMaster[[#This Row],[Month Number]]/3,0)</f>
        <v>Q1</v>
      </c>
      <c r="Z207" s="19">
        <f>YEAR(tblMaster[[#This Row],[Order_Date]])</f>
        <v>2023</v>
      </c>
      <c r="AA207" s="19" t="str">
        <f>TEXT(DAY(tblMaster[[#This Row],[Order_Date]]),"dddd")</f>
        <v>Wednesday</v>
      </c>
      <c r="AB207" s="19" t="str">
        <f>IF(tblMaster[[#This Row],[Revenue]]&gt;=5000,"High",IF(tblMaster[[#This Row],[Revenue]]&lt;2000,"Low","Medium"))</f>
        <v>Low</v>
      </c>
    </row>
    <row r="208" spans="1:28" x14ac:dyDescent="0.25">
      <c r="A208" s="7">
        <v>207</v>
      </c>
      <c r="B208" s="7" t="s">
        <v>174</v>
      </c>
      <c r="C208" s="4">
        <v>6</v>
      </c>
      <c r="D208" s="4">
        <v>2</v>
      </c>
      <c r="E208" s="8">
        <v>44990</v>
      </c>
      <c r="F208" s="9">
        <v>5.0879629629629629E-2</v>
      </c>
      <c r="G208" s="8">
        <v>44992</v>
      </c>
      <c r="H208" s="9">
        <v>0.51106481481481481</v>
      </c>
      <c r="I208" s="7" t="s">
        <v>262</v>
      </c>
      <c r="J208" s="7" t="s">
        <v>25</v>
      </c>
      <c r="K208" s="18" t="str">
        <f>_xlfn.XLOOKUP(tblMaster[[#This Row],[Customer_ID]],tblCustomers[Customer_ID],tblCustomers[City],"Not Found",0)</f>
        <v>Bhubaneswar</v>
      </c>
      <c r="L208" s="18" t="str">
        <f>_xlfn.XLOOKUP(tblMaster[[#This Row],[Customer_ID]],tblCustomers[Customer_ID],tblCustomers[Name],"Not Found",0)</f>
        <v>Jivika Rajan</v>
      </c>
      <c r="M208" s="18" t="str">
        <f>_xlfn.XLOOKUP(tblMaster[[#This Row],[Customer_ID]],tblCustomers[Customer_ID],tblCustomers[Gender],"Not Found",0)</f>
        <v>Female</v>
      </c>
      <c r="N208" s="18" t="str">
        <f>_xlfn.XLOOKUP(tblMaster[[#This Row],[Product_ID]],tblProducts[Product_ID],tblProducts[Product_Name],"Not Found",0)</f>
        <v>Quos Box</v>
      </c>
      <c r="O208" s="18" t="str">
        <f>_xlfn.XLOOKUP(tblMaster[[#This Row],[Product_ID]],tblProducts[Product_ID],tblProducts[Category],"Not Found",0)</f>
        <v>Cake</v>
      </c>
      <c r="P208" s="18" t="str">
        <f>_xlfn.XLOOKUP(tblMaster[[#This Row],[Product_ID]],tblProducts[Product_ID],tblProducts[Occasion],"Not Found",0)</f>
        <v>Holi</v>
      </c>
      <c r="Q208" s="18">
        <f>_xlfn.XLOOKUP(tblMaster[[#This Row],[Product_ID]],tblProducts[Product_ID],tblProducts[Price (INR)],"Not Found",0)</f>
        <v>1112</v>
      </c>
      <c r="R208" s="19">
        <f>tblMaster[[#This Row],[Price]]*tblMaster[[#This Row],[Quantity]]</f>
        <v>2224</v>
      </c>
      <c r="S208" s="19">
        <f>tblMaster[[#This Row],[Price]]*0.7*tblMaster[[#This Row],[Quantity]]</f>
        <v>1556.8</v>
      </c>
      <c r="T208" s="19">
        <f>tblMaster[[#This Row],[Revenue]]-tblMaster[[#This Row],[Estimated Cost (at 70%) ]]</f>
        <v>667.2</v>
      </c>
      <c r="U208" s="19">
        <f>tblMaster[[#This Row],[Profit]]/tblMaster[[#This Row],[Revenue]]</f>
        <v>0.30000000000000004</v>
      </c>
      <c r="V208" s="19">
        <f>tblMaster[[#This Row],[Delivery_Date]]-tblMaster[[#This Row],[Order_Date]]</f>
        <v>2</v>
      </c>
      <c r="W208" s="19" t="str">
        <f>TEXT(tblMaster[[#This Row],[Order_Date]],"mmmm")</f>
        <v>March</v>
      </c>
      <c r="X208" s="19">
        <f>MONTH(tblMaster[[#This Row],[Order_Date]])</f>
        <v>3</v>
      </c>
      <c r="Y208" s="19" t="str">
        <f>"Q"&amp;ROUNDUP(tblMaster[[#This Row],[Month Number]]/3,0)</f>
        <v>Q1</v>
      </c>
      <c r="Z208" s="19">
        <f>YEAR(tblMaster[[#This Row],[Order_Date]])</f>
        <v>2023</v>
      </c>
      <c r="AA208" s="19" t="str">
        <f>TEXT(DAY(tblMaster[[#This Row],[Order_Date]]),"dddd")</f>
        <v>Thursday</v>
      </c>
      <c r="AB208" s="19" t="str">
        <f>IF(tblMaster[[#This Row],[Revenue]]&gt;=5000,"High",IF(tblMaster[[#This Row],[Revenue]]&lt;2000,"Low","Medium"))</f>
        <v>Medium</v>
      </c>
    </row>
    <row r="209" spans="1:28" x14ac:dyDescent="0.25">
      <c r="A209" s="10">
        <v>208</v>
      </c>
      <c r="B209" s="10" t="s">
        <v>405</v>
      </c>
      <c r="C209" s="5">
        <v>18</v>
      </c>
      <c r="D209" s="5">
        <v>5</v>
      </c>
      <c r="E209" s="11">
        <v>45018</v>
      </c>
      <c r="F209" s="12">
        <v>0.18804398148148149</v>
      </c>
      <c r="G209" s="11">
        <v>45028</v>
      </c>
      <c r="H209" s="12">
        <v>0.29625000000000001</v>
      </c>
      <c r="I209" s="10" t="s">
        <v>406</v>
      </c>
      <c r="J209" s="10" t="s">
        <v>36</v>
      </c>
      <c r="K209" s="18" t="str">
        <f>_xlfn.XLOOKUP(tblMaster[[#This Row],[Customer_ID]],tblCustomers[Customer_ID],tblCustomers[City],"Not Found",0)</f>
        <v>Panchkula</v>
      </c>
      <c r="L209" s="18" t="str">
        <f>_xlfn.XLOOKUP(tblMaster[[#This Row],[Customer_ID]],tblCustomers[Customer_ID],tblCustomers[Name],"Not Found",0)</f>
        <v>Tara Krishnan</v>
      </c>
      <c r="M209" s="18" t="str">
        <f>_xlfn.XLOOKUP(tblMaster[[#This Row],[Customer_ID]],tblCustomers[Customer_ID],tblCustomers[Gender],"Not Found",0)</f>
        <v>Female</v>
      </c>
      <c r="N209" s="18" t="str">
        <f>_xlfn.XLOOKUP(tblMaster[[#This Row],[Product_ID]],tblProducts[Product_ID],tblProducts[Product_Name],"Not Found",0)</f>
        <v>Nemo Set</v>
      </c>
      <c r="O209" s="18" t="str">
        <f>_xlfn.XLOOKUP(tblMaster[[#This Row],[Product_ID]],tblProducts[Product_ID],tblProducts[Category],"Not Found",0)</f>
        <v>Plants</v>
      </c>
      <c r="P209" s="18" t="str">
        <f>_xlfn.XLOOKUP(tblMaster[[#This Row],[Product_ID]],tblProducts[Product_ID],tblProducts[Occasion],"Not Found",0)</f>
        <v>Birthday</v>
      </c>
      <c r="Q209" s="18">
        <f>_xlfn.XLOOKUP(tblMaster[[#This Row],[Product_ID]],tblProducts[Product_ID],tblProducts[Price (INR)],"Not Found",0)</f>
        <v>781</v>
      </c>
      <c r="R209" s="19">
        <f>tblMaster[[#This Row],[Price]]*tblMaster[[#This Row],[Quantity]]</f>
        <v>3905</v>
      </c>
      <c r="S209" s="19">
        <f>tblMaster[[#This Row],[Price]]*0.7*tblMaster[[#This Row],[Quantity]]</f>
        <v>2733.4999999999995</v>
      </c>
      <c r="T209" s="19">
        <f>tblMaster[[#This Row],[Revenue]]-tblMaster[[#This Row],[Estimated Cost (at 70%) ]]</f>
        <v>1171.5000000000005</v>
      </c>
      <c r="U209" s="19">
        <f>tblMaster[[#This Row],[Profit]]/tblMaster[[#This Row],[Revenue]]</f>
        <v>0.3000000000000001</v>
      </c>
      <c r="V209" s="19">
        <f>tblMaster[[#This Row],[Delivery_Date]]-tblMaster[[#This Row],[Order_Date]]</f>
        <v>10</v>
      </c>
      <c r="W209" s="19" t="str">
        <f>TEXT(tblMaster[[#This Row],[Order_Date]],"mmmm")</f>
        <v>April</v>
      </c>
      <c r="X209" s="19">
        <f>MONTH(tblMaster[[#This Row],[Order_Date]])</f>
        <v>4</v>
      </c>
      <c r="Y209" s="19" t="str">
        <f>"Q"&amp;ROUNDUP(tblMaster[[#This Row],[Month Number]]/3,0)</f>
        <v>Q2</v>
      </c>
      <c r="Z209" s="19">
        <f>YEAR(tblMaster[[#This Row],[Order_Date]])</f>
        <v>2023</v>
      </c>
      <c r="AA209" s="19" t="str">
        <f>TEXT(DAY(tblMaster[[#This Row],[Order_Date]]),"dddd")</f>
        <v>Monday</v>
      </c>
      <c r="AB209" s="19" t="str">
        <f>IF(tblMaster[[#This Row],[Revenue]]&gt;=5000,"High",IF(tblMaster[[#This Row],[Revenue]]&lt;2000,"Low","Medium"))</f>
        <v>Medium</v>
      </c>
    </row>
    <row r="210" spans="1:28" x14ac:dyDescent="0.25">
      <c r="A210" s="7">
        <v>209</v>
      </c>
      <c r="B210" s="7" t="s">
        <v>222</v>
      </c>
      <c r="C210" s="4">
        <v>70</v>
      </c>
      <c r="D210" s="4">
        <v>2</v>
      </c>
      <c r="E210" s="8">
        <v>45099</v>
      </c>
      <c r="F210" s="9">
        <v>3.0925925925925926E-2</v>
      </c>
      <c r="G210" s="8">
        <v>45100</v>
      </c>
      <c r="H210" s="9">
        <v>0.90592592592592591</v>
      </c>
      <c r="I210" s="7" t="s">
        <v>407</v>
      </c>
      <c r="J210" s="7" t="s">
        <v>36</v>
      </c>
      <c r="K210" s="18" t="str">
        <f>_xlfn.XLOOKUP(tblMaster[[#This Row],[Customer_ID]],tblCustomers[Customer_ID],tblCustomers[City],"Not Found",0)</f>
        <v>Tiruppur</v>
      </c>
      <c r="L210" s="18" t="str">
        <f>_xlfn.XLOOKUP(tblMaster[[#This Row],[Customer_ID]],tblCustomers[Customer_ID],tblCustomers[Name],"Not Found",0)</f>
        <v>Purab Sheth</v>
      </c>
      <c r="M210" s="18" t="str">
        <f>_xlfn.XLOOKUP(tblMaster[[#This Row],[Customer_ID]],tblCustomers[Customer_ID],tblCustomers[Gender],"Not Found",0)</f>
        <v>Male</v>
      </c>
      <c r="N210" s="18" t="str">
        <f>_xlfn.XLOOKUP(tblMaster[[#This Row],[Product_ID]],tblProducts[Product_ID],tblProducts[Product_Name],"Not Found",0)</f>
        <v>Error Gift</v>
      </c>
      <c r="O210" s="18" t="str">
        <f>_xlfn.XLOOKUP(tblMaster[[#This Row],[Product_ID]],tblProducts[Product_ID],tblProducts[Category],"Not Found",0)</f>
        <v>Sweets</v>
      </c>
      <c r="P210" s="18" t="str">
        <f>_xlfn.XLOOKUP(tblMaster[[#This Row],[Product_ID]],tblProducts[Product_ID],tblProducts[Occasion],"Not Found",0)</f>
        <v>Birthday</v>
      </c>
      <c r="Q210" s="18">
        <f>_xlfn.XLOOKUP(tblMaster[[#This Row],[Product_ID]],tblProducts[Product_ID],tblProducts[Price (INR)],"Not Found",0)</f>
        <v>866</v>
      </c>
      <c r="R210" s="19">
        <f>tblMaster[[#This Row],[Price]]*tblMaster[[#This Row],[Quantity]]</f>
        <v>1732</v>
      </c>
      <c r="S210" s="19">
        <f>tblMaster[[#This Row],[Price]]*0.7*tblMaster[[#This Row],[Quantity]]</f>
        <v>1212.3999999999999</v>
      </c>
      <c r="T210" s="19">
        <f>tblMaster[[#This Row],[Revenue]]-tblMaster[[#This Row],[Estimated Cost (at 70%) ]]</f>
        <v>519.60000000000014</v>
      </c>
      <c r="U210" s="19">
        <f>tblMaster[[#This Row],[Profit]]/tblMaster[[#This Row],[Revenue]]</f>
        <v>0.3000000000000001</v>
      </c>
      <c r="V210" s="19">
        <f>tblMaster[[#This Row],[Delivery_Date]]-tblMaster[[#This Row],[Order_Date]]</f>
        <v>1</v>
      </c>
      <c r="W210" s="19" t="str">
        <f>TEXT(tblMaster[[#This Row],[Order_Date]],"mmmm")</f>
        <v>June</v>
      </c>
      <c r="X210" s="19">
        <f>MONTH(tblMaster[[#This Row],[Order_Date]])</f>
        <v>6</v>
      </c>
      <c r="Y210" s="19" t="str">
        <f>"Q"&amp;ROUNDUP(tblMaster[[#This Row],[Month Number]]/3,0)</f>
        <v>Q2</v>
      </c>
      <c r="Z210" s="19">
        <f>YEAR(tblMaster[[#This Row],[Order_Date]])</f>
        <v>2023</v>
      </c>
      <c r="AA210" s="19" t="str">
        <f>TEXT(DAY(tblMaster[[#This Row],[Order_Date]]),"dddd")</f>
        <v>Sunday</v>
      </c>
      <c r="AB210" s="19" t="str">
        <f>IF(tblMaster[[#This Row],[Revenue]]&gt;=5000,"High",IF(tblMaster[[#This Row],[Revenue]]&lt;2000,"Low","Medium"))</f>
        <v>Low</v>
      </c>
    </row>
    <row r="211" spans="1:28" x14ac:dyDescent="0.25">
      <c r="A211" s="10">
        <v>210</v>
      </c>
      <c r="B211" s="10" t="s">
        <v>258</v>
      </c>
      <c r="C211" s="5">
        <v>32</v>
      </c>
      <c r="D211" s="5">
        <v>4</v>
      </c>
      <c r="E211" s="11">
        <v>45270</v>
      </c>
      <c r="F211" s="12">
        <v>3.2314814814814817E-2</v>
      </c>
      <c r="G211" s="11">
        <v>45275</v>
      </c>
      <c r="H211" s="12">
        <v>0.33512731481481484</v>
      </c>
      <c r="I211" s="10" t="s">
        <v>408</v>
      </c>
      <c r="J211" s="10" t="s">
        <v>36</v>
      </c>
      <c r="K211" s="18" t="str">
        <f>_xlfn.XLOOKUP(tblMaster[[#This Row],[Customer_ID]],tblCustomers[Customer_ID],tblCustomers[City],"Not Found",0)</f>
        <v>Warangal</v>
      </c>
      <c r="L211" s="18" t="str">
        <f>_xlfn.XLOOKUP(tblMaster[[#This Row],[Customer_ID]],tblCustomers[Customer_ID],tblCustomers[Name],"Not Found",0)</f>
        <v>Mahika Cherian</v>
      </c>
      <c r="M211" s="18" t="str">
        <f>_xlfn.XLOOKUP(tblMaster[[#This Row],[Customer_ID]],tblCustomers[Customer_ID],tblCustomers[Gender],"Not Found",0)</f>
        <v>Female</v>
      </c>
      <c r="N211" s="18" t="str">
        <f>_xlfn.XLOOKUP(tblMaster[[#This Row],[Product_ID]],tblProducts[Product_ID],tblProducts[Product_Name],"Not Found",0)</f>
        <v>Fuga Set</v>
      </c>
      <c r="O211" s="18" t="str">
        <f>_xlfn.XLOOKUP(tblMaster[[#This Row],[Product_ID]],tblProducts[Product_ID],tblProducts[Category],"Not Found",0)</f>
        <v>Soft Toys</v>
      </c>
      <c r="P211" s="18" t="str">
        <f>_xlfn.XLOOKUP(tblMaster[[#This Row],[Product_ID]],tblProducts[Product_ID],tblProducts[Occasion],"Not Found",0)</f>
        <v>Birthday</v>
      </c>
      <c r="Q211" s="18">
        <f>_xlfn.XLOOKUP(tblMaster[[#This Row],[Product_ID]],tblProducts[Product_ID],tblProducts[Price (INR)],"Not Found",0)</f>
        <v>1792</v>
      </c>
      <c r="R211" s="19">
        <f>tblMaster[[#This Row],[Price]]*tblMaster[[#This Row],[Quantity]]</f>
        <v>7168</v>
      </c>
      <c r="S211" s="19">
        <f>tblMaster[[#This Row],[Price]]*0.7*tblMaster[[#This Row],[Quantity]]</f>
        <v>5017.5999999999995</v>
      </c>
      <c r="T211" s="19">
        <f>tblMaster[[#This Row],[Revenue]]-tblMaster[[#This Row],[Estimated Cost (at 70%) ]]</f>
        <v>2150.4000000000005</v>
      </c>
      <c r="U211" s="19">
        <f>tblMaster[[#This Row],[Profit]]/tblMaster[[#This Row],[Revenue]]</f>
        <v>0.3000000000000001</v>
      </c>
      <c r="V211" s="19">
        <f>tblMaster[[#This Row],[Delivery_Date]]-tblMaster[[#This Row],[Order_Date]]</f>
        <v>5</v>
      </c>
      <c r="W211" s="19" t="str">
        <f>TEXT(tblMaster[[#This Row],[Order_Date]],"mmmm")</f>
        <v>December</v>
      </c>
      <c r="X211" s="19">
        <f>MONTH(tblMaster[[#This Row],[Order_Date]])</f>
        <v>12</v>
      </c>
      <c r="Y211" s="19" t="str">
        <f>"Q"&amp;ROUNDUP(tblMaster[[#This Row],[Month Number]]/3,0)</f>
        <v>Q4</v>
      </c>
      <c r="Z211" s="19">
        <f>YEAR(tblMaster[[#This Row],[Order_Date]])</f>
        <v>2023</v>
      </c>
      <c r="AA211" s="19" t="str">
        <f>TEXT(DAY(tblMaster[[#This Row],[Order_Date]]),"dddd")</f>
        <v>Tuesday</v>
      </c>
      <c r="AB211" s="19" t="str">
        <f>IF(tblMaster[[#This Row],[Revenue]]&gt;=5000,"High",IF(tblMaster[[#This Row],[Revenue]]&lt;2000,"Low","Medium"))</f>
        <v>High</v>
      </c>
    </row>
    <row r="212" spans="1:28" x14ac:dyDescent="0.25">
      <c r="A212" s="7">
        <v>211</v>
      </c>
      <c r="B212" s="7" t="s">
        <v>409</v>
      </c>
      <c r="C212" s="4">
        <v>31</v>
      </c>
      <c r="D212" s="4">
        <v>5</v>
      </c>
      <c r="E212" s="8">
        <v>45221</v>
      </c>
      <c r="F212" s="9">
        <v>0.76040509259259259</v>
      </c>
      <c r="G212" s="8">
        <v>45228</v>
      </c>
      <c r="H212" s="9">
        <v>0.73614583333333339</v>
      </c>
      <c r="I212" s="7" t="s">
        <v>410</v>
      </c>
      <c r="J212" s="7" t="s">
        <v>8</v>
      </c>
      <c r="K212" s="18" t="str">
        <f>_xlfn.XLOOKUP(tblMaster[[#This Row],[Customer_ID]],tblCustomers[Customer_ID],tblCustomers[City],"Not Found",0)</f>
        <v>Vellore</v>
      </c>
      <c r="L212" s="18" t="str">
        <f>_xlfn.XLOOKUP(tblMaster[[#This Row],[Customer_ID]],tblCustomers[Customer_ID],tblCustomers[Name],"Not Found",0)</f>
        <v>Yasmin Sheth</v>
      </c>
      <c r="M212" s="18" t="str">
        <f>_xlfn.XLOOKUP(tblMaster[[#This Row],[Customer_ID]],tblCustomers[Customer_ID],tblCustomers[Gender],"Not Found",0)</f>
        <v>Female</v>
      </c>
      <c r="N212" s="18" t="str">
        <f>_xlfn.XLOOKUP(tblMaster[[#This Row],[Product_ID]],tblProducts[Product_ID],tblProducts[Product_Name],"Not Found",0)</f>
        <v>Nihil Box</v>
      </c>
      <c r="O212" s="18" t="str">
        <f>_xlfn.XLOOKUP(tblMaster[[#This Row],[Product_ID]],tblProducts[Product_ID],tblProducts[Category],"Not Found",0)</f>
        <v>Colors</v>
      </c>
      <c r="P212" s="18" t="str">
        <f>_xlfn.XLOOKUP(tblMaster[[#This Row],[Product_ID]],tblProducts[Product_ID],tblProducts[Occasion],"Not Found",0)</f>
        <v>All Occasions</v>
      </c>
      <c r="Q212" s="18">
        <f>_xlfn.XLOOKUP(tblMaster[[#This Row],[Product_ID]],tblProducts[Product_ID],tblProducts[Price (INR)],"Not Found",0)</f>
        <v>1804</v>
      </c>
      <c r="R212" s="19">
        <f>tblMaster[[#This Row],[Price]]*tblMaster[[#This Row],[Quantity]]</f>
        <v>9020</v>
      </c>
      <c r="S212" s="19">
        <f>tblMaster[[#This Row],[Price]]*0.7*tblMaster[[#This Row],[Quantity]]</f>
        <v>6314</v>
      </c>
      <c r="T212" s="19">
        <f>tblMaster[[#This Row],[Revenue]]-tblMaster[[#This Row],[Estimated Cost (at 70%) ]]</f>
        <v>2706</v>
      </c>
      <c r="U212" s="19">
        <f>tblMaster[[#This Row],[Profit]]/tblMaster[[#This Row],[Revenue]]</f>
        <v>0.3</v>
      </c>
      <c r="V212" s="19">
        <f>tblMaster[[#This Row],[Delivery_Date]]-tblMaster[[#This Row],[Order_Date]]</f>
        <v>7</v>
      </c>
      <c r="W212" s="19" t="str">
        <f>TEXT(tblMaster[[#This Row],[Order_Date]],"mmmm")</f>
        <v>October</v>
      </c>
      <c r="X212" s="19">
        <f>MONTH(tblMaster[[#This Row],[Order_Date]])</f>
        <v>10</v>
      </c>
      <c r="Y212" s="19" t="str">
        <f>"Q"&amp;ROUNDUP(tblMaster[[#This Row],[Month Number]]/3,0)</f>
        <v>Q4</v>
      </c>
      <c r="Z212" s="19">
        <f>YEAR(tblMaster[[#This Row],[Order_Date]])</f>
        <v>2023</v>
      </c>
      <c r="AA212" s="19" t="str">
        <f>TEXT(DAY(tblMaster[[#This Row],[Order_Date]]),"dddd")</f>
        <v>Sunday</v>
      </c>
      <c r="AB212" s="19" t="str">
        <f>IF(tblMaster[[#This Row],[Revenue]]&gt;=5000,"High",IF(tblMaster[[#This Row],[Revenue]]&lt;2000,"Low","Medium"))</f>
        <v>High</v>
      </c>
    </row>
    <row r="213" spans="1:28" x14ac:dyDescent="0.25">
      <c r="A213" s="10">
        <v>212</v>
      </c>
      <c r="B213" s="10" t="s">
        <v>398</v>
      </c>
      <c r="C213" s="5">
        <v>7</v>
      </c>
      <c r="D213" s="5">
        <v>2</v>
      </c>
      <c r="E213" s="11">
        <v>44985</v>
      </c>
      <c r="F213" s="12">
        <v>0.30185185185185187</v>
      </c>
      <c r="G213" s="11">
        <v>44990</v>
      </c>
      <c r="H213" s="12">
        <v>0.83454861111111112</v>
      </c>
      <c r="I213" s="10" t="s">
        <v>314</v>
      </c>
      <c r="J213" s="10" t="s">
        <v>25</v>
      </c>
      <c r="K213" s="18" t="str">
        <f>_xlfn.XLOOKUP(tblMaster[[#This Row],[Customer_ID]],tblCustomers[Customer_ID],tblCustomers[City],"Not Found",0)</f>
        <v>Tumkur</v>
      </c>
      <c r="L213" s="18" t="str">
        <f>_xlfn.XLOOKUP(tblMaster[[#This Row],[Customer_ID]],tblCustomers[Customer_ID],tblCustomers[Name],"Not Found",0)</f>
        <v>Mamooty Bawa</v>
      </c>
      <c r="M213" s="18" t="str">
        <f>_xlfn.XLOOKUP(tblMaster[[#This Row],[Customer_ID]],tblCustomers[Customer_ID],tblCustomers[Gender],"Not Found",0)</f>
        <v>Male</v>
      </c>
      <c r="N213" s="18" t="str">
        <f>_xlfn.XLOOKUP(tblMaster[[#This Row],[Product_ID]],tblProducts[Product_ID],tblProducts[Product_Name],"Not Found",0)</f>
        <v>Quos Set</v>
      </c>
      <c r="O213" s="18" t="str">
        <f>_xlfn.XLOOKUP(tblMaster[[#This Row],[Product_ID]],tblProducts[Product_ID],tblProducts[Category],"Not Found",0)</f>
        <v>Soft Toys</v>
      </c>
      <c r="P213" s="18" t="str">
        <f>_xlfn.XLOOKUP(tblMaster[[#This Row],[Product_ID]],tblProducts[Product_ID],tblProducts[Occasion],"Not Found",0)</f>
        <v>Holi</v>
      </c>
      <c r="Q213" s="18">
        <f>_xlfn.XLOOKUP(tblMaster[[#This Row],[Product_ID]],tblProducts[Product_ID],tblProducts[Price (INR)],"Not Found",0)</f>
        <v>409</v>
      </c>
      <c r="R213" s="19">
        <f>tblMaster[[#This Row],[Price]]*tblMaster[[#This Row],[Quantity]]</f>
        <v>818</v>
      </c>
      <c r="S213" s="19">
        <f>tblMaster[[#This Row],[Price]]*0.7*tblMaster[[#This Row],[Quantity]]</f>
        <v>572.59999999999991</v>
      </c>
      <c r="T213" s="19">
        <f>tblMaster[[#This Row],[Revenue]]-tblMaster[[#This Row],[Estimated Cost (at 70%) ]]</f>
        <v>245.40000000000009</v>
      </c>
      <c r="U213" s="19">
        <f>tblMaster[[#This Row],[Profit]]/tblMaster[[#This Row],[Revenue]]</f>
        <v>0.3000000000000001</v>
      </c>
      <c r="V213" s="19">
        <f>tblMaster[[#This Row],[Delivery_Date]]-tblMaster[[#This Row],[Order_Date]]</f>
        <v>5</v>
      </c>
      <c r="W213" s="19" t="str">
        <f>TEXT(tblMaster[[#This Row],[Order_Date]],"mmmm")</f>
        <v>February</v>
      </c>
      <c r="X213" s="19">
        <f>MONTH(tblMaster[[#This Row],[Order_Date]])</f>
        <v>2</v>
      </c>
      <c r="Y213" s="19" t="str">
        <f>"Q"&amp;ROUNDUP(tblMaster[[#This Row],[Month Number]]/3,0)</f>
        <v>Q1</v>
      </c>
      <c r="Z213" s="19">
        <f>YEAR(tblMaster[[#This Row],[Order_Date]])</f>
        <v>2023</v>
      </c>
      <c r="AA213" s="19" t="str">
        <f>TEXT(DAY(tblMaster[[#This Row],[Order_Date]]),"dddd")</f>
        <v>Saturday</v>
      </c>
      <c r="AB213" s="19" t="str">
        <f>IF(tblMaster[[#This Row],[Revenue]]&gt;=5000,"High",IF(tblMaster[[#This Row],[Revenue]]&lt;2000,"Low","Medium"))</f>
        <v>Low</v>
      </c>
    </row>
    <row r="214" spans="1:28" x14ac:dyDescent="0.25">
      <c r="A214" s="7">
        <v>213</v>
      </c>
      <c r="B214" s="7" t="s">
        <v>349</v>
      </c>
      <c r="C214" s="4">
        <v>42</v>
      </c>
      <c r="D214" s="4">
        <v>5</v>
      </c>
      <c r="E214" s="8">
        <v>44971</v>
      </c>
      <c r="F214" s="9">
        <v>0.35159722222222223</v>
      </c>
      <c r="G214" s="8">
        <v>44981</v>
      </c>
      <c r="H214" s="9">
        <v>0.37373842592592593</v>
      </c>
      <c r="I214" s="7" t="s">
        <v>411</v>
      </c>
      <c r="J214" s="7" t="s">
        <v>8</v>
      </c>
      <c r="K214" s="18" t="str">
        <f>_xlfn.XLOOKUP(tblMaster[[#This Row],[Customer_ID]],tblCustomers[Customer_ID],tblCustomers[City],"Not Found",0)</f>
        <v>Khandwa</v>
      </c>
      <c r="L214" s="18" t="str">
        <f>_xlfn.XLOOKUP(tblMaster[[#This Row],[Customer_ID]],tblCustomers[Customer_ID],tblCustomers[Name],"Not Found",0)</f>
        <v>Ivana Rout</v>
      </c>
      <c r="M214" s="18" t="str">
        <f>_xlfn.XLOOKUP(tblMaster[[#This Row],[Customer_ID]],tblCustomers[Customer_ID],tblCustomers[Gender],"Not Found",0)</f>
        <v>Male</v>
      </c>
      <c r="N214" s="18" t="str">
        <f>_xlfn.XLOOKUP(tblMaster[[#This Row],[Product_ID]],tblProducts[Product_ID],tblProducts[Product_Name],"Not Found",0)</f>
        <v>Expedita Gift</v>
      </c>
      <c r="O214" s="18" t="str">
        <f>_xlfn.XLOOKUP(tblMaster[[#This Row],[Product_ID]],tblProducts[Product_ID],tblProducts[Category],"Not Found",0)</f>
        <v>Sweets</v>
      </c>
      <c r="P214" s="18" t="str">
        <f>_xlfn.XLOOKUP(tblMaster[[#This Row],[Product_ID]],tblProducts[Product_ID],tblProducts[Occasion],"Not Found",0)</f>
        <v>All Occasions</v>
      </c>
      <c r="Q214" s="18">
        <f>_xlfn.XLOOKUP(tblMaster[[#This Row],[Product_ID]],tblProducts[Product_ID],tblProducts[Price (INR)],"Not Found",0)</f>
        <v>1744</v>
      </c>
      <c r="R214" s="19">
        <f>tblMaster[[#This Row],[Price]]*tblMaster[[#This Row],[Quantity]]</f>
        <v>8720</v>
      </c>
      <c r="S214" s="19">
        <f>tblMaster[[#This Row],[Price]]*0.7*tblMaster[[#This Row],[Quantity]]</f>
        <v>6104</v>
      </c>
      <c r="T214" s="19">
        <f>tblMaster[[#This Row],[Revenue]]-tblMaster[[#This Row],[Estimated Cost (at 70%) ]]</f>
        <v>2616</v>
      </c>
      <c r="U214" s="19">
        <f>tblMaster[[#This Row],[Profit]]/tblMaster[[#This Row],[Revenue]]</f>
        <v>0.3</v>
      </c>
      <c r="V214" s="19">
        <f>tblMaster[[#This Row],[Delivery_Date]]-tblMaster[[#This Row],[Order_Date]]</f>
        <v>10</v>
      </c>
      <c r="W214" s="19" t="str">
        <f>TEXT(tblMaster[[#This Row],[Order_Date]],"mmmm")</f>
        <v>February</v>
      </c>
      <c r="X214" s="19">
        <f>MONTH(tblMaster[[#This Row],[Order_Date]])</f>
        <v>2</v>
      </c>
      <c r="Y214" s="19" t="str">
        <f>"Q"&amp;ROUNDUP(tblMaster[[#This Row],[Month Number]]/3,0)</f>
        <v>Q1</v>
      </c>
      <c r="Z214" s="19">
        <f>YEAR(tblMaster[[#This Row],[Order_Date]])</f>
        <v>2023</v>
      </c>
      <c r="AA214" s="19" t="str">
        <f>TEXT(DAY(tblMaster[[#This Row],[Order_Date]]),"dddd")</f>
        <v>Saturday</v>
      </c>
      <c r="AB214" s="19" t="str">
        <f>IF(tblMaster[[#This Row],[Revenue]]&gt;=5000,"High",IF(tblMaster[[#This Row],[Revenue]]&lt;2000,"Low","Medium"))</f>
        <v>High</v>
      </c>
    </row>
    <row r="215" spans="1:28" x14ac:dyDescent="0.25">
      <c r="A215" s="10">
        <v>214</v>
      </c>
      <c r="B215" s="10" t="s">
        <v>183</v>
      </c>
      <c r="C215" s="5">
        <v>13</v>
      </c>
      <c r="D215" s="5">
        <v>3</v>
      </c>
      <c r="E215" s="11">
        <v>44986</v>
      </c>
      <c r="F215" s="12">
        <v>0.32633101851851853</v>
      </c>
      <c r="G215" s="11">
        <v>44992</v>
      </c>
      <c r="H215" s="12">
        <v>0.35237268518518516</v>
      </c>
      <c r="I215" s="10" t="s">
        <v>412</v>
      </c>
      <c r="J215" s="10" t="s">
        <v>25</v>
      </c>
      <c r="K215" s="18" t="str">
        <f>_xlfn.XLOOKUP(tblMaster[[#This Row],[Customer_ID]],tblCustomers[Customer_ID],tblCustomers[City],"Not Found",0)</f>
        <v>Dhanbad</v>
      </c>
      <c r="L215" s="18" t="str">
        <f>_xlfn.XLOOKUP(tblMaster[[#This Row],[Customer_ID]],tblCustomers[Customer_ID],tblCustomers[Name],"Not Found",0)</f>
        <v>Ranbir Loyal</v>
      </c>
      <c r="M215" s="18" t="str">
        <f>_xlfn.XLOOKUP(tblMaster[[#This Row],[Customer_ID]],tblCustomers[Customer_ID],tblCustomers[Gender],"Not Found",0)</f>
        <v>Female</v>
      </c>
      <c r="N215" s="18" t="str">
        <f>_xlfn.XLOOKUP(tblMaster[[#This Row],[Product_ID]],tblProducts[Product_ID],tblProducts[Product_Name],"Not Found",0)</f>
        <v>Et Set</v>
      </c>
      <c r="O215" s="18" t="str">
        <f>_xlfn.XLOOKUP(tblMaster[[#This Row],[Product_ID]],tblProducts[Product_ID],tblProducts[Category],"Not Found",0)</f>
        <v>Mugs</v>
      </c>
      <c r="P215" s="18" t="str">
        <f>_xlfn.XLOOKUP(tblMaster[[#This Row],[Product_ID]],tblProducts[Product_ID],tblProducts[Occasion],"Not Found",0)</f>
        <v>Holi</v>
      </c>
      <c r="Q215" s="18">
        <f>_xlfn.XLOOKUP(tblMaster[[#This Row],[Product_ID]],tblProducts[Product_ID],tblProducts[Price (INR)],"Not Found",0)</f>
        <v>1141</v>
      </c>
      <c r="R215" s="19">
        <f>tblMaster[[#This Row],[Price]]*tblMaster[[#This Row],[Quantity]]</f>
        <v>3423</v>
      </c>
      <c r="S215" s="19">
        <f>tblMaster[[#This Row],[Price]]*0.7*tblMaster[[#This Row],[Quantity]]</f>
        <v>2396.1</v>
      </c>
      <c r="T215" s="19">
        <f>tblMaster[[#This Row],[Revenue]]-tblMaster[[#This Row],[Estimated Cost (at 70%) ]]</f>
        <v>1026.9000000000001</v>
      </c>
      <c r="U215" s="19">
        <f>tblMaster[[#This Row],[Profit]]/tblMaster[[#This Row],[Revenue]]</f>
        <v>0.30000000000000004</v>
      </c>
      <c r="V215" s="19">
        <f>tblMaster[[#This Row],[Delivery_Date]]-tblMaster[[#This Row],[Order_Date]]</f>
        <v>6</v>
      </c>
      <c r="W215" s="19" t="str">
        <f>TEXT(tblMaster[[#This Row],[Order_Date]],"mmmm")</f>
        <v>March</v>
      </c>
      <c r="X215" s="19">
        <f>MONTH(tblMaster[[#This Row],[Order_Date]])</f>
        <v>3</v>
      </c>
      <c r="Y215" s="19" t="str">
        <f>"Q"&amp;ROUNDUP(tblMaster[[#This Row],[Month Number]]/3,0)</f>
        <v>Q1</v>
      </c>
      <c r="Z215" s="19">
        <f>YEAR(tblMaster[[#This Row],[Order_Date]])</f>
        <v>2023</v>
      </c>
      <c r="AA215" s="19" t="str">
        <f>TEXT(DAY(tblMaster[[#This Row],[Order_Date]]),"dddd")</f>
        <v>Sunday</v>
      </c>
      <c r="AB215" s="19" t="str">
        <f>IF(tblMaster[[#This Row],[Revenue]]&gt;=5000,"High",IF(tblMaster[[#This Row],[Revenue]]&lt;2000,"Low","Medium"))</f>
        <v>Medium</v>
      </c>
    </row>
    <row r="216" spans="1:28" x14ac:dyDescent="0.25">
      <c r="A216" s="7">
        <v>215</v>
      </c>
      <c r="B216" s="7" t="s">
        <v>413</v>
      </c>
      <c r="C216" s="4">
        <v>17</v>
      </c>
      <c r="D216" s="4">
        <v>1</v>
      </c>
      <c r="E216" s="8">
        <v>45067</v>
      </c>
      <c r="F216" s="9">
        <v>0.16280092592592593</v>
      </c>
      <c r="G216" s="8">
        <v>45070</v>
      </c>
      <c r="H216" s="9">
        <v>0.52608796296296301</v>
      </c>
      <c r="I216" s="7" t="s">
        <v>228</v>
      </c>
      <c r="J216" s="7" t="s">
        <v>30</v>
      </c>
      <c r="K216" s="18" t="str">
        <f>_xlfn.XLOOKUP(tblMaster[[#This Row],[Customer_ID]],tblCustomers[Customer_ID],tblCustomers[City],"Not Found",0)</f>
        <v>Cuttack</v>
      </c>
      <c r="L216" s="18" t="str">
        <f>_xlfn.XLOOKUP(tblMaster[[#This Row],[Customer_ID]],tblCustomers[Customer_ID],tblCustomers[Name],"Not Found",0)</f>
        <v>Navya Golla</v>
      </c>
      <c r="M216" s="18" t="str">
        <f>_xlfn.XLOOKUP(tblMaster[[#This Row],[Customer_ID]],tblCustomers[Customer_ID],tblCustomers[Gender],"Not Found",0)</f>
        <v>Male</v>
      </c>
      <c r="N216" s="18" t="str">
        <f>_xlfn.XLOOKUP(tblMaster[[#This Row],[Product_ID]],tblProducts[Product_ID],tblProducts[Product_Name],"Not Found",0)</f>
        <v>Delectus Gift</v>
      </c>
      <c r="O216" s="18" t="str">
        <f>_xlfn.XLOOKUP(tblMaster[[#This Row],[Product_ID]],tblProducts[Product_ID],tblProducts[Category],"Not Found",0)</f>
        <v>Soft Toys</v>
      </c>
      <c r="P216" s="18" t="str">
        <f>_xlfn.XLOOKUP(tblMaster[[#This Row],[Product_ID]],tblProducts[Product_ID],tblProducts[Occasion],"Not Found",0)</f>
        <v>Anniversary</v>
      </c>
      <c r="Q216" s="18">
        <f>_xlfn.XLOOKUP(tblMaster[[#This Row],[Product_ID]],tblProducts[Product_ID],tblProducts[Price (INR)],"Not Found",0)</f>
        <v>1899</v>
      </c>
      <c r="R216" s="19">
        <f>tblMaster[[#This Row],[Price]]*tblMaster[[#This Row],[Quantity]]</f>
        <v>1899</v>
      </c>
      <c r="S216" s="19">
        <f>tblMaster[[#This Row],[Price]]*0.7*tblMaster[[#This Row],[Quantity]]</f>
        <v>1329.3</v>
      </c>
      <c r="T216" s="19">
        <f>tblMaster[[#This Row],[Revenue]]-tblMaster[[#This Row],[Estimated Cost (at 70%) ]]</f>
        <v>569.70000000000005</v>
      </c>
      <c r="U216" s="19">
        <f>tblMaster[[#This Row],[Profit]]/tblMaster[[#This Row],[Revenue]]</f>
        <v>0.30000000000000004</v>
      </c>
      <c r="V216" s="19">
        <f>tblMaster[[#This Row],[Delivery_Date]]-tblMaster[[#This Row],[Order_Date]]</f>
        <v>3</v>
      </c>
      <c r="W216" s="19" t="str">
        <f>TEXT(tblMaster[[#This Row],[Order_Date]],"mmmm")</f>
        <v>May</v>
      </c>
      <c r="X216" s="19">
        <f>MONTH(tblMaster[[#This Row],[Order_Date]])</f>
        <v>5</v>
      </c>
      <c r="Y216" s="19" t="str">
        <f>"Q"&amp;ROUNDUP(tblMaster[[#This Row],[Month Number]]/3,0)</f>
        <v>Q2</v>
      </c>
      <c r="Z216" s="19">
        <f>YEAR(tblMaster[[#This Row],[Order_Date]])</f>
        <v>2023</v>
      </c>
      <c r="AA216" s="19" t="str">
        <f>TEXT(DAY(tblMaster[[#This Row],[Order_Date]]),"dddd")</f>
        <v>Saturday</v>
      </c>
      <c r="AB216" s="19" t="str">
        <f>IF(tblMaster[[#This Row],[Revenue]]&gt;=5000,"High",IF(tblMaster[[#This Row],[Revenue]]&lt;2000,"Low","Medium"))</f>
        <v>Low</v>
      </c>
    </row>
    <row r="217" spans="1:28" x14ac:dyDescent="0.25">
      <c r="A217" s="10">
        <v>216</v>
      </c>
      <c r="B217" s="10" t="s">
        <v>400</v>
      </c>
      <c r="C217" s="5">
        <v>23</v>
      </c>
      <c r="D217" s="5">
        <v>1</v>
      </c>
      <c r="E217" s="11">
        <v>45202</v>
      </c>
      <c r="F217" s="12">
        <v>0.65734953703703702</v>
      </c>
      <c r="G217" s="11">
        <v>45207</v>
      </c>
      <c r="H217" s="12">
        <v>0.8656018518518519</v>
      </c>
      <c r="I217" s="10" t="s">
        <v>414</v>
      </c>
      <c r="J217" s="10" t="s">
        <v>30</v>
      </c>
      <c r="K217" s="18" t="str">
        <f>_xlfn.XLOOKUP(tblMaster[[#This Row],[Customer_ID]],tblCustomers[Customer_ID],tblCustomers[City],"Not Found",0)</f>
        <v>Miryalaguda</v>
      </c>
      <c r="L217" s="18" t="str">
        <f>_xlfn.XLOOKUP(tblMaster[[#This Row],[Customer_ID]],tblCustomers[Customer_ID],tblCustomers[Name],"Not Found",0)</f>
        <v>Tarini Bava</v>
      </c>
      <c r="M217" s="18" t="str">
        <f>_xlfn.XLOOKUP(tblMaster[[#This Row],[Customer_ID]],tblCustomers[Customer_ID],tblCustomers[Gender],"Not Found",0)</f>
        <v>Male</v>
      </c>
      <c r="N217" s="18" t="str">
        <f>_xlfn.XLOOKUP(tblMaster[[#This Row],[Product_ID]],tblProducts[Product_ID],tblProducts[Product_Name],"Not Found",0)</f>
        <v>Dignissimos Pack</v>
      </c>
      <c r="O217" s="18" t="str">
        <f>_xlfn.XLOOKUP(tblMaster[[#This Row],[Product_ID]],tblProducts[Product_ID],tblProducts[Category],"Not Found",0)</f>
        <v>Sweets</v>
      </c>
      <c r="P217" s="18" t="str">
        <f>_xlfn.XLOOKUP(tblMaster[[#This Row],[Product_ID]],tblProducts[Product_ID],tblProducts[Occasion],"Not Found",0)</f>
        <v>Anniversary</v>
      </c>
      <c r="Q217" s="18">
        <f>_xlfn.XLOOKUP(tblMaster[[#This Row],[Product_ID]],tblProducts[Product_ID],tblProducts[Price (INR)],"Not Found",0)</f>
        <v>1098</v>
      </c>
      <c r="R217" s="19">
        <f>tblMaster[[#This Row],[Price]]*tblMaster[[#This Row],[Quantity]]</f>
        <v>1098</v>
      </c>
      <c r="S217" s="19">
        <f>tblMaster[[#This Row],[Price]]*0.7*tblMaster[[#This Row],[Quantity]]</f>
        <v>768.59999999999991</v>
      </c>
      <c r="T217" s="19">
        <f>tblMaster[[#This Row],[Revenue]]-tblMaster[[#This Row],[Estimated Cost (at 70%) ]]</f>
        <v>329.40000000000009</v>
      </c>
      <c r="U217" s="19">
        <f>tblMaster[[#This Row],[Profit]]/tblMaster[[#This Row],[Revenue]]</f>
        <v>0.3000000000000001</v>
      </c>
      <c r="V217" s="19">
        <f>tblMaster[[#This Row],[Delivery_Date]]-tblMaster[[#This Row],[Order_Date]]</f>
        <v>5</v>
      </c>
      <c r="W217" s="19" t="str">
        <f>TEXT(tblMaster[[#This Row],[Order_Date]],"mmmm")</f>
        <v>October</v>
      </c>
      <c r="X217" s="19">
        <f>MONTH(tblMaster[[#This Row],[Order_Date]])</f>
        <v>10</v>
      </c>
      <c r="Y217" s="19" t="str">
        <f>"Q"&amp;ROUNDUP(tblMaster[[#This Row],[Month Number]]/3,0)</f>
        <v>Q4</v>
      </c>
      <c r="Z217" s="19">
        <f>YEAR(tblMaster[[#This Row],[Order_Date]])</f>
        <v>2023</v>
      </c>
      <c r="AA217" s="19" t="str">
        <f>TEXT(DAY(tblMaster[[#This Row],[Order_Date]]),"dddd")</f>
        <v>Tuesday</v>
      </c>
      <c r="AB217" s="19" t="str">
        <f>IF(tblMaster[[#This Row],[Revenue]]&gt;=5000,"High",IF(tblMaster[[#This Row],[Revenue]]&lt;2000,"Low","Medium"))</f>
        <v>Low</v>
      </c>
    </row>
    <row r="218" spans="1:28" x14ac:dyDescent="0.25">
      <c r="A218" s="7">
        <v>217</v>
      </c>
      <c r="B218" s="7" t="s">
        <v>190</v>
      </c>
      <c r="C218" s="4">
        <v>53</v>
      </c>
      <c r="D218" s="4">
        <v>4</v>
      </c>
      <c r="E218" s="8">
        <v>45165</v>
      </c>
      <c r="F218" s="9">
        <v>0.12817129629629628</v>
      </c>
      <c r="G218" s="8">
        <v>45168</v>
      </c>
      <c r="H218" s="9">
        <v>0.69605324074074071</v>
      </c>
      <c r="I218" s="7" t="s">
        <v>175</v>
      </c>
      <c r="J218" s="7" t="s">
        <v>33</v>
      </c>
      <c r="K218" s="18" t="str">
        <f>_xlfn.XLOOKUP(tblMaster[[#This Row],[Customer_ID]],tblCustomers[Customer_ID],tblCustomers[City],"Not Found",0)</f>
        <v>Ajmer</v>
      </c>
      <c r="L218" s="18" t="str">
        <f>_xlfn.XLOOKUP(tblMaster[[#This Row],[Customer_ID]],tblCustomers[Customer_ID],tblCustomers[Name],"Not Found",0)</f>
        <v>Eshani Sharma</v>
      </c>
      <c r="M218" s="18" t="str">
        <f>_xlfn.XLOOKUP(tblMaster[[#This Row],[Customer_ID]],tblCustomers[Customer_ID],tblCustomers[Gender],"Not Found",0)</f>
        <v>Male</v>
      </c>
      <c r="N218" s="18" t="str">
        <f>_xlfn.XLOOKUP(tblMaster[[#This Row],[Product_ID]],tblProducts[Product_ID],tblProducts[Product_Name],"Not Found",0)</f>
        <v>Ipsam Set</v>
      </c>
      <c r="O218" s="18" t="str">
        <f>_xlfn.XLOOKUP(tblMaster[[#This Row],[Product_ID]],tblProducts[Product_ID],tblProducts[Category],"Not Found",0)</f>
        <v>Sweets</v>
      </c>
      <c r="P218" s="18" t="str">
        <f>_xlfn.XLOOKUP(tblMaster[[#This Row],[Product_ID]],tblProducts[Product_ID],tblProducts[Occasion],"Not Found",0)</f>
        <v>Raksha Bandhan</v>
      </c>
      <c r="Q218" s="18">
        <f>_xlfn.XLOOKUP(tblMaster[[#This Row],[Product_ID]],tblProducts[Product_ID],tblProducts[Price (INR)],"Not Found",0)</f>
        <v>1672</v>
      </c>
      <c r="R218" s="19">
        <f>tblMaster[[#This Row],[Price]]*tblMaster[[#This Row],[Quantity]]</f>
        <v>6688</v>
      </c>
      <c r="S218" s="19">
        <f>tblMaster[[#This Row],[Price]]*0.7*tblMaster[[#This Row],[Quantity]]</f>
        <v>4681.5999999999995</v>
      </c>
      <c r="T218" s="19">
        <f>tblMaster[[#This Row],[Revenue]]-tblMaster[[#This Row],[Estimated Cost (at 70%) ]]</f>
        <v>2006.4000000000005</v>
      </c>
      <c r="U218" s="19">
        <f>tblMaster[[#This Row],[Profit]]/tblMaster[[#This Row],[Revenue]]</f>
        <v>0.3000000000000001</v>
      </c>
      <c r="V218" s="19">
        <f>tblMaster[[#This Row],[Delivery_Date]]-tblMaster[[#This Row],[Order_Date]]</f>
        <v>3</v>
      </c>
      <c r="W218" s="19" t="str">
        <f>TEXT(tblMaster[[#This Row],[Order_Date]],"mmmm")</f>
        <v>August</v>
      </c>
      <c r="X218" s="19">
        <f>MONTH(tblMaster[[#This Row],[Order_Date]])</f>
        <v>8</v>
      </c>
      <c r="Y218" s="19" t="str">
        <f>"Q"&amp;ROUNDUP(tblMaster[[#This Row],[Month Number]]/3,0)</f>
        <v>Q3</v>
      </c>
      <c r="Z218" s="19">
        <f>YEAR(tblMaster[[#This Row],[Order_Date]])</f>
        <v>2023</v>
      </c>
      <c r="AA218" s="19" t="str">
        <f>TEXT(DAY(tblMaster[[#This Row],[Order_Date]]),"dddd")</f>
        <v>Friday</v>
      </c>
      <c r="AB218" s="19" t="str">
        <f>IF(tblMaster[[#This Row],[Revenue]]&gt;=5000,"High",IF(tblMaster[[#This Row],[Revenue]]&lt;2000,"Low","Medium"))</f>
        <v>High</v>
      </c>
    </row>
    <row r="219" spans="1:28" x14ac:dyDescent="0.25">
      <c r="A219" s="10">
        <v>218</v>
      </c>
      <c r="B219" s="10" t="s">
        <v>302</v>
      </c>
      <c r="C219" s="5">
        <v>31</v>
      </c>
      <c r="D219" s="5">
        <v>4</v>
      </c>
      <c r="E219" s="11">
        <v>45090</v>
      </c>
      <c r="F219" s="12">
        <v>0.95498842592592592</v>
      </c>
      <c r="G219" s="11">
        <v>45093</v>
      </c>
      <c r="H219" s="12">
        <v>0.12917824074074075</v>
      </c>
      <c r="I219" s="10" t="s">
        <v>415</v>
      </c>
      <c r="J219" s="10" t="s">
        <v>8</v>
      </c>
      <c r="K219" s="18" t="str">
        <f>_xlfn.XLOOKUP(tblMaster[[#This Row],[Customer_ID]],tblCustomers[Customer_ID],tblCustomers[City],"Not Found",0)</f>
        <v>Kavali</v>
      </c>
      <c r="L219" s="18" t="str">
        <f>_xlfn.XLOOKUP(tblMaster[[#This Row],[Customer_ID]],tblCustomers[Customer_ID],tblCustomers[Name],"Not Found",0)</f>
        <v>Akarsh Ramesh</v>
      </c>
      <c r="M219" s="18" t="str">
        <f>_xlfn.XLOOKUP(tblMaster[[#This Row],[Customer_ID]],tblCustomers[Customer_ID],tblCustomers[Gender],"Not Found",0)</f>
        <v>Female</v>
      </c>
      <c r="N219" s="18" t="str">
        <f>_xlfn.XLOOKUP(tblMaster[[#This Row],[Product_ID]],tblProducts[Product_ID],tblProducts[Product_Name],"Not Found",0)</f>
        <v>Nihil Box</v>
      </c>
      <c r="O219" s="18" t="str">
        <f>_xlfn.XLOOKUP(tblMaster[[#This Row],[Product_ID]],tblProducts[Product_ID],tblProducts[Category],"Not Found",0)</f>
        <v>Colors</v>
      </c>
      <c r="P219" s="18" t="str">
        <f>_xlfn.XLOOKUP(tblMaster[[#This Row],[Product_ID]],tblProducts[Product_ID],tblProducts[Occasion],"Not Found",0)</f>
        <v>All Occasions</v>
      </c>
      <c r="Q219" s="18">
        <f>_xlfn.XLOOKUP(tblMaster[[#This Row],[Product_ID]],tblProducts[Product_ID],tblProducts[Price (INR)],"Not Found",0)</f>
        <v>1804</v>
      </c>
      <c r="R219" s="19">
        <f>tblMaster[[#This Row],[Price]]*tblMaster[[#This Row],[Quantity]]</f>
        <v>7216</v>
      </c>
      <c r="S219" s="19">
        <f>tblMaster[[#This Row],[Price]]*0.7*tblMaster[[#This Row],[Quantity]]</f>
        <v>5051.2</v>
      </c>
      <c r="T219" s="19">
        <f>tblMaster[[#This Row],[Revenue]]-tblMaster[[#This Row],[Estimated Cost (at 70%) ]]</f>
        <v>2164.8000000000002</v>
      </c>
      <c r="U219" s="19">
        <f>tblMaster[[#This Row],[Profit]]/tblMaster[[#This Row],[Revenue]]</f>
        <v>0.30000000000000004</v>
      </c>
      <c r="V219" s="19">
        <f>tblMaster[[#This Row],[Delivery_Date]]-tblMaster[[#This Row],[Order_Date]]</f>
        <v>3</v>
      </c>
      <c r="W219" s="19" t="str">
        <f>TEXT(tblMaster[[#This Row],[Order_Date]],"mmmm")</f>
        <v>June</v>
      </c>
      <c r="X219" s="19">
        <f>MONTH(tblMaster[[#This Row],[Order_Date]])</f>
        <v>6</v>
      </c>
      <c r="Y219" s="19" t="str">
        <f>"Q"&amp;ROUNDUP(tblMaster[[#This Row],[Month Number]]/3,0)</f>
        <v>Q2</v>
      </c>
      <c r="Z219" s="19">
        <f>YEAR(tblMaster[[#This Row],[Order_Date]])</f>
        <v>2023</v>
      </c>
      <c r="AA219" s="19" t="str">
        <f>TEXT(DAY(tblMaster[[#This Row],[Order_Date]]),"dddd")</f>
        <v>Friday</v>
      </c>
      <c r="AB219" s="19" t="str">
        <f>IF(tblMaster[[#This Row],[Revenue]]&gt;=5000,"High",IF(tblMaster[[#This Row],[Revenue]]&lt;2000,"Low","Medium"))</f>
        <v>High</v>
      </c>
    </row>
    <row r="220" spans="1:28" x14ac:dyDescent="0.25">
      <c r="A220" s="7">
        <v>219</v>
      </c>
      <c r="B220" s="7" t="s">
        <v>387</v>
      </c>
      <c r="C220" s="4">
        <v>16</v>
      </c>
      <c r="D220" s="4">
        <v>5</v>
      </c>
      <c r="E220" s="8">
        <v>44990</v>
      </c>
      <c r="F220" s="9">
        <v>2.508101851851852E-2</v>
      </c>
      <c r="G220" s="8">
        <v>44996</v>
      </c>
      <c r="H220" s="9">
        <v>0.44172453703703701</v>
      </c>
      <c r="I220" s="7" t="s">
        <v>403</v>
      </c>
      <c r="J220" s="7" t="s">
        <v>25</v>
      </c>
      <c r="K220" s="18" t="str">
        <f>_xlfn.XLOOKUP(tblMaster[[#This Row],[Customer_ID]],tblCustomers[Customer_ID],tblCustomers[City],"Not Found",0)</f>
        <v>Serampore</v>
      </c>
      <c r="L220" s="18" t="str">
        <f>_xlfn.XLOOKUP(tblMaster[[#This Row],[Customer_ID]],tblCustomers[Customer_ID],tblCustomers[Name],"Not Found",0)</f>
        <v>Kashvi Sur</v>
      </c>
      <c r="M220" s="18" t="str">
        <f>_xlfn.XLOOKUP(tblMaster[[#This Row],[Customer_ID]],tblCustomers[Customer_ID],tblCustomers[Gender],"Not Found",0)</f>
        <v>Female</v>
      </c>
      <c r="N220" s="18" t="str">
        <f>_xlfn.XLOOKUP(tblMaster[[#This Row],[Product_ID]],tblProducts[Product_ID],tblProducts[Product_Name],"Not Found",0)</f>
        <v>Ut Pack</v>
      </c>
      <c r="O220" s="18" t="str">
        <f>_xlfn.XLOOKUP(tblMaster[[#This Row],[Product_ID]],tblProducts[Product_ID],tblProducts[Category],"Not Found",0)</f>
        <v>Sweets</v>
      </c>
      <c r="P220" s="18" t="str">
        <f>_xlfn.XLOOKUP(tblMaster[[#This Row],[Product_ID]],tblProducts[Product_ID],tblProducts[Occasion],"Not Found",0)</f>
        <v>Holi</v>
      </c>
      <c r="Q220" s="18">
        <f>_xlfn.XLOOKUP(tblMaster[[#This Row],[Product_ID]],tblProducts[Product_ID],tblProducts[Price (INR)],"Not Found",0)</f>
        <v>1721</v>
      </c>
      <c r="R220" s="19">
        <f>tblMaster[[#This Row],[Price]]*tblMaster[[#This Row],[Quantity]]</f>
        <v>8605</v>
      </c>
      <c r="S220" s="19">
        <f>tblMaster[[#This Row],[Price]]*0.7*tblMaster[[#This Row],[Quantity]]</f>
        <v>6023.4999999999991</v>
      </c>
      <c r="T220" s="19">
        <f>tblMaster[[#This Row],[Revenue]]-tblMaster[[#This Row],[Estimated Cost (at 70%) ]]</f>
        <v>2581.5000000000009</v>
      </c>
      <c r="U220" s="19">
        <f>tblMaster[[#This Row],[Profit]]/tblMaster[[#This Row],[Revenue]]</f>
        <v>0.3000000000000001</v>
      </c>
      <c r="V220" s="19">
        <f>tblMaster[[#This Row],[Delivery_Date]]-tblMaster[[#This Row],[Order_Date]]</f>
        <v>6</v>
      </c>
      <c r="W220" s="19" t="str">
        <f>TEXT(tblMaster[[#This Row],[Order_Date]],"mmmm")</f>
        <v>March</v>
      </c>
      <c r="X220" s="19">
        <f>MONTH(tblMaster[[#This Row],[Order_Date]])</f>
        <v>3</v>
      </c>
      <c r="Y220" s="19" t="str">
        <f>"Q"&amp;ROUNDUP(tblMaster[[#This Row],[Month Number]]/3,0)</f>
        <v>Q1</v>
      </c>
      <c r="Z220" s="19">
        <f>YEAR(tblMaster[[#This Row],[Order_Date]])</f>
        <v>2023</v>
      </c>
      <c r="AA220" s="19" t="str">
        <f>TEXT(DAY(tblMaster[[#This Row],[Order_Date]]),"dddd")</f>
        <v>Thursday</v>
      </c>
      <c r="AB220" s="19" t="str">
        <f>IF(tblMaster[[#This Row],[Revenue]]&gt;=5000,"High",IF(tblMaster[[#This Row],[Revenue]]&lt;2000,"Low","Medium"))</f>
        <v>High</v>
      </c>
    </row>
    <row r="221" spans="1:28" x14ac:dyDescent="0.25">
      <c r="A221" s="10">
        <v>220</v>
      </c>
      <c r="B221" s="10" t="s">
        <v>405</v>
      </c>
      <c r="C221" s="5">
        <v>26</v>
      </c>
      <c r="D221" s="5">
        <v>3</v>
      </c>
      <c r="E221" s="11">
        <v>44991</v>
      </c>
      <c r="F221" s="12">
        <v>0.51868055555555559</v>
      </c>
      <c r="G221" s="11">
        <v>45000</v>
      </c>
      <c r="H221" s="12">
        <v>0.6124074074074074</v>
      </c>
      <c r="I221" s="10" t="s">
        <v>416</v>
      </c>
      <c r="J221" s="10" t="s">
        <v>25</v>
      </c>
      <c r="K221" s="18" t="str">
        <f>_xlfn.XLOOKUP(tblMaster[[#This Row],[Customer_ID]],tblCustomers[Customer_ID],tblCustomers[City],"Not Found",0)</f>
        <v>Panchkula</v>
      </c>
      <c r="L221" s="18" t="str">
        <f>_xlfn.XLOOKUP(tblMaster[[#This Row],[Customer_ID]],tblCustomers[Customer_ID],tblCustomers[Name],"Not Found",0)</f>
        <v>Tara Krishnan</v>
      </c>
      <c r="M221" s="18" t="str">
        <f>_xlfn.XLOOKUP(tblMaster[[#This Row],[Customer_ID]],tblCustomers[Customer_ID],tblCustomers[Gender],"Not Found",0)</f>
        <v>Female</v>
      </c>
      <c r="N221" s="18" t="str">
        <f>_xlfn.XLOOKUP(tblMaster[[#This Row],[Product_ID]],tblProducts[Product_ID],tblProducts[Product_Name],"Not Found",0)</f>
        <v>Aliquam Box</v>
      </c>
      <c r="O221" s="18" t="str">
        <f>_xlfn.XLOOKUP(tblMaster[[#This Row],[Product_ID]],tblProducts[Product_ID],tblProducts[Category],"Not Found",0)</f>
        <v>Colors</v>
      </c>
      <c r="P221" s="18" t="str">
        <f>_xlfn.XLOOKUP(tblMaster[[#This Row],[Product_ID]],tblProducts[Product_ID],tblProducts[Occasion],"Not Found",0)</f>
        <v>Holi</v>
      </c>
      <c r="Q221" s="18">
        <f>_xlfn.XLOOKUP(tblMaster[[#This Row],[Product_ID]],tblProducts[Product_ID],tblProducts[Price (INR)],"Not Found",0)</f>
        <v>289</v>
      </c>
      <c r="R221" s="19">
        <f>tblMaster[[#This Row],[Price]]*tblMaster[[#This Row],[Quantity]]</f>
        <v>867</v>
      </c>
      <c r="S221" s="19">
        <f>tblMaster[[#This Row],[Price]]*0.7*tblMaster[[#This Row],[Quantity]]</f>
        <v>606.9</v>
      </c>
      <c r="T221" s="19">
        <f>tblMaster[[#This Row],[Revenue]]-tblMaster[[#This Row],[Estimated Cost (at 70%) ]]</f>
        <v>260.10000000000002</v>
      </c>
      <c r="U221" s="19">
        <f>tblMaster[[#This Row],[Profit]]/tblMaster[[#This Row],[Revenue]]</f>
        <v>0.30000000000000004</v>
      </c>
      <c r="V221" s="19">
        <f>tblMaster[[#This Row],[Delivery_Date]]-tblMaster[[#This Row],[Order_Date]]</f>
        <v>9</v>
      </c>
      <c r="W221" s="19" t="str">
        <f>TEXT(tblMaster[[#This Row],[Order_Date]],"mmmm")</f>
        <v>March</v>
      </c>
      <c r="X221" s="19">
        <f>MONTH(tblMaster[[#This Row],[Order_Date]])</f>
        <v>3</v>
      </c>
      <c r="Y221" s="19" t="str">
        <f>"Q"&amp;ROUNDUP(tblMaster[[#This Row],[Month Number]]/3,0)</f>
        <v>Q1</v>
      </c>
      <c r="Z221" s="19">
        <f>YEAR(tblMaster[[#This Row],[Order_Date]])</f>
        <v>2023</v>
      </c>
      <c r="AA221" s="19" t="str">
        <f>TEXT(DAY(tblMaster[[#This Row],[Order_Date]]),"dddd")</f>
        <v>Friday</v>
      </c>
      <c r="AB221" s="19" t="str">
        <f>IF(tblMaster[[#This Row],[Revenue]]&gt;=5000,"High",IF(tblMaster[[#This Row],[Revenue]]&lt;2000,"Low","Medium"))</f>
        <v>Low</v>
      </c>
    </row>
    <row r="222" spans="1:28" x14ac:dyDescent="0.25">
      <c r="A222" s="7">
        <v>221</v>
      </c>
      <c r="B222" s="7" t="s">
        <v>417</v>
      </c>
      <c r="C222" s="4">
        <v>28</v>
      </c>
      <c r="D222" s="4">
        <v>4</v>
      </c>
      <c r="E222" s="8">
        <v>45159</v>
      </c>
      <c r="F222" s="9">
        <v>9.1018518518518512E-2</v>
      </c>
      <c r="G222" s="8">
        <v>45168</v>
      </c>
      <c r="H222" s="9">
        <v>0.58373842592592595</v>
      </c>
      <c r="I222" s="7" t="s">
        <v>418</v>
      </c>
      <c r="J222" s="7" t="s">
        <v>33</v>
      </c>
      <c r="K222" s="18" t="str">
        <f>_xlfn.XLOOKUP(tblMaster[[#This Row],[Customer_ID]],tblCustomers[Customer_ID],tblCustomers[City],"Not Found",0)</f>
        <v>Gaya</v>
      </c>
      <c r="L222" s="18" t="str">
        <f>_xlfn.XLOOKUP(tblMaster[[#This Row],[Customer_ID]],tblCustomers[Customer_ID],tblCustomers[Name],"Not Found",0)</f>
        <v>Oorja Dayal</v>
      </c>
      <c r="M222" s="18" t="str">
        <f>_xlfn.XLOOKUP(tblMaster[[#This Row],[Customer_ID]],tblCustomers[Customer_ID],tblCustomers[Gender],"Not Found",0)</f>
        <v>Female</v>
      </c>
      <c r="N222" s="18" t="str">
        <f>_xlfn.XLOOKUP(tblMaster[[#This Row],[Product_ID]],tblProducts[Product_ID],tblProducts[Product_Name],"Not Found",0)</f>
        <v>Velit Set</v>
      </c>
      <c r="O222" s="18" t="str">
        <f>_xlfn.XLOOKUP(tblMaster[[#This Row],[Product_ID]],tblProducts[Product_ID],tblProducts[Category],"Not Found",0)</f>
        <v>Sweets</v>
      </c>
      <c r="P222" s="18" t="str">
        <f>_xlfn.XLOOKUP(tblMaster[[#This Row],[Product_ID]],tblProducts[Product_ID],tblProducts[Occasion],"Not Found",0)</f>
        <v>Raksha Bandhan</v>
      </c>
      <c r="Q222" s="18">
        <f>_xlfn.XLOOKUP(tblMaster[[#This Row],[Product_ID]],tblProducts[Product_ID],tblProducts[Price (INR)],"Not Found",0)</f>
        <v>1778</v>
      </c>
      <c r="R222" s="19">
        <f>tblMaster[[#This Row],[Price]]*tblMaster[[#This Row],[Quantity]]</f>
        <v>7112</v>
      </c>
      <c r="S222" s="19">
        <f>tblMaster[[#This Row],[Price]]*0.7*tblMaster[[#This Row],[Quantity]]</f>
        <v>4978.3999999999996</v>
      </c>
      <c r="T222" s="19">
        <f>tblMaster[[#This Row],[Revenue]]-tblMaster[[#This Row],[Estimated Cost (at 70%) ]]</f>
        <v>2133.6000000000004</v>
      </c>
      <c r="U222" s="19">
        <f>tblMaster[[#This Row],[Profit]]/tblMaster[[#This Row],[Revenue]]</f>
        <v>0.30000000000000004</v>
      </c>
      <c r="V222" s="19">
        <f>tblMaster[[#This Row],[Delivery_Date]]-tblMaster[[#This Row],[Order_Date]]</f>
        <v>9</v>
      </c>
      <c r="W222" s="19" t="str">
        <f>TEXT(tblMaster[[#This Row],[Order_Date]],"mmmm")</f>
        <v>August</v>
      </c>
      <c r="X222" s="19">
        <f>MONTH(tblMaster[[#This Row],[Order_Date]])</f>
        <v>8</v>
      </c>
      <c r="Y222" s="19" t="str">
        <f>"Q"&amp;ROUNDUP(tblMaster[[#This Row],[Month Number]]/3,0)</f>
        <v>Q3</v>
      </c>
      <c r="Z222" s="19">
        <f>YEAR(tblMaster[[#This Row],[Order_Date]])</f>
        <v>2023</v>
      </c>
      <c r="AA222" s="19" t="str">
        <f>TEXT(DAY(tblMaster[[#This Row],[Order_Date]]),"dddd")</f>
        <v>Saturday</v>
      </c>
      <c r="AB222" s="19" t="str">
        <f>IF(tblMaster[[#This Row],[Revenue]]&gt;=5000,"High",IF(tblMaster[[#This Row],[Revenue]]&lt;2000,"Low","Medium"))</f>
        <v>High</v>
      </c>
    </row>
    <row r="223" spans="1:28" x14ac:dyDescent="0.25">
      <c r="A223" s="10">
        <v>222</v>
      </c>
      <c r="B223" s="10" t="s">
        <v>183</v>
      </c>
      <c r="C223" s="5">
        <v>6</v>
      </c>
      <c r="D223" s="5">
        <v>5</v>
      </c>
      <c r="E223" s="11">
        <v>44983</v>
      </c>
      <c r="F223" s="12">
        <v>0.24820601851851851</v>
      </c>
      <c r="G223" s="11">
        <v>44992</v>
      </c>
      <c r="H223" s="12">
        <v>0.76446759259259256</v>
      </c>
      <c r="I223" s="10" t="s">
        <v>332</v>
      </c>
      <c r="J223" s="10" t="s">
        <v>25</v>
      </c>
      <c r="K223" s="18" t="str">
        <f>_xlfn.XLOOKUP(tblMaster[[#This Row],[Customer_ID]],tblCustomers[Customer_ID],tblCustomers[City],"Not Found",0)</f>
        <v>Dhanbad</v>
      </c>
      <c r="L223" s="18" t="str">
        <f>_xlfn.XLOOKUP(tblMaster[[#This Row],[Customer_ID]],tblCustomers[Customer_ID],tblCustomers[Name],"Not Found",0)</f>
        <v>Ranbir Loyal</v>
      </c>
      <c r="M223" s="18" t="str">
        <f>_xlfn.XLOOKUP(tblMaster[[#This Row],[Customer_ID]],tblCustomers[Customer_ID],tblCustomers[Gender],"Not Found",0)</f>
        <v>Female</v>
      </c>
      <c r="N223" s="18" t="str">
        <f>_xlfn.XLOOKUP(tblMaster[[#This Row],[Product_ID]],tblProducts[Product_ID],tblProducts[Product_Name],"Not Found",0)</f>
        <v>Quos Box</v>
      </c>
      <c r="O223" s="18" t="str">
        <f>_xlfn.XLOOKUP(tblMaster[[#This Row],[Product_ID]],tblProducts[Product_ID],tblProducts[Category],"Not Found",0)</f>
        <v>Cake</v>
      </c>
      <c r="P223" s="18" t="str">
        <f>_xlfn.XLOOKUP(tblMaster[[#This Row],[Product_ID]],tblProducts[Product_ID],tblProducts[Occasion],"Not Found",0)</f>
        <v>Holi</v>
      </c>
      <c r="Q223" s="18">
        <f>_xlfn.XLOOKUP(tblMaster[[#This Row],[Product_ID]],tblProducts[Product_ID],tblProducts[Price (INR)],"Not Found",0)</f>
        <v>1112</v>
      </c>
      <c r="R223" s="19">
        <f>tblMaster[[#This Row],[Price]]*tblMaster[[#This Row],[Quantity]]</f>
        <v>5560</v>
      </c>
      <c r="S223" s="19">
        <f>tblMaster[[#This Row],[Price]]*0.7*tblMaster[[#This Row],[Quantity]]</f>
        <v>3892</v>
      </c>
      <c r="T223" s="19">
        <f>tblMaster[[#This Row],[Revenue]]-tblMaster[[#This Row],[Estimated Cost (at 70%) ]]</f>
        <v>1668</v>
      </c>
      <c r="U223" s="19">
        <f>tblMaster[[#This Row],[Profit]]/tblMaster[[#This Row],[Revenue]]</f>
        <v>0.3</v>
      </c>
      <c r="V223" s="19">
        <f>tblMaster[[#This Row],[Delivery_Date]]-tblMaster[[#This Row],[Order_Date]]</f>
        <v>9</v>
      </c>
      <c r="W223" s="19" t="str">
        <f>TEXT(tblMaster[[#This Row],[Order_Date]],"mmmm")</f>
        <v>February</v>
      </c>
      <c r="X223" s="19">
        <f>MONTH(tblMaster[[#This Row],[Order_Date]])</f>
        <v>2</v>
      </c>
      <c r="Y223" s="19" t="str">
        <f>"Q"&amp;ROUNDUP(tblMaster[[#This Row],[Month Number]]/3,0)</f>
        <v>Q1</v>
      </c>
      <c r="Z223" s="19">
        <f>YEAR(tblMaster[[#This Row],[Order_Date]])</f>
        <v>2023</v>
      </c>
      <c r="AA223" s="19" t="str">
        <f>TEXT(DAY(tblMaster[[#This Row],[Order_Date]]),"dddd")</f>
        <v>Thursday</v>
      </c>
      <c r="AB223" s="19" t="str">
        <f>IF(tblMaster[[#This Row],[Revenue]]&gt;=5000,"High",IF(tblMaster[[#This Row],[Revenue]]&lt;2000,"Low","Medium"))</f>
        <v>High</v>
      </c>
    </row>
    <row r="224" spans="1:28" x14ac:dyDescent="0.25">
      <c r="A224" s="7">
        <v>223</v>
      </c>
      <c r="B224" s="7" t="s">
        <v>341</v>
      </c>
      <c r="C224" s="4">
        <v>49</v>
      </c>
      <c r="D224" s="4">
        <v>2</v>
      </c>
      <c r="E224" s="8">
        <v>44962</v>
      </c>
      <c r="F224" s="9">
        <v>0.36417824074074073</v>
      </c>
      <c r="G224" s="8">
        <v>44970</v>
      </c>
      <c r="H224" s="9">
        <v>0.4291550925925926</v>
      </c>
      <c r="I224" s="7" t="s">
        <v>419</v>
      </c>
      <c r="J224" s="7" t="s">
        <v>12</v>
      </c>
      <c r="K224" s="18" t="str">
        <f>_xlfn.XLOOKUP(tblMaster[[#This Row],[Customer_ID]],tblCustomers[Customer_ID],tblCustomers[City],"Not Found",0)</f>
        <v>Kota</v>
      </c>
      <c r="L224" s="18" t="str">
        <f>_xlfn.XLOOKUP(tblMaster[[#This Row],[Customer_ID]],tblCustomers[Customer_ID],tblCustomers[Name],"Not Found",0)</f>
        <v>Aradhya Batta</v>
      </c>
      <c r="M224" s="18" t="str">
        <f>_xlfn.XLOOKUP(tblMaster[[#This Row],[Customer_ID]],tblCustomers[Customer_ID],tblCustomers[Gender],"Not Found",0)</f>
        <v>Female</v>
      </c>
      <c r="N224" s="18" t="str">
        <f>_xlfn.XLOOKUP(tblMaster[[#This Row],[Product_ID]],tblProducts[Product_ID],tblProducts[Product_Name],"Not Found",0)</f>
        <v>Voluptate Pack</v>
      </c>
      <c r="O224" s="18" t="str">
        <f>_xlfn.XLOOKUP(tblMaster[[#This Row],[Product_ID]],tblProducts[Product_ID],tblProducts[Category],"Not Found",0)</f>
        <v>Colors</v>
      </c>
      <c r="P224" s="18" t="str">
        <f>_xlfn.XLOOKUP(tblMaster[[#This Row],[Product_ID]],tblProducts[Product_ID],tblProducts[Occasion],"Not Found",0)</f>
        <v>Valentine's Day</v>
      </c>
      <c r="Q224" s="18">
        <f>_xlfn.XLOOKUP(tblMaster[[#This Row],[Product_ID]],tblProducts[Product_ID],tblProducts[Price (INR)],"Not Found",0)</f>
        <v>903</v>
      </c>
      <c r="R224" s="19">
        <f>tblMaster[[#This Row],[Price]]*tblMaster[[#This Row],[Quantity]]</f>
        <v>1806</v>
      </c>
      <c r="S224" s="19">
        <f>tblMaster[[#This Row],[Price]]*0.7*tblMaster[[#This Row],[Quantity]]</f>
        <v>1264.1999999999998</v>
      </c>
      <c r="T224" s="19">
        <f>tblMaster[[#This Row],[Revenue]]-tblMaster[[#This Row],[Estimated Cost (at 70%) ]]</f>
        <v>541.80000000000018</v>
      </c>
      <c r="U224" s="19">
        <f>tblMaster[[#This Row],[Profit]]/tblMaster[[#This Row],[Revenue]]</f>
        <v>0.3000000000000001</v>
      </c>
      <c r="V224" s="19">
        <f>tblMaster[[#This Row],[Delivery_Date]]-tblMaster[[#This Row],[Order_Date]]</f>
        <v>8</v>
      </c>
      <c r="W224" s="19" t="str">
        <f>TEXT(tblMaster[[#This Row],[Order_Date]],"mmmm")</f>
        <v>February</v>
      </c>
      <c r="X224" s="19">
        <f>MONTH(tblMaster[[#This Row],[Order_Date]])</f>
        <v>2</v>
      </c>
      <c r="Y224" s="19" t="str">
        <f>"Q"&amp;ROUNDUP(tblMaster[[#This Row],[Month Number]]/3,0)</f>
        <v>Q1</v>
      </c>
      <c r="Z224" s="19">
        <f>YEAR(tblMaster[[#This Row],[Order_Date]])</f>
        <v>2023</v>
      </c>
      <c r="AA224" s="19" t="str">
        <f>TEXT(DAY(tblMaster[[#This Row],[Order_Date]]),"dddd")</f>
        <v>Thursday</v>
      </c>
      <c r="AB224" s="19" t="str">
        <f>IF(tblMaster[[#This Row],[Revenue]]&gt;=5000,"High",IF(tblMaster[[#This Row],[Revenue]]&lt;2000,"Low","Medium"))</f>
        <v>Low</v>
      </c>
    </row>
    <row r="225" spans="1:28" x14ac:dyDescent="0.25">
      <c r="A225" s="10">
        <v>224</v>
      </c>
      <c r="B225" s="10" t="s">
        <v>283</v>
      </c>
      <c r="C225" s="5">
        <v>34</v>
      </c>
      <c r="D225" s="5">
        <v>1</v>
      </c>
      <c r="E225" s="11">
        <v>45162</v>
      </c>
      <c r="F225" s="12">
        <v>0.8763657407407407</v>
      </c>
      <c r="G225" s="11">
        <v>45167</v>
      </c>
      <c r="H225" s="12">
        <v>8.7962962962962965E-2</v>
      </c>
      <c r="I225" s="10" t="s">
        <v>420</v>
      </c>
      <c r="J225" s="10" t="s">
        <v>33</v>
      </c>
      <c r="K225" s="18" t="str">
        <f>_xlfn.XLOOKUP(tblMaster[[#This Row],[Customer_ID]],tblCustomers[Customer_ID],tblCustomers[City],"Not Found",0)</f>
        <v>Noida</v>
      </c>
      <c r="L225" s="18" t="str">
        <f>_xlfn.XLOOKUP(tblMaster[[#This Row],[Customer_ID]],tblCustomers[Customer_ID],tblCustomers[Name],"Not Found",0)</f>
        <v>Hridaan Rajagopalan</v>
      </c>
      <c r="M225" s="18" t="str">
        <f>_xlfn.XLOOKUP(tblMaster[[#This Row],[Customer_ID]],tblCustomers[Customer_ID],tblCustomers[Gender],"Not Found",0)</f>
        <v>Female</v>
      </c>
      <c r="N225" s="18" t="str">
        <f>_xlfn.XLOOKUP(tblMaster[[#This Row],[Product_ID]],tblProducts[Product_ID],tblProducts[Product_Name],"Not Found",0)</f>
        <v>Placeat Pack</v>
      </c>
      <c r="O225" s="18" t="str">
        <f>_xlfn.XLOOKUP(tblMaster[[#This Row],[Product_ID]],tblProducts[Product_ID],tblProducts[Category],"Not Found",0)</f>
        <v>Soft Toys</v>
      </c>
      <c r="P225" s="18" t="str">
        <f>_xlfn.XLOOKUP(tblMaster[[#This Row],[Product_ID]],tblProducts[Product_ID],tblProducts[Occasion],"Not Found",0)</f>
        <v>Raksha Bandhan</v>
      </c>
      <c r="Q225" s="18">
        <f>_xlfn.XLOOKUP(tblMaster[[#This Row],[Product_ID]],tblProducts[Product_ID],tblProducts[Price (INR)],"Not Found",0)</f>
        <v>1335</v>
      </c>
      <c r="R225" s="19">
        <f>tblMaster[[#This Row],[Price]]*tblMaster[[#This Row],[Quantity]]</f>
        <v>1335</v>
      </c>
      <c r="S225" s="19">
        <f>tblMaster[[#This Row],[Price]]*0.7*tblMaster[[#This Row],[Quantity]]</f>
        <v>934.49999999999989</v>
      </c>
      <c r="T225" s="19">
        <f>tblMaster[[#This Row],[Revenue]]-tblMaster[[#This Row],[Estimated Cost (at 70%) ]]</f>
        <v>400.50000000000011</v>
      </c>
      <c r="U225" s="19">
        <f>tblMaster[[#This Row],[Profit]]/tblMaster[[#This Row],[Revenue]]</f>
        <v>0.3000000000000001</v>
      </c>
      <c r="V225" s="19">
        <f>tblMaster[[#This Row],[Delivery_Date]]-tblMaster[[#This Row],[Order_Date]]</f>
        <v>5</v>
      </c>
      <c r="W225" s="19" t="str">
        <f>TEXT(tblMaster[[#This Row],[Order_Date]],"mmmm")</f>
        <v>August</v>
      </c>
      <c r="X225" s="19">
        <f>MONTH(tblMaster[[#This Row],[Order_Date]])</f>
        <v>8</v>
      </c>
      <c r="Y225" s="19" t="str">
        <f>"Q"&amp;ROUNDUP(tblMaster[[#This Row],[Month Number]]/3,0)</f>
        <v>Q3</v>
      </c>
      <c r="Z225" s="19">
        <f>YEAR(tblMaster[[#This Row],[Order_Date]])</f>
        <v>2023</v>
      </c>
      <c r="AA225" s="19" t="str">
        <f>TEXT(DAY(tblMaster[[#This Row],[Order_Date]]),"dddd")</f>
        <v>Tuesday</v>
      </c>
      <c r="AB225" s="19" t="str">
        <f>IF(tblMaster[[#This Row],[Revenue]]&gt;=5000,"High",IF(tblMaster[[#This Row],[Revenue]]&lt;2000,"Low","Medium"))</f>
        <v>Low</v>
      </c>
    </row>
    <row r="226" spans="1:28" x14ac:dyDescent="0.25">
      <c r="A226" s="7">
        <v>225</v>
      </c>
      <c r="B226" s="7" t="s">
        <v>398</v>
      </c>
      <c r="C226" s="4">
        <v>52</v>
      </c>
      <c r="D226" s="4">
        <v>5</v>
      </c>
      <c r="E226" s="8">
        <v>44962</v>
      </c>
      <c r="F226" s="9">
        <v>0.50863425925925931</v>
      </c>
      <c r="G226" s="8">
        <v>44963</v>
      </c>
      <c r="H226" s="9">
        <v>0.7507638888888889</v>
      </c>
      <c r="I226" s="7" t="s">
        <v>421</v>
      </c>
      <c r="J226" s="7" t="s">
        <v>12</v>
      </c>
      <c r="K226" s="18" t="str">
        <f>_xlfn.XLOOKUP(tblMaster[[#This Row],[Customer_ID]],tblCustomers[Customer_ID],tblCustomers[City],"Not Found",0)</f>
        <v>Tumkur</v>
      </c>
      <c r="L226" s="18" t="str">
        <f>_xlfn.XLOOKUP(tblMaster[[#This Row],[Customer_ID]],tblCustomers[Customer_ID],tblCustomers[Name],"Not Found",0)</f>
        <v>Mamooty Bawa</v>
      </c>
      <c r="M226" s="18" t="str">
        <f>_xlfn.XLOOKUP(tblMaster[[#This Row],[Customer_ID]],tblCustomers[Customer_ID],tblCustomers[Gender],"Not Found",0)</f>
        <v>Male</v>
      </c>
      <c r="N226" s="18" t="str">
        <f>_xlfn.XLOOKUP(tblMaster[[#This Row],[Product_ID]],tblProducts[Product_ID],tblProducts[Product_Name],"Not Found",0)</f>
        <v>Dolorum Box</v>
      </c>
      <c r="O226" s="18" t="str">
        <f>_xlfn.XLOOKUP(tblMaster[[#This Row],[Product_ID]],tblProducts[Product_ID],tblProducts[Category],"Not Found",0)</f>
        <v>Raksha Bandhan</v>
      </c>
      <c r="P226" s="18" t="str">
        <f>_xlfn.XLOOKUP(tblMaster[[#This Row],[Product_ID]],tblProducts[Product_ID],tblProducts[Occasion],"Not Found",0)</f>
        <v>Valentine's Day</v>
      </c>
      <c r="Q226" s="18">
        <f>_xlfn.XLOOKUP(tblMaster[[#This Row],[Product_ID]],tblProducts[Product_ID],tblProducts[Price (INR)],"Not Found",0)</f>
        <v>236</v>
      </c>
      <c r="R226" s="19">
        <f>tblMaster[[#This Row],[Price]]*tblMaster[[#This Row],[Quantity]]</f>
        <v>1180</v>
      </c>
      <c r="S226" s="19">
        <f>tblMaster[[#This Row],[Price]]*0.7*tblMaster[[#This Row],[Quantity]]</f>
        <v>826</v>
      </c>
      <c r="T226" s="19">
        <f>tblMaster[[#This Row],[Revenue]]-tblMaster[[#This Row],[Estimated Cost (at 70%) ]]</f>
        <v>354</v>
      </c>
      <c r="U226" s="19">
        <f>tblMaster[[#This Row],[Profit]]/tblMaster[[#This Row],[Revenue]]</f>
        <v>0.3</v>
      </c>
      <c r="V226" s="19">
        <f>tblMaster[[#This Row],[Delivery_Date]]-tblMaster[[#This Row],[Order_Date]]</f>
        <v>1</v>
      </c>
      <c r="W226" s="19" t="str">
        <f>TEXT(tblMaster[[#This Row],[Order_Date]],"mmmm")</f>
        <v>February</v>
      </c>
      <c r="X226" s="19">
        <f>MONTH(tblMaster[[#This Row],[Order_Date]])</f>
        <v>2</v>
      </c>
      <c r="Y226" s="19" t="str">
        <f>"Q"&amp;ROUNDUP(tblMaster[[#This Row],[Month Number]]/3,0)</f>
        <v>Q1</v>
      </c>
      <c r="Z226" s="19">
        <f>YEAR(tblMaster[[#This Row],[Order_Date]])</f>
        <v>2023</v>
      </c>
      <c r="AA226" s="19" t="str">
        <f>TEXT(DAY(tblMaster[[#This Row],[Order_Date]]),"dddd")</f>
        <v>Thursday</v>
      </c>
      <c r="AB226" s="19" t="str">
        <f>IF(tblMaster[[#This Row],[Revenue]]&gt;=5000,"High",IF(tblMaster[[#This Row],[Revenue]]&lt;2000,"Low","Medium"))</f>
        <v>Low</v>
      </c>
    </row>
    <row r="227" spans="1:28" x14ac:dyDescent="0.25">
      <c r="A227" s="10">
        <v>226</v>
      </c>
      <c r="B227" s="10" t="s">
        <v>216</v>
      </c>
      <c r="C227" s="5">
        <v>14</v>
      </c>
      <c r="D227" s="5">
        <v>2</v>
      </c>
      <c r="E227" s="11">
        <v>45177</v>
      </c>
      <c r="F227" s="12">
        <v>0.36724537037037036</v>
      </c>
      <c r="G227" s="11">
        <v>45181</v>
      </c>
      <c r="H227" s="12">
        <v>0.47263888888888889</v>
      </c>
      <c r="I227" s="10" t="s">
        <v>253</v>
      </c>
      <c r="J227" s="10" t="s">
        <v>36</v>
      </c>
      <c r="K227" s="18" t="str">
        <f>_xlfn.XLOOKUP(tblMaster[[#This Row],[Customer_ID]],tblCustomers[Customer_ID],tblCustomers[City],"Not Found",0)</f>
        <v>Srikakulam</v>
      </c>
      <c r="L227" s="18" t="str">
        <f>_xlfn.XLOOKUP(tblMaster[[#This Row],[Customer_ID]],tblCustomers[Customer_ID],tblCustomers[Name],"Not Found",0)</f>
        <v>Indrajit Kale</v>
      </c>
      <c r="M227" s="18" t="str">
        <f>_xlfn.XLOOKUP(tblMaster[[#This Row],[Customer_ID]],tblCustomers[Customer_ID],tblCustomers[Gender],"Not Found",0)</f>
        <v>Male</v>
      </c>
      <c r="N227" s="18" t="str">
        <f>_xlfn.XLOOKUP(tblMaster[[#This Row],[Product_ID]],tblProducts[Product_ID],tblProducts[Product_Name],"Not Found",0)</f>
        <v>Deserunt Box</v>
      </c>
      <c r="O227" s="18" t="str">
        <f>_xlfn.XLOOKUP(tblMaster[[#This Row],[Product_ID]],tblProducts[Product_ID],tblProducts[Category],"Not Found",0)</f>
        <v>Colors</v>
      </c>
      <c r="P227" s="18" t="str">
        <f>_xlfn.XLOOKUP(tblMaster[[#This Row],[Product_ID]],tblProducts[Product_ID],tblProducts[Occasion],"Not Found",0)</f>
        <v>Birthday</v>
      </c>
      <c r="Q227" s="18">
        <f>_xlfn.XLOOKUP(tblMaster[[#This Row],[Product_ID]],tblProducts[Product_ID],tblProducts[Price (INR)],"Not Found",0)</f>
        <v>1915</v>
      </c>
      <c r="R227" s="19">
        <f>tblMaster[[#This Row],[Price]]*tblMaster[[#This Row],[Quantity]]</f>
        <v>3830</v>
      </c>
      <c r="S227" s="19">
        <f>tblMaster[[#This Row],[Price]]*0.7*tblMaster[[#This Row],[Quantity]]</f>
        <v>2681</v>
      </c>
      <c r="T227" s="19">
        <f>tblMaster[[#This Row],[Revenue]]-tblMaster[[#This Row],[Estimated Cost (at 70%) ]]</f>
        <v>1149</v>
      </c>
      <c r="U227" s="19">
        <f>tblMaster[[#This Row],[Profit]]/tblMaster[[#This Row],[Revenue]]</f>
        <v>0.3</v>
      </c>
      <c r="V227" s="19">
        <f>tblMaster[[#This Row],[Delivery_Date]]-tblMaster[[#This Row],[Order_Date]]</f>
        <v>4</v>
      </c>
      <c r="W227" s="19" t="str">
        <f>TEXT(tblMaster[[#This Row],[Order_Date]],"mmmm")</f>
        <v>September</v>
      </c>
      <c r="X227" s="19">
        <f>MONTH(tblMaster[[#This Row],[Order_Date]])</f>
        <v>9</v>
      </c>
      <c r="Y227" s="19" t="str">
        <f>"Q"&amp;ROUNDUP(tblMaster[[#This Row],[Month Number]]/3,0)</f>
        <v>Q3</v>
      </c>
      <c r="Z227" s="19">
        <f>YEAR(tblMaster[[#This Row],[Order_Date]])</f>
        <v>2023</v>
      </c>
      <c r="AA227" s="19" t="str">
        <f>TEXT(DAY(tblMaster[[#This Row],[Order_Date]]),"dddd")</f>
        <v>Sunday</v>
      </c>
      <c r="AB227" s="19" t="str">
        <f>IF(tblMaster[[#This Row],[Revenue]]&gt;=5000,"High",IF(tblMaster[[#This Row],[Revenue]]&lt;2000,"Low","Medium"))</f>
        <v>Medium</v>
      </c>
    </row>
    <row r="228" spans="1:28" x14ac:dyDescent="0.25">
      <c r="A228" s="7">
        <v>227</v>
      </c>
      <c r="B228" s="7" t="s">
        <v>400</v>
      </c>
      <c r="C228" s="4">
        <v>24</v>
      </c>
      <c r="D228" s="4">
        <v>4</v>
      </c>
      <c r="E228" s="8">
        <v>45285</v>
      </c>
      <c r="F228" s="9">
        <v>0.78520833333333329</v>
      </c>
      <c r="G228" s="8">
        <v>45286</v>
      </c>
      <c r="H228" s="9">
        <v>0.59009259259259261</v>
      </c>
      <c r="I228" s="7" t="s">
        <v>422</v>
      </c>
      <c r="J228" s="7" t="s">
        <v>36</v>
      </c>
      <c r="K228" s="18" t="str">
        <f>_xlfn.XLOOKUP(tblMaster[[#This Row],[Customer_ID]],tblCustomers[Customer_ID],tblCustomers[City],"Not Found",0)</f>
        <v>Miryalaguda</v>
      </c>
      <c r="L228" s="18" t="str">
        <f>_xlfn.XLOOKUP(tblMaster[[#This Row],[Customer_ID]],tblCustomers[Customer_ID],tblCustomers[Name],"Not Found",0)</f>
        <v>Tarini Bava</v>
      </c>
      <c r="M228" s="18" t="str">
        <f>_xlfn.XLOOKUP(tblMaster[[#This Row],[Customer_ID]],tblCustomers[Customer_ID],tblCustomers[Gender],"Not Found",0)</f>
        <v>Male</v>
      </c>
      <c r="N228" s="18" t="str">
        <f>_xlfn.XLOOKUP(tblMaster[[#This Row],[Product_ID]],tblProducts[Product_ID],tblProducts[Product_Name],"Not Found",0)</f>
        <v>Ad Box</v>
      </c>
      <c r="O228" s="18" t="str">
        <f>_xlfn.XLOOKUP(tblMaster[[#This Row],[Product_ID]],tblProducts[Product_ID],tblProducts[Category],"Not Found",0)</f>
        <v>Mugs</v>
      </c>
      <c r="P228" s="18" t="str">
        <f>_xlfn.XLOOKUP(tblMaster[[#This Row],[Product_ID]],tblProducts[Product_ID],tblProducts[Occasion],"Not Found",0)</f>
        <v>Birthday</v>
      </c>
      <c r="Q228" s="18">
        <f>_xlfn.XLOOKUP(tblMaster[[#This Row],[Product_ID]],tblProducts[Product_ID],tblProducts[Price (INR)],"Not Found",0)</f>
        <v>535</v>
      </c>
      <c r="R228" s="19">
        <f>tblMaster[[#This Row],[Price]]*tblMaster[[#This Row],[Quantity]]</f>
        <v>2140</v>
      </c>
      <c r="S228" s="19">
        <f>tblMaster[[#This Row],[Price]]*0.7*tblMaster[[#This Row],[Quantity]]</f>
        <v>1498</v>
      </c>
      <c r="T228" s="19">
        <f>tblMaster[[#This Row],[Revenue]]-tblMaster[[#This Row],[Estimated Cost (at 70%) ]]</f>
        <v>642</v>
      </c>
      <c r="U228" s="19">
        <f>tblMaster[[#This Row],[Profit]]/tblMaster[[#This Row],[Revenue]]</f>
        <v>0.3</v>
      </c>
      <c r="V228" s="19">
        <f>tblMaster[[#This Row],[Delivery_Date]]-tblMaster[[#This Row],[Order_Date]]</f>
        <v>1</v>
      </c>
      <c r="W228" s="19" t="str">
        <f>TEXT(tblMaster[[#This Row],[Order_Date]],"mmmm")</f>
        <v>December</v>
      </c>
      <c r="X228" s="19">
        <f>MONTH(tblMaster[[#This Row],[Order_Date]])</f>
        <v>12</v>
      </c>
      <c r="Y228" s="19" t="str">
        <f>"Q"&amp;ROUNDUP(tblMaster[[#This Row],[Month Number]]/3,0)</f>
        <v>Q4</v>
      </c>
      <c r="Z228" s="19">
        <f>YEAR(tblMaster[[#This Row],[Order_Date]])</f>
        <v>2023</v>
      </c>
      <c r="AA228" s="19" t="str">
        <f>TEXT(DAY(tblMaster[[#This Row],[Order_Date]]),"dddd")</f>
        <v>Wednesday</v>
      </c>
      <c r="AB228" s="19" t="str">
        <f>IF(tblMaster[[#This Row],[Revenue]]&gt;=5000,"High",IF(tblMaster[[#This Row],[Revenue]]&lt;2000,"Low","Medium"))</f>
        <v>Medium</v>
      </c>
    </row>
    <row r="229" spans="1:28" x14ac:dyDescent="0.25">
      <c r="A229" s="10">
        <v>228</v>
      </c>
      <c r="B229" s="10" t="s">
        <v>329</v>
      </c>
      <c r="C229" s="5">
        <v>36</v>
      </c>
      <c r="D229" s="5">
        <v>1</v>
      </c>
      <c r="E229" s="11">
        <v>44995</v>
      </c>
      <c r="F229" s="12">
        <v>0.77837962962962959</v>
      </c>
      <c r="G229" s="11">
        <v>44996</v>
      </c>
      <c r="H229" s="12">
        <v>0.4375</v>
      </c>
      <c r="I229" s="10" t="s">
        <v>423</v>
      </c>
      <c r="J229" s="10" t="s">
        <v>36</v>
      </c>
      <c r="K229" s="18" t="str">
        <f>_xlfn.XLOOKUP(tblMaster[[#This Row],[Customer_ID]],tblCustomers[Customer_ID],tblCustomers[City],"Not Found",0)</f>
        <v>Vellore</v>
      </c>
      <c r="L229" s="18" t="str">
        <f>_xlfn.XLOOKUP(tblMaster[[#This Row],[Customer_ID]],tblCustomers[Customer_ID],tblCustomers[Name],"Not Found",0)</f>
        <v>Ira Sarna</v>
      </c>
      <c r="M229" s="18" t="str">
        <f>_xlfn.XLOOKUP(tblMaster[[#This Row],[Customer_ID]],tblCustomers[Customer_ID],tblCustomers[Gender],"Not Found",0)</f>
        <v>Male</v>
      </c>
      <c r="N229" s="18" t="str">
        <f>_xlfn.XLOOKUP(tblMaster[[#This Row],[Product_ID]],tblProducts[Product_ID],tblProducts[Product_Name],"Not Found",0)</f>
        <v>Cum Gift</v>
      </c>
      <c r="O229" s="18" t="str">
        <f>_xlfn.XLOOKUP(tblMaster[[#This Row],[Product_ID]],tblProducts[Product_ID],tblProducts[Category],"Not Found",0)</f>
        <v>Plants</v>
      </c>
      <c r="P229" s="18" t="str">
        <f>_xlfn.XLOOKUP(tblMaster[[#This Row],[Product_ID]],tblProducts[Product_ID],tblProducts[Occasion],"Not Found",0)</f>
        <v>Birthday</v>
      </c>
      <c r="Q229" s="18">
        <f>_xlfn.XLOOKUP(tblMaster[[#This Row],[Product_ID]],tblProducts[Product_ID],tblProducts[Price (INR)],"Not Found",0)</f>
        <v>203</v>
      </c>
      <c r="R229" s="19">
        <f>tblMaster[[#This Row],[Price]]*tblMaster[[#This Row],[Quantity]]</f>
        <v>203</v>
      </c>
      <c r="S229" s="19">
        <f>tblMaster[[#This Row],[Price]]*0.7*tblMaster[[#This Row],[Quantity]]</f>
        <v>142.1</v>
      </c>
      <c r="T229" s="19">
        <f>tblMaster[[#This Row],[Revenue]]-tblMaster[[#This Row],[Estimated Cost (at 70%) ]]</f>
        <v>60.900000000000006</v>
      </c>
      <c r="U229" s="19">
        <f>tblMaster[[#This Row],[Profit]]/tblMaster[[#This Row],[Revenue]]</f>
        <v>0.30000000000000004</v>
      </c>
      <c r="V229" s="19">
        <f>tblMaster[[#This Row],[Delivery_Date]]-tblMaster[[#This Row],[Order_Date]]</f>
        <v>1</v>
      </c>
      <c r="W229" s="19" t="str">
        <f>TEXT(tblMaster[[#This Row],[Order_Date]],"mmmm")</f>
        <v>March</v>
      </c>
      <c r="X229" s="19">
        <f>MONTH(tblMaster[[#This Row],[Order_Date]])</f>
        <v>3</v>
      </c>
      <c r="Y229" s="19" t="str">
        <f>"Q"&amp;ROUNDUP(tblMaster[[#This Row],[Month Number]]/3,0)</f>
        <v>Q1</v>
      </c>
      <c r="Z229" s="19">
        <f>YEAR(tblMaster[[#This Row],[Order_Date]])</f>
        <v>2023</v>
      </c>
      <c r="AA229" s="19" t="str">
        <f>TEXT(DAY(tblMaster[[#This Row],[Order_Date]]),"dddd")</f>
        <v>Tuesday</v>
      </c>
      <c r="AB229" s="19" t="str">
        <f>IF(tblMaster[[#This Row],[Revenue]]&gt;=5000,"High",IF(tblMaster[[#This Row],[Revenue]]&lt;2000,"Low","Medium"))</f>
        <v>Low</v>
      </c>
    </row>
    <row r="230" spans="1:28" x14ac:dyDescent="0.25">
      <c r="A230" s="7">
        <v>229</v>
      </c>
      <c r="B230" s="7" t="s">
        <v>424</v>
      </c>
      <c r="C230" s="4">
        <v>49</v>
      </c>
      <c r="D230" s="4">
        <v>3</v>
      </c>
      <c r="E230" s="8">
        <v>44968</v>
      </c>
      <c r="F230" s="9">
        <v>0.8719675925925926</v>
      </c>
      <c r="G230" s="8">
        <v>44977</v>
      </c>
      <c r="H230" s="9">
        <v>0.39780092592592592</v>
      </c>
      <c r="I230" s="7" t="s">
        <v>425</v>
      </c>
      <c r="J230" s="7" t="s">
        <v>12</v>
      </c>
      <c r="K230" s="18" t="str">
        <f>_xlfn.XLOOKUP(tblMaster[[#This Row],[Customer_ID]],tblCustomers[Customer_ID],tblCustomers[City],"Not Found",0)</f>
        <v>Bhilai</v>
      </c>
      <c r="L230" s="18" t="str">
        <f>_xlfn.XLOOKUP(tblMaster[[#This Row],[Customer_ID]],tblCustomers[Customer_ID],tblCustomers[Name],"Not Found",0)</f>
        <v>Vedika Sankaran</v>
      </c>
      <c r="M230" s="18" t="str">
        <f>_xlfn.XLOOKUP(tblMaster[[#This Row],[Customer_ID]],tblCustomers[Customer_ID],tblCustomers[Gender],"Not Found",0)</f>
        <v>Female</v>
      </c>
      <c r="N230" s="18" t="str">
        <f>_xlfn.XLOOKUP(tblMaster[[#This Row],[Product_ID]],tblProducts[Product_ID],tblProducts[Product_Name],"Not Found",0)</f>
        <v>Voluptate Pack</v>
      </c>
      <c r="O230" s="18" t="str">
        <f>_xlfn.XLOOKUP(tblMaster[[#This Row],[Product_ID]],tblProducts[Product_ID],tblProducts[Category],"Not Found",0)</f>
        <v>Colors</v>
      </c>
      <c r="P230" s="18" t="str">
        <f>_xlfn.XLOOKUP(tblMaster[[#This Row],[Product_ID]],tblProducts[Product_ID],tblProducts[Occasion],"Not Found",0)</f>
        <v>Valentine's Day</v>
      </c>
      <c r="Q230" s="18">
        <f>_xlfn.XLOOKUP(tblMaster[[#This Row],[Product_ID]],tblProducts[Product_ID],tblProducts[Price (INR)],"Not Found",0)</f>
        <v>903</v>
      </c>
      <c r="R230" s="19">
        <f>tblMaster[[#This Row],[Price]]*tblMaster[[#This Row],[Quantity]]</f>
        <v>2709</v>
      </c>
      <c r="S230" s="19">
        <f>tblMaster[[#This Row],[Price]]*0.7*tblMaster[[#This Row],[Quantity]]</f>
        <v>1896.2999999999997</v>
      </c>
      <c r="T230" s="19">
        <f>tblMaster[[#This Row],[Revenue]]-tblMaster[[#This Row],[Estimated Cost (at 70%) ]]</f>
        <v>812.70000000000027</v>
      </c>
      <c r="U230" s="19">
        <f>tblMaster[[#This Row],[Profit]]/tblMaster[[#This Row],[Revenue]]</f>
        <v>0.3000000000000001</v>
      </c>
      <c r="V230" s="19">
        <f>tblMaster[[#This Row],[Delivery_Date]]-tblMaster[[#This Row],[Order_Date]]</f>
        <v>9</v>
      </c>
      <c r="W230" s="19" t="str">
        <f>TEXT(tblMaster[[#This Row],[Order_Date]],"mmmm")</f>
        <v>February</v>
      </c>
      <c r="X230" s="19">
        <f>MONTH(tblMaster[[#This Row],[Order_Date]])</f>
        <v>2</v>
      </c>
      <c r="Y230" s="19" t="str">
        <f>"Q"&amp;ROUNDUP(tblMaster[[#This Row],[Month Number]]/3,0)</f>
        <v>Q1</v>
      </c>
      <c r="Z230" s="19">
        <f>YEAR(tblMaster[[#This Row],[Order_Date]])</f>
        <v>2023</v>
      </c>
      <c r="AA230" s="19" t="str">
        <f>TEXT(DAY(tblMaster[[#This Row],[Order_Date]]),"dddd")</f>
        <v>Wednesday</v>
      </c>
      <c r="AB230" s="19" t="str">
        <f>IF(tblMaster[[#This Row],[Revenue]]&gt;=5000,"High",IF(tblMaster[[#This Row],[Revenue]]&lt;2000,"Low","Medium"))</f>
        <v>Medium</v>
      </c>
    </row>
    <row r="231" spans="1:28" x14ac:dyDescent="0.25">
      <c r="A231" s="10">
        <v>230</v>
      </c>
      <c r="B231" s="10" t="s">
        <v>291</v>
      </c>
      <c r="C231" s="5">
        <v>64</v>
      </c>
      <c r="D231" s="5">
        <v>3</v>
      </c>
      <c r="E231" s="11">
        <v>45165</v>
      </c>
      <c r="F231" s="12">
        <v>0.35266203703703702</v>
      </c>
      <c r="G231" s="11">
        <v>45170</v>
      </c>
      <c r="H231" s="12">
        <v>6.653935185185185E-2</v>
      </c>
      <c r="I231" s="10" t="s">
        <v>426</v>
      </c>
      <c r="J231" s="10" t="s">
        <v>33</v>
      </c>
      <c r="K231" s="18" t="str">
        <f>_xlfn.XLOOKUP(tblMaster[[#This Row],[Customer_ID]],tblCustomers[Customer_ID],tblCustomers[City],"Not Found",0)</f>
        <v>Bharatpur</v>
      </c>
      <c r="L231" s="18" t="str">
        <f>_xlfn.XLOOKUP(tblMaster[[#This Row],[Customer_ID]],tblCustomers[Customer_ID],tblCustomers[Name],"Not Found",0)</f>
        <v>Kismat Kapadia</v>
      </c>
      <c r="M231" s="18" t="str">
        <f>_xlfn.XLOOKUP(tblMaster[[#This Row],[Customer_ID]],tblCustomers[Customer_ID],tblCustomers[Gender],"Not Found",0)</f>
        <v>Female</v>
      </c>
      <c r="N231" s="18" t="str">
        <f>_xlfn.XLOOKUP(tblMaster[[#This Row],[Product_ID]],tblProducts[Product_ID],tblProducts[Product_Name],"Not Found",0)</f>
        <v>Nostrum Box</v>
      </c>
      <c r="O231" s="18" t="str">
        <f>_xlfn.XLOOKUP(tblMaster[[#This Row],[Product_ID]],tblProducts[Product_ID],tblProducts[Category],"Not Found",0)</f>
        <v>Soft Toys</v>
      </c>
      <c r="P231" s="18" t="str">
        <f>_xlfn.XLOOKUP(tblMaster[[#This Row],[Product_ID]],tblProducts[Product_ID],tblProducts[Occasion],"Not Found",0)</f>
        <v>Raksha Bandhan</v>
      </c>
      <c r="Q231" s="18">
        <f>_xlfn.XLOOKUP(tblMaster[[#This Row],[Product_ID]],tblProducts[Product_ID],tblProducts[Price (INR)],"Not Found",0)</f>
        <v>1878</v>
      </c>
      <c r="R231" s="19">
        <f>tblMaster[[#This Row],[Price]]*tblMaster[[#This Row],[Quantity]]</f>
        <v>5634</v>
      </c>
      <c r="S231" s="19">
        <f>tblMaster[[#This Row],[Price]]*0.7*tblMaster[[#This Row],[Quantity]]</f>
        <v>3943.7999999999997</v>
      </c>
      <c r="T231" s="19">
        <f>tblMaster[[#This Row],[Revenue]]-tblMaster[[#This Row],[Estimated Cost (at 70%) ]]</f>
        <v>1690.2000000000003</v>
      </c>
      <c r="U231" s="19">
        <f>tblMaster[[#This Row],[Profit]]/tblMaster[[#This Row],[Revenue]]</f>
        <v>0.30000000000000004</v>
      </c>
      <c r="V231" s="19">
        <f>tblMaster[[#This Row],[Delivery_Date]]-tblMaster[[#This Row],[Order_Date]]</f>
        <v>5</v>
      </c>
      <c r="W231" s="19" t="str">
        <f>TEXT(tblMaster[[#This Row],[Order_Date]],"mmmm")</f>
        <v>August</v>
      </c>
      <c r="X231" s="19">
        <f>MONTH(tblMaster[[#This Row],[Order_Date]])</f>
        <v>8</v>
      </c>
      <c r="Y231" s="19" t="str">
        <f>"Q"&amp;ROUNDUP(tblMaster[[#This Row],[Month Number]]/3,0)</f>
        <v>Q3</v>
      </c>
      <c r="Z231" s="19">
        <f>YEAR(tblMaster[[#This Row],[Order_Date]])</f>
        <v>2023</v>
      </c>
      <c r="AA231" s="19" t="str">
        <f>TEXT(DAY(tblMaster[[#This Row],[Order_Date]]),"dddd")</f>
        <v>Friday</v>
      </c>
      <c r="AB231" s="19" t="str">
        <f>IF(tblMaster[[#This Row],[Revenue]]&gt;=5000,"High",IF(tblMaster[[#This Row],[Revenue]]&lt;2000,"Low","Medium"))</f>
        <v>High</v>
      </c>
    </row>
    <row r="232" spans="1:28" x14ac:dyDescent="0.25">
      <c r="A232" s="7">
        <v>231</v>
      </c>
      <c r="B232" s="7" t="s">
        <v>398</v>
      </c>
      <c r="C232" s="4">
        <v>64</v>
      </c>
      <c r="D232" s="4">
        <v>3</v>
      </c>
      <c r="E232" s="8">
        <v>45162</v>
      </c>
      <c r="F232" s="9">
        <v>0.385625</v>
      </c>
      <c r="G232" s="8">
        <v>45166</v>
      </c>
      <c r="H232" s="9">
        <v>0.8840393518518519</v>
      </c>
      <c r="I232" s="7" t="s">
        <v>427</v>
      </c>
      <c r="J232" s="7" t="s">
        <v>33</v>
      </c>
      <c r="K232" s="18" t="str">
        <f>_xlfn.XLOOKUP(tblMaster[[#This Row],[Customer_ID]],tblCustomers[Customer_ID],tblCustomers[City],"Not Found",0)</f>
        <v>Tumkur</v>
      </c>
      <c r="L232" s="18" t="str">
        <f>_xlfn.XLOOKUP(tblMaster[[#This Row],[Customer_ID]],tblCustomers[Customer_ID],tblCustomers[Name],"Not Found",0)</f>
        <v>Mamooty Bawa</v>
      </c>
      <c r="M232" s="18" t="str">
        <f>_xlfn.XLOOKUP(tblMaster[[#This Row],[Customer_ID]],tblCustomers[Customer_ID],tblCustomers[Gender],"Not Found",0)</f>
        <v>Male</v>
      </c>
      <c r="N232" s="18" t="str">
        <f>_xlfn.XLOOKUP(tblMaster[[#This Row],[Product_ID]],tblProducts[Product_ID],tblProducts[Product_Name],"Not Found",0)</f>
        <v>Nostrum Box</v>
      </c>
      <c r="O232" s="18" t="str">
        <f>_xlfn.XLOOKUP(tblMaster[[#This Row],[Product_ID]],tblProducts[Product_ID],tblProducts[Category],"Not Found",0)</f>
        <v>Soft Toys</v>
      </c>
      <c r="P232" s="18" t="str">
        <f>_xlfn.XLOOKUP(tblMaster[[#This Row],[Product_ID]],tblProducts[Product_ID],tblProducts[Occasion],"Not Found",0)</f>
        <v>Raksha Bandhan</v>
      </c>
      <c r="Q232" s="18">
        <f>_xlfn.XLOOKUP(tblMaster[[#This Row],[Product_ID]],tblProducts[Product_ID],tblProducts[Price (INR)],"Not Found",0)</f>
        <v>1878</v>
      </c>
      <c r="R232" s="19">
        <f>tblMaster[[#This Row],[Price]]*tblMaster[[#This Row],[Quantity]]</f>
        <v>5634</v>
      </c>
      <c r="S232" s="19">
        <f>tblMaster[[#This Row],[Price]]*0.7*tblMaster[[#This Row],[Quantity]]</f>
        <v>3943.7999999999997</v>
      </c>
      <c r="T232" s="19">
        <f>tblMaster[[#This Row],[Revenue]]-tblMaster[[#This Row],[Estimated Cost (at 70%) ]]</f>
        <v>1690.2000000000003</v>
      </c>
      <c r="U232" s="19">
        <f>tblMaster[[#This Row],[Profit]]/tblMaster[[#This Row],[Revenue]]</f>
        <v>0.30000000000000004</v>
      </c>
      <c r="V232" s="19">
        <f>tblMaster[[#This Row],[Delivery_Date]]-tblMaster[[#This Row],[Order_Date]]</f>
        <v>4</v>
      </c>
      <c r="W232" s="19" t="str">
        <f>TEXT(tblMaster[[#This Row],[Order_Date]],"mmmm")</f>
        <v>August</v>
      </c>
      <c r="X232" s="19">
        <f>MONTH(tblMaster[[#This Row],[Order_Date]])</f>
        <v>8</v>
      </c>
      <c r="Y232" s="19" t="str">
        <f>"Q"&amp;ROUNDUP(tblMaster[[#This Row],[Month Number]]/3,0)</f>
        <v>Q3</v>
      </c>
      <c r="Z232" s="19">
        <f>YEAR(tblMaster[[#This Row],[Order_Date]])</f>
        <v>2023</v>
      </c>
      <c r="AA232" s="19" t="str">
        <f>TEXT(DAY(tblMaster[[#This Row],[Order_Date]]),"dddd")</f>
        <v>Tuesday</v>
      </c>
      <c r="AB232" s="19" t="str">
        <f>IF(tblMaster[[#This Row],[Revenue]]&gt;=5000,"High",IF(tblMaster[[#This Row],[Revenue]]&lt;2000,"Low","Medium"))</f>
        <v>High</v>
      </c>
    </row>
    <row r="233" spans="1:28" x14ac:dyDescent="0.25">
      <c r="A233" s="10">
        <v>232</v>
      </c>
      <c r="B233" s="10" t="s">
        <v>182</v>
      </c>
      <c r="C233" s="5">
        <v>28</v>
      </c>
      <c r="D233" s="5">
        <v>3</v>
      </c>
      <c r="E233" s="11">
        <v>45160</v>
      </c>
      <c r="F233" s="12">
        <v>0.50427083333333333</v>
      </c>
      <c r="G233" s="11">
        <v>45161</v>
      </c>
      <c r="H233" s="12">
        <v>0.37502314814814813</v>
      </c>
      <c r="I233" s="10" t="s">
        <v>428</v>
      </c>
      <c r="J233" s="10" t="s">
        <v>33</v>
      </c>
      <c r="K233" s="18" t="str">
        <f>_xlfn.XLOOKUP(tblMaster[[#This Row],[Customer_ID]],tblCustomers[Customer_ID],tblCustomers[City],"Not Found",0)</f>
        <v>Agra</v>
      </c>
      <c r="L233" s="18" t="str">
        <f>_xlfn.XLOOKUP(tblMaster[[#This Row],[Customer_ID]],tblCustomers[Customer_ID],tblCustomers[Name],"Not Found",0)</f>
        <v>Seher Mann</v>
      </c>
      <c r="M233" s="18" t="str">
        <f>_xlfn.XLOOKUP(tblMaster[[#This Row],[Customer_ID]],tblCustomers[Customer_ID],tblCustomers[Gender],"Not Found",0)</f>
        <v>Male</v>
      </c>
      <c r="N233" s="18" t="str">
        <f>_xlfn.XLOOKUP(tblMaster[[#This Row],[Product_ID]],tblProducts[Product_ID],tblProducts[Product_Name],"Not Found",0)</f>
        <v>Velit Set</v>
      </c>
      <c r="O233" s="18" t="str">
        <f>_xlfn.XLOOKUP(tblMaster[[#This Row],[Product_ID]],tblProducts[Product_ID],tblProducts[Category],"Not Found",0)</f>
        <v>Sweets</v>
      </c>
      <c r="P233" s="18" t="str">
        <f>_xlfn.XLOOKUP(tblMaster[[#This Row],[Product_ID]],tblProducts[Product_ID],tblProducts[Occasion],"Not Found",0)</f>
        <v>Raksha Bandhan</v>
      </c>
      <c r="Q233" s="18">
        <f>_xlfn.XLOOKUP(tblMaster[[#This Row],[Product_ID]],tblProducts[Product_ID],tblProducts[Price (INR)],"Not Found",0)</f>
        <v>1778</v>
      </c>
      <c r="R233" s="19">
        <f>tblMaster[[#This Row],[Price]]*tblMaster[[#This Row],[Quantity]]</f>
        <v>5334</v>
      </c>
      <c r="S233" s="19">
        <f>tblMaster[[#This Row],[Price]]*0.7*tblMaster[[#This Row],[Quantity]]</f>
        <v>3733.7999999999997</v>
      </c>
      <c r="T233" s="19">
        <f>tblMaster[[#This Row],[Revenue]]-tblMaster[[#This Row],[Estimated Cost (at 70%) ]]</f>
        <v>1600.2000000000003</v>
      </c>
      <c r="U233" s="19">
        <f>tblMaster[[#This Row],[Profit]]/tblMaster[[#This Row],[Revenue]]</f>
        <v>0.30000000000000004</v>
      </c>
      <c r="V233" s="19">
        <f>tblMaster[[#This Row],[Delivery_Date]]-tblMaster[[#This Row],[Order_Date]]</f>
        <v>1</v>
      </c>
      <c r="W233" s="19" t="str">
        <f>TEXT(tblMaster[[#This Row],[Order_Date]],"mmmm")</f>
        <v>August</v>
      </c>
      <c r="X233" s="19">
        <f>MONTH(tblMaster[[#This Row],[Order_Date]])</f>
        <v>8</v>
      </c>
      <c r="Y233" s="19" t="str">
        <f>"Q"&amp;ROUNDUP(tblMaster[[#This Row],[Month Number]]/3,0)</f>
        <v>Q3</v>
      </c>
      <c r="Z233" s="19">
        <f>YEAR(tblMaster[[#This Row],[Order_Date]])</f>
        <v>2023</v>
      </c>
      <c r="AA233" s="19" t="str">
        <f>TEXT(DAY(tblMaster[[#This Row],[Order_Date]]),"dddd")</f>
        <v>Sunday</v>
      </c>
      <c r="AB233" s="19" t="str">
        <f>IF(tblMaster[[#This Row],[Revenue]]&gt;=5000,"High",IF(tblMaster[[#This Row],[Revenue]]&lt;2000,"Low","Medium"))</f>
        <v>High</v>
      </c>
    </row>
    <row r="234" spans="1:28" x14ac:dyDescent="0.25">
      <c r="A234" s="7">
        <v>233</v>
      </c>
      <c r="B234" s="7" t="s">
        <v>413</v>
      </c>
      <c r="C234" s="4">
        <v>64</v>
      </c>
      <c r="D234" s="4">
        <v>4</v>
      </c>
      <c r="E234" s="8">
        <v>45164</v>
      </c>
      <c r="F234" s="9">
        <v>0.92730324074074078</v>
      </c>
      <c r="G234" s="8">
        <v>45168</v>
      </c>
      <c r="H234" s="9">
        <v>0.17197916666666666</v>
      </c>
      <c r="I234" s="7" t="s">
        <v>429</v>
      </c>
      <c r="J234" s="7" t="s">
        <v>33</v>
      </c>
      <c r="K234" s="18" t="str">
        <f>_xlfn.XLOOKUP(tblMaster[[#This Row],[Customer_ID]],tblCustomers[Customer_ID],tblCustomers[City],"Not Found",0)</f>
        <v>Cuttack</v>
      </c>
      <c r="L234" s="18" t="str">
        <f>_xlfn.XLOOKUP(tblMaster[[#This Row],[Customer_ID]],tblCustomers[Customer_ID],tblCustomers[Name],"Not Found",0)</f>
        <v>Navya Golla</v>
      </c>
      <c r="M234" s="18" t="str">
        <f>_xlfn.XLOOKUP(tblMaster[[#This Row],[Customer_ID]],tblCustomers[Customer_ID],tblCustomers[Gender],"Not Found",0)</f>
        <v>Male</v>
      </c>
      <c r="N234" s="18" t="str">
        <f>_xlfn.XLOOKUP(tblMaster[[#This Row],[Product_ID]],tblProducts[Product_ID],tblProducts[Product_Name],"Not Found",0)</f>
        <v>Nostrum Box</v>
      </c>
      <c r="O234" s="18" t="str">
        <f>_xlfn.XLOOKUP(tblMaster[[#This Row],[Product_ID]],tblProducts[Product_ID],tblProducts[Category],"Not Found",0)</f>
        <v>Soft Toys</v>
      </c>
      <c r="P234" s="18" t="str">
        <f>_xlfn.XLOOKUP(tblMaster[[#This Row],[Product_ID]],tblProducts[Product_ID],tblProducts[Occasion],"Not Found",0)</f>
        <v>Raksha Bandhan</v>
      </c>
      <c r="Q234" s="18">
        <f>_xlfn.XLOOKUP(tblMaster[[#This Row],[Product_ID]],tblProducts[Product_ID],tblProducts[Price (INR)],"Not Found",0)</f>
        <v>1878</v>
      </c>
      <c r="R234" s="19">
        <f>tblMaster[[#This Row],[Price]]*tblMaster[[#This Row],[Quantity]]</f>
        <v>7512</v>
      </c>
      <c r="S234" s="19">
        <f>tblMaster[[#This Row],[Price]]*0.7*tblMaster[[#This Row],[Quantity]]</f>
        <v>5258.4</v>
      </c>
      <c r="T234" s="19">
        <f>tblMaster[[#This Row],[Revenue]]-tblMaster[[#This Row],[Estimated Cost (at 70%) ]]</f>
        <v>2253.6000000000004</v>
      </c>
      <c r="U234" s="19">
        <f>tblMaster[[#This Row],[Profit]]/tblMaster[[#This Row],[Revenue]]</f>
        <v>0.30000000000000004</v>
      </c>
      <c r="V234" s="19">
        <f>tblMaster[[#This Row],[Delivery_Date]]-tblMaster[[#This Row],[Order_Date]]</f>
        <v>4</v>
      </c>
      <c r="W234" s="19" t="str">
        <f>TEXT(tblMaster[[#This Row],[Order_Date]],"mmmm")</f>
        <v>August</v>
      </c>
      <c r="X234" s="19">
        <f>MONTH(tblMaster[[#This Row],[Order_Date]])</f>
        <v>8</v>
      </c>
      <c r="Y234" s="19" t="str">
        <f>"Q"&amp;ROUNDUP(tblMaster[[#This Row],[Month Number]]/3,0)</f>
        <v>Q3</v>
      </c>
      <c r="Z234" s="19">
        <f>YEAR(tblMaster[[#This Row],[Order_Date]])</f>
        <v>2023</v>
      </c>
      <c r="AA234" s="19" t="str">
        <f>TEXT(DAY(tblMaster[[#This Row],[Order_Date]]),"dddd")</f>
        <v>Thursday</v>
      </c>
      <c r="AB234" s="19" t="str">
        <f>IF(tblMaster[[#This Row],[Revenue]]&gt;=5000,"High",IF(tblMaster[[#This Row],[Revenue]]&lt;2000,"Low","Medium"))</f>
        <v>High</v>
      </c>
    </row>
    <row r="235" spans="1:28" x14ac:dyDescent="0.25">
      <c r="A235" s="10">
        <v>234</v>
      </c>
      <c r="B235" s="10" t="s">
        <v>180</v>
      </c>
      <c r="C235" s="5">
        <v>42</v>
      </c>
      <c r="D235" s="5">
        <v>1</v>
      </c>
      <c r="E235" s="11">
        <v>45009</v>
      </c>
      <c r="F235" s="12">
        <v>0.88763888888888887</v>
      </c>
      <c r="G235" s="11">
        <v>45017</v>
      </c>
      <c r="H235" s="12">
        <v>2.5613425925925925E-2</v>
      </c>
      <c r="I235" s="10" t="s">
        <v>430</v>
      </c>
      <c r="J235" s="10" t="s">
        <v>8</v>
      </c>
      <c r="K235" s="18" t="str">
        <f>_xlfn.XLOOKUP(tblMaster[[#This Row],[Customer_ID]],tblCustomers[Customer_ID],tblCustomers[City],"Not Found",0)</f>
        <v>Sri Ganganagar</v>
      </c>
      <c r="L235" s="18" t="str">
        <f>_xlfn.XLOOKUP(tblMaster[[#This Row],[Customer_ID]],tblCustomers[Customer_ID],tblCustomers[Name],"Not Found",0)</f>
        <v>Nakul Randhawa</v>
      </c>
      <c r="M235" s="18" t="str">
        <f>_xlfn.XLOOKUP(tblMaster[[#This Row],[Customer_ID]],tblCustomers[Customer_ID],tblCustomers[Gender],"Not Found",0)</f>
        <v>Female</v>
      </c>
      <c r="N235" s="18" t="str">
        <f>_xlfn.XLOOKUP(tblMaster[[#This Row],[Product_ID]],tblProducts[Product_ID],tblProducts[Product_Name],"Not Found",0)</f>
        <v>Expedita Gift</v>
      </c>
      <c r="O235" s="18" t="str">
        <f>_xlfn.XLOOKUP(tblMaster[[#This Row],[Product_ID]],tblProducts[Product_ID],tblProducts[Category],"Not Found",0)</f>
        <v>Sweets</v>
      </c>
      <c r="P235" s="18" t="str">
        <f>_xlfn.XLOOKUP(tblMaster[[#This Row],[Product_ID]],tblProducts[Product_ID],tblProducts[Occasion],"Not Found",0)</f>
        <v>All Occasions</v>
      </c>
      <c r="Q235" s="18">
        <f>_xlfn.XLOOKUP(tblMaster[[#This Row],[Product_ID]],tblProducts[Product_ID],tblProducts[Price (INR)],"Not Found",0)</f>
        <v>1744</v>
      </c>
      <c r="R235" s="19">
        <f>tblMaster[[#This Row],[Price]]*tblMaster[[#This Row],[Quantity]]</f>
        <v>1744</v>
      </c>
      <c r="S235" s="19">
        <f>tblMaster[[#This Row],[Price]]*0.7*tblMaster[[#This Row],[Quantity]]</f>
        <v>1220.8</v>
      </c>
      <c r="T235" s="19">
        <f>tblMaster[[#This Row],[Revenue]]-tblMaster[[#This Row],[Estimated Cost (at 70%) ]]</f>
        <v>523.20000000000005</v>
      </c>
      <c r="U235" s="19">
        <f>tblMaster[[#This Row],[Profit]]/tblMaster[[#This Row],[Revenue]]</f>
        <v>0.30000000000000004</v>
      </c>
      <c r="V235" s="19">
        <f>tblMaster[[#This Row],[Delivery_Date]]-tblMaster[[#This Row],[Order_Date]]</f>
        <v>8</v>
      </c>
      <c r="W235" s="19" t="str">
        <f>TEXT(tblMaster[[#This Row],[Order_Date]],"mmmm")</f>
        <v>March</v>
      </c>
      <c r="X235" s="19">
        <f>MONTH(tblMaster[[#This Row],[Order_Date]])</f>
        <v>3</v>
      </c>
      <c r="Y235" s="19" t="str">
        <f>"Q"&amp;ROUNDUP(tblMaster[[#This Row],[Month Number]]/3,0)</f>
        <v>Q1</v>
      </c>
      <c r="Z235" s="19">
        <f>YEAR(tblMaster[[#This Row],[Order_Date]])</f>
        <v>2023</v>
      </c>
      <c r="AA235" s="19" t="str">
        <f>TEXT(DAY(tblMaster[[#This Row],[Order_Date]]),"dddd")</f>
        <v>Tuesday</v>
      </c>
      <c r="AB235" s="19" t="str">
        <f>IF(tblMaster[[#This Row],[Revenue]]&gt;=5000,"High",IF(tblMaster[[#This Row],[Revenue]]&lt;2000,"Low","Medium"))</f>
        <v>Low</v>
      </c>
    </row>
    <row r="236" spans="1:28" x14ac:dyDescent="0.25">
      <c r="A236" s="7">
        <v>235</v>
      </c>
      <c r="B236" s="7" t="s">
        <v>222</v>
      </c>
      <c r="C236" s="4">
        <v>56</v>
      </c>
      <c r="D236" s="4">
        <v>2</v>
      </c>
      <c r="E236" s="8">
        <v>44983</v>
      </c>
      <c r="F236" s="9">
        <v>0.60192129629629632</v>
      </c>
      <c r="G236" s="8">
        <v>44988</v>
      </c>
      <c r="H236" s="9">
        <v>0.97665509259259264</v>
      </c>
      <c r="I236" s="7" t="s">
        <v>383</v>
      </c>
      <c r="J236" s="7" t="s">
        <v>30</v>
      </c>
      <c r="K236" s="18" t="str">
        <f>_xlfn.XLOOKUP(tblMaster[[#This Row],[Customer_ID]],tblCustomers[Customer_ID],tblCustomers[City],"Not Found",0)</f>
        <v>Tiruppur</v>
      </c>
      <c r="L236" s="18" t="str">
        <f>_xlfn.XLOOKUP(tblMaster[[#This Row],[Customer_ID]],tblCustomers[Customer_ID],tblCustomers[Name],"Not Found",0)</f>
        <v>Purab Sheth</v>
      </c>
      <c r="M236" s="18" t="str">
        <f>_xlfn.XLOOKUP(tblMaster[[#This Row],[Customer_ID]],tblCustomers[Customer_ID],tblCustomers[Gender],"Not Found",0)</f>
        <v>Male</v>
      </c>
      <c r="N236" s="18" t="str">
        <f>_xlfn.XLOOKUP(tblMaster[[#This Row],[Product_ID]],tblProducts[Product_ID],tblProducts[Product_Name],"Not Found",0)</f>
        <v>Quia Gift</v>
      </c>
      <c r="O236" s="18" t="str">
        <f>_xlfn.XLOOKUP(tblMaster[[#This Row],[Product_ID]],tblProducts[Product_ID],tblProducts[Category],"Not Found",0)</f>
        <v>Raksha Bandhan</v>
      </c>
      <c r="P236" s="18" t="str">
        <f>_xlfn.XLOOKUP(tblMaster[[#This Row],[Product_ID]],tblProducts[Product_ID],tblProducts[Occasion],"Not Found",0)</f>
        <v>Anniversary</v>
      </c>
      <c r="Q236" s="18">
        <f>_xlfn.XLOOKUP(tblMaster[[#This Row],[Product_ID]],tblProducts[Product_ID],tblProducts[Price (INR)],"Not Found",0)</f>
        <v>1272</v>
      </c>
      <c r="R236" s="19">
        <f>tblMaster[[#This Row],[Price]]*tblMaster[[#This Row],[Quantity]]</f>
        <v>2544</v>
      </c>
      <c r="S236" s="19">
        <f>tblMaster[[#This Row],[Price]]*0.7*tblMaster[[#This Row],[Quantity]]</f>
        <v>1780.8</v>
      </c>
      <c r="T236" s="19">
        <f>tblMaster[[#This Row],[Revenue]]-tblMaster[[#This Row],[Estimated Cost (at 70%) ]]</f>
        <v>763.2</v>
      </c>
      <c r="U236" s="19">
        <f>tblMaster[[#This Row],[Profit]]/tblMaster[[#This Row],[Revenue]]</f>
        <v>0.30000000000000004</v>
      </c>
      <c r="V236" s="19">
        <f>tblMaster[[#This Row],[Delivery_Date]]-tblMaster[[#This Row],[Order_Date]]</f>
        <v>5</v>
      </c>
      <c r="W236" s="19" t="str">
        <f>TEXT(tblMaster[[#This Row],[Order_Date]],"mmmm")</f>
        <v>February</v>
      </c>
      <c r="X236" s="19">
        <f>MONTH(tblMaster[[#This Row],[Order_Date]])</f>
        <v>2</v>
      </c>
      <c r="Y236" s="19" t="str">
        <f>"Q"&amp;ROUNDUP(tblMaster[[#This Row],[Month Number]]/3,0)</f>
        <v>Q1</v>
      </c>
      <c r="Z236" s="19">
        <f>YEAR(tblMaster[[#This Row],[Order_Date]])</f>
        <v>2023</v>
      </c>
      <c r="AA236" s="19" t="str">
        <f>TEXT(DAY(tblMaster[[#This Row],[Order_Date]]),"dddd")</f>
        <v>Thursday</v>
      </c>
      <c r="AB236" s="19" t="str">
        <f>IF(tblMaster[[#This Row],[Revenue]]&gt;=5000,"High",IF(tblMaster[[#This Row],[Revenue]]&lt;2000,"Low","Medium"))</f>
        <v>Medium</v>
      </c>
    </row>
    <row r="237" spans="1:28" x14ac:dyDescent="0.25">
      <c r="A237" s="10">
        <v>236</v>
      </c>
      <c r="B237" s="10" t="s">
        <v>182</v>
      </c>
      <c r="C237" s="5">
        <v>23</v>
      </c>
      <c r="D237" s="5">
        <v>5</v>
      </c>
      <c r="E237" s="11">
        <v>45172</v>
      </c>
      <c r="F237" s="12">
        <v>0.27351851851851849</v>
      </c>
      <c r="G237" s="11">
        <v>45180</v>
      </c>
      <c r="H237" s="12">
        <v>9.0486111111111114E-2</v>
      </c>
      <c r="I237" s="10" t="s">
        <v>431</v>
      </c>
      <c r="J237" s="10" t="s">
        <v>30</v>
      </c>
      <c r="K237" s="18" t="str">
        <f>_xlfn.XLOOKUP(tblMaster[[#This Row],[Customer_ID]],tblCustomers[Customer_ID],tblCustomers[City],"Not Found",0)</f>
        <v>Agra</v>
      </c>
      <c r="L237" s="18" t="str">
        <f>_xlfn.XLOOKUP(tblMaster[[#This Row],[Customer_ID]],tblCustomers[Customer_ID],tblCustomers[Name],"Not Found",0)</f>
        <v>Seher Mann</v>
      </c>
      <c r="M237" s="18" t="str">
        <f>_xlfn.XLOOKUP(tblMaster[[#This Row],[Customer_ID]],tblCustomers[Customer_ID],tblCustomers[Gender],"Not Found",0)</f>
        <v>Male</v>
      </c>
      <c r="N237" s="18" t="str">
        <f>_xlfn.XLOOKUP(tblMaster[[#This Row],[Product_ID]],tblProducts[Product_ID],tblProducts[Product_Name],"Not Found",0)</f>
        <v>Dignissimos Pack</v>
      </c>
      <c r="O237" s="18" t="str">
        <f>_xlfn.XLOOKUP(tblMaster[[#This Row],[Product_ID]],tblProducts[Product_ID],tblProducts[Category],"Not Found",0)</f>
        <v>Sweets</v>
      </c>
      <c r="P237" s="18" t="str">
        <f>_xlfn.XLOOKUP(tblMaster[[#This Row],[Product_ID]],tblProducts[Product_ID],tblProducts[Occasion],"Not Found",0)</f>
        <v>Anniversary</v>
      </c>
      <c r="Q237" s="18">
        <f>_xlfn.XLOOKUP(tblMaster[[#This Row],[Product_ID]],tblProducts[Product_ID],tblProducts[Price (INR)],"Not Found",0)</f>
        <v>1098</v>
      </c>
      <c r="R237" s="19">
        <f>tblMaster[[#This Row],[Price]]*tblMaster[[#This Row],[Quantity]]</f>
        <v>5490</v>
      </c>
      <c r="S237" s="19">
        <f>tblMaster[[#This Row],[Price]]*0.7*tblMaster[[#This Row],[Quantity]]</f>
        <v>3842.9999999999995</v>
      </c>
      <c r="T237" s="19">
        <f>tblMaster[[#This Row],[Revenue]]-tblMaster[[#This Row],[Estimated Cost (at 70%) ]]</f>
        <v>1647.0000000000005</v>
      </c>
      <c r="U237" s="19">
        <f>tblMaster[[#This Row],[Profit]]/tblMaster[[#This Row],[Revenue]]</f>
        <v>0.3000000000000001</v>
      </c>
      <c r="V237" s="19">
        <f>tblMaster[[#This Row],[Delivery_Date]]-tblMaster[[#This Row],[Order_Date]]</f>
        <v>8</v>
      </c>
      <c r="W237" s="19" t="str">
        <f>TEXT(tblMaster[[#This Row],[Order_Date]],"mmmm")</f>
        <v>September</v>
      </c>
      <c r="X237" s="19">
        <f>MONTH(tblMaster[[#This Row],[Order_Date]])</f>
        <v>9</v>
      </c>
      <c r="Y237" s="19" t="str">
        <f>"Q"&amp;ROUNDUP(tblMaster[[#This Row],[Month Number]]/3,0)</f>
        <v>Q3</v>
      </c>
      <c r="Z237" s="19">
        <f>YEAR(tblMaster[[#This Row],[Order_Date]])</f>
        <v>2023</v>
      </c>
      <c r="AA237" s="19" t="str">
        <f>TEXT(DAY(tblMaster[[#This Row],[Order_Date]]),"dddd")</f>
        <v>Tuesday</v>
      </c>
      <c r="AB237" s="19" t="str">
        <f>IF(tblMaster[[#This Row],[Revenue]]&gt;=5000,"High",IF(tblMaster[[#This Row],[Revenue]]&lt;2000,"Low","Medium"))</f>
        <v>High</v>
      </c>
    </row>
    <row r="238" spans="1:28" x14ac:dyDescent="0.25">
      <c r="A238" s="7">
        <v>237</v>
      </c>
      <c r="B238" s="7" t="s">
        <v>188</v>
      </c>
      <c r="C238" s="4">
        <v>55</v>
      </c>
      <c r="D238" s="4">
        <v>1</v>
      </c>
      <c r="E238" s="8">
        <v>45164</v>
      </c>
      <c r="F238" s="9">
        <v>0.39158564814814817</v>
      </c>
      <c r="G238" s="8">
        <v>45168</v>
      </c>
      <c r="H238" s="9">
        <v>0.34675925925925927</v>
      </c>
      <c r="I238" s="7" t="s">
        <v>432</v>
      </c>
      <c r="J238" s="7" t="s">
        <v>33</v>
      </c>
      <c r="K238" s="18" t="str">
        <f>_xlfn.XLOOKUP(tblMaster[[#This Row],[Customer_ID]],tblCustomers[Customer_ID],tblCustomers[City],"Not Found",0)</f>
        <v>Kavali</v>
      </c>
      <c r="L238" s="18" t="str">
        <f>_xlfn.XLOOKUP(tblMaster[[#This Row],[Customer_ID]],tblCustomers[Customer_ID],tblCustomers[Name],"Not Found",0)</f>
        <v>Jhanvi Chowdhury</v>
      </c>
      <c r="M238" s="18" t="str">
        <f>_xlfn.XLOOKUP(tblMaster[[#This Row],[Customer_ID]],tblCustomers[Customer_ID],tblCustomers[Gender],"Not Found",0)</f>
        <v>Female</v>
      </c>
      <c r="N238" s="18" t="str">
        <f>_xlfn.XLOOKUP(tblMaster[[#This Row],[Product_ID]],tblProducts[Product_ID],tblProducts[Product_Name],"Not Found",0)</f>
        <v>Dolores Gift</v>
      </c>
      <c r="O238" s="18" t="str">
        <f>_xlfn.XLOOKUP(tblMaster[[#This Row],[Product_ID]],tblProducts[Product_ID],tblProducts[Category],"Not Found",0)</f>
        <v>Soft Toys</v>
      </c>
      <c r="P238" s="18" t="str">
        <f>_xlfn.XLOOKUP(tblMaster[[#This Row],[Product_ID]],tblProducts[Product_ID],tblProducts[Occasion],"Not Found",0)</f>
        <v>Raksha Bandhan</v>
      </c>
      <c r="Q238" s="18">
        <f>_xlfn.XLOOKUP(tblMaster[[#This Row],[Product_ID]],tblProducts[Product_ID],tblProducts[Price (INR)],"Not Found",0)</f>
        <v>1904</v>
      </c>
      <c r="R238" s="19">
        <f>tblMaster[[#This Row],[Price]]*tblMaster[[#This Row],[Quantity]]</f>
        <v>1904</v>
      </c>
      <c r="S238" s="19">
        <f>tblMaster[[#This Row],[Price]]*0.7*tblMaster[[#This Row],[Quantity]]</f>
        <v>1332.8</v>
      </c>
      <c r="T238" s="19">
        <f>tblMaster[[#This Row],[Revenue]]-tblMaster[[#This Row],[Estimated Cost (at 70%) ]]</f>
        <v>571.20000000000005</v>
      </c>
      <c r="U238" s="19">
        <f>tblMaster[[#This Row],[Profit]]/tblMaster[[#This Row],[Revenue]]</f>
        <v>0.30000000000000004</v>
      </c>
      <c r="V238" s="19">
        <f>tblMaster[[#This Row],[Delivery_Date]]-tblMaster[[#This Row],[Order_Date]]</f>
        <v>4</v>
      </c>
      <c r="W238" s="19" t="str">
        <f>TEXT(tblMaster[[#This Row],[Order_Date]],"mmmm")</f>
        <v>August</v>
      </c>
      <c r="X238" s="19">
        <f>MONTH(tblMaster[[#This Row],[Order_Date]])</f>
        <v>8</v>
      </c>
      <c r="Y238" s="19" t="str">
        <f>"Q"&amp;ROUNDUP(tblMaster[[#This Row],[Month Number]]/3,0)</f>
        <v>Q3</v>
      </c>
      <c r="Z238" s="19">
        <f>YEAR(tblMaster[[#This Row],[Order_Date]])</f>
        <v>2023</v>
      </c>
      <c r="AA238" s="19" t="str">
        <f>TEXT(DAY(tblMaster[[#This Row],[Order_Date]]),"dddd")</f>
        <v>Thursday</v>
      </c>
      <c r="AB238" s="19" t="str">
        <f>IF(tblMaster[[#This Row],[Revenue]]&gt;=5000,"High",IF(tblMaster[[#This Row],[Revenue]]&lt;2000,"Low","Medium"))</f>
        <v>Low</v>
      </c>
    </row>
    <row r="239" spans="1:28" x14ac:dyDescent="0.25">
      <c r="A239" s="10">
        <v>238</v>
      </c>
      <c r="B239" s="10" t="s">
        <v>333</v>
      </c>
      <c r="C239" s="5">
        <v>26</v>
      </c>
      <c r="D239" s="5">
        <v>4</v>
      </c>
      <c r="E239" s="11">
        <v>44990</v>
      </c>
      <c r="F239" s="12">
        <v>0.33105324074074072</v>
      </c>
      <c r="G239" s="11">
        <v>44996</v>
      </c>
      <c r="H239" s="12">
        <v>0.84603009259259254</v>
      </c>
      <c r="I239" s="10" t="s">
        <v>433</v>
      </c>
      <c r="J239" s="10" t="s">
        <v>25</v>
      </c>
      <c r="K239" s="18" t="str">
        <f>_xlfn.XLOOKUP(tblMaster[[#This Row],[Customer_ID]],tblCustomers[Customer_ID],tblCustomers[City],"Not Found",0)</f>
        <v>Raurkela Industrial Township</v>
      </c>
      <c r="L239" s="18" t="str">
        <f>_xlfn.XLOOKUP(tblMaster[[#This Row],[Customer_ID]],tblCustomers[Customer_ID],tblCustomers[Name],"Not Found",0)</f>
        <v>Aaryahi Sodhi</v>
      </c>
      <c r="M239" s="18" t="str">
        <f>_xlfn.XLOOKUP(tblMaster[[#This Row],[Customer_ID]],tblCustomers[Customer_ID],tblCustomers[Gender],"Not Found",0)</f>
        <v>Male</v>
      </c>
      <c r="N239" s="18" t="str">
        <f>_xlfn.XLOOKUP(tblMaster[[#This Row],[Product_ID]],tblProducts[Product_ID],tblProducts[Product_Name],"Not Found",0)</f>
        <v>Aliquam Box</v>
      </c>
      <c r="O239" s="18" t="str">
        <f>_xlfn.XLOOKUP(tblMaster[[#This Row],[Product_ID]],tblProducts[Product_ID],tblProducts[Category],"Not Found",0)</f>
        <v>Colors</v>
      </c>
      <c r="P239" s="18" t="str">
        <f>_xlfn.XLOOKUP(tblMaster[[#This Row],[Product_ID]],tblProducts[Product_ID],tblProducts[Occasion],"Not Found",0)</f>
        <v>Holi</v>
      </c>
      <c r="Q239" s="18">
        <f>_xlfn.XLOOKUP(tblMaster[[#This Row],[Product_ID]],tblProducts[Product_ID],tblProducts[Price (INR)],"Not Found",0)</f>
        <v>289</v>
      </c>
      <c r="R239" s="19">
        <f>tblMaster[[#This Row],[Price]]*tblMaster[[#This Row],[Quantity]]</f>
        <v>1156</v>
      </c>
      <c r="S239" s="19">
        <f>tblMaster[[#This Row],[Price]]*0.7*tblMaster[[#This Row],[Quantity]]</f>
        <v>809.19999999999993</v>
      </c>
      <c r="T239" s="19">
        <f>tblMaster[[#This Row],[Revenue]]-tblMaster[[#This Row],[Estimated Cost (at 70%) ]]</f>
        <v>346.80000000000007</v>
      </c>
      <c r="U239" s="19">
        <f>tblMaster[[#This Row],[Profit]]/tblMaster[[#This Row],[Revenue]]</f>
        <v>0.30000000000000004</v>
      </c>
      <c r="V239" s="19">
        <f>tblMaster[[#This Row],[Delivery_Date]]-tblMaster[[#This Row],[Order_Date]]</f>
        <v>6</v>
      </c>
      <c r="W239" s="19" t="str">
        <f>TEXT(tblMaster[[#This Row],[Order_Date]],"mmmm")</f>
        <v>March</v>
      </c>
      <c r="X239" s="19">
        <f>MONTH(tblMaster[[#This Row],[Order_Date]])</f>
        <v>3</v>
      </c>
      <c r="Y239" s="19" t="str">
        <f>"Q"&amp;ROUNDUP(tblMaster[[#This Row],[Month Number]]/3,0)</f>
        <v>Q1</v>
      </c>
      <c r="Z239" s="19">
        <f>YEAR(tblMaster[[#This Row],[Order_Date]])</f>
        <v>2023</v>
      </c>
      <c r="AA239" s="19" t="str">
        <f>TEXT(DAY(tblMaster[[#This Row],[Order_Date]]),"dddd")</f>
        <v>Thursday</v>
      </c>
      <c r="AB239" s="19" t="str">
        <f>IF(tblMaster[[#This Row],[Revenue]]&gt;=5000,"High",IF(tblMaster[[#This Row],[Revenue]]&lt;2000,"Low","Medium"))</f>
        <v>Low</v>
      </c>
    </row>
    <row r="240" spans="1:28" x14ac:dyDescent="0.25">
      <c r="A240" s="7">
        <v>239</v>
      </c>
      <c r="B240" s="7" t="s">
        <v>215</v>
      </c>
      <c r="C240" s="4">
        <v>27</v>
      </c>
      <c r="D240" s="4">
        <v>3</v>
      </c>
      <c r="E240" s="8">
        <v>45167</v>
      </c>
      <c r="F240" s="9">
        <v>0.35677083333333331</v>
      </c>
      <c r="G240" s="8">
        <v>45175</v>
      </c>
      <c r="H240" s="9">
        <v>0.55773148148148144</v>
      </c>
      <c r="I240" s="7" t="s">
        <v>415</v>
      </c>
      <c r="J240" s="7" t="s">
        <v>33</v>
      </c>
      <c r="K240" s="18" t="str">
        <f>_xlfn.XLOOKUP(tblMaster[[#This Row],[Customer_ID]],tblCustomers[Customer_ID],tblCustomers[City],"Not Found",0)</f>
        <v xml:space="preserve">Khora </v>
      </c>
      <c r="L240" s="18" t="str">
        <f>_xlfn.XLOOKUP(tblMaster[[#This Row],[Customer_ID]],tblCustomers[Customer_ID],tblCustomers[Name],"Not Found",0)</f>
        <v>Shalv Kulkarni</v>
      </c>
      <c r="M240" s="18" t="str">
        <f>_xlfn.XLOOKUP(tblMaster[[#This Row],[Customer_ID]],tblCustomers[Customer_ID],tblCustomers[Gender],"Not Found",0)</f>
        <v>Female</v>
      </c>
      <c r="N240" s="18" t="str">
        <f>_xlfn.XLOOKUP(tblMaster[[#This Row],[Product_ID]],tblProducts[Product_ID],tblProducts[Product_Name],"Not Found",0)</f>
        <v>Architecto Gift</v>
      </c>
      <c r="O240" s="18" t="str">
        <f>_xlfn.XLOOKUP(tblMaster[[#This Row],[Product_ID]],tblProducts[Product_ID],tblProducts[Category],"Not Found",0)</f>
        <v>Cake</v>
      </c>
      <c r="P240" s="18" t="str">
        <f>_xlfn.XLOOKUP(tblMaster[[#This Row],[Product_ID]],tblProducts[Product_ID],tblProducts[Occasion],"Not Found",0)</f>
        <v>Raksha Bandhan</v>
      </c>
      <c r="Q240" s="18">
        <f>_xlfn.XLOOKUP(tblMaster[[#This Row],[Product_ID]],tblProducts[Product_ID],tblProducts[Price (INR)],"Not Found",0)</f>
        <v>548</v>
      </c>
      <c r="R240" s="19">
        <f>tblMaster[[#This Row],[Price]]*tblMaster[[#This Row],[Quantity]]</f>
        <v>1644</v>
      </c>
      <c r="S240" s="19">
        <f>tblMaster[[#This Row],[Price]]*0.7*tblMaster[[#This Row],[Quantity]]</f>
        <v>1150.8</v>
      </c>
      <c r="T240" s="19">
        <f>tblMaster[[#This Row],[Revenue]]-tblMaster[[#This Row],[Estimated Cost (at 70%) ]]</f>
        <v>493.20000000000005</v>
      </c>
      <c r="U240" s="19">
        <f>tblMaster[[#This Row],[Profit]]/tblMaster[[#This Row],[Revenue]]</f>
        <v>0.30000000000000004</v>
      </c>
      <c r="V240" s="19">
        <f>tblMaster[[#This Row],[Delivery_Date]]-tblMaster[[#This Row],[Order_Date]]</f>
        <v>8</v>
      </c>
      <c r="W240" s="19" t="str">
        <f>TEXT(tblMaster[[#This Row],[Order_Date]],"mmmm")</f>
        <v>August</v>
      </c>
      <c r="X240" s="19">
        <f>MONTH(tblMaster[[#This Row],[Order_Date]])</f>
        <v>8</v>
      </c>
      <c r="Y240" s="19" t="str">
        <f>"Q"&amp;ROUNDUP(tblMaster[[#This Row],[Month Number]]/3,0)</f>
        <v>Q3</v>
      </c>
      <c r="Z240" s="19">
        <f>YEAR(tblMaster[[#This Row],[Order_Date]])</f>
        <v>2023</v>
      </c>
      <c r="AA240" s="19" t="str">
        <f>TEXT(DAY(tblMaster[[#This Row],[Order_Date]]),"dddd")</f>
        <v>Sunday</v>
      </c>
      <c r="AB240" s="19" t="str">
        <f>IF(tblMaster[[#This Row],[Revenue]]&gt;=5000,"High",IF(tblMaster[[#This Row],[Revenue]]&lt;2000,"Low","Medium"))</f>
        <v>Low</v>
      </c>
    </row>
    <row r="241" spans="1:28" x14ac:dyDescent="0.25">
      <c r="A241" s="10">
        <v>240</v>
      </c>
      <c r="B241" s="10" t="s">
        <v>267</v>
      </c>
      <c r="C241" s="5">
        <v>5</v>
      </c>
      <c r="D241" s="5">
        <v>5</v>
      </c>
      <c r="E241" s="11">
        <v>45010</v>
      </c>
      <c r="F241" s="12">
        <v>0.25252314814814814</v>
      </c>
      <c r="G241" s="11">
        <v>45015</v>
      </c>
      <c r="H241" s="12">
        <v>0.6551851851851852</v>
      </c>
      <c r="I241" s="10" t="s">
        <v>264</v>
      </c>
      <c r="J241" s="10" t="s">
        <v>8</v>
      </c>
      <c r="K241" s="18" t="str">
        <f>_xlfn.XLOOKUP(tblMaster[[#This Row],[Customer_ID]],tblCustomers[Customer_ID],tblCustomers[City],"Not Found",0)</f>
        <v>Sultan Pur Majra</v>
      </c>
      <c r="L241" s="18" t="str">
        <f>_xlfn.XLOOKUP(tblMaster[[#This Row],[Customer_ID]],tblCustomers[Customer_ID],tblCustomers[Name],"Not Found",0)</f>
        <v>Vanya Apte</v>
      </c>
      <c r="M241" s="18" t="str">
        <f>_xlfn.XLOOKUP(tblMaster[[#This Row],[Customer_ID]],tblCustomers[Customer_ID],tblCustomers[Gender],"Not Found",0)</f>
        <v>Female</v>
      </c>
      <c r="N241" s="18" t="str">
        <f>_xlfn.XLOOKUP(tblMaster[[#This Row],[Product_ID]],tblProducts[Product_ID],tblProducts[Product_Name],"Not Found",0)</f>
        <v>Natus Gift</v>
      </c>
      <c r="O241" s="18" t="str">
        <f>_xlfn.XLOOKUP(tblMaster[[#This Row],[Product_ID]],tblProducts[Product_ID],tblProducts[Category],"Not Found",0)</f>
        <v>Colors</v>
      </c>
      <c r="P241" s="18" t="str">
        <f>_xlfn.XLOOKUP(tblMaster[[#This Row],[Product_ID]],tblProducts[Product_ID],tblProducts[Occasion],"Not Found",0)</f>
        <v>All Occasions</v>
      </c>
      <c r="Q241" s="18">
        <f>_xlfn.XLOOKUP(tblMaster[[#This Row],[Product_ID]],tblProducts[Product_ID],tblProducts[Price (INR)],"Not Found",0)</f>
        <v>1444</v>
      </c>
      <c r="R241" s="19">
        <f>tblMaster[[#This Row],[Price]]*tblMaster[[#This Row],[Quantity]]</f>
        <v>7220</v>
      </c>
      <c r="S241" s="19">
        <f>tblMaster[[#This Row],[Price]]*0.7*tblMaster[[#This Row],[Quantity]]</f>
        <v>5054</v>
      </c>
      <c r="T241" s="19">
        <f>tblMaster[[#This Row],[Revenue]]-tblMaster[[#This Row],[Estimated Cost (at 70%) ]]</f>
        <v>2166</v>
      </c>
      <c r="U241" s="19">
        <f>tblMaster[[#This Row],[Profit]]/tblMaster[[#This Row],[Revenue]]</f>
        <v>0.3</v>
      </c>
      <c r="V241" s="19">
        <f>tblMaster[[#This Row],[Delivery_Date]]-tblMaster[[#This Row],[Order_Date]]</f>
        <v>5</v>
      </c>
      <c r="W241" s="19" t="str">
        <f>TEXT(tblMaster[[#This Row],[Order_Date]],"mmmm")</f>
        <v>March</v>
      </c>
      <c r="X241" s="19">
        <f>MONTH(tblMaster[[#This Row],[Order_Date]])</f>
        <v>3</v>
      </c>
      <c r="Y241" s="19" t="str">
        <f>"Q"&amp;ROUNDUP(tblMaster[[#This Row],[Month Number]]/3,0)</f>
        <v>Q1</v>
      </c>
      <c r="Z241" s="19">
        <f>YEAR(tblMaster[[#This Row],[Order_Date]])</f>
        <v>2023</v>
      </c>
      <c r="AA241" s="19" t="str">
        <f>TEXT(DAY(tblMaster[[#This Row],[Order_Date]]),"dddd")</f>
        <v>Wednesday</v>
      </c>
      <c r="AB241" s="19" t="str">
        <f>IF(tblMaster[[#This Row],[Revenue]]&gt;=5000,"High",IF(tblMaster[[#This Row],[Revenue]]&lt;2000,"Low","Medium"))</f>
        <v>High</v>
      </c>
    </row>
    <row r="242" spans="1:28" x14ac:dyDescent="0.25">
      <c r="A242" s="7">
        <v>241</v>
      </c>
      <c r="B242" s="7" t="s">
        <v>229</v>
      </c>
      <c r="C242" s="4">
        <v>20</v>
      </c>
      <c r="D242" s="4">
        <v>2</v>
      </c>
      <c r="E242" s="8">
        <v>45174</v>
      </c>
      <c r="F242" s="9">
        <v>0.41129629629629627</v>
      </c>
      <c r="G242" s="8">
        <v>45176</v>
      </c>
      <c r="H242" s="9">
        <v>0.37385416666666665</v>
      </c>
      <c r="I242" s="7" t="s">
        <v>230</v>
      </c>
      <c r="J242" s="7" t="s">
        <v>30</v>
      </c>
      <c r="K242" s="18" t="str">
        <f>_xlfn.XLOOKUP(tblMaster[[#This Row],[Customer_ID]],tblCustomers[Customer_ID],tblCustomers[City],"Not Found",0)</f>
        <v>Anand</v>
      </c>
      <c r="L242" s="18" t="str">
        <f>_xlfn.XLOOKUP(tblMaster[[#This Row],[Customer_ID]],tblCustomers[Customer_ID],tblCustomers[Name],"Not Found",0)</f>
        <v>Eva Sankaran</v>
      </c>
      <c r="M242" s="18" t="str">
        <f>_xlfn.XLOOKUP(tblMaster[[#This Row],[Customer_ID]],tblCustomers[Customer_ID],tblCustomers[Gender],"Not Found",0)</f>
        <v>Male</v>
      </c>
      <c r="N242" s="18" t="str">
        <f>_xlfn.XLOOKUP(tblMaster[[#This Row],[Product_ID]],tblProducts[Product_ID],tblProducts[Product_Name],"Not Found",0)</f>
        <v>Reiciendis Box</v>
      </c>
      <c r="O242" s="18" t="str">
        <f>_xlfn.XLOOKUP(tblMaster[[#This Row],[Product_ID]],tblProducts[Product_ID],tblProducts[Category],"Not Found",0)</f>
        <v>Colors</v>
      </c>
      <c r="P242" s="18" t="str">
        <f>_xlfn.XLOOKUP(tblMaster[[#This Row],[Product_ID]],tblProducts[Product_ID],tblProducts[Occasion],"Not Found",0)</f>
        <v>Anniversary</v>
      </c>
      <c r="Q242" s="18">
        <f>_xlfn.XLOOKUP(tblMaster[[#This Row],[Product_ID]],tblProducts[Product_ID],tblProducts[Price (INR)],"Not Found",0)</f>
        <v>697</v>
      </c>
      <c r="R242" s="19">
        <f>tblMaster[[#This Row],[Price]]*tblMaster[[#This Row],[Quantity]]</f>
        <v>1394</v>
      </c>
      <c r="S242" s="19">
        <f>tblMaster[[#This Row],[Price]]*0.7*tblMaster[[#This Row],[Quantity]]</f>
        <v>975.8</v>
      </c>
      <c r="T242" s="19">
        <f>tblMaster[[#This Row],[Revenue]]-tblMaster[[#This Row],[Estimated Cost (at 70%) ]]</f>
        <v>418.20000000000005</v>
      </c>
      <c r="U242" s="19">
        <f>tblMaster[[#This Row],[Profit]]/tblMaster[[#This Row],[Revenue]]</f>
        <v>0.30000000000000004</v>
      </c>
      <c r="V242" s="19">
        <f>tblMaster[[#This Row],[Delivery_Date]]-tblMaster[[#This Row],[Order_Date]]</f>
        <v>2</v>
      </c>
      <c r="W242" s="19" t="str">
        <f>TEXT(tblMaster[[#This Row],[Order_Date]],"mmmm")</f>
        <v>September</v>
      </c>
      <c r="X242" s="19">
        <f>MONTH(tblMaster[[#This Row],[Order_Date]])</f>
        <v>9</v>
      </c>
      <c r="Y242" s="19" t="str">
        <f>"Q"&amp;ROUNDUP(tblMaster[[#This Row],[Month Number]]/3,0)</f>
        <v>Q3</v>
      </c>
      <c r="Z242" s="19">
        <f>YEAR(tblMaster[[#This Row],[Order_Date]])</f>
        <v>2023</v>
      </c>
      <c r="AA242" s="19" t="str">
        <f>TEXT(DAY(tblMaster[[#This Row],[Order_Date]]),"dddd")</f>
        <v>Thursday</v>
      </c>
      <c r="AB242" s="19" t="str">
        <f>IF(tblMaster[[#This Row],[Revenue]]&gt;=5000,"High",IF(tblMaster[[#This Row],[Revenue]]&lt;2000,"Low","Medium"))</f>
        <v>Low</v>
      </c>
    </row>
    <row r="243" spans="1:28" x14ac:dyDescent="0.25">
      <c r="A243" s="10">
        <v>242</v>
      </c>
      <c r="B243" s="10" t="s">
        <v>172</v>
      </c>
      <c r="C243" s="5">
        <v>21</v>
      </c>
      <c r="D243" s="5">
        <v>1</v>
      </c>
      <c r="E243" s="11">
        <v>45161</v>
      </c>
      <c r="F243" s="12">
        <v>0.43386574074074075</v>
      </c>
      <c r="G243" s="11">
        <v>45169</v>
      </c>
      <c r="H243" s="12">
        <v>0.66842592592592598</v>
      </c>
      <c r="I243" s="10" t="s">
        <v>212</v>
      </c>
      <c r="J243" s="10" t="s">
        <v>33</v>
      </c>
      <c r="K243" s="18" t="str">
        <f>_xlfn.XLOOKUP(tblMaster[[#This Row],[Customer_ID]],tblCustomers[Customer_ID],tblCustomers[City],"Not Found",0)</f>
        <v>Bilaspur</v>
      </c>
      <c r="L243" s="18" t="str">
        <f>_xlfn.XLOOKUP(tblMaster[[#This Row],[Customer_ID]],tblCustomers[Customer_ID],tblCustomers[Name],"Not Found",0)</f>
        <v>Onkar Mangat</v>
      </c>
      <c r="M243" s="18" t="str">
        <f>_xlfn.XLOOKUP(tblMaster[[#This Row],[Customer_ID]],tblCustomers[Customer_ID],tblCustomers[Gender],"Not Found",0)</f>
        <v>Male</v>
      </c>
      <c r="N243" s="18" t="str">
        <f>_xlfn.XLOOKUP(tblMaster[[#This Row],[Product_ID]],tblProducts[Product_ID],tblProducts[Product_Name],"Not Found",0)</f>
        <v>Quia Gift</v>
      </c>
      <c r="O243" s="18" t="str">
        <f>_xlfn.XLOOKUP(tblMaster[[#This Row],[Product_ID]],tblProducts[Product_ID],tblProducts[Category],"Not Found",0)</f>
        <v>Colors</v>
      </c>
      <c r="P243" s="18" t="str">
        <f>_xlfn.XLOOKUP(tblMaster[[#This Row],[Product_ID]],tblProducts[Product_ID],tblProducts[Occasion],"Not Found",0)</f>
        <v>Raksha Bandhan</v>
      </c>
      <c r="Q243" s="18">
        <f>_xlfn.XLOOKUP(tblMaster[[#This Row],[Product_ID]],tblProducts[Product_ID],tblProducts[Price (INR)],"Not Found",0)</f>
        <v>1561</v>
      </c>
      <c r="R243" s="19">
        <f>tblMaster[[#This Row],[Price]]*tblMaster[[#This Row],[Quantity]]</f>
        <v>1561</v>
      </c>
      <c r="S243" s="19">
        <f>tblMaster[[#This Row],[Price]]*0.7*tblMaster[[#This Row],[Quantity]]</f>
        <v>1092.6999999999998</v>
      </c>
      <c r="T243" s="19">
        <f>tblMaster[[#This Row],[Revenue]]-tblMaster[[#This Row],[Estimated Cost (at 70%) ]]</f>
        <v>468.30000000000018</v>
      </c>
      <c r="U243" s="19">
        <f>tblMaster[[#This Row],[Profit]]/tblMaster[[#This Row],[Revenue]]</f>
        <v>0.3000000000000001</v>
      </c>
      <c r="V243" s="19">
        <f>tblMaster[[#This Row],[Delivery_Date]]-tblMaster[[#This Row],[Order_Date]]</f>
        <v>8</v>
      </c>
      <c r="W243" s="19" t="str">
        <f>TEXT(tblMaster[[#This Row],[Order_Date]],"mmmm")</f>
        <v>August</v>
      </c>
      <c r="X243" s="19">
        <f>MONTH(tblMaster[[#This Row],[Order_Date]])</f>
        <v>8</v>
      </c>
      <c r="Y243" s="19" t="str">
        <f>"Q"&amp;ROUNDUP(tblMaster[[#This Row],[Month Number]]/3,0)</f>
        <v>Q3</v>
      </c>
      <c r="Z243" s="19">
        <f>YEAR(tblMaster[[#This Row],[Order_Date]])</f>
        <v>2023</v>
      </c>
      <c r="AA243" s="19" t="str">
        <f>TEXT(DAY(tblMaster[[#This Row],[Order_Date]]),"dddd")</f>
        <v>Monday</v>
      </c>
      <c r="AB243" s="19" t="str">
        <f>IF(tblMaster[[#This Row],[Revenue]]&gt;=5000,"High",IF(tblMaster[[#This Row],[Revenue]]&lt;2000,"Low","Medium"))</f>
        <v>Low</v>
      </c>
    </row>
    <row r="244" spans="1:28" x14ac:dyDescent="0.25">
      <c r="A244" s="7">
        <v>243</v>
      </c>
      <c r="B244" s="7" t="s">
        <v>409</v>
      </c>
      <c r="C244" s="4">
        <v>3</v>
      </c>
      <c r="D244" s="4">
        <v>1</v>
      </c>
      <c r="E244" s="8">
        <v>44962</v>
      </c>
      <c r="F244" s="9">
        <v>0.86848379629629635</v>
      </c>
      <c r="G244" s="8">
        <v>44967</v>
      </c>
      <c r="H244" s="9">
        <v>0.52145833333333336</v>
      </c>
      <c r="I244" s="7" t="s">
        <v>434</v>
      </c>
      <c r="J244" s="7" t="s">
        <v>12</v>
      </c>
      <c r="K244" s="18" t="str">
        <f>_xlfn.XLOOKUP(tblMaster[[#This Row],[Customer_ID]],tblCustomers[Customer_ID],tblCustomers[City],"Not Found",0)</f>
        <v>Vellore</v>
      </c>
      <c r="L244" s="18" t="str">
        <f>_xlfn.XLOOKUP(tblMaster[[#This Row],[Customer_ID]],tblCustomers[Customer_ID],tblCustomers[Name],"Not Found",0)</f>
        <v>Yasmin Sheth</v>
      </c>
      <c r="M244" s="18" t="str">
        <f>_xlfn.XLOOKUP(tblMaster[[#This Row],[Customer_ID]],tblCustomers[Customer_ID],tblCustomers[Gender],"Not Found",0)</f>
        <v>Female</v>
      </c>
      <c r="N244" s="18" t="str">
        <f>_xlfn.XLOOKUP(tblMaster[[#This Row],[Product_ID]],tblProducts[Product_ID],tblProducts[Product_Name],"Not Found",0)</f>
        <v>Eius Gift</v>
      </c>
      <c r="O244" s="18" t="str">
        <f>_xlfn.XLOOKUP(tblMaster[[#This Row],[Product_ID]],tblProducts[Product_ID],tblProducts[Category],"Not Found",0)</f>
        <v>Colors</v>
      </c>
      <c r="P244" s="18" t="str">
        <f>_xlfn.XLOOKUP(tblMaster[[#This Row],[Product_ID]],tblProducts[Product_ID],tblProducts[Occasion],"Not Found",0)</f>
        <v>Valentine's Day</v>
      </c>
      <c r="Q244" s="18">
        <f>_xlfn.XLOOKUP(tblMaster[[#This Row],[Product_ID]],tblProducts[Product_ID],tblProducts[Price (INR)],"Not Found",0)</f>
        <v>1534</v>
      </c>
      <c r="R244" s="19">
        <f>tblMaster[[#This Row],[Price]]*tblMaster[[#This Row],[Quantity]]</f>
        <v>1534</v>
      </c>
      <c r="S244" s="19">
        <f>tblMaster[[#This Row],[Price]]*0.7*tblMaster[[#This Row],[Quantity]]</f>
        <v>1073.8</v>
      </c>
      <c r="T244" s="19">
        <f>tblMaster[[#This Row],[Revenue]]-tblMaster[[#This Row],[Estimated Cost (at 70%) ]]</f>
        <v>460.20000000000005</v>
      </c>
      <c r="U244" s="19">
        <f>tblMaster[[#This Row],[Profit]]/tblMaster[[#This Row],[Revenue]]</f>
        <v>0.30000000000000004</v>
      </c>
      <c r="V244" s="19">
        <f>tblMaster[[#This Row],[Delivery_Date]]-tblMaster[[#This Row],[Order_Date]]</f>
        <v>5</v>
      </c>
      <c r="W244" s="19" t="str">
        <f>TEXT(tblMaster[[#This Row],[Order_Date]],"mmmm")</f>
        <v>February</v>
      </c>
      <c r="X244" s="19">
        <f>MONTH(tblMaster[[#This Row],[Order_Date]])</f>
        <v>2</v>
      </c>
      <c r="Y244" s="19" t="str">
        <f>"Q"&amp;ROUNDUP(tblMaster[[#This Row],[Month Number]]/3,0)</f>
        <v>Q1</v>
      </c>
      <c r="Z244" s="19">
        <f>YEAR(tblMaster[[#This Row],[Order_Date]])</f>
        <v>2023</v>
      </c>
      <c r="AA244" s="19" t="str">
        <f>TEXT(DAY(tblMaster[[#This Row],[Order_Date]]),"dddd")</f>
        <v>Thursday</v>
      </c>
      <c r="AB244" s="19" t="str">
        <f>IF(tblMaster[[#This Row],[Revenue]]&gt;=5000,"High",IF(tblMaster[[#This Row],[Revenue]]&lt;2000,"Low","Medium"))</f>
        <v>Low</v>
      </c>
    </row>
    <row r="245" spans="1:28" x14ac:dyDescent="0.25">
      <c r="A245" s="10">
        <v>244</v>
      </c>
      <c r="B245" s="10" t="s">
        <v>206</v>
      </c>
      <c r="C245" s="5">
        <v>65</v>
      </c>
      <c r="D245" s="5">
        <v>3</v>
      </c>
      <c r="E245" s="11">
        <v>45005</v>
      </c>
      <c r="F245" s="12">
        <v>0.62917824074074069</v>
      </c>
      <c r="G245" s="11">
        <v>45015</v>
      </c>
      <c r="H245" s="12">
        <v>0.29629629629629628</v>
      </c>
      <c r="I245" s="10" t="s">
        <v>435</v>
      </c>
      <c r="J245" s="10" t="s">
        <v>8</v>
      </c>
      <c r="K245" s="18" t="str">
        <f>_xlfn.XLOOKUP(tblMaster[[#This Row],[Customer_ID]],tblCustomers[Customer_ID],tblCustomers[City],"Not Found",0)</f>
        <v>Karaikudi</v>
      </c>
      <c r="L245" s="18" t="str">
        <f>_xlfn.XLOOKUP(tblMaster[[#This Row],[Customer_ID]],tblCustomers[Customer_ID],tblCustomers[Name],"Not Found",0)</f>
        <v>Rati Dhingra</v>
      </c>
      <c r="M245" s="18" t="str">
        <f>_xlfn.XLOOKUP(tblMaster[[#This Row],[Customer_ID]],tblCustomers[Customer_ID],tblCustomers[Gender],"Not Found",0)</f>
        <v>Male</v>
      </c>
      <c r="N245" s="18" t="str">
        <f>_xlfn.XLOOKUP(tblMaster[[#This Row],[Product_ID]],tblProducts[Product_ID],tblProducts[Product_Name],"Not Found",0)</f>
        <v>Error Gift</v>
      </c>
      <c r="O245" s="18" t="str">
        <f>_xlfn.XLOOKUP(tblMaster[[#This Row],[Product_ID]],tblProducts[Product_ID],tblProducts[Category],"Not Found",0)</f>
        <v>Raksha Bandhan</v>
      </c>
      <c r="P245" s="18" t="str">
        <f>_xlfn.XLOOKUP(tblMaster[[#This Row],[Product_ID]],tblProducts[Product_ID],tblProducts[Occasion],"Not Found",0)</f>
        <v>All Occasions</v>
      </c>
      <c r="Q245" s="18">
        <f>_xlfn.XLOOKUP(tblMaster[[#This Row],[Product_ID]],tblProducts[Product_ID],tblProducts[Price (INR)],"Not Found",0)</f>
        <v>1895</v>
      </c>
      <c r="R245" s="19">
        <f>tblMaster[[#This Row],[Price]]*tblMaster[[#This Row],[Quantity]]</f>
        <v>5685</v>
      </c>
      <c r="S245" s="19">
        <f>tblMaster[[#This Row],[Price]]*0.7*tblMaster[[#This Row],[Quantity]]</f>
        <v>3979.5</v>
      </c>
      <c r="T245" s="19">
        <f>tblMaster[[#This Row],[Revenue]]-tblMaster[[#This Row],[Estimated Cost (at 70%) ]]</f>
        <v>1705.5</v>
      </c>
      <c r="U245" s="19">
        <f>tblMaster[[#This Row],[Profit]]/tblMaster[[#This Row],[Revenue]]</f>
        <v>0.3</v>
      </c>
      <c r="V245" s="19">
        <f>tblMaster[[#This Row],[Delivery_Date]]-tblMaster[[#This Row],[Order_Date]]</f>
        <v>10</v>
      </c>
      <c r="W245" s="19" t="str">
        <f>TEXT(tblMaster[[#This Row],[Order_Date]],"mmmm")</f>
        <v>March</v>
      </c>
      <c r="X245" s="19">
        <f>MONTH(tblMaster[[#This Row],[Order_Date]])</f>
        <v>3</v>
      </c>
      <c r="Y245" s="19" t="str">
        <f>"Q"&amp;ROUNDUP(tblMaster[[#This Row],[Month Number]]/3,0)</f>
        <v>Q1</v>
      </c>
      <c r="Z245" s="19">
        <f>YEAR(tblMaster[[#This Row],[Order_Date]])</f>
        <v>2023</v>
      </c>
      <c r="AA245" s="19" t="str">
        <f>TEXT(DAY(tblMaster[[#This Row],[Order_Date]]),"dddd")</f>
        <v>Friday</v>
      </c>
      <c r="AB245" s="19" t="str">
        <f>IF(tblMaster[[#This Row],[Revenue]]&gt;=5000,"High",IF(tblMaster[[#This Row],[Revenue]]&lt;2000,"Low","Medium"))</f>
        <v>High</v>
      </c>
    </row>
    <row r="246" spans="1:28" x14ac:dyDescent="0.25">
      <c r="A246" s="7">
        <v>245</v>
      </c>
      <c r="B246" s="7" t="s">
        <v>246</v>
      </c>
      <c r="C246" s="4">
        <v>50</v>
      </c>
      <c r="D246" s="4">
        <v>3</v>
      </c>
      <c r="E246" s="8">
        <v>44990</v>
      </c>
      <c r="F246" s="9">
        <v>0.26766203703703706</v>
      </c>
      <c r="G246" s="8">
        <v>44996</v>
      </c>
      <c r="H246" s="9">
        <v>0.39618055555555554</v>
      </c>
      <c r="I246" s="7" t="s">
        <v>436</v>
      </c>
      <c r="J246" s="7" t="s">
        <v>25</v>
      </c>
      <c r="K246" s="18" t="str">
        <f>_xlfn.XLOOKUP(tblMaster[[#This Row],[Customer_ID]],tblCustomers[Customer_ID],tblCustomers[City],"Not Found",0)</f>
        <v>Machilipatnam</v>
      </c>
      <c r="L246" s="18" t="str">
        <f>_xlfn.XLOOKUP(tblMaster[[#This Row],[Customer_ID]],tblCustomers[Customer_ID],tblCustomers[Name],"Not Found",0)</f>
        <v>Samaira Ganesh</v>
      </c>
      <c r="M246" s="18" t="str">
        <f>_xlfn.XLOOKUP(tblMaster[[#This Row],[Customer_ID]],tblCustomers[Customer_ID],tblCustomers[Gender],"Not Found",0)</f>
        <v>Male</v>
      </c>
      <c r="N246" s="18" t="str">
        <f>_xlfn.XLOOKUP(tblMaster[[#This Row],[Product_ID]],tblProducts[Product_ID],tblProducts[Product_Name],"Not Found",0)</f>
        <v>Eligendi Set</v>
      </c>
      <c r="O246" s="18" t="str">
        <f>_xlfn.XLOOKUP(tblMaster[[#This Row],[Product_ID]],tblProducts[Product_ID],tblProducts[Category],"Not Found",0)</f>
        <v>Plants</v>
      </c>
      <c r="P246" s="18" t="str">
        <f>_xlfn.XLOOKUP(tblMaster[[#This Row],[Product_ID]],tblProducts[Product_ID],tblProducts[Occasion],"Not Found",0)</f>
        <v>Holi</v>
      </c>
      <c r="Q246" s="18">
        <f>_xlfn.XLOOKUP(tblMaster[[#This Row],[Product_ID]],tblProducts[Product_ID],tblProducts[Price (INR)],"Not Found",0)</f>
        <v>422</v>
      </c>
      <c r="R246" s="19">
        <f>tblMaster[[#This Row],[Price]]*tblMaster[[#This Row],[Quantity]]</f>
        <v>1266</v>
      </c>
      <c r="S246" s="19">
        <f>tblMaster[[#This Row],[Price]]*0.7*tblMaster[[#This Row],[Quantity]]</f>
        <v>886.19999999999993</v>
      </c>
      <c r="T246" s="19">
        <f>tblMaster[[#This Row],[Revenue]]-tblMaster[[#This Row],[Estimated Cost (at 70%) ]]</f>
        <v>379.80000000000007</v>
      </c>
      <c r="U246" s="19">
        <f>tblMaster[[#This Row],[Profit]]/tblMaster[[#This Row],[Revenue]]</f>
        <v>0.30000000000000004</v>
      </c>
      <c r="V246" s="19">
        <f>tblMaster[[#This Row],[Delivery_Date]]-tblMaster[[#This Row],[Order_Date]]</f>
        <v>6</v>
      </c>
      <c r="W246" s="19" t="str">
        <f>TEXT(tblMaster[[#This Row],[Order_Date]],"mmmm")</f>
        <v>March</v>
      </c>
      <c r="X246" s="19">
        <f>MONTH(tblMaster[[#This Row],[Order_Date]])</f>
        <v>3</v>
      </c>
      <c r="Y246" s="19" t="str">
        <f>"Q"&amp;ROUNDUP(tblMaster[[#This Row],[Month Number]]/3,0)</f>
        <v>Q1</v>
      </c>
      <c r="Z246" s="19">
        <f>YEAR(tblMaster[[#This Row],[Order_Date]])</f>
        <v>2023</v>
      </c>
      <c r="AA246" s="19" t="str">
        <f>TEXT(DAY(tblMaster[[#This Row],[Order_Date]]),"dddd")</f>
        <v>Thursday</v>
      </c>
      <c r="AB246" s="19" t="str">
        <f>IF(tblMaster[[#This Row],[Revenue]]&gt;=5000,"High",IF(tblMaster[[#This Row],[Revenue]]&lt;2000,"Low","Medium"))</f>
        <v>Low</v>
      </c>
    </row>
    <row r="247" spans="1:28" x14ac:dyDescent="0.25">
      <c r="A247" s="10">
        <v>246</v>
      </c>
      <c r="B247" s="10" t="s">
        <v>274</v>
      </c>
      <c r="C247" s="5">
        <v>69</v>
      </c>
      <c r="D247" s="5">
        <v>5</v>
      </c>
      <c r="E247" s="11">
        <v>44985</v>
      </c>
      <c r="F247" s="12">
        <v>0.97538194444444448</v>
      </c>
      <c r="G247" s="11">
        <v>44993</v>
      </c>
      <c r="H247" s="12">
        <v>2.6956018518518518E-2</v>
      </c>
      <c r="I247" s="10" t="s">
        <v>296</v>
      </c>
      <c r="J247" s="10" t="s">
        <v>25</v>
      </c>
      <c r="K247" s="18" t="str">
        <f>_xlfn.XLOOKUP(tblMaster[[#This Row],[Customer_ID]],tblCustomers[Customer_ID],tblCustomers[City],"Not Found",0)</f>
        <v>Gangtok</v>
      </c>
      <c r="L247" s="18" t="str">
        <f>_xlfn.XLOOKUP(tblMaster[[#This Row],[Customer_ID]],tblCustomers[Customer_ID],tblCustomers[Name],"Not Found",0)</f>
        <v>Advika Dhar</v>
      </c>
      <c r="M247" s="18" t="str">
        <f>_xlfn.XLOOKUP(tblMaster[[#This Row],[Customer_ID]],tblCustomers[Customer_ID],tblCustomers[Gender],"Not Found",0)</f>
        <v>Male</v>
      </c>
      <c r="N247" s="18" t="str">
        <f>_xlfn.XLOOKUP(tblMaster[[#This Row],[Product_ID]],tblProducts[Product_ID],tblProducts[Product_Name],"Not Found",0)</f>
        <v>Id Box</v>
      </c>
      <c r="O247" s="18" t="str">
        <f>_xlfn.XLOOKUP(tblMaster[[#This Row],[Product_ID]],tblProducts[Product_ID],tblProducts[Category],"Not Found",0)</f>
        <v>Cake</v>
      </c>
      <c r="P247" s="18" t="str">
        <f>_xlfn.XLOOKUP(tblMaster[[#This Row],[Product_ID]],tblProducts[Product_ID],tblProducts[Occasion],"Not Found",0)</f>
        <v>Holi</v>
      </c>
      <c r="Q247" s="18">
        <f>_xlfn.XLOOKUP(tblMaster[[#This Row],[Product_ID]],tblProducts[Product_ID],tblProducts[Price (INR)],"Not Found",0)</f>
        <v>998</v>
      </c>
      <c r="R247" s="19">
        <f>tblMaster[[#This Row],[Price]]*tblMaster[[#This Row],[Quantity]]</f>
        <v>4990</v>
      </c>
      <c r="S247" s="19">
        <f>tblMaster[[#This Row],[Price]]*0.7*tblMaster[[#This Row],[Quantity]]</f>
        <v>3492.9999999999995</v>
      </c>
      <c r="T247" s="19">
        <f>tblMaster[[#This Row],[Revenue]]-tblMaster[[#This Row],[Estimated Cost (at 70%) ]]</f>
        <v>1497.0000000000005</v>
      </c>
      <c r="U247" s="19">
        <f>tblMaster[[#This Row],[Profit]]/tblMaster[[#This Row],[Revenue]]</f>
        <v>0.3000000000000001</v>
      </c>
      <c r="V247" s="19">
        <f>tblMaster[[#This Row],[Delivery_Date]]-tblMaster[[#This Row],[Order_Date]]</f>
        <v>8</v>
      </c>
      <c r="W247" s="19" t="str">
        <f>TEXT(tblMaster[[#This Row],[Order_Date]],"mmmm")</f>
        <v>February</v>
      </c>
      <c r="X247" s="19">
        <f>MONTH(tblMaster[[#This Row],[Order_Date]])</f>
        <v>2</v>
      </c>
      <c r="Y247" s="19" t="str">
        <f>"Q"&amp;ROUNDUP(tblMaster[[#This Row],[Month Number]]/3,0)</f>
        <v>Q1</v>
      </c>
      <c r="Z247" s="19">
        <f>YEAR(tblMaster[[#This Row],[Order_Date]])</f>
        <v>2023</v>
      </c>
      <c r="AA247" s="19" t="str">
        <f>TEXT(DAY(tblMaster[[#This Row],[Order_Date]]),"dddd")</f>
        <v>Saturday</v>
      </c>
      <c r="AB247" s="19" t="str">
        <f>IF(tblMaster[[#This Row],[Revenue]]&gt;=5000,"High",IF(tblMaster[[#This Row],[Revenue]]&lt;2000,"Low","Medium"))</f>
        <v>Medium</v>
      </c>
    </row>
    <row r="248" spans="1:28" x14ac:dyDescent="0.25">
      <c r="A248" s="7">
        <v>247</v>
      </c>
      <c r="B248" s="7" t="s">
        <v>437</v>
      </c>
      <c r="C248" s="4">
        <v>23</v>
      </c>
      <c r="D248" s="4">
        <v>4</v>
      </c>
      <c r="E248" s="8">
        <v>45210</v>
      </c>
      <c r="F248" s="9">
        <v>0.24916666666666668</v>
      </c>
      <c r="G248" s="8">
        <v>45215</v>
      </c>
      <c r="H248" s="9">
        <v>0.12414351851851851</v>
      </c>
      <c r="I248" s="7" t="s">
        <v>438</v>
      </c>
      <c r="J248" s="7" t="s">
        <v>30</v>
      </c>
      <c r="K248" s="18" t="str">
        <f>_xlfn.XLOOKUP(tblMaster[[#This Row],[Customer_ID]],tblCustomers[Customer_ID],tblCustomers[City],"Not Found",0)</f>
        <v>Dhanbad</v>
      </c>
      <c r="L248" s="18" t="str">
        <f>_xlfn.XLOOKUP(tblMaster[[#This Row],[Customer_ID]],tblCustomers[Customer_ID],tblCustomers[Name],"Not Found",0)</f>
        <v>Vardaniya Apte</v>
      </c>
      <c r="M248" s="18" t="str">
        <f>_xlfn.XLOOKUP(tblMaster[[#This Row],[Customer_ID]],tblCustomers[Customer_ID],tblCustomers[Gender],"Not Found",0)</f>
        <v>Male</v>
      </c>
      <c r="N248" s="18" t="str">
        <f>_xlfn.XLOOKUP(tblMaster[[#This Row],[Product_ID]],tblProducts[Product_ID],tblProducts[Product_Name],"Not Found",0)</f>
        <v>Dignissimos Pack</v>
      </c>
      <c r="O248" s="18" t="str">
        <f>_xlfn.XLOOKUP(tblMaster[[#This Row],[Product_ID]],tblProducts[Product_ID],tblProducts[Category],"Not Found",0)</f>
        <v>Sweets</v>
      </c>
      <c r="P248" s="18" t="str">
        <f>_xlfn.XLOOKUP(tblMaster[[#This Row],[Product_ID]],tblProducts[Product_ID],tblProducts[Occasion],"Not Found",0)</f>
        <v>Anniversary</v>
      </c>
      <c r="Q248" s="18">
        <f>_xlfn.XLOOKUP(tblMaster[[#This Row],[Product_ID]],tblProducts[Product_ID],tblProducts[Price (INR)],"Not Found",0)</f>
        <v>1098</v>
      </c>
      <c r="R248" s="19">
        <f>tblMaster[[#This Row],[Price]]*tblMaster[[#This Row],[Quantity]]</f>
        <v>4392</v>
      </c>
      <c r="S248" s="19">
        <f>tblMaster[[#This Row],[Price]]*0.7*tblMaster[[#This Row],[Quantity]]</f>
        <v>3074.3999999999996</v>
      </c>
      <c r="T248" s="19">
        <f>tblMaster[[#This Row],[Revenue]]-tblMaster[[#This Row],[Estimated Cost (at 70%) ]]</f>
        <v>1317.6000000000004</v>
      </c>
      <c r="U248" s="19">
        <f>tblMaster[[#This Row],[Profit]]/tblMaster[[#This Row],[Revenue]]</f>
        <v>0.3000000000000001</v>
      </c>
      <c r="V248" s="19">
        <f>tblMaster[[#This Row],[Delivery_Date]]-tblMaster[[#This Row],[Order_Date]]</f>
        <v>5</v>
      </c>
      <c r="W248" s="19" t="str">
        <f>TEXT(tblMaster[[#This Row],[Order_Date]],"mmmm")</f>
        <v>October</v>
      </c>
      <c r="X248" s="19">
        <f>MONTH(tblMaster[[#This Row],[Order_Date]])</f>
        <v>10</v>
      </c>
      <c r="Y248" s="19" t="str">
        <f>"Q"&amp;ROUNDUP(tblMaster[[#This Row],[Month Number]]/3,0)</f>
        <v>Q4</v>
      </c>
      <c r="Z248" s="19">
        <f>YEAR(tblMaster[[#This Row],[Order_Date]])</f>
        <v>2023</v>
      </c>
      <c r="AA248" s="19" t="str">
        <f>TEXT(DAY(tblMaster[[#This Row],[Order_Date]]),"dddd")</f>
        <v>Wednesday</v>
      </c>
      <c r="AB248" s="19" t="str">
        <f>IF(tblMaster[[#This Row],[Revenue]]&gt;=5000,"High",IF(tblMaster[[#This Row],[Revenue]]&lt;2000,"Low","Medium"))</f>
        <v>Medium</v>
      </c>
    </row>
    <row r="249" spans="1:28" x14ac:dyDescent="0.25">
      <c r="A249" s="10">
        <v>248</v>
      </c>
      <c r="B249" s="10" t="s">
        <v>182</v>
      </c>
      <c r="C249" s="5">
        <v>19</v>
      </c>
      <c r="D249" s="5">
        <v>5</v>
      </c>
      <c r="E249" s="11">
        <v>44965</v>
      </c>
      <c r="F249" s="12">
        <v>0.36366898148148147</v>
      </c>
      <c r="G249" s="11">
        <v>44967</v>
      </c>
      <c r="H249" s="12">
        <v>0.17709490740740741</v>
      </c>
      <c r="I249" s="10" t="s">
        <v>439</v>
      </c>
      <c r="J249" s="10" t="s">
        <v>12</v>
      </c>
      <c r="K249" s="18" t="str">
        <f>_xlfn.XLOOKUP(tblMaster[[#This Row],[Customer_ID]],tblCustomers[Customer_ID],tblCustomers[City],"Not Found",0)</f>
        <v>Agra</v>
      </c>
      <c r="L249" s="18" t="str">
        <f>_xlfn.XLOOKUP(tblMaster[[#This Row],[Customer_ID]],tblCustomers[Customer_ID],tblCustomers[Name],"Not Found",0)</f>
        <v>Seher Mann</v>
      </c>
      <c r="M249" s="18" t="str">
        <f>_xlfn.XLOOKUP(tblMaster[[#This Row],[Customer_ID]],tblCustomers[Customer_ID],tblCustomers[Gender],"Not Found",0)</f>
        <v>Male</v>
      </c>
      <c r="N249" s="18" t="str">
        <f>_xlfn.XLOOKUP(tblMaster[[#This Row],[Product_ID]],tblProducts[Product_ID],tblProducts[Product_Name],"Not Found",0)</f>
        <v>Iure Gift</v>
      </c>
      <c r="O249" s="18" t="str">
        <f>_xlfn.XLOOKUP(tblMaster[[#This Row],[Product_ID]],tblProducts[Product_ID],tblProducts[Category],"Not Found",0)</f>
        <v>Mugs</v>
      </c>
      <c r="P249" s="18" t="str">
        <f>_xlfn.XLOOKUP(tblMaster[[#This Row],[Product_ID]],tblProducts[Product_ID],tblProducts[Occasion],"Not Found",0)</f>
        <v>Valentine's Day</v>
      </c>
      <c r="Q249" s="18">
        <f>_xlfn.XLOOKUP(tblMaster[[#This Row],[Product_ID]],tblProducts[Product_ID],tblProducts[Price (INR)],"Not Found",0)</f>
        <v>1234</v>
      </c>
      <c r="R249" s="19">
        <f>tblMaster[[#This Row],[Price]]*tblMaster[[#This Row],[Quantity]]</f>
        <v>6170</v>
      </c>
      <c r="S249" s="19">
        <f>tblMaster[[#This Row],[Price]]*0.7*tblMaster[[#This Row],[Quantity]]</f>
        <v>4319</v>
      </c>
      <c r="T249" s="19">
        <f>tblMaster[[#This Row],[Revenue]]-tblMaster[[#This Row],[Estimated Cost (at 70%) ]]</f>
        <v>1851</v>
      </c>
      <c r="U249" s="19">
        <f>tblMaster[[#This Row],[Profit]]/tblMaster[[#This Row],[Revenue]]</f>
        <v>0.3</v>
      </c>
      <c r="V249" s="19">
        <f>tblMaster[[#This Row],[Delivery_Date]]-tblMaster[[#This Row],[Order_Date]]</f>
        <v>2</v>
      </c>
      <c r="W249" s="19" t="str">
        <f>TEXT(tblMaster[[#This Row],[Order_Date]],"mmmm")</f>
        <v>February</v>
      </c>
      <c r="X249" s="19">
        <f>MONTH(tblMaster[[#This Row],[Order_Date]])</f>
        <v>2</v>
      </c>
      <c r="Y249" s="19" t="str">
        <f>"Q"&amp;ROUNDUP(tblMaster[[#This Row],[Month Number]]/3,0)</f>
        <v>Q1</v>
      </c>
      <c r="Z249" s="19">
        <f>YEAR(tblMaster[[#This Row],[Order_Date]])</f>
        <v>2023</v>
      </c>
      <c r="AA249" s="19" t="str">
        <f>TEXT(DAY(tblMaster[[#This Row],[Order_Date]]),"dddd")</f>
        <v>Sunday</v>
      </c>
      <c r="AB249" s="19" t="str">
        <f>IF(tblMaster[[#This Row],[Revenue]]&gt;=5000,"High",IF(tblMaster[[#This Row],[Revenue]]&lt;2000,"Low","Medium"))</f>
        <v>High</v>
      </c>
    </row>
    <row r="250" spans="1:28" x14ac:dyDescent="0.25">
      <c r="A250" s="7">
        <v>249</v>
      </c>
      <c r="B250" s="7" t="s">
        <v>440</v>
      </c>
      <c r="C250" s="4">
        <v>14</v>
      </c>
      <c r="D250" s="4">
        <v>2</v>
      </c>
      <c r="E250" s="8">
        <v>45179</v>
      </c>
      <c r="F250" s="9">
        <v>0.93212962962962964</v>
      </c>
      <c r="G250" s="8">
        <v>45188</v>
      </c>
      <c r="H250" s="9">
        <v>0.9705555555555555</v>
      </c>
      <c r="I250" s="7" t="s">
        <v>399</v>
      </c>
      <c r="J250" s="7" t="s">
        <v>36</v>
      </c>
      <c r="K250" s="18" t="str">
        <f>_xlfn.XLOOKUP(tblMaster[[#This Row],[Customer_ID]],tblCustomers[Customer_ID],tblCustomers[City],"Not Found",0)</f>
        <v>Bilaspur</v>
      </c>
      <c r="L250" s="18" t="str">
        <f>_xlfn.XLOOKUP(tblMaster[[#This Row],[Customer_ID]],tblCustomers[Customer_ID],tblCustomers[Name],"Not Found",0)</f>
        <v>Jayesh Lanka</v>
      </c>
      <c r="M250" s="18" t="str">
        <f>_xlfn.XLOOKUP(tblMaster[[#This Row],[Customer_ID]],tblCustomers[Customer_ID],tblCustomers[Gender],"Not Found",0)</f>
        <v>Male</v>
      </c>
      <c r="N250" s="18" t="str">
        <f>_xlfn.XLOOKUP(tblMaster[[#This Row],[Product_ID]],tblProducts[Product_ID],tblProducts[Product_Name],"Not Found",0)</f>
        <v>Deserunt Box</v>
      </c>
      <c r="O250" s="18" t="str">
        <f>_xlfn.XLOOKUP(tblMaster[[#This Row],[Product_ID]],tblProducts[Product_ID],tblProducts[Category],"Not Found",0)</f>
        <v>Colors</v>
      </c>
      <c r="P250" s="18" t="str">
        <f>_xlfn.XLOOKUP(tblMaster[[#This Row],[Product_ID]],tblProducts[Product_ID],tblProducts[Occasion],"Not Found",0)</f>
        <v>Birthday</v>
      </c>
      <c r="Q250" s="18">
        <f>_xlfn.XLOOKUP(tblMaster[[#This Row],[Product_ID]],tblProducts[Product_ID],tblProducts[Price (INR)],"Not Found",0)</f>
        <v>1915</v>
      </c>
      <c r="R250" s="19">
        <f>tblMaster[[#This Row],[Price]]*tblMaster[[#This Row],[Quantity]]</f>
        <v>3830</v>
      </c>
      <c r="S250" s="19">
        <f>tblMaster[[#This Row],[Price]]*0.7*tblMaster[[#This Row],[Quantity]]</f>
        <v>2681</v>
      </c>
      <c r="T250" s="19">
        <f>tblMaster[[#This Row],[Revenue]]-tblMaster[[#This Row],[Estimated Cost (at 70%) ]]</f>
        <v>1149</v>
      </c>
      <c r="U250" s="19">
        <f>tblMaster[[#This Row],[Profit]]/tblMaster[[#This Row],[Revenue]]</f>
        <v>0.3</v>
      </c>
      <c r="V250" s="19">
        <f>tblMaster[[#This Row],[Delivery_Date]]-tblMaster[[#This Row],[Order_Date]]</f>
        <v>9</v>
      </c>
      <c r="W250" s="19" t="str">
        <f>TEXT(tblMaster[[#This Row],[Order_Date]],"mmmm")</f>
        <v>September</v>
      </c>
      <c r="X250" s="19">
        <f>MONTH(tblMaster[[#This Row],[Order_Date]])</f>
        <v>9</v>
      </c>
      <c r="Y250" s="19" t="str">
        <f>"Q"&amp;ROUNDUP(tblMaster[[#This Row],[Month Number]]/3,0)</f>
        <v>Q3</v>
      </c>
      <c r="Z250" s="19">
        <f>YEAR(tblMaster[[#This Row],[Order_Date]])</f>
        <v>2023</v>
      </c>
      <c r="AA250" s="19" t="str">
        <f>TEXT(DAY(tblMaster[[#This Row],[Order_Date]]),"dddd")</f>
        <v>Tuesday</v>
      </c>
      <c r="AB250" s="19" t="str">
        <f>IF(tblMaster[[#This Row],[Revenue]]&gt;=5000,"High",IF(tblMaster[[#This Row],[Revenue]]&lt;2000,"Low","Medium"))</f>
        <v>Medium</v>
      </c>
    </row>
    <row r="251" spans="1:28" x14ac:dyDescent="0.25">
      <c r="A251" s="10">
        <v>250</v>
      </c>
      <c r="B251" s="10" t="s">
        <v>441</v>
      </c>
      <c r="C251" s="5">
        <v>37</v>
      </c>
      <c r="D251" s="5">
        <v>5</v>
      </c>
      <c r="E251" s="11">
        <v>45238</v>
      </c>
      <c r="F251" s="12">
        <v>0.63017361111111114</v>
      </c>
      <c r="G251" s="11">
        <v>45239</v>
      </c>
      <c r="H251" s="12">
        <v>6.3958333333333339E-2</v>
      </c>
      <c r="I251" s="10" t="s">
        <v>442</v>
      </c>
      <c r="J251" s="10" t="s">
        <v>19</v>
      </c>
      <c r="K251" s="18" t="str">
        <f>_xlfn.XLOOKUP(tblMaster[[#This Row],[Customer_ID]],tblCustomers[Customer_ID],tblCustomers[City],"Not Found",0)</f>
        <v>Purnia</v>
      </c>
      <c r="L251" s="18" t="str">
        <f>_xlfn.XLOOKUP(tblMaster[[#This Row],[Customer_ID]],tblCustomers[Customer_ID],tblCustomers[Name],"Not Found",0)</f>
        <v>Ivana Amble</v>
      </c>
      <c r="M251" s="18" t="str">
        <f>_xlfn.XLOOKUP(tblMaster[[#This Row],[Customer_ID]],tblCustomers[Customer_ID],tblCustomers[Gender],"Not Found",0)</f>
        <v>Female</v>
      </c>
      <c r="N251" s="18" t="str">
        <f>_xlfn.XLOOKUP(tblMaster[[#This Row],[Product_ID]],tblProducts[Product_ID],tblProducts[Product_Name],"Not Found",0)</f>
        <v>Officiis Pack</v>
      </c>
      <c r="O251" s="18" t="str">
        <f>_xlfn.XLOOKUP(tblMaster[[#This Row],[Product_ID]],tblProducts[Product_ID],tblProducts[Category],"Not Found",0)</f>
        <v>Colors</v>
      </c>
      <c r="P251" s="18" t="str">
        <f>_xlfn.XLOOKUP(tblMaster[[#This Row],[Product_ID]],tblProducts[Product_ID],tblProducts[Occasion],"Not Found",0)</f>
        <v>Diwali</v>
      </c>
      <c r="Q251" s="18">
        <f>_xlfn.XLOOKUP(tblMaster[[#This Row],[Product_ID]],tblProducts[Product_ID],tblProducts[Price (INR)],"Not Found",0)</f>
        <v>1428</v>
      </c>
      <c r="R251" s="19">
        <f>tblMaster[[#This Row],[Price]]*tblMaster[[#This Row],[Quantity]]</f>
        <v>7140</v>
      </c>
      <c r="S251" s="19">
        <f>tblMaster[[#This Row],[Price]]*0.7*tblMaster[[#This Row],[Quantity]]</f>
        <v>4998</v>
      </c>
      <c r="T251" s="19">
        <f>tblMaster[[#This Row],[Revenue]]-tblMaster[[#This Row],[Estimated Cost (at 70%) ]]</f>
        <v>2142</v>
      </c>
      <c r="U251" s="19">
        <f>tblMaster[[#This Row],[Profit]]/tblMaster[[#This Row],[Revenue]]</f>
        <v>0.3</v>
      </c>
      <c r="V251" s="19">
        <f>tblMaster[[#This Row],[Delivery_Date]]-tblMaster[[#This Row],[Order_Date]]</f>
        <v>1</v>
      </c>
      <c r="W251" s="19" t="str">
        <f>TEXT(tblMaster[[#This Row],[Order_Date]],"mmmm")</f>
        <v>November</v>
      </c>
      <c r="X251" s="19">
        <f>MONTH(tblMaster[[#This Row],[Order_Date]])</f>
        <v>11</v>
      </c>
      <c r="Y251" s="19" t="str">
        <f>"Q"&amp;ROUNDUP(tblMaster[[#This Row],[Month Number]]/3,0)</f>
        <v>Q4</v>
      </c>
      <c r="Z251" s="19">
        <f>YEAR(tblMaster[[#This Row],[Order_Date]])</f>
        <v>2023</v>
      </c>
      <c r="AA251" s="19" t="str">
        <f>TEXT(DAY(tblMaster[[#This Row],[Order_Date]]),"dddd")</f>
        <v>Sunday</v>
      </c>
      <c r="AB251" s="19" t="str">
        <f>IF(tblMaster[[#This Row],[Revenue]]&gt;=5000,"High",IF(tblMaster[[#This Row],[Revenue]]&lt;2000,"Low","Medium"))</f>
        <v>High</v>
      </c>
    </row>
    <row r="252" spans="1:28" x14ac:dyDescent="0.25">
      <c r="A252" s="7">
        <v>251</v>
      </c>
      <c r="B252" s="7" t="s">
        <v>341</v>
      </c>
      <c r="C252" s="4">
        <v>7</v>
      </c>
      <c r="D252" s="4">
        <v>4</v>
      </c>
      <c r="E252" s="8">
        <v>44985</v>
      </c>
      <c r="F252" s="9">
        <v>2.2083333333333333E-2</v>
      </c>
      <c r="G252" s="8">
        <v>44987</v>
      </c>
      <c r="H252" s="9">
        <v>1.3703703703703704E-2</v>
      </c>
      <c r="I252" s="7" t="s">
        <v>443</v>
      </c>
      <c r="J252" s="7" t="s">
        <v>25</v>
      </c>
      <c r="K252" s="18" t="str">
        <f>_xlfn.XLOOKUP(tblMaster[[#This Row],[Customer_ID]],tblCustomers[Customer_ID],tblCustomers[City],"Not Found",0)</f>
        <v>Kota</v>
      </c>
      <c r="L252" s="18" t="str">
        <f>_xlfn.XLOOKUP(tblMaster[[#This Row],[Customer_ID]],tblCustomers[Customer_ID],tblCustomers[Name],"Not Found",0)</f>
        <v>Aradhya Batta</v>
      </c>
      <c r="M252" s="18" t="str">
        <f>_xlfn.XLOOKUP(tblMaster[[#This Row],[Customer_ID]],tblCustomers[Customer_ID],tblCustomers[Gender],"Not Found",0)</f>
        <v>Female</v>
      </c>
      <c r="N252" s="18" t="str">
        <f>_xlfn.XLOOKUP(tblMaster[[#This Row],[Product_ID]],tblProducts[Product_ID],tblProducts[Product_Name],"Not Found",0)</f>
        <v>Quos Set</v>
      </c>
      <c r="O252" s="18" t="str">
        <f>_xlfn.XLOOKUP(tblMaster[[#This Row],[Product_ID]],tblProducts[Product_ID],tblProducts[Category],"Not Found",0)</f>
        <v>Soft Toys</v>
      </c>
      <c r="P252" s="18" t="str">
        <f>_xlfn.XLOOKUP(tblMaster[[#This Row],[Product_ID]],tblProducts[Product_ID],tblProducts[Occasion],"Not Found",0)</f>
        <v>Holi</v>
      </c>
      <c r="Q252" s="18">
        <f>_xlfn.XLOOKUP(tblMaster[[#This Row],[Product_ID]],tblProducts[Product_ID],tblProducts[Price (INR)],"Not Found",0)</f>
        <v>409</v>
      </c>
      <c r="R252" s="19">
        <f>tblMaster[[#This Row],[Price]]*tblMaster[[#This Row],[Quantity]]</f>
        <v>1636</v>
      </c>
      <c r="S252" s="19">
        <f>tblMaster[[#This Row],[Price]]*0.7*tblMaster[[#This Row],[Quantity]]</f>
        <v>1145.1999999999998</v>
      </c>
      <c r="T252" s="19">
        <f>tblMaster[[#This Row],[Revenue]]-tblMaster[[#This Row],[Estimated Cost (at 70%) ]]</f>
        <v>490.80000000000018</v>
      </c>
      <c r="U252" s="19">
        <f>tblMaster[[#This Row],[Profit]]/tblMaster[[#This Row],[Revenue]]</f>
        <v>0.3000000000000001</v>
      </c>
      <c r="V252" s="19">
        <f>tblMaster[[#This Row],[Delivery_Date]]-tblMaster[[#This Row],[Order_Date]]</f>
        <v>2</v>
      </c>
      <c r="W252" s="19" t="str">
        <f>TEXT(tblMaster[[#This Row],[Order_Date]],"mmmm")</f>
        <v>February</v>
      </c>
      <c r="X252" s="19">
        <f>MONTH(tblMaster[[#This Row],[Order_Date]])</f>
        <v>2</v>
      </c>
      <c r="Y252" s="19" t="str">
        <f>"Q"&amp;ROUNDUP(tblMaster[[#This Row],[Month Number]]/3,0)</f>
        <v>Q1</v>
      </c>
      <c r="Z252" s="19">
        <f>YEAR(tblMaster[[#This Row],[Order_Date]])</f>
        <v>2023</v>
      </c>
      <c r="AA252" s="19" t="str">
        <f>TEXT(DAY(tblMaster[[#This Row],[Order_Date]]),"dddd")</f>
        <v>Saturday</v>
      </c>
      <c r="AB252" s="19" t="str">
        <f>IF(tblMaster[[#This Row],[Revenue]]&gt;=5000,"High",IF(tblMaster[[#This Row],[Revenue]]&lt;2000,"Low","Medium"))</f>
        <v>Low</v>
      </c>
    </row>
    <row r="253" spans="1:28" x14ac:dyDescent="0.25">
      <c r="A253" s="10">
        <v>252</v>
      </c>
      <c r="B253" s="10" t="s">
        <v>176</v>
      </c>
      <c r="C253" s="5">
        <v>69</v>
      </c>
      <c r="D253" s="5">
        <v>2</v>
      </c>
      <c r="E253" s="11">
        <v>44983</v>
      </c>
      <c r="F253" s="12">
        <v>0.23712962962962963</v>
      </c>
      <c r="G253" s="11">
        <v>44985</v>
      </c>
      <c r="H253" s="12">
        <v>0.34115740740740741</v>
      </c>
      <c r="I253" s="10" t="s">
        <v>219</v>
      </c>
      <c r="J253" s="10" t="s">
        <v>25</v>
      </c>
      <c r="K253" s="18" t="str">
        <f>_xlfn.XLOOKUP(tblMaster[[#This Row],[Customer_ID]],tblCustomers[Customer_ID],tblCustomers[City],"Not Found",0)</f>
        <v>Pallavaram</v>
      </c>
      <c r="L253" s="18" t="str">
        <f>_xlfn.XLOOKUP(tblMaster[[#This Row],[Customer_ID]],tblCustomers[Customer_ID],tblCustomers[Name],"Not Found",0)</f>
        <v>Hazel Mangat</v>
      </c>
      <c r="M253" s="18" t="str">
        <f>_xlfn.XLOOKUP(tblMaster[[#This Row],[Customer_ID]],tblCustomers[Customer_ID],tblCustomers[Gender],"Not Found",0)</f>
        <v>Female</v>
      </c>
      <c r="N253" s="18" t="str">
        <f>_xlfn.XLOOKUP(tblMaster[[#This Row],[Product_ID]],tblProducts[Product_ID],tblProducts[Product_Name],"Not Found",0)</f>
        <v>Id Box</v>
      </c>
      <c r="O253" s="18" t="str">
        <f>_xlfn.XLOOKUP(tblMaster[[#This Row],[Product_ID]],tblProducts[Product_ID],tblProducts[Category],"Not Found",0)</f>
        <v>Cake</v>
      </c>
      <c r="P253" s="18" t="str">
        <f>_xlfn.XLOOKUP(tblMaster[[#This Row],[Product_ID]],tblProducts[Product_ID],tblProducts[Occasion],"Not Found",0)</f>
        <v>Holi</v>
      </c>
      <c r="Q253" s="18">
        <f>_xlfn.XLOOKUP(tblMaster[[#This Row],[Product_ID]],tblProducts[Product_ID],tblProducts[Price (INR)],"Not Found",0)</f>
        <v>998</v>
      </c>
      <c r="R253" s="19">
        <f>tblMaster[[#This Row],[Price]]*tblMaster[[#This Row],[Quantity]]</f>
        <v>1996</v>
      </c>
      <c r="S253" s="19">
        <f>tblMaster[[#This Row],[Price]]*0.7*tblMaster[[#This Row],[Quantity]]</f>
        <v>1397.1999999999998</v>
      </c>
      <c r="T253" s="19">
        <f>tblMaster[[#This Row],[Revenue]]-tblMaster[[#This Row],[Estimated Cost (at 70%) ]]</f>
        <v>598.80000000000018</v>
      </c>
      <c r="U253" s="19">
        <f>tblMaster[[#This Row],[Profit]]/tblMaster[[#This Row],[Revenue]]</f>
        <v>0.3000000000000001</v>
      </c>
      <c r="V253" s="19">
        <f>tblMaster[[#This Row],[Delivery_Date]]-tblMaster[[#This Row],[Order_Date]]</f>
        <v>2</v>
      </c>
      <c r="W253" s="19" t="str">
        <f>TEXT(tblMaster[[#This Row],[Order_Date]],"mmmm")</f>
        <v>February</v>
      </c>
      <c r="X253" s="19">
        <f>MONTH(tblMaster[[#This Row],[Order_Date]])</f>
        <v>2</v>
      </c>
      <c r="Y253" s="19" t="str">
        <f>"Q"&amp;ROUNDUP(tblMaster[[#This Row],[Month Number]]/3,0)</f>
        <v>Q1</v>
      </c>
      <c r="Z253" s="19">
        <f>YEAR(tblMaster[[#This Row],[Order_Date]])</f>
        <v>2023</v>
      </c>
      <c r="AA253" s="19" t="str">
        <f>TEXT(DAY(tblMaster[[#This Row],[Order_Date]]),"dddd")</f>
        <v>Thursday</v>
      </c>
      <c r="AB253" s="19" t="str">
        <f>IF(tblMaster[[#This Row],[Revenue]]&gt;=5000,"High",IF(tblMaster[[#This Row],[Revenue]]&lt;2000,"Low","Medium"))</f>
        <v>Low</v>
      </c>
    </row>
    <row r="254" spans="1:28" x14ac:dyDescent="0.25">
      <c r="A254" s="7">
        <v>253</v>
      </c>
      <c r="B254" s="7" t="s">
        <v>287</v>
      </c>
      <c r="C254" s="4">
        <v>68</v>
      </c>
      <c r="D254" s="4">
        <v>2</v>
      </c>
      <c r="E254" s="8">
        <v>44969</v>
      </c>
      <c r="F254" s="9">
        <v>0.60053240740740743</v>
      </c>
      <c r="G254" s="8">
        <v>44971</v>
      </c>
      <c r="H254" s="9">
        <v>0.23572916666666666</v>
      </c>
      <c r="I254" s="7" t="s">
        <v>444</v>
      </c>
      <c r="J254" s="7" t="s">
        <v>12</v>
      </c>
      <c r="K254" s="18" t="str">
        <f>_xlfn.XLOOKUP(tblMaster[[#This Row],[Customer_ID]],tblCustomers[Customer_ID],tblCustomers[City],"Not Found",0)</f>
        <v>Kanpur</v>
      </c>
      <c r="L254" s="18" t="str">
        <f>_xlfn.XLOOKUP(tblMaster[[#This Row],[Customer_ID]],tblCustomers[Customer_ID],tblCustomers[Name],"Not Found",0)</f>
        <v>Darshit Dave</v>
      </c>
      <c r="M254" s="18" t="str">
        <f>_xlfn.XLOOKUP(tblMaster[[#This Row],[Customer_ID]],tblCustomers[Customer_ID],tblCustomers[Gender],"Not Found",0)</f>
        <v>Male</v>
      </c>
      <c r="N254" s="18" t="str">
        <f>_xlfn.XLOOKUP(tblMaster[[#This Row],[Product_ID]],tblProducts[Product_ID],tblProducts[Product_Name],"Not Found",0)</f>
        <v>Quas Gift</v>
      </c>
      <c r="O254" s="18" t="str">
        <f>_xlfn.XLOOKUP(tblMaster[[#This Row],[Product_ID]],tblProducts[Product_ID],tblProducts[Category],"Not Found",0)</f>
        <v>Soft Toys</v>
      </c>
      <c r="P254" s="18" t="str">
        <f>_xlfn.XLOOKUP(tblMaster[[#This Row],[Product_ID]],tblProducts[Product_ID],tblProducts[Occasion],"Not Found",0)</f>
        <v>Valentine's Day</v>
      </c>
      <c r="Q254" s="18">
        <f>_xlfn.XLOOKUP(tblMaster[[#This Row],[Product_ID]],tblProducts[Product_ID],tblProducts[Price (INR)],"Not Found",0)</f>
        <v>597</v>
      </c>
      <c r="R254" s="19">
        <f>tblMaster[[#This Row],[Price]]*tblMaster[[#This Row],[Quantity]]</f>
        <v>1194</v>
      </c>
      <c r="S254" s="19">
        <f>tblMaster[[#This Row],[Price]]*0.7*tblMaster[[#This Row],[Quantity]]</f>
        <v>835.8</v>
      </c>
      <c r="T254" s="19">
        <f>tblMaster[[#This Row],[Revenue]]-tblMaster[[#This Row],[Estimated Cost (at 70%) ]]</f>
        <v>358.20000000000005</v>
      </c>
      <c r="U254" s="19">
        <f>tblMaster[[#This Row],[Profit]]/tblMaster[[#This Row],[Revenue]]</f>
        <v>0.30000000000000004</v>
      </c>
      <c r="V254" s="19">
        <f>tblMaster[[#This Row],[Delivery_Date]]-tblMaster[[#This Row],[Order_Date]]</f>
        <v>2</v>
      </c>
      <c r="W254" s="19" t="str">
        <f>TEXT(tblMaster[[#This Row],[Order_Date]],"mmmm")</f>
        <v>February</v>
      </c>
      <c r="X254" s="19">
        <f>MONTH(tblMaster[[#This Row],[Order_Date]])</f>
        <v>2</v>
      </c>
      <c r="Y254" s="19" t="str">
        <f>"Q"&amp;ROUNDUP(tblMaster[[#This Row],[Month Number]]/3,0)</f>
        <v>Q1</v>
      </c>
      <c r="Z254" s="19">
        <f>YEAR(tblMaster[[#This Row],[Order_Date]])</f>
        <v>2023</v>
      </c>
      <c r="AA254" s="19" t="str">
        <f>TEXT(DAY(tblMaster[[#This Row],[Order_Date]]),"dddd")</f>
        <v>Thursday</v>
      </c>
      <c r="AB254" s="19" t="str">
        <f>IF(tblMaster[[#This Row],[Revenue]]&gt;=5000,"High",IF(tblMaster[[#This Row],[Revenue]]&lt;2000,"Low","Medium"))</f>
        <v>Low</v>
      </c>
    </row>
    <row r="255" spans="1:28" x14ac:dyDescent="0.25">
      <c r="A255" s="10">
        <v>254</v>
      </c>
      <c r="B255" s="10" t="s">
        <v>398</v>
      </c>
      <c r="C255" s="5">
        <v>1</v>
      </c>
      <c r="D255" s="5">
        <v>5</v>
      </c>
      <c r="E255" s="11">
        <v>45114</v>
      </c>
      <c r="F255" s="12">
        <v>6.7592592592592591E-3</v>
      </c>
      <c r="G255" s="11">
        <v>45122</v>
      </c>
      <c r="H255" s="12">
        <v>0.22765046296296296</v>
      </c>
      <c r="I255" s="10" t="s">
        <v>383</v>
      </c>
      <c r="J255" s="10" t="s">
        <v>8</v>
      </c>
      <c r="K255" s="18" t="str">
        <f>_xlfn.XLOOKUP(tblMaster[[#This Row],[Customer_ID]],tblCustomers[Customer_ID],tblCustomers[City],"Not Found",0)</f>
        <v>Tumkur</v>
      </c>
      <c r="L255" s="18" t="str">
        <f>_xlfn.XLOOKUP(tblMaster[[#This Row],[Customer_ID]],tblCustomers[Customer_ID],tblCustomers[Name],"Not Found",0)</f>
        <v>Mamooty Bawa</v>
      </c>
      <c r="M255" s="18" t="str">
        <f>_xlfn.XLOOKUP(tblMaster[[#This Row],[Customer_ID]],tblCustomers[Customer_ID],tblCustomers[Gender],"Not Found",0)</f>
        <v>Male</v>
      </c>
      <c r="N255" s="18" t="str">
        <f>_xlfn.XLOOKUP(tblMaster[[#This Row],[Product_ID]],tblProducts[Product_ID],tblProducts[Product_Name],"Not Found",0)</f>
        <v>Magnam Set</v>
      </c>
      <c r="O255" s="18" t="str">
        <f>_xlfn.XLOOKUP(tblMaster[[#This Row],[Product_ID]],tblProducts[Product_ID],tblProducts[Category],"Not Found",0)</f>
        <v>Soft Toys</v>
      </c>
      <c r="P255" s="18" t="str">
        <f>_xlfn.XLOOKUP(tblMaster[[#This Row],[Product_ID]],tblProducts[Product_ID],tblProducts[Occasion],"Not Found",0)</f>
        <v>All Occasions</v>
      </c>
      <c r="Q255" s="18">
        <f>_xlfn.XLOOKUP(tblMaster[[#This Row],[Product_ID]],tblProducts[Product_ID],tblProducts[Price (INR)],"Not Found",0)</f>
        <v>1935</v>
      </c>
      <c r="R255" s="19">
        <f>tblMaster[[#This Row],[Price]]*tblMaster[[#This Row],[Quantity]]</f>
        <v>9675</v>
      </c>
      <c r="S255" s="19">
        <f>tblMaster[[#This Row],[Price]]*0.7*tblMaster[[#This Row],[Quantity]]</f>
        <v>6772.5</v>
      </c>
      <c r="T255" s="19">
        <f>tblMaster[[#This Row],[Revenue]]-tblMaster[[#This Row],[Estimated Cost (at 70%) ]]</f>
        <v>2902.5</v>
      </c>
      <c r="U255" s="19">
        <f>tblMaster[[#This Row],[Profit]]/tblMaster[[#This Row],[Revenue]]</f>
        <v>0.3</v>
      </c>
      <c r="V255" s="19">
        <f>tblMaster[[#This Row],[Delivery_Date]]-tblMaster[[#This Row],[Order_Date]]</f>
        <v>8</v>
      </c>
      <c r="W255" s="19" t="str">
        <f>TEXT(tblMaster[[#This Row],[Order_Date]],"mmmm")</f>
        <v>July</v>
      </c>
      <c r="X255" s="19">
        <f>MONTH(tblMaster[[#This Row],[Order_Date]])</f>
        <v>7</v>
      </c>
      <c r="Y255" s="19" t="str">
        <f>"Q"&amp;ROUNDUP(tblMaster[[#This Row],[Month Number]]/3,0)</f>
        <v>Q3</v>
      </c>
      <c r="Z255" s="19">
        <f>YEAR(tblMaster[[#This Row],[Order_Date]])</f>
        <v>2023</v>
      </c>
      <c r="AA255" s="19" t="str">
        <f>TEXT(DAY(tblMaster[[#This Row],[Order_Date]]),"dddd")</f>
        <v>Saturday</v>
      </c>
      <c r="AB255" s="19" t="str">
        <f>IF(tblMaster[[#This Row],[Revenue]]&gt;=5000,"High",IF(tblMaster[[#This Row],[Revenue]]&lt;2000,"Low","Medium"))</f>
        <v>High</v>
      </c>
    </row>
    <row r="256" spans="1:28" x14ac:dyDescent="0.25">
      <c r="A256" s="7">
        <v>255</v>
      </c>
      <c r="B256" s="7" t="s">
        <v>361</v>
      </c>
      <c r="C256" s="4">
        <v>45</v>
      </c>
      <c r="D256" s="4">
        <v>2</v>
      </c>
      <c r="E256" s="8">
        <v>45287</v>
      </c>
      <c r="F256" s="9">
        <v>0.15457175925925926</v>
      </c>
      <c r="G256" s="8">
        <v>45297</v>
      </c>
      <c r="H256" s="9">
        <v>0.39113425925925926</v>
      </c>
      <c r="I256" s="7" t="s">
        <v>420</v>
      </c>
      <c r="J256" s="7" t="s">
        <v>36</v>
      </c>
      <c r="K256" s="18" t="str">
        <f>_xlfn.XLOOKUP(tblMaster[[#This Row],[Customer_ID]],tblCustomers[Customer_ID],tblCustomers[City],"Not Found",0)</f>
        <v>Dibrugarh</v>
      </c>
      <c r="L256" s="18" t="str">
        <f>_xlfn.XLOOKUP(tblMaster[[#This Row],[Customer_ID]],tblCustomers[Customer_ID],tblCustomers[Name],"Not Found",0)</f>
        <v>Zoya Mani</v>
      </c>
      <c r="M256" s="18" t="str">
        <f>_xlfn.XLOOKUP(tblMaster[[#This Row],[Customer_ID]],tblCustomers[Customer_ID],tblCustomers[Gender],"Not Found",0)</f>
        <v>Male</v>
      </c>
      <c r="N256" s="18" t="str">
        <f>_xlfn.XLOOKUP(tblMaster[[#This Row],[Product_ID]],tblProducts[Product_ID],tblProducts[Product_Name],"Not Found",0)</f>
        <v>Iusto Set</v>
      </c>
      <c r="O256" s="18" t="str">
        <f>_xlfn.XLOOKUP(tblMaster[[#This Row],[Product_ID]],tblProducts[Product_ID],tblProducts[Category],"Not Found",0)</f>
        <v>Raksha Bandhan</v>
      </c>
      <c r="P256" s="18" t="str">
        <f>_xlfn.XLOOKUP(tblMaster[[#This Row],[Product_ID]],tblProducts[Product_ID],tblProducts[Occasion],"Not Found",0)</f>
        <v>Birthday</v>
      </c>
      <c r="Q256" s="18">
        <f>_xlfn.XLOOKUP(tblMaster[[#This Row],[Product_ID]],tblProducts[Product_ID],tblProducts[Price (INR)],"Not Found",0)</f>
        <v>722</v>
      </c>
      <c r="R256" s="19">
        <f>tblMaster[[#This Row],[Price]]*tblMaster[[#This Row],[Quantity]]</f>
        <v>1444</v>
      </c>
      <c r="S256" s="19">
        <f>tblMaster[[#This Row],[Price]]*0.7*tblMaster[[#This Row],[Quantity]]</f>
        <v>1010.8</v>
      </c>
      <c r="T256" s="19">
        <f>tblMaster[[#This Row],[Revenue]]-tblMaster[[#This Row],[Estimated Cost (at 70%) ]]</f>
        <v>433.20000000000005</v>
      </c>
      <c r="U256" s="19">
        <f>tblMaster[[#This Row],[Profit]]/tblMaster[[#This Row],[Revenue]]</f>
        <v>0.30000000000000004</v>
      </c>
      <c r="V256" s="19">
        <f>tblMaster[[#This Row],[Delivery_Date]]-tblMaster[[#This Row],[Order_Date]]</f>
        <v>10</v>
      </c>
      <c r="W256" s="19" t="str">
        <f>TEXT(tblMaster[[#This Row],[Order_Date]],"mmmm")</f>
        <v>December</v>
      </c>
      <c r="X256" s="19">
        <f>MONTH(tblMaster[[#This Row],[Order_Date]])</f>
        <v>12</v>
      </c>
      <c r="Y256" s="19" t="str">
        <f>"Q"&amp;ROUNDUP(tblMaster[[#This Row],[Month Number]]/3,0)</f>
        <v>Q4</v>
      </c>
      <c r="Z256" s="19">
        <f>YEAR(tblMaster[[#This Row],[Order_Date]])</f>
        <v>2023</v>
      </c>
      <c r="AA256" s="19" t="str">
        <f>TEXT(DAY(tblMaster[[#This Row],[Order_Date]]),"dddd")</f>
        <v>Friday</v>
      </c>
      <c r="AB256" s="19" t="str">
        <f>IF(tblMaster[[#This Row],[Revenue]]&gt;=5000,"High",IF(tblMaster[[#This Row],[Revenue]]&lt;2000,"Low","Medium"))</f>
        <v>Low</v>
      </c>
    </row>
    <row r="257" spans="1:28" x14ac:dyDescent="0.25">
      <c r="A257" s="10">
        <v>256</v>
      </c>
      <c r="B257" s="10" t="s">
        <v>185</v>
      </c>
      <c r="C257" s="5">
        <v>4</v>
      </c>
      <c r="D257" s="5">
        <v>5</v>
      </c>
      <c r="E257" s="11">
        <v>45236</v>
      </c>
      <c r="F257" s="12">
        <v>0.80126157407407406</v>
      </c>
      <c r="G257" s="11">
        <v>45244</v>
      </c>
      <c r="H257" s="12">
        <v>0.75410879629629635</v>
      </c>
      <c r="I257" s="10" t="s">
        <v>420</v>
      </c>
      <c r="J257" s="10" t="s">
        <v>19</v>
      </c>
      <c r="K257" s="18" t="str">
        <f>_xlfn.XLOOKUP(tblMaster[[#This Row],[Customer_ID]],tblCustomers[Customer_ID],tblCustomers[City],"Not Found",0)</f>
        <v>North Dumdum</v>
      </c>
      <c r="L257" s="18" t="str">
        <f>_xlfn.XLOOKUP(tblMaster[[#This Row],[Customer_ID]],tblCustomers[Customer_ID],tblCustomers[Name],"Not Found",0)</f>
        <v>Badal Vora</v>
      </c>
      <c r="M257" s="18" t="str">
        <f>_xlfn.XLOOKUP(tblMaster[[#This Row],[Customer_ID]],tblCustomers[Customer_ID],tblCustomers[Gender],"Not Found",0)</f>
        <v>Male</v>
      </c>
      <c r="N257" s="18" t="str">
        <f>_xlfn.XLOOKUP(tblMaster[[#This Row],[Product_ID]],tblProducts[Product_ID],tblProducts[Product_Name],"Not Found",0)</f>
        <v>Accusantium Set</v>
      </c>
      <c r="O257" s="18" t="str">
        <f>_xlfn.XLOOKUP(tblMaster[[#This Row],[Product_ID]],tblProducts[Product_ID],tblProducts[Category],"Not Found",0)</f>
        <v>Sweets</v>
      </c>
      <c r="P257" s="18" t="str">
        <f>_xlfn.XLOOKUP(tblMaster[[#This Row],[Product_ID]],tblProducts[Product_ID],tblProducts[Occasion],"Not Found",0)</f>
        <v>Diwali</v>
      </c>
      <c r="Q257" s="18">
        <f>_xlfn.XLOOKUP(tblMaster[[#This Row],[Product_ID]],tblProducts[Product_ID],tblProducts[Price (INR)],"Not Found",0)</f>
        <v>1199</v>
      </c>
      <c r="R257" s="19">
        <f>tblMaster[[#This Row],[Price]]*tblMaster[[#This Row],[Quantity]]</f>
        <v>5995</v>
      </c>
      <c r="S257" s="19">
        <f>tblMaster[[#This Row],[Price]]*0.7*tblMaster[[#This Row],[Quantity]]</f>
        <v>4196.5</v>
      </c>
      <c r="T257" s="19">
        <f>tblMaster[[#This Row],[Revenue]]-tblMaster[[#This Row],[Estimated Cost (at 70%) ]]</f>
        <v>1798.5</v>
      </c>
      <c r="U257" s="19">
        <f>tblMaster[[#This Row],[Profit]]/tblMaster[[#This Row],[Revenue]]</f>
        <v>0.3</v>
      </c>
      <c r="V257" s="19">
        <f>tblMaster[[#This Row],[Delivery_Date]]-tblMaster[[#This Row],[Order_Date]]</f>
        <v>8</v>
      </c>
      <c r="W257" s="19" t="str">
        <f>TEXT(tblMaster[[#This Row],[Order_Date]],"mmmm")</f>
        <v>November</v>
      </c>
      <c r="X257" s="19">
        <f>MONTH(tblMaster[[#This Row],[Order_Date]])</f>
        <v>11</v>
      </c>
      <c r="Y257" s="19" t="str">
        <f>"Q"&amp;ROUNDUP(tblMaster[[#This Row],[Month Number]]/3,0)</f>
        <v>Q4</v>
      </c>
      <c r="Z257" s="19">
        <f>YEAR(tblMaster[[#This Row],[Order_Date]])</f>
        <v>2023</v>
      </c>
      <c r="AA257" s="19" t="str">
        <f>TEXT(DAY(tblMaster[[#This Row],[Order_Date]]),"dddd")</f>
        <v>Friday</v>
      </c>
      <c r="AB257" s="19" t="str">
        <f>IF(tblMaster[[#This Row],[Revenue]]&gt;=5000,"High",IF(tblMaster[[#This Row],[Revenue]]&lt;2000,"Low","Medium"))</f>
        <v>High</v>
      </c>
    </row>
    <row r="258" spans="1:28" x14ac:dyDescent="0.25">
      <c r="A258" s="7">
        <v>257</v>
      </c>
      <c r="B258" s="7" t="s">
        <v>261</v>
      </c>
      <c r="C258" s="4">
        <v>21</v>
      </c>
      <c r="D258" s="4">
        <v>3</v>
      </c>
      <c r="E258" s="8">
        <v>45160</v>
      </c>
      <c r="F258" s="9">
        <v>0.65484953703703708</v>
      </c>
      <c r="G258" s="8">
        <v>45162</v>
      </c>
      <c r="H258" s="9">
        <v>0.94420138888888894</v>
      </c>
      <c r="I258" s="7" t="s">
        <v>318</v>
      </c>
      <c r="J258" s="7" t="s">
        <v>33</v>
      </c>
      <c r="K258" s="18" t="str">
        <f>_xlfn.XLOOKUP(tblMaster[[#This Row],[Customer_ID]],tblCustomers[Customer_ID],tblCustomers[City],"Not Found",0)</f>
        <v>Panchkula</v>
      </c>
      <c r="L258" s="18" t="str">
        <f>_xlfn.XLOOKUP(tblMaster[[#This Row],[Customer_ID]],tblCustomers[Customer_ID],tblCustomers[Name],"Not Found",0)</f>
        <v>Gokul Ahluwalia</v>
      </c>
      <c r="M258" s="18" t="str">
        <f>_xlfn.XLOOKUP(tblMaster[[#This Row],[Customer_ID]],tblCustomers[Customer_ID],tblCustomers[Gender],"Not Found",0)</f>
        <v>Female</v>
      </c>
      <c r="N258" s="18" t="str">
        <f>_xlfn.XLOOKUP(tblMaster[[#This Row],[Product_ID]],tblProducts[Product_ID],tblProducts[Product_Name],"Not Found",0)</f>
        <v>Quia Gift</v>
      </c>
      <c r="O258" s="18" t="str">
        <f>_xlfn.XLOOKUP(tblMaster[[#This Row],[Product_ID]],tblProducts[Product_ID],tblProducts[Category],"Not Found",0)</f>
        <v>Colors</v>
      </c>
      <c r="P258" s="18" t="str">
        <f>_xlfn.XLOOKUP(tblMaster[[#This Row],[Product_ID]],tblProducts[Product_ID],tblProducts[Occasion],"Not Found",0)</f>
        <v>Raksha Bandhan</v>
      </c>
      <c r="Q258" s="18">
        <f>_xlfn.XLOOKUP(tblMaster[[#This Row],[Product_ID]],tblProducts[Product_ID],tblProducts[Price (INR)],"Not Found",0)</f>
        <v>1561</v>
      </c>
      <c r="R258" s="19">
        <f>tblMaster[[#This Row],[Price]]*tblMaster[[#This Row],[Quantity]]</f>
        <v>4683</v>
      </c>
      <c r="S258" s="19">
        <f>tblMaster[[#This Row],[Price]]*0.7*tblMaster[[#This Row],[Quantity]]</f>
        <v>3278.0999999999995</v>
      </c>
      <c r="T258" s="19">
        <f>tblMaster[[#This Row],[Revenue]]-tblMaster[[#This Row],[Estimated Cost (at 70%) ]]</f>
        <v>1404.9000000000005</v>
      </c>
      <c r="U258" s="19">
        <f>tblMaster[[#This Row],[Profit]]/tblMaster[[#This Row],[Revenue]]</f>
        <v>0.3000000000000001</v>
      </c>
      <c r="V258" s="19">
        <f>tblMaster[[#This Row],[Delivery_Date]]-tblMaster[[#This Row],[Order_Date]]</f>
        <v>2</v>
      </c>
      <c r="W258" s="19" t="str">
        <f>TEXT(tblMaster[[#This Row],[Order_Date]],"mmmm")</f>
        <v>August</v>
      </c>
      <c r="X258" s="19">
        <f>MONTH(tblMaster[[#This Row],[Order_Date]])</f>
        <v>8</v>
      </c>
      <c r="Y258" s="19" t="str">
        <f>"Q"&amp;ROUNDUP(tblMaster[[#This Row],[Month Number]]/3,0)</f>
        <v>Q3</v>
      </c>
      <c r="Z258" s="19">
        <f>YEAR(tblMaster[[#This Row],[Order_Date]])</f>
        <v>2023</v>
      </c>
      <c r="AA258" s="19" t="str">
        <f>TEXT(DAY(tblMaster[[#This Row],[Order_Date]]),"dddd")</f>
        <v>Sunday</v>
      </c>
      <c r="AB258" s="19" t="str">
        <f>IF(tblMaster[[#This Row],[Revenue]]&gt;=5000,"High",IF(tblMaster[[#This Row],[Revenue]]&lt;2000,"Low","Medium"))</f>
        <v>Medium</v>
      </c>
    </row>
    <row r="259" spans="1:28" x14ac:dyDescent="0.25">
      <c r="A259" s="10">
        <v>258</v>
      </c>
      <c r="B259" s="10" t="s">
        <v>182</v>
      </c>
      <c r="C259" s="5">
        <v>46</v>
      </c>
      <c r="D259" s="5">
        <v>5</v>
      </c>
      <c r="E259" s="11">
        <v>45032</v>
      </c>
      <c r="F259" s="12">
        <v>0.23656250000000001</v>
      </c>
      <c r="G259" s="11">
        <v>45036</v>
      </c>
      <c r="H259" s="12">
        <v>0.83717592592592593</v>
      </c>
      <c r="I259" s="10" t="s">
        <v>357</v>
      </c>
      <c r="J259" s="10" t="s">
        <v>30</v>
      </c>
      <c r="K259" s="18" t="str">
        <f>_xlfn.XLOOKUP(tblMaster[[#This Row],[Customer_ID]],tblCustomers[Customer_ID],tblCustomers[City],"Not Found",0)</f>
        <v>Agra</v>
      </c>
      <c r="L259" s="18" t="str">
        <f>_xlfn.XLOOKUP(tblMaster[[#This Row],[Customer_ID]],tblCustomers[Customer_ID],tblCustomers[Name],"Not Found",0)</f>
        <v>Seher Mann</v>
      </c>
      <c r="M259" s="18" t="str">
        <f>_xlfn.XLOOKUP(tblMaster[[#This Row],[Customer_ID]],tblCustomers[Customer_ID],tblCustomers[Gender],"Not Found",0)</f>
        <v>Male</v>
      </c>
      <c r="N259" s="18" t="str">
        <f>_xlfn.XLOOKUP(tblMaster[[#This Row],[Product_ID]],tblProducts[Product_ID],tblProducts[Product_Name],"Not Found",0)</f>
        <v>Pariatur Set</v>
      </c>
      <c r="O259" s="18" t="str">
        <f>_xlfn.XLOOKUP(tblMaster[[#This Row],[Product_ID]],tblProducts[Product_ID],tblProducts[Category],"Not Found",0)</f>
        <v>Cake</v>
      </c>
      <c r="P259" s="18" t="str">
        <f>_xlfn.XLOOKUP(tblMaster[[#This Row],[Product_ID]],tblProducts[Product_ID],tblProducts[Occasion],"Not Found",0)</f>
        <v>Anniversary</v>
      </c>
      <c r="Q259" s="18">
        <f>_xlfn.XLOOKUP(tblMaster[[#This Row],[Product_ID]],tblProducts[Product_ID],tblProducts[Price (INR)],"Not Found",0)</f>
        <v>758</v>
      </c>
      <c r="R259" s="19">
        <f>tblMaster[[#This Row],[Price]]*tblMaster[[#This Row],[Quantity]]</f>
        <v>3790</v>
      </c>
      <c r="S259" s="19">
        <f>tblMaster[[#This Row],[Price]]*0.7*tblMaster[[#This Row],[Quantity]]</f>
        <v>2653</v>
      </c>
      <c r="T259" s="19">
        <f>tblMaster[[#This Row],[Revenue]]-tblMaster[[#This Row],[Estimated Cost (at 70%) ]]</f>
        <v>1137</v>
      </c>
      <c r="U259" s="19">
        <f>tblMaster[[#This Row],[Profit]]/tblMaster[[#This Row],[Revenue]]</f>
        <v>0.3</v>
      </c>
      <c r="V259" s="19">
        <f>tblMaster[[#This Row],[Delivery_Date]]-tblMaster[[#This Row],[Order_Date]]</f>
        <v>4</v>
      </c>
      <c r="W259" s="19" t="str">
        <f>TEXT(tblMaster[[#This Row],[Order_Date]],"mmmm")</f>
        <v>April</v>
      </c>
      <c r="X259" s="19">
        <f>MONTH(tblMaster[[#This Row],[Order_Date]])</f>
        <v>4</v>
      </c>
      <c r="Y259" s="19" t="str">
        <f>"Q"&amp;ROUNDUP(tblMaster[[#This Row],[Month Number]]/3,0)</f>
        <v>Q2</v>
      </c>
      <c r="Z259" s="19">
        <f>YEAR(tblMaster[[#This Row],[Order_Date]])</f>
        <v>2023</v>
      </c>
      <c r="AA259" s="19" t="str">
        <f>TEXT(DAY(tblMaster[[#This Row],[Order_Date]]),"dddd")</f>
        <v>Monday</v>
      </c>
      <c r="AB259" s="19" t="str">
        <f>IF(tblMaster[[#This Row],[Revenue]]&gt;=5000,"High",IF(tblMaster[[#This Row],[Revenue]]&lt;2000,"Low","Medium"))</f>
        <v>Medium</v>
      </c>
    </row>
    <row r="260" spans="1:28" x14ac:dyDescent="0.25">
      <c r="A260" s="7">
        <v>259</v>
      </c>
      <c r="B260" s="7" t="s">
        <v>405</v>
      </c>
      <c r="C260" s="4">
        <v>62</v>
      </c>
      <c r="D260" s="4">
        <v>1</v>
      </c>
      <c r="E260" s="8">
        <v>44990</v>
      </c>
      <c r="F260" s="9">
        <v>0.64020833333333338</v>
      </c>
      <c r="G260" s="8">
        <v>44995</v>
      </c>
      <c r="H260" s="9">
        <v>2.7893518518518519E-3</v>
      </c>
      <c r="I260" s="7" t="s">
        <v>177</v>
      </c>
      <c r="J260" s="7" t="s">
        <v>25</v>
      </c>
      <c r="K260" s="18" t="str">
        <f>_xlfn.XLOOKUP(tblMaster[[#This Row],[Customer_ID]],tblCustomers[Customer_ID],tblCustomers[City],"Not Found",0)</f>
        <v>Panchkula</v>
      </c>
      <c r="L260" s="18" t="str">
        <f>_xlfn.XLOOKUP(tblMaster[[#This Row],[Customer_ID]],tblCustomers[Customer_ID],tblCustomers[Name],"Not Found",0)</f>
        <v>Tara Krishnan</v>
      </c>
      <c r="M260" s="18" t="str">
        <f>_xlfn.XLOOKUP(tblMaster[[#This Row],[Customer_ID]],tblCustomers[Customer_ID],tblCustomers[Gender],"Not Found",0)</f>
        <v>Female</v>
      </c>
      <c r="N260" s="18" t="str">
        <f>_xlfn.XLOOKUP(tblMaster[[#This Row],[Product_ID]],tblProducts[Product_ID],tblProducts[Product_Name],"Not Found",0)</f>
        <v>Sed Set</v>
      </c>
      <c r="O260" s="18" t="str">
        <f>_xlfn.XLOOKUP(tblMaster[[#This Row],[Product_ID]],tblProducts[Product_ID],tblProducts[Category],"Not Found",0)</f>
        <v>Colors</v>
      </c>
      <c r="P260" s="18" t="str">
        <f>_xlfn.XLOOKUP(tblMaster[[#This Row],[Product_ID]],tblProducts[Product_ID],tblProducts[Occasion],"Not Found",0)</f>
        <v>Holi</v>
      </c>
      <c r="Q260" s="18">
        <f>_xlfn.XLOOKUP(tblMaster[[#This Row],[Product_ID]],tblProducts[Product_ID],tblProducts[Price (INR)],"Not Found",0)</f>
        <v>1356</v>
      </c>
      <c r="R260" s="19">
        <f>tblMaster[[#This Row],[Price]]*tblMaster[[#This Row],[Quantity]]</f>
        <v>1356</v>
      </c>
      <c r="S260" s="19">
        <f>tblMaster[[#This Row],[Price]]*0.7*tblMaster[[#This Row],[Quantity]]</f>
        <v>949.19999999999993</v>
      </c>
      <c r="T260" s="19">
        <f>tblMaster[[#This Row],[Revenue]]-tblMaster[[#This Row],[Estimated Cost (at 70%) ]]</f>
        <v>406.80000000000007</v>
      </c>
      <c r="U260" s="19">
        <f>tblMaster[[#This Row],[Profit]]/tblMaster[[#This Row],[Revenue]]</f>
        <v>0.30000000000000004</v>
      </c>
      <c r="V260" s="19">
        <f>tblMaster[[#This Row],[Delivery_Date]]-tblMaster[[#This Row],[Order_Date]]</f>
        <v>5</v>
      </c>
      <c r="W260" s="19" t="str">
        <f>TEXT(tblMaster[[#This Row],[Order_Date]],"mmmm")</f>
        <v>March</v>
      </c>
      <c r="X260" s="19">
        <f>MONTH(tblMaster[[#This Row],[Order_Date]])</f>
        <v>3</v>
      </c>
      <c r="Y260" s="19" t="str">
        <f>"Q"&amp;ROUNDUP(tblMaster[[#This Row],[Month Number]]/3,0)</f>
        <v>Q1</v>
      </c>
      <c r="Z260" s="19">
        <f>YEAR(tblMaster[[#This Row],[Order_Date]])</f>
        <v>2023</v>
      </c>
      <c r="AA260" s="19" t="str">
        <f>TEXT(DAY(tblMaster[[#This Row],[Order_Date]]),"dddd")</f>
        <v>Thursday</v>
      </c>
      <c r="AB260" s="19" t="str">
        <f>IF(tblMaster[[#This Row],[Revenue]]&gt;=5000,"High",IF(tblMaster[[#This Row],[Revenue]]&lt;2000,"Low","Medium"))</f>
        <v>Low</v>
      </c>
    </row>
    <row r="261" spans="1:28" x14ac:dyDescent="0.25">
      <c r="A261" s="10">
        <v>260</v>
      </c>
      <c r="B261" s="10" t="s">
        <v>304</v>
      </c>
      <c r="C261" s="5">
        <v>69</v>
      </c>
      <c r="D261" s="5">
        <v>5</v>
      </c>
      <c r="E261" s="11">
        <v>44991</v>
      </c>
      <c r="F261" s="12">
        <v>0.54596064814814815</v>
      </c>
      <c r="G261" s="11">
        <v>45001</v>
      </c>
      <c r="H261" s="12">
        <v>0.93229166666666663</v>
      </c>
      <c r="I261" s="10" t="s">
        <v>344</v>
      </c>
      <c r="J261" s="10" t="s">
        <v>25</v>
      </c>
      <c r="K261" s="18" t="str">
        <f>_xlfn.XLOOKUP(tblMaster[[#This Row],[Customer_ID]],tblCustomers[Customer_ID],tblCustomers[City],"Not Found",0)</f>
        <v>Phagwara</v>
      </c>
      <c r="L261" s="18" t="str">
        <f>_xlfn.XLOOKUP(tblMaster[[#This Row],[Customer_ID]],tblCustomers[Customer_ID],tblCustomers[Name],"Not Found",0)</f>
        <v>Pranay Chaudhary</v>
      </c>
      <c r="M261" s="18" t="str">
        <f>_xlfn.XLOOKUP(tblMaster[[#This Row],[Customer_ID]],tblCustomers[Customer_ID],tblCustomers[Gender],"Not Found",0)</f>
        <v>Female</v>
      </c>
      <c r="N261" s="18" t="str">
        <f>_xlfn.XLOOKUP(tblMaster[[#This Row],[Product_ID]],tblProducts[Product_ID],tblProducts[Product_Name],"Not Found",0)</f>
        <v>Id Box</v>
      </c>
      <c r="O261" s="18" t="str">
        <f>_xlfn.XLOOKUP(tblMaster[[#This Row],[Product_ID]],tblProducts[Product_ID],tblProducts[Category],"Not Found",0)</f>
        <v>Cake</v>
      </c>
      <c r="P261" s="18" t="str">
        <f>_xlfn.XLOOKUP(tblMaster[[#This Row],[Product_ID]],tblProducts[Product_ID],tblProducts[Occasion],"Not Found",0)</f>
        <v>Holi</v>
      </c>
      <c r="Q261" s="18">
        <f>_xlfn.XLOOKUP(tblMaster[[#This Row],[Product_ID]],tblProducts[Product_ID],tblProducts[Price (INR)],"Not Found",0)</f>
        <v>998</v>
      </c>
      <c r="R261" s="19">
        <f>tblMaster[[#This Row],[Price]]*tblMaster[[#This Row],[Quantity]]</f>
        <v>4990</v>
      </c>
      <c r="S261" s="19">
        <f>tblMaster[[#This Row],[Price]]*0.7*tblMaster[[#This Row],[Quantity]]</f>
        <v>3492.9999999999995</v>
      </c>
      <c r="T261" s="19">
        <f>tblMaster[[#This Row],[Revenue]]-tblMaster[[#This Row],[Estimated Cost (at 70%) ]]</f>
        <v>1497.0000000000005</v>
      </c>
      <c r="U261" s="19">
        <f>tblMaster[[#This Row],[Profit]]/tblMaster[[#This Row],[Revenue]]</f>
        <v>0.3000000000000001</v>
      </c>
      <c r="V261" s="19">
        <f>tblMaster[[#This Row],[Delivery_Date]]-tblMaster[[#This Row],[Order_Date]]</f>
        <v>10</v>
      </c>
      <c r="W261" s="19" t="str">
        <f>TEXT(tblMaster[[#This Row],[Order_Date]],"mmmm")</f>
        <v>March</v>
      </c>
      <c r="X261" s="19">
        <f>MONTH(tblMaster[[#This Row],[Order_Date]])</f>
        <v>3</v>
      </c>
      <c r="Y261" s="19" t="str">
        <f>"Q"&amp;ROUNDUP(tblMaster[[#This Row],[Month Number]]/3,0)</f>
        <v>Q1</v>
      </c>
      <c r="Z261" s="19">
        <f>YEAR(tblMaster[[#This Row],[Order_Date]])</f>
        <v>2023</v>
      </c>
      <c r="AA261" s="19" t="str">
        <f>TEXT(DAY(tblMaster[[#This Row],[Order_Date]]),"dddd")</f>
        <v>Friday</v>
      </c>
      <c r="AB261" s="19" t="str">
        <f>IF(tblMaster[[#This Row],[Revenue]]&gt;=5000,"High",IF(tblMaster[[#This Row],[Revenue]]&lt;2000,"Low","Medium"))</f>
        <v>Medium</v>
      </c>
    </row>
    <row r="262" spans="1:28" x14ac:dyDescent="0.25">
      <c r="A262" s="7">
        <v>261</v>
      </c>
      <c r="B262" s="7" t="s">
        <v>206</v>
      </c>
      <c r="C262" s="4">
        <v>37</v>
      </c>
      <c r="D262" s="4">
        <v>3</v>
      </c>
      <c r="E262" s="8">
        <v>45236</v>
      </c>
      <c r="F262" s="9">
        <v>0.58599537037037042</v>
      </c>
      <c r="G262" s="8">
        <v>45242</v>
      </c>
      <c r="H262" s="9">
        <v>0.84568287037037038</v>
      </c>
      <c r="I262" s="7" t="s">
        <v>336</v>
      </c>
      <c r="J262" s="7" t="s">
        <v>19</v>
      </c>
      <c r="K262" s="18" t="str">
        <f>_xlfn.XLOOKUP(tblMaster[[#This Row],[Customer_ID]],tblCustomers[Customer_ID],tblCustomers[City],"Not Found",0)</f>
        <v>Karaikudi</v>
      </c>
      <c r="L262" s="18" t="str">
        <f>_xlfn.XLOOKUP(tblMaster[[#This Row],[Customer_ID]],tblCustomers[Customer_ID],tblCustomers[Name],"Not Found",0)</f>
        <v>Rati Dhingra</v>
      </c>
      <c r="M262" s="18" t="str">
        <f>_xlfn.XLOOKUP(tblMaster[[#This Row],[Customer_ID]],tblCustomers[Customer_ID],tblCustomers[Gender],"Not Found",0)</f>
        <v>Male</v>
      </c>
      <c r="N262" s="18" t="str">
        <f>_xlfn.XLOOKUP(tblMaster[[#This Row],[Product_ID]],tblProducts[Product_ID],tblProducts[Product_Name],"Not Found",0)</f>
        <v>Officiis Pack</v>
      </c>
      <c r="O262" s="18" t="str">
        <f>_xlfn.XLOOKUP(tblMaster[[#This Row],[Product_ID]],tblProducts[Product_ID],tblProducts[Category],"Not Found",0)</f>
        <v>Colors</v>
      </c>
      <c r="P262" s="18" t="str">
        <f>_xlfn.XLOOKUP(tblMaster[[#This Row],[Product_ID]],tblProducts[Product_ID],tblProducts[Occasion],"Not Found",0)</f>
        <v>Diwali</v>
      </c>
      <c r="Q262" s="18">
        <f>_xlfn.XLOOKUP(tblMaster[[#This Row],[Product_ID]],tblProducts[Product_ID],tblProducts[Price (INR)],"Not Found",0)</f>
        <v>1428</v>
      </c>
      <c r="R262" s="19">
        <f>tblMaster[[#This Row],[Price]]*tblMaster[[#This Row],[Quantity]]</f>
        <v>4284</v>
      </c>
      <c r="S262" s="19">
        <f>tblMaster[[#This Row],[Price]]*0.7*tblMaster[[#This Row],[Quantity]]</f>
        <v>2998.7999999999997</v>
      </c>
      <c r="T262" s="19">
        <f>tblMaster[[#This Row],[Revenue]]-tblMaster[[#This Row],[Estimated Cost (at 70%) ]]</f>
        <v>1285.2000000000003</v>
      </c>
      <c r="U262" s="19">
        <f>tblMaster[[#This Row],[Profit]]/tblMaster[[#This Row],[Revenue]]</f>
        <v>0.30000000000000004</v>
      </c>
      <c r="V262" s="19">
        <f>tblMaster[[#This Row],[Delivery_Date]]-tblMaster[[#This Row],[Order_Date]]</f>
        <v>6</v>
      </c>
      <c r="W262" s="19" t="str">
        <f>TEXT(tblMaster[[#This Row],[Order_Date]],"mmmm")</f>
        <v>November</v>
      </c>
      <c r="X262" s="19">
        <f>MONTH(tblMaster[[#This Row],[Order_Date]])</f>
        <v>11</v>
      </c>
      <c r="Y262" s="19" t="str">
        <f>"Q"&amp;ROUNDUP(tblMaster[[#This Row],[Month Number]]/3,0)</f>
        <v>Q4</v>
      </c>
      <c r="Z262" s="19">
        <f>YEAR(tblMaster[[#This Row],[Order_Date]])</f>
        <v>2023</v>
      </c>
      <c r="AA262" s="19" t="str">
        <f>TEXT(DAY(tblMaster[[#This Row],[Order_Date]]),"dddd")</f>
        <v>Friday</v>
      </c>
      <c r="AB262" s="19" t="str">
        <f>IF(tblMaster[[#This Row],[Revenue]]&gt;=5000,"High",IF(tblMaster[[#This Row],[Revenue]]&lt;2000,"Low","Medium"))</f>
        <v>Medium</v>
      </c>
    </row>
    <row r="263" spans="1:28" x14ac:dyDescent="0.25">
      <c r="A263" s="10">
        <v>262</v>
      </c>
      <c r="B263" s="10" t="s">
        <v>293</v>
      </c>
      <c r="C263" s="5">
        <v>49</v>
      </c>
      <c r="D263" s="5">
        <v>3</v>
      </c>
      <c r="E263" s="11">
        <v>44964</v>
      </c>
      <c r="F263" s="12">
        <v>0.33699074074074076</v>
      </c>
      <c r="G263" s="11">
        <v>44968</v>
      </c>
      <c r="H263" s="12">
        <v>4.6493055555555558E-2</v>
      </c>
      <c r="I263" s="10" t="s">
        <v>445</v>
      </c>
      <c r="J263" s="10" t="s">
        <v>12</v>
      </c>
      <c r="K263" s="18" t="str">
        <f>_xlfn.XLOOKUP(tblMaster[[#This Row],[Customer_ID]],tblCustomers[Customer_ID],tblCustomers[City],"Not Found",0)</f>
        <v>Aizawl</v>
      </c>
      <c r="L263" s="18" t="str">
        <f>_xlfn.XLOOKUP(tblMaster[[#This Row],[Customer_ID]],tblCustomers[Customer_ID],tblCustomers[Name],"Not Found",0)</f>
        <v>Yakshit Shah</v>
      </c>
      <c r="M263" s="18" t="str">
        <f>_xlfn.XLOOKUP(tblMaster[[#This Row],[Customer_ID]],tblCustomers[Customer_ID],tblCustomers[Gender],"Not Found",0)</f>
        <v>Female</v>
      </c>
      <c r="N263" s="18" t="str">
        <f>_xlfn.XLOOKUP(tblMaster[[#This Row],[Product_ID]],tblProducts[Product_ID],tblProducts[Product_Name],"Not Found",0)</f>
        <v>Voluptate Pack</v>
      </c>
      <c r="O263" s="18" t="str">
        <f>_xlfn.XLOOKUP(tblMaster[[#This Row],[Product_ID]],tblProducts[Product_ID],tblProducts[Category],"Not Found",0)</f>
        <v>Colors</v>
      </c>
      <c r="P263" s="18" t="str">
        <f>_xlfn.XLOOKUP(tblMaster[[#This Row],[Product_ID]],tblProducts[Product_ID],tblProducts[Occasion],"Not Found",0)</f>
        <v>Valentine's Day</v>
      </c>
      <c r="Q263" s="18">
        <f>_xlfn.XLOOKUP(tblMaster[[#This Row],[Product_ID]],tblProducts[Product_ID],tblProducts[Price (INR)],"Not Found",0)</f>
        <v>903</v>
      </c>
      <c r="R263" s="19">
        <f>tblMaster[[#This Row],[Price]]*tblMaster[[#This Row],[Quantity]]</f>
        <v>2709</v>
      </c>
      <c r="S263" s="19">
        <f>tblMaster[[#This Row],[Price]]*0.7*tblMaster[[#This Row],[Quantity]]</f>
        <v>1896.2999999999997</v>
      </c>
      <c r="T263" s="19">
        <f>tblMaster[[#This Row],[Revenue]]-tblMaster[[#This Row],[Estimated Cost (at 70%) ]]</f>
        <v>812.70000000000027</v>
      </c>
      <c r="U263" s="19">
        <f>tblMaster[[#This Row],[Profit]]/tblMaster[[#This Row],[Revenue]]</f>
        <v>0.3000000000000001</v>
      </c>
      <c r="V263" s="19">
        <f>tblMaster[[#This Row],[Delivery_Date]]-tblMaster[[#This Row],[Order_Date]]</f>
        <v>4</v>
      </c>
      <c r="W263" s="19" t="str">
        <f>TEXT(tblMaster[[#This Row],[Order_Date]],"mmmm")</f>
        <v>February</v>
      </c>
      <c r="X263" s="19">
        <f>MONTH(tblMaster[[#This Row],[Order_Date]])</f>
        <v>2</v>
      </c>
      <c r="Y263" s="19" t="str">
        <f>"Q"&amp;ROUNDUP(tblMaster[[#This Row],[Month Number]]/3,0)</f>
        <v>Q1</v>
      </c>
      <c r="Z263" s="19">
        <f>YEAR(tblMaster[[#This Row],[Order_Date]])</f>
        <v>2023</v>
      </c>
      <c r="AA263" s="19" t="str">
        <f>TEXT(DAY(tblMaster[[#This Row],[Order_Date]]),"dddd")</f>
        <v>Saturday</v>
      </c>
      <c r="AB263" s="19" t="str">
        <f>IF(tblMaster[[#This Row],[Revenue]]&gt;=5000,"High",IF(tblMaster[[#This Row],[Revenue]]&lt;2000,"Low","Medium"))</f>
        <v>Medium</v>
      </c>
    </row>
    <row r="264" spans="1:28" x14ac:dyDescent="0.25">
      <c r="A264" s="7">
        <v>263</v>
      </c>
      <c r="B264" s="7" t="s">
        <v>313</v>
      </c>
      <c r="C264" s="4">
        <v>57</v>
      </c>
      <c r="D264" s="4">
        <v>4</v>
      </c>
      <c r="E264" s="8">
        <v>44997</v>
      </c>
      <c r="F264" s="9">
        <v>0.3994212962962963</v>
      </c>
      <c r="G264" s="8">
        <v>44998</v>
      </c>
      <c r="H264" s="9">
        <v>0.64028935185185187</v>
      </c>
      <c r="I264" s="7" t="s">
        <v>271</v>
      </c>
      <c r="J264" s="7" t="s">
        <v>36</v>
      </c>
      <c r="K264" s="18" t="str">
        <f>_xlfn.XLOOKUP(tblMaster[[#This Row],[Customer_ID]],tblCustomers[Customer_ID],tblCustomers[City],"Not Found",0)</f>
        <v>Ratlam</v>
      </c>
      <c r="L264" s="18" t="str">
        <f>_xlfn.XLOOKUP(tblMaster[[#This Row],[Customer_ID]],tblCustomers[Customer_ID],tblCustomers[Name],"Not Found",0)</f>
        <v>Kaira Ramachandran</v>
      </c>
      <c r="M264" s="18" t="str">
        <f>_xlfn.XLOOKUP(tblMaster[[#This Row],[Customer_ID]],tblCustomers[Customer_ID],tblCustomers[Gender],"Not Found",0)</f>
        <v>Male</v>
      </c>
      <c r="N264" s="18" t="str">
        <f>_xlfn.XLOOKUP(tblMaster[[#This Row],[Product_ID]],tblProducts[Product_ID],tblProducts[Product_Name],"Not Found",0)</f>
        <v>Voluptatem Box</v>
      </c>
      <c r="O264" s="18" t="str">
        <f>_xlfn.XLOOKUP(tblMaster[[#This Row],[Product_ID]],tblProducts[Product_ID],tblProducts[Category],"Not Found",0)</f>
        <v>Colors</v>
      </c>
      <c r="P264" s="18" t="str">
        <f>_xlfn.XLOOKUP(tblMaster[[#This Row],[Product_ID]],tblProducts[Product_ID],tblProducts[Occasion],"Not Found",0)</f>
        <v>Birthday</v>
      </c>
      <c r="Q264" s="18">
        <f>_xlfn.XLOOKUP(tblMaster[[#This Row],[Product_ID]],tblProducts[Product_ID],tblProducts[Price (INR)],"Not Found",0)</f>
        <v>1582</v>
      </c>
      <c r="R264" s="19">
        <f>tblMaster[[#This Row],[Price]]*tblMaster[[#This Row],[Quantity]]</f>
        <v>6328</v>
      </c>
      <c r="S264" s="19">
        <f>tblMaster[[#This Row],[Price]]*0.7*tblMaster[[#This Row],[Quantity]]</f>
        <v>4429.5999999999995</v>
      </c>
      <c r="T264" s="19">
        <f>tblMaster[[#This Row],[Revenue]]-tblMaster[[#This Row],[Estimated Cost (at 70%) ]]</f>
        <v>1898.4000000000005</v>
      </c>
      <c r="U264" s="19">
        <f>tblMaster[[#This Row],[Profit]]/tblMaster[[#This Row],[Revenue]]</f>
        <v>0.3000000000000001</v>
      </c>
      <c r="V264" s="19">
        <f>tblMaster[[#This Row],[Delivery_Date]]-tblMaster[[#This Row],[Order_Date]]</f>
        <v>1</v>
      </c>
      <c r="W264" s="19" t="str">
        <f>TEXT(tblMaster[[#This Row],[Order_Date]],"mmmm")</f>
        <v>March</v>
      </c>
      <c r="X264" s="19">
        <f>MONTH(tblMaster[[#This Row],[Order_Date]])</f>
        <v>3</v>
      </c>
      <c r="Y264" s="19" t="str">
        <f>"Q"&amp;ROUNDUP(tblMaster[[#This Row],[Month Number]]/3,0)</f>
        <v>Q1</v>
      </c>
      <c r="Z264" s="19">
        <f>YEAR(tblMaster[[#This Row],[Order_Date]])</f>
        <v>2023</v>
      </c>
      <c r="AA264" s="19" t="str">
        <f>TEXT(DAY(tblMaster[[#This Row],[Order_Date]]),"dddd")</f>
        <v>Thursday</v>
      </c>
      <c r="AB264" s="19" t="str">
        <f>IF(tblMaster[[#This Row],[Revenue]]&gt;=5000,"High",IF(tblMaster[[#This Row],[Revenue]]&lt;2000,"Low","Medium"))</f>
        <v>High</v>
      </c>
    </row>
    <row r="265" spans="1:28" x14ac:dyDescent="0.25">
      <c r="A265" s="10">
        <v>264</v>
      </c>
      <c r="B265" s="10" t="s">
        <v>287</v>
      </c>
      <c r="C265" s="5">
        <v>52</v>
      </c>
      <c r="D265" s="5">
        <v>3</v>
      </c>
      <c r="E265" s="11">
        <v>44966</v>
      </c>
      <c r="F265" s="12">
        <v>0.2328587962962963</v>
      </c>
      <c r="G265" s="11">
        <v>44975</v>
      </c>
      <c r="H265" s="12">
        <v>0.65539351851851857</v>
      </c>
      <c r="I265" s="10" t="s">
        <v>225</v>
      </c>
      <c r="J265" s="10" t="s">
        <v>12</v>
      </c>
      <c r="K265" s="18" t="str">
        <f>_xlfn.XLOOKUP(tblMaster[[#This Row],[Customer_ID]],tblCustomers[Customer_ID],tblCustomers[City],"Not Found",0)</f>
        <v>Kanpur</v>
      </c>
      <c r="L265" s="18" t="str">
        <f>_xlfn.XLOOKUP(tblMaster[[#This Row],[Customer_ID]],tblCustomers[Customer_ID],tblCustomers[Name],"Not Found",0)</f>
        <v>Darshit Dave</v>
      </c>
      <c r="M265" s="18" t="str">
        <f>_xlfn.XLOOKUP(tblMaster[[#This Row],[Customer_ID]],tblCustomers[Customer_ID],tblCustomers[Gender],"Not Found",0)</f>
        <v>Male</v>
      </c>
      <c r="N265" s="18" t="str">
        <f>_xlfn.XLOOKUP(tblMaster[[#This Row],[Product_ID]],tblProducts[Product_ID],tblProducts[Product_Name],"Not Found",0)</f>
        <v>Dolorum Box</v>
      </c>
      <c r="O265" s="18" t="str">
        <f>_xlfn.XLOOKUP(tblMaster[[#This Row],[Product_ID]],tblProducts[Product_ID],tblProducts[Category],"Not Found",0)</f>
        <v>Raksha Bandhan</v>
      </c>
      <c r="P265" s="18" t="str">
        <f>_xlfn.XLOOKUP(tblMaster[[#This Row],[Product_ID]],tblProducts[Product_ID],tblProducts[Occasion],"Not Found",0)</f>
        <v>Valentine's Day</v>
      </c>
      <c r="Q265" s="18">
        <f>_xlfn.XLOOKUP(tblMaster[[#This Row],[Product_ID]],tblProducts[Product_ID],tblProducts[Price (INR)],"Not Found",0)</f>
        <v>236</v>
      </c>
      <c r="R265" s="19">
        <f>tblMaster[[#This Row],[Price]]*tblMaster[[#This Row],[Quantity]]</f>
        <v>708</v>
      </c>
      <c r="S265" s="19">
        <f>tblMaster[[#This Row],[Price]]*0.7*tblMaster[[#This Row],[Quantity]]</f>
        <v>495.59999999999997</v>
      </c>
      <c r="T265" s="19">
        <f>tblMaster[[#This Row],[Revenue]]-tblMaster[[#This Row],[Estimated Cost (at 70%) ]]</f>
        <v>212.40000000000003</v>
      </c>
      <c r="U265" s="19">
        <f>tblMaster[[#This Row],[Profit]]/tblMaster[[#This Row],[Revenue]]</f>
        <v>0.30000000000000004</v>
      </c>
      <c r="V265" s="19">
        <f>tblMaster[[#This Row],[Delivery_Date]]-tblMaster[[#This Row],[Order_Date]]</f>
        <v>9</v>
      </c>
      <c r="W265" s="19" t="str">
        <f>TEXT(tblMaster[[#This Row],[Order_Date]],"mmmm")</f>
        <v>February</v>
      </c>
      <c r="X265" s="19">
        <f>MONTH(tblMaster[[#This Row],[Order_Date]])</f>
        <v>2</v>
      </c>
      <c r="Y265" s="19" t="str">
        <f>"Q"&amp;ROUNDUP(tblMaster[[#This Row],[Month Number]]/3,0)</f>
        <v>Q1</v>
      </c>
      <c r="Z265" s="19">
        <f>YEAR(tblMaster[[#This Row],[Order_Date]])</f>
        <v>2023</v>
      </c>
      <c r="AA265" s="19" t="str">
        <f>TEXT(DAY(tblMaster[[#This Row],[Order_Date]]),"dddd")</f>
        <v>Monday</v>
      </c>
      <c r="AB265" s="19" t="str">
        <f>IF(tblMaster[[#This Row],[Revenue]]&gt;=5000,"High",IF(tblMaster[[#This Row],[Revenue]]&lt;2000,"Low","Medium"))</f>
        <v>Low</v>
      </c>
    </row>
    <row r="266" spans="1:28" x14ac:dyDescent="0.25">
      <c r="A266" s="7">
        <v>265</v>
      </c>
      <c r="B266" s="7" t="s">
        <v>299</v>
      </c>
      <c r="C266" s="4">
        <v>58</v>
      </c>
      <c r="D266" s="4">
        <v>1</v>
      </c>
      <c r="E266" s="8">
        <v>44967</v>
      </c>
      <c r="F266" s="9">
        <v>0.88701388888888888</v>
      </c>
      <c r="G266" s="8">
        <v>44975</v>
      </c>
      <c r="H266" s="9">
        <v>0.26982638888888888</v>
      </c>
      <c r="I266" s="7" t="s">
        <v>438</v>
      </c>
      <c r="J266" s="7" t="s">
        <v>12</v>
      </c>
      <c r="K266" s="18" t="str">
        <f>_xlfn.XLOOKUP(tblMaster[[#This Row],[Customer_ID]],tblCustomers[Customer_ID],tblCustomers[City],"Not Found",0)</f>
        <v>Satara</v>
      </c>
      <c r="L266" s="18" t="str">
        <f>_xlfn.XLOOKUP(tblMaster[[#This Row],[Customer_ID]],tblCustomers[Customer_ID],tblCustomers[Name],"Not Found",0)</f>
        <v>Riya Wagle</v>
      </c>
      <c r="M266" s="18" t="str">
        <f>_xlfn.XLOOKUP(tblMaster[[#This Row],[Customer_ID]],tblCustomers[Customer_ID],tblCustomers[Gender],"Not Found",0)</f>
        <v>Male</v>
      </c>
      <c r="N266" s="18" t="str">
        <f>_xlfn.XLOOKUP(tblMaster[[#This Row],[Product_ID]],tblProducts[Product_ID],tblProducts[Product_Name],"Not Found",0)</f>
        <v>Sed Pack</v>
      </c>
      <c r="O266" s="18" t="str">
        <f>_xlfn.XLOOKUP(tblMaster[[#This Row],[Product_ID]],tblProducts[Product_ID],tblProducts[Category],"Not Found",0)</f>
        <v>Cake</v>
      </c>
      <c r="P266" s="18" t="str">
        <f>_xlfn.XLOOKUP(tblMaster[[#This Row],[Product_ID]],tblProducts[Product_ID],tblProducts[Occasion],"Not Found",0)</f>
        <v>Valentine's Day</v>
      </c>
      <c r="Q266" s="18">
        <f>_xlfn.XLOOKUP(tblMaster[[#This Row],[Product_ID]],tblProducts[Product_ID],tblProducts[Price (INR)],"Not Found",0)</f>
        <v>1492</v>
      </c>
      <c r="R266" s="19">
        <f>tblMaster[[#This Row],[Price]]*tblMaster[[#This Row],[Quantity]]</f>
        <v>1492</v>
      </c>
      <c r="S266" s="19">
        <f>tblMaster[[#This Row],[Price]]*0.7*tblMaster[[#This Row],[Quantity]]</f>
        <v>1044.3999999999999</v>
      </c>
      <c r="T266" s="19">
        <f>tblMaster[[#This Row],[Revenue]]-tblMaster[[#This Row],[Estimated Cost (at 70%) ]]</f>
        <v>447.60000000000014</v>
      </c>
      <c r="U266" s="19">
        <f>tblMaster[[#This Row],[Profit]]/tblMaster[[#This Row],[Revenue]]</f>
        <v>0.3000000000000001</v>
      </c>
      <c r="V266" s="19">
        <f>tblMaster[[#This Row],[Delivery_Date]]-tblMaster[[#This Row],[Order_Date]]</f>
        <v>8</v>
      </c>
      <c r="W266" s="19" t="str">
        <f>TEXT(tblMaster[[#This Row],[Order_Date]],"mmmm")</f>
        <v>February</v>
      </c>
      <c r="X266" s="19">
        <f>MONTH(tblMaster[[#This Row],[Order_Date]])</f>
        <v>2</v>
      </c>
      <c r="Y266" s="19" t="str">
        <f>"Q"&amp;ROUNDUP(tblMaster[[#This Row],[Month Number]]/3,0)</f>
        <v>Q1</v>
      </c>
      <c r="Z266" s="19">
        <f>YEAR(tblMaster[[#This Row],[Order_Date]])</f>
        <v>2023</v>
      </c>
      <c r="AA266" s="19" t="str">
        <f>TEXT(DAY(tblMaster[[#This Row],[Order_Date]]),"dddd")</f>
        <v>Tuesday</v>
      </c>
      <c r="AB266" s="19" t="str">
        <f>IF(tblMaster[[#This Row],[Revenue]]&gt;=5000,"High",IF(tblMaster[[#This Row],[Revenue]]&lt;2000,"Low","Medium"))</f>
        <v>Low</v>
      </c>
    </row>
    <row r="267" spans="1:28" x14ac:dyDescent="0.25">
      <c r="A267" s="10">
        <v>266</v>
      </c>
      <c r="B267" s="10" t="s">
        <v>293</v>
      </c>
      <c r="C267" s="5">
        <v>36</v>
      </c>
      <c r="D267" s="5">
        <v>1</v>
      </c>
      <c r="E267" s="11">
        <v>45058</v>
      </c>
      <c r="F267" s="12">
        <v>0.57425925925925925</v>
      </c>
      <c r="G267" s="11">
        <v>45059</v>
      </c>
      <c r="H267" s="12">
        <v>0.80565972222222226</v>
      </c>
      <c r="I267" s="10" t="s">
        <v>446</v>
      </c>
      <c r="J267" s="10" t="s">
        <v>36</v>
      </c>
      <c r="K267" s="18" t="str">
        <f>_xlfn.XLOOKUP(tblMaster[[#This Row],[Customer_ID]],tblCustomers[Customer_ID],tblCustomers[City],"Not Found",0)</f>
        <v>Aizawl</v>
      </c>
      <c r="L267" s="18" t="str">
        <f>_xlfn.XLOOKUP(tblMaster[[#This Row],[Customer_ID]],tblCustomers[Customer_ID],tblCustomers[Name],"Not Found",0)</f>
        <v>Yakshit Shah</v>
      </c>
      <c r="M267" s="18" t="str">
        <f>_xlfn.XLOOKUP(tblMaster[[#This Row],[Customer_ID]],tblCustomers[Customer_ID],tblCustomers[Gender],"Not Found",0)</f>
        <v>Female</v>
      </c>
      <c r="N267" s="18" t="str">
        <f>_xlfn.XLOOKUP(tblMaster[[#This Row],[Product_ID]],tblProducts[Product_ID],tblProducts[Product_Name],"Not Found",0)</f>
        <v>Cum Gift</v>
      </c>
      <c r="O267" s="18" t="str">
        <f>_xlfn.XLOOKUP(tblMaster[[#This Row],[Product_ID]],tblProducts[Product_ID],tblProducts[Category],"Not Found",0)</f>
        <v>Plants</v>
      </c>
      <c r="P267" s="18" t="str">
        <f>_xlfn.XLOOKUP(tblMaster[[#This Row],[Product_ID]],tblProducts[Product_ID],tblProducts[Occasion],"Not Found",0)</f>
        <v>Birthday</v>
      </c>
      <c r="Q267" s="18">
        <f>_xlfn.XLOOKUP(tblMaster[[#This Row],[Product_ID]],tblProducts[Product_ID],tblProducts[Price (INR)],"Not Found",0)</f>
        <v>203</v>
      </c>
      <c r="R267" s="19">
        <f>tblMaster[[#This Row],[Price]]*tblMaster[[#This Row],[Quantity]]</f>
        <v>203</v>
      </c>
      <c r="S267" s="19">
        <f>tblMaster[[#This Row],[Price]]*0.7*tblMaster[[#This Row],[Quantity]]</f>
        <v>142.1</v>
      </c>
      <c r="T267" s="19">
        <f>tblMaster[[#This Row],[Revenue]]-tblMaster[[#This Row],[Estimated Cost (at 70%) ]]</f>
        <v>60.900000000000006</v>
      </c>
      <c r="U267" s="19">
        <f>tblMaster[[#This Row],[Profit]]/tblMaster[[#This Row],[Revenue]]</f>
        <v>0.30000000000000004</v>
      </c>
      <c r="V267" s="19">
        <f>tblMaster[[#This Row],[Delivery_Date]]-tblMaster[[#This Row],[Order_Date]]</f>
        <v>1</v>
      </c>
      <c r="W267" s="19" t="str">
        <f>TEXT(tblMaster[[#This Row],[Order_Date]],"mmmm")</f>
        <v>May</v>
      </c>
      <c r="X267" s="19">
        <f>MONTH(tblMaster[[#This Row],[Order_Date]])</f>
        <v>5</v>
      </c>
      <c r="Y267" s="19" t="str">
        <f>"Q"&amp;ROUNDUP(tblMaster[[#This Row],[Month Number]]/3,0)</f>
        <v>Q2</v>
      </c>
      <c r="Z267" s="19">
        <f>YEAR(tblMaster[[#This Row],[Order_Date]])</f>
        <v>2023</v>
      </c>
      <c r="AA267" s="19" t="str">
        <f>TEXT(DAY(tblMaster[[#This Row],[Order_Date]]),"dddd")</f>
        <v>Thursday</v>
      </c>
      <c r="AB267" s="19" t="str">
        <f>IF(tblMaster[[#This Row],[Revenue]]&gt;=5000,"High",IF(tblMaster[[#This Row],[Revenue]]&lt;2000,"Low","Medium"))</f>
        <v>Low</v>
      </c>
    </row>
    <row r="268" spans="1:28" x14ac:dyDescent="0.25">
      <c r="A268" s="7">
        <v>267</v>
      </c>
      <c r="B268" s="7" t="s">
        <v>224</v>
      </c>
      <c r="C268" s="4">
        <v>35</v>
      </c>
      <c r="D268" s="4">
        <v>3</v>
      </c>
      <c r="E268" s="8">
        <v>44989</v>
      </c>
      <c r="F268" s="9">
        <v>0.56871527777777775</v>
      </c>
      <c r="G268" s="8">
        <v>44997</v>
      </c>
      <c r="H268" s="9">
        <v>0.16111111111111112</v>
      </c>
      <c r="I268" s="7" t="s">
        <v>447</v>
      </c>
      <c r="J268" s="7" t="s">
        <v>25</v>
      </c>
      <c r="K268" s="18" t="str">
        <f>_xlfn.XLOOKUP(tblMaster[[#This Row],[Customer_ID]],tblCustomers[Customer_ID],tblCustomers[City],"Not Found",0)</f>
        <v>Imphal</v>
      </c>
      <c r="L268" s="18" t="str">
        <f>_xlfn.XLOOKUP(tblMaster[[#This Row],[Customer_ID]],tblCustomers[Customer_ID],tblCustomers[Name],"Not Found",0)</f>
        <v>Umang Luthra</v>
      </c>
      <c r="M268" s="18" t="str">
        <f>_xlfn.XLOOKUP(tblMaster[[#This Row],[Customer_ID]],tblCustomers[Customer_ID],tblCustomers[Gender],"Not Found",0)</f>
        <v>Male</v>
      </c>
      <c r="N268" s="18" t="str">
        <f>_xlfn.XLOOKUP(tblMaster[[#This Row],[Product_ID]],tblProducts[Product_ID],tblProducts[Product_Name],"Not Found",0)</f>
        <v>Nam Gift</v>
      </c>
      <c r="O268" s="18" t="str">
        <f>_xlfn.XLOOKUP(tblMaster[[#This Row],[Product_ID]],tblProducts[Product_ID],tblProducts[Category],"Not Found",0)</f>
        <v>Colors</v>
      </c>
      <c r="P268" s="18" t="str">
        <f>_xlfn.XLOOKUP(tblMaster[[#This Row],[Product_ID]],tblProducts[Product_ID],tblProducts[Occasion],"Not Found",0)</f>
        <v>Holi</v>
      </c>
      <c r="Q268" s="18">
        <f>_xlfn.XLOOKUP(tblMaster[[#This Row],[Product_ID]],tblProducts[Product_ID],tblProducts[Price (INR)],"Not Found",0)</f>
        <v>1865</v>
      </c>
      <c r="R268" s="19">
        <f>tblMaster[[#This Row],[Price]]*tblMaster[[#This Row],[Quantity]]</f>
        <v>5595</v>
      </c>
      <c r="S268" s="19">
        <f>tblMaster[[#This Row],[Price]]*0.7*tblMaster[[#This Row],[Quantity]]</f>
        <v>3916.5</v>
      </c>
      <c r="T268" s="19">
        <f>tblMaster[[#This Row],[Revenue]]-tblMaster[[#This Row],[Estimated Cost (at 70%) ]]</f>
        <v>1678.5</v>
      </c>
      <c r="U268" s="19">
        <f>tblMaster[[#This Row],[Profit]]/tblMaster[[#This Row],[Revenue]]</f>
        <v>0.3</v>
      </c>
      <c r="V268" s="19">
        <f>tblMaster[[#This Row],[Delivery_Date]]-tblMaster[[#This Row],[Order_Date]]</f>
        <v>8</v>
      </c>
      <c r="W268" s="19" t="str">
        <f>TEXT(tblMaster[[#This Row],[Order_Date]],"mmmm")</f>
        <v>March</v>
      </c>
      <c r="X268" s="19">
        <f>MONTH(tblMaster[[#This Row],[Order_Date]])</f>
        <v>3</v>
      </c>
      <c r="Y268" s="19" t="str">
        <f>"Q"&amp;ROUNDUP(tblMaster[[#This Row],[Month Number]]/3,0)</f>
        <v>Q1</v>
      </c>
      <c r="Z268" s="19">
        <f>YEAR(tblMaster[[#This Row],[Order_Date]])</f>
        <v>2023</v>
      </c>
      <c r="AA268" s="19" t="str">
        <f>TEXT(DAY(tblMaster[[#This Row],[Order_Date]]),"dddd")</f>
        <v>Wednesday</v>
      </c>
      <c r="AB268" s="19" t="str">
        <f>IF(tblMaster[[#This Row],[Revenue]]&gt;=5000,"High",IF(tblMaster[[#This Row],[Revenue]]&lt;2000,"Low","Medium"))</f>
        <v>High</v>
      </c>
    </row>
    <row r="269" spans="1:28" x14ac:dyDescent="0.25">
      <c r="A269" s="10">
        <v>268</v>
      </c>
      <c r="B269" s="10" t="s">
        <v>291</v>
      </c>
      <c r="C269" s="5">
        <v>38</v>
      </c>
      <c r="D269" s="5">
        <v>1</v>
      </c>
      <c r="E269" s="11">
        <v>45152</v>
      </c>
      <c r="F269" s="12">
        <v>0.32359953703703703</v>
      </c>
      <c r="G269" s="11">
        <v>45161</v>
      </c>
      <c r="H269" s="12">
        <v>0.70381944444444444</v>
      </c>
      <c r="I269" s="10" t="s">
        <v>228</v>
      </c>
      <c r="J269" s="10" t="s">
        <v>36</v>
      </c>
      <c r="K269" s="18" t="str">
        <f>_xlfn.XLOOKUP(tblMaster[[#This Row],[Customer_ID]],tblCustomers[Customer_ID],tblCustomers[City],"Not Found",0)</f>
        <v>Bharatpur</v>
      </c>
      <c r="L269" s="18" t="str">
        <f>_xlfn.XLOOKUP(tblMaster[[#This Row],[Customer_ID]],tblCustomers[Customer_ID],tblCustomers[Name],"Not Found",0)</f>
        <v>Kismat Kapadia</v>
      </c>
      <c r="M269" s="18" t="str">
        <f>_xlfn.XLOOKUP(tblMaster[[#This Row],[Customer_ID]],tblCustomers[Customer_ID],tblCustomers[Gender],"Not Found",0)</f>
        <v>Female</v>
      </c>
      <c r="N269" s="18" t="str">
        <f>_xlfn.XLOOKUP(tblMaster[[#This Row],[Product_ID]],tblProducts[Product_ID],tblProducts[Product_Name],"Not Found",0)</f>
        <v>Mollitia Set</v>
      </c>
      <c r="O269" s="18" t="str">
        <f>_xlfn.XLOOKUP(tblMaster[[#This Row],[Product_ID]],tblProducts[Product_ID],tblProducts[Category],"Not Found",0)</f>
        <v>Cake</v>
      </c>
      <c r="P269" s="18" t="str">
        <f>_xlfn.XLOOKUP(tblMaster[[#This Row],[Product_ID]],tblProducts[Product_ID],tblProducts[Occasion],"Not Found",0)</f>
        <v>Birthday</v>
      </c>
      <c r="Q269" s="18">
        <f>_xlfn.XLOOKUP(tblMaster[[#This Row],[Product_ID]],tblProducts[Product_ID],tblProducts[Price (INR)],"Not Found",0)</f>
        <v>562</v>
      </c>
      <c r="R269" s="19">
        <f>tblMaster[[#This Row],[Price]]*tblMaster[[#This Row],[Quantity]]</f>
        <v>562</v>
      </c>
      <c r="S269" s="19">
        <f>tblMaster[[#This Row],[Price]]*0.7*tblMaster[[#This Row],[Quantity]]</f>
        <v>393.4</v>
      </c>
      <c r="T269" s="19">
        <f>tblMaster[[#This Row],[Revenue]]-tblMaster[[#This Row],[Estimated Cost (at 70%) ]]</f>
        <v>168.60000000000002</v>
      </c>
      <c r="U269" s="19">
        <f>tblMaster[[#This Row],[Profit]]/tblMaster[[#This Row],[Revenue]]</f>
        <v>0.30000000000000004</v>
      </c>
      <c r="V269" s="19">
        <f>tblMaster[[#This Row],[Delivery_Date]]-tblMaster[[#This Row],[Order_Date]]</f>
        <v>9</v>
      </c>
      <c r="W269" s="19" t="str">
        <f>TEXT(tblMaster[[#This Row],[Order_Date]],"mmmm")</f>
        <v>August</v>
      </c>
      <c r="X269" s="19">
        <f>MONTH(tblMaster[[#This Row],[Order_Date]])</f>
        <v>8</v>
      </c>
      <c r="Y269" s="19" t="str">
        <f>"Q"&amp;ROUNDUP(tblMaster[[#This Row],[Month Number]]/3,0)</f>
        <v>Q3</v>
      </c>
      <c r="Z269" s="19">
        <f>YEAR(tblMaster[[#This Row],[Order_Date]])</f>
        <v>2023</v>
      </c>
      <c r="AA269" s="19" t="str">
        <f>TEXT(DAY(tblMaster[[#This Row],[Order_Date]]),"dddd")</f>
        <v>Saturday</v>
      </c>
      <c r="AB269" s="19" t="str">
        <f>IF(tblMaster[[#This Row],[Revenue]]&gt;=5000,"High",IF(tblMaster[[#This Row],[Revenue]]&lt;2000,"Low","Medium"))</f>
        <v>Low</v>
      </c>
    </row>
    <row r="270" spans="1:28" x14ac:dyDescent="0.25">
      <c r="A270" s="7">
        <v>269</v>
      </c>
      <c r="B270" s="7" t="s">
        <v>188</v>
      </c>
      <c r="C270" s="4">
        <v>36</v>
      </c>
      <c r="D270" s="4">
        <v>1</v>
      </c>
      <c r="E270" s="8">
        <v>45224</v>
      </c>
      <c r="F270" s="9">
        <v>5.0138888888888886E-2</v>
      </c>
      <c r="G270" s="8">
        <v>45225</v>
      </c>
      <c r="H270" s="9">
        <v>0.74876157407407407</v>
      </c>
      <c r="I270" s="7" t="s">
        <v>448</v>
      </c>
      <c r="J270" s="7" t="s">
        <v>36</v>
      </c>
      <c r="K270" s="18" t="str">
        <f>_xlfn.XLOOKUP(tblMaster[[#This Row],[Customer_ID]],tblCustomers[Customer_ID],tblCustomers[City],"Not Found",0)</f>
        <v>Kavali</v>
      </c>
      <c r="L270" s="18" t="str">
        <f>_xlfn.XLOOKUP(tblMaster[[#This Row],[Customer_ID]],tblCustomers[Customer_ID],tblCustomers[Name],"Not Found",0)</f>
        <v>Jhanvi Chowdhury</v>
      </c>
      <c r="M270" s="18" t="str">
        <f>_xlfn.XLOOKUP(tblMaster[[#This Row],[Customer_ID]],tblCustomers[Customer_ID],tblCustomers[Gender],"Not Found",0)</f>
        <v>Female</v>
      </c>
      <c r="N270" s="18" t="str">
        <f>_xlfn.XLOOKUP(tblMaster[[#This Row],[Product_ID]],tblProducts[Product_ID],tblProducts[Product_Name],"Not Found",0)</f>
        <v>Cum Gift</v>
      </c>
      <c r="O270" s="18" t="str">
        <f>_xlfn.XLOOKUP(tblMaster[[#This Row],[Product_ID]],tblProducts[Product_ID],tblProducts[Category],"Not Found",0)</f>
        <v>Plants</v>
      </c>
      <c r="P270" s="18" t="str">
        <f>_xlfn.XLOOKUP(tblMaster[[#This Row],[Product_ID]],tblProducts[Product_ID],tblProducts[Occasion],"Not Found",0)</f>
        <v>Birthday</v>
      </c>
      <c r="Q270" s="18">
        <f>_xlfn.XLOOKUP(tblMaster[[#This Row],[Product_ID]],tblProducts[Product_ID],tblProducts[Price (INR)],"Not Found",0)</f>
        <v>203</v>
      </c>
      <c r="R270" s="19">
        <f>tblMaster[[#This Row],[Price]]*tblMaster[[#This Row],[Quantity]]</f>
        <v>203</v>
      </c>
      <c r="S270" s="19">
        <f>tblMaster[[#This Row],[Price]]*0.7*tblMaster[[#This Row],[Quantity]]</f>
        <v>142.1</v>
      </c>
      <c r="T270" s="19">
        <f>tblMaster[[#This Row],[Revenue]]-tblMaster[[#This Row],[Estimated Cost (at 70%) ]]</f>
        <v>60.900000000000006</v>
      </c>
      <c r="U270" s="19">
        <f>tblMaster[[#This Row],[Profit]]/tblMaster[[#This Row],[Revenue]]</f>
        <v>0.30000000000000004</v>
      </c>
      <c r="V270" s="19">
        <f>tblMaster[[#This Row],[Delivery_Date]]-tblMaster[[#This Row],[Order_Date]]</f>
        <v>1</v>
      </c>
      <c r="W270" s="19" t="str">
        <f>TEXT(tblMaster[[#This Row],[Order_Date]],"mmmm")</f>
        <v>October</v>
      </c>
      <c r="X270" s="19">
        <f>MONTH(tblMaster[[#This Row],[Order_Date]])</f>
        <v>10</v>
      </c>
      <c r="Y270" s="19" t="str">
        <f>"Q"&amp;ROUNDUP(tblMaster[[#This Row],[Month Number]]/3,0)</f>
        <v>Q4</v>
      </c>
      <c r="Z270" s="19">
        <f>YEAR(tblMaster[[#This Row],[Order_Date]])</f>
        <v>2023</v>
      </c>
      <c r="AA270" s="19" t="str">
        <f>TEXT(DAY(tblMaster[[#This Row],[Order_Date]]),"dddd")</f>
        <v>Wednesday</v>
      </c>
      <c r="AB270" s="19" t="str">
        <f>IF(tblMaster[[#This Row],[Revenue]]&gt;=5000,"High",IF(tblMaster[[#This Row],[Revenue]]&lt;2000,"Low","Medium"))</f>
        <v>Low</v>
      </c>
    </row>
    <row r="271" spans="1:28" x14ac:dyDescent="0.25">
      <c r="A271" s="10">
        <v>270</v>
      </c>
      <c r="B271" s="10" t="s">
        <v>364</v>
      </c>
      <c r="C271" s="5">
        <v>21</v>
      </c>
      <c r="D271" s="5">
        <v>5</v>
      </c>
      <c r="E271" s="11">
        <v>45160</v>
      </c>
      <c r="F271" s="12">
        <v>0.84825231481481478</v>
      </c>
      <c r="G271" s="11">
        <v>45170</v>
      </c>
      <c r="H271" s="12">
        <v>0.66943287037037036</v>
      </c>
      <c r="I271" s="10" t="s">
        <v>298</v>
      </c>
      <c r="J271" s="10" t="s">
        <v>33</v>
      </c>
      <c r="K271" s="18" t="str">
        <f>_xlfn.XLOOKUP(tblMaster[[#This Row],[Customer_ID]],tblCustomers[Customer_ID],tblCustomers[City],"Not Found",0)</f>
        <v>Tiruchirappalli</v>
      </c>
      <c r="L271" s="18" t="str">
        <f>_xlfn.XLOOKUP(tblMaster[[#This Row],[Customer_ID]],tblCustomers[Customer_ID],tblCustomers[Name],"Not Found",0)</f>
        <v>Anahita Shankar</v>
      </c>
      <c r="M271" s="18" t="str">
        <f>_xlfn.XLOOKUP(tblMaster[[#This Row],[Customer_ID]],tblCustomers[Customer_ID],tblCustomers[Gender],"Not Found",0)</f>
        <v>Male</v>
      </c>
      <c r="N271" s="18" t="str">
        <f>_xlfn.XLOOKUP(tblMaster[[#This Row],[Product_ID]],tblProducts[Product_ID],tblProducts[Product_Name],"Not Found",0)</f>
        <v>Quia Gift</v>
      </c>
      <c r="O271" s="18" t="str">
        <f>_xlfn.XLOOKUP(tblMaster[[#This Row],[Product_ID]],tblProducts[Product_ID],tblProducts[Category],"Not Found",0)</f>
        <v>Colors</v>
      </c>
      <c r="P271" s="18" t="str">
        <f>_xlfn.XLOOKUP(tblMaster[[#This Row],[Product_ID]],tblProducts[Product_ID],tblProducts[Occasion],"Not Found",0)</f>
        <v>Raksha Bandhan</v>
      </c>
      <c r="Q271" s="18">
        <f>_xlfn.XLOOKUP(tblMaster[[#This Row],[Product_ID]],tblProducts[Product_ID],tblProducts[Price (INR)],"Not Found",0)</f>
        <v>1561</v>
      </c>
      <c r="R271" s="19">
        <f>tblMaster[[#This Row],[Price]]*tblMaster[[#This Row],[Quantity]]</f>
        <v>7805</v>
      </c>
      <c r="S271" s="19">
        <f>tblMaster[[#This Row],[Price]]*0.7*tblMaster[[#This Row],[Quantity]]</f>
        <v>5463.4999999999991</v>
      </c>
      <c r="T271" s="19">
        <f>tblMaster[[#This Row],[Revenue]]-tblMaster[[#This Row],[Estimated Cost (at 70%) ]]</f>
        <v>2341.5000000000009</v>
      </c>
      <c r="U271" s="19">
        <f>tblMaster[[#This Row],[Profit]]/tblMaster[[#This Row],[Revenue]]</f>
        <v>0.3000000000000001</v>
      </c>
      <c r="V271" s="19">
        <f>tblMaster[[#This Row],[Delivery_Date]]-tblMaster[[#This Row],[Order_Date]]</f>
        <v>10</v>
      </c>
      <c r="W271" s="19" t="str">
        <f>TEXT(tblMaster[[#This Row],[Order_Date]],"mmmm")</f>
        <v>August</v>
      </c>
      <c r="X271" s="19">
        <f>MONTH(tblMaster[[#This Row],[Order_Date]])</f>
        <v>8</v>
      </c>
      <c r="Y271" s="19" t="str">
        <f>"Q"&amp;ROUNDUP(tblMaster[[#This Row],[Month Number]]/3,0)</f>
        <v>Q3</v>
      </c>
      <c r="Z271" s="19">
        <f>YEAR(tblMaster[[#This Row],[Order_Date]])</f>
        <v>2023</v>
      </c>
      <c r="AA271" s="19" t="str">
        <f>TEXT(DAY(tblMaster[[#This Row],[Order_Date]]),"dddd")</f>
        <v>Sunday</v>
      </c>
      <c r="AB271" s="19" t="str">
        <f>IF(tblMaster[[#This Row],[Revenue]]&gt;=5000,"High",IF(tblMaster[[#This Row],[Revenue]]&lt;2000,"Low","Medium"))</f>
        <v>High</v>
      </c>
    </row>
    <row r="272" spans="1:28" x14ac:dyDescent="0.25">
      <c r="A272" s="7">
        <v>271</v>
      </c>
      <c r="B272" s="7" t="s">
        <v>308</v>
      </c>
      <c r="C272" s="4">
        <v>36</v>
      </c>
      <c r="D272" s="4">
        <v>5</v>
      </c>
      <c r="E272" s="8">
        <v>45100</v>
      </c>
      <c r="F272" s="9">
        <v>0.76923611111111112</v>
      </c>
      <c r="G272" s="8">
        <v>45107</v>
      </c>
      <c r="H272" s="9">
        <v>0.76394675925925926</v>
      </c>
      <c r="I272" s="7" t="s">
        <v>449</v>
      </c>
      <c r="J272" s="7" t="s">
        <v>36</v>
      </c>
      <c r="K272" s="18" t="str">
        <f>_xlfn.XLOOKUP(tblMaster[[#This Row],[Customer_ID]],tblCustomers[Customer_ID],tblCustomers[City],"Not Found",0)</f>
        <v>Kamarhati</v>
      </c>
      <c r="L272" s="18" t="str">
        <f>_xlfn.XLOOKUP(tblMaster[[#This Row],[Customer_ID]],tblCustomers[Customer_ID],tblCustomers[Name],"Not Found",0)</f>
        <v>Kaira Bahl</v>
      </c>
      <c r="M272" s="18" t="str">
        <f>_xlfn.XLOOKUP(tblMaster[[#This Row],[Customer_ID]],tblCustomers[Customer_ID],tblCustomers[Gender],"Not Found",0)</f>
        <v>Male</v>
      </c>
      <c r="N272" s="18" t="str">
        <f>_xlfn.XLOOKUP(tblMaster[[#This Row],[Product_ID]],tblProducts[Product_ID],tblProducts[Product_Name],"Not Found",0)</f>
        <v>Cum Gift</v>
      </c>
      <c r="O272" s="18" t="str">
        <f>_xlfn.XLOOKUP(tblMaster[[#This Row],[Product_ID]],tblProducts[Product_ID],tblProducts[Category],"Not Found",0)</f>
        <v>Plants</v>
      </c>
      <c r="P272" s="18" t="str">
        <f>_xlfn.XLOOKUP(tblMaster[[#This Row],[Product_ID]],tblProducts[Product_ID],tblProducts[Occasion],"Not Found",0)</f>
        <v>Birthday</v>
      </c>
      <c r="Q272" s="18">
        <f>_xlfn.XLOOKUP(tblMaster[[#This Row],[Product_ID]],tblProducts[Product_ID],tblProducts[Price (INR)],"Not Found",0)</f>
        <v>203</v>
      </c>
      <c r="R272" s="19">
        <f>tblMaster[[#This Row],[Price]]*tblMaster[[#This Row],[Quantity]]</f>
        <v>1015</v>
      </c>
      <c r="S272" s="19">
        <f>tblMaster[[#This Row],[Price]]*0.7*tblMaster[[#This Row],[Quantity]]</f>
        <v>710.5</v>
      </c>
      <c r="T272" s="19">
        <f>tblMaster[[#This Row],[Revenue]]-tblMaster[[#This Row],[Estimated Cost (at 70%) ]]</f>
        <v>304.5</v>
      </c>
      <c r="U272" s="19">
        <f>tblMaster[[#This Row],[Profit]]/tblMaster[[#This Row],[Revenue]]</f>
        <v>0.3</v>
      </c>
      <c r="V272" s="19">
        <f>tblMaster[[#This Row],[Delivery_Date]]-tblMaster[[#This Row],[Order_Date]]</f>
        <v>7</v>
      </c>
      <c r="W272" s="19" t="str">
        <f>TEXT(tblMaster[[#This Row],[Order_Date]],"mmmm")</f>
        <v>June</v>
      </c>
      <c r="X272" s="19">
        <f>MONTH(tblMaster[[#This Row],[Order_Date]])</f>
        <v>6</v>
      </c>
      <c r="Y272" s="19" t="str">
        <f>"Q"&amp;ROUNDUP(tblMaster[[#This Row],[Month Number]]/3,0)</f>
        <v>Q2</v>
      </c>
      <c r="Z272" s="19">
        <f>YEAR(tblMaster[[#This Row],[Order_Date]])</f>
        <v>2023</v>
      </c>
      <c r="AA272" s="19" t="str">
        <f>TEXT(DAY(tblMaster[[#This Row],[Order_Date]]),"dddd")</f>
        <v>Monday</v>
      </c>
      <c r="AB272" s="19" t="str">
        <f>IF(tblMaster[[#This Row],[Revenue]]&gt;=5000,"High",IF(tblMaster[[#This Row],[Revenue]]&lt;2000,"Low","Medium"))</f>
        <v>Low</v>
      </c>
    </row>
    <row r="273" spans="1:28" x14ac:dyDescent="0.25">
      <c r="A273" s="10">
        <v>272</v>
      </c>
      <c r="B273" s="10" t="s">
        <v>392</v>
      </c>
      <c r="C273" s="5">
        <v>12</v>
      </c>
      <c r="D273" s="5">
        <v>1</v>
      </c>
      <c r="E273" s="11">
        <v>45024</v>
      </c>
      <c r="F273" s="12">
        <v>0.40283564814814815</v>
      </c>
      <c r="G273" s="11">
        <v>45034</v>
      </c>
      <c r="H273" s="12">
        <v>0.84300925925925929</v>
      </c>
      <c r="I273" s="10" t="s">
        <v>356</v>
      </c>
      <c r="J273" s="10" t="s">
        <v>30</v>
      </c>
      <c r="K273" s="18" t="str">
        <f>_xlfn.XLOOKUP(tblMaster[[#This Row],[Customer_ID]],tblCustomers[Customer_ID],tblCustomers[City],"Not Found",0)</f>
        <v>Tenali</v>
      </c>
      <c r="L273" s="18" t="str">
        <f>_xlfn.XLOOKUP(tblMaster[[#This Row],[Customer_ID]],tblCustomers[Customer_ID],tblCustomers[Name],"Not Found",0)</f>
        <v>Amani Ganesh</v>
      </c>
      <c r="M273" s="18" t="str">
        <f>_xlfn.XLOOKUP(tblMaster[[#This Row],[Customer_ID]],tblCustomers[Customer_ID],tblCustomers[Gender],"Not Found",0)</f>
        <v>Male</v>
      </c>
      <c r="N273" s="18" t="str">
        <f>_xlfn.XLOOKUP(tblMaster[[#This Row],[Product_ID]],tblProducts[Product_ID],tblProducts[Product_Name],"Not Found",0)</f>
        <v>Non Set</v>
      </c>
      <c r="O273" s="18" t="str">
        <f>_xlfn.XLOOKUP(tblMaster[[#This Row],[Product_ID]],tblProducts[Product_ID],tblProducts[Category],"Not Found",0)</f>
        <v>Plants</v>
      </c>
      <c r="P273" s="18" t="str">
        <f>_xlfn.XLOOKUP(tblMaster[[#This Row],[Product_ID]],tblProducts[Product_ID],tblProducts[Occasion],"Not Found",0)</f>
        <v>Anniversary</v>
      </c>
      <c r="Q273" s="18">
        <f>_xlfn.XLOOKUP(tblMaster[[#This Row],[Product_ID]],tblProducts[Product_ID],tblProducts[Price (INR)],"Not Found",0)</f>
        <v>672</v>
      </c>
      <c r="R273" s="19">
        <f>tblMaster[[#This Row],[Price]]*tblMaster[[#This Row],[Quantity]]</f>
        <v>672</v>
      </c>
      <c r="S273" s="19">
        <f>tblMaster[[#This Row],[Price]]*0.7*tblMaster[[#This Row],[Quantity]]</f>
        <v>470.4</v>
      </c>
      <c r="T273" s="19">
        <f>tblMaster[[#This Row],[Revenue]]-tblMaster[[#This Row],[Estimated Cost (at 70%) ]]</f>
        <v>201.60000000000002</v>
      </c>
      <c r="U273" s="19">
        <f>tblMaster[[#This Row],[Profit]]/tblMaster[[#This Row],[Revenue]]</f>
        <v>0.30000000000000004</v>
      </c>
      <c r="V273" s="19">
        <f>tblMaster[[#This Row],[Delivery_Date]]-tblMaster[[#This Row],[Order_Date]]</f>
        <v>10</v>
      </c>
      <c r="W273" s="19" t="str">
        <f>TEXT(tblMaster[[#This Row],[Order_Date]],"mmmm")</f>
        <v>April</v>
      </c>
      <c r="X273" s="19">
        <f>MONTH(tblMaster[[#This Row],[Order_Date]])</f>
        <v>4</v>
      </c>
      <c r="Y273" s="19" t="str">
        <f>"Q"&amp;ROUNDUP(tblMaster[[#This Row],[Month Number]]/3,0)</f>
        <v>Q2</v>
      </c>
      <c r="Z273" s="19">
        <f>YEAR(tblMaster[[#This Row],[Order_Date]])</f>
        <v>2023</v>
      </c>
      <c r="AA273" s="19" t="str">
        <f>TEXT(DAY(tblMaster[[#This Row],[Order_Date]]),"dddd")</f>
        <v>Sunday</v>
      </c>
      <c r="AB273" s="19" t="str">
        <f>IF(tblMaster[[#This Row],[Revenue]]&gt;=5000,"High",IF(tblMaster[[#This Row],[Revenue]]&lt;2000,"Low","Medium"))</f>
        <v>Low</v>
      </c>
    </row>
    <row r="274" spans="1:28" x14ac:dyDescent="0.25">
      <c r="A274" s="7">
        <v>273</v>
      </c>
      <c r="B274" s="7" t="s">
        <v>221</v>
      </c>
      <c r="C274" s="4">
        <v>10</v>
      </c>
      <c r="D274" s="4">
        <v>2</v>
      </c>
      <c r="E274" s="8">
        <v>45252</v>
      </c>
      <c r="F274" s="9">
        <v>0.67540509259259263</v>
      </c>
      <c r="G274" s="8">
        <v>45254</v>
      </c>
      <c r="H274" s="9">
        <v>7.8333333333333338E-2</v>
      </c>
      <c r="I274" s="7" t="s">
        <v>198</v>
      </c>
      <c r="J274" s="7" t="s">
        <v>36</v>
      </c>
      <c r="K274" s="18" t="str">
        <f>_xlfn.XLOOKUP(tblMaster[[#This Row],[Customer_ID]],tblCustomers[Customer_ID],tblCustomers[City],"Not Found",0)</f>
        <v>Jorhat</v>
      </c>
      <c r="L274" s="18" t="str">
        <f>_xlfn.XLOOKUP(tblMaster[[#This Row],[Customer_ID]],tblCustomers[Customer_ID],tblCustomers[Name],"Not Found",0)</f>
        <v>Bhamini Ravi</v>
      </c>
      <c r="M274" s="18" t="str">
        <f>_xlfn.XLOOKUP(tblMaster[[#This Row],[Customer_ID]],tblCustomers[Customer_ID],tblCustomers[Gender],"Not Found",0)</f>
        <v>Male</v>
      </c>
      <c r="N274" s="18" t="str">
        <f>_xlfn.XLOOKUP(tblMaster[[#This Row],[Product_ID]],tblProducts[Product_ID],tblProducts[Product_Name],"Not Found",0)</f>
        <v>Accusantium Gift</v>
      </c>
      <c r="O274" s="18" t="str">
        <f>_xlfn.XLOOKUP(tblMaster[[#This Row],[Product_ID]],tblProducts[Product_ID],tblProducts[Category],"Not Found",0)</f>
        <v>Cake</v>
      </c>
      <c r="P274" s="18" t="str">
        <f>_xlfn.XLOOKUP(tblMaster[[#This Row],[Product_ID]],tblProducts[Product_ID],tblProducts[Occasion],"Not Found",0)</f>
        <v>Birthday</v>
      </c>
      <c r="Q274" s="18">
        <f>_xlfn.XLOOKUP(tblMaster[[#This Row],[Product_ID]],tblProducts[Product_ID],tblProducts[Price (INR)],"Not Found",0)</f>
        <v>259</v>
      </c>
      <c r="R274" s="19">
        <f>tblMaster[[#This Row],[Price]]*tblMaster[[#This Row],[Quantity]]</f>
        <v>518</v>
      </c>
      <c r="S274" s="19">
        <f>tblMaster[[#This Row],[Price]]*0.7*tblMaster[[#This Row],[Quantity]]</f>
        <v>362.59999999999997</v>
      </c>
      <c r="T274" s="19">
        <f>tblMaster[[#This Row],[Revenue]]-tblMaster[[#This Row],[Estimated Cost (at 70%) ]]</f>
        <v>155.40000000000003</v>
      </c>
      <c r="U274" s="19">
        <f>tblMaster[[#This Row],[Profit]]/tblMaster[[#This Row],[Revenue]]</f>
        <v>0.30000000000000004</v>
      </c>
      <c r="V274" s="19">
        <f>tblMaster[[#This Row],[Delivery_Date]]-tblMaster[[#This Row],[Order_Date]]</f>
        <v>2</v>
      </c>
      <c r="W274" s="19" t="str">
        <f>TEXT(tblMaster[[#This Row],[Order_Date]],"mmmm")</f>
        <v>November</v>
      </c>
      <c r="X274" s="19">
        <f>MONTH(tblMaster[[#This Row],[Order_Date]])</f>
        <v>11</v>
      </c>
      <c r="Y274" s="19" t="str">
        <f>"Q"&amp;ROUNDUP(tblMaster[[#This Row],[Month Number]]/3,0)</f>
        <v>Q4</v>
      </c>
      <c r="Z274" s="19">
        <f>YEAR(tblMaster[[#This Row],[Order_Date]])</f>
        <v>2023</v>
      </c>
      <c r="AA274" s="19" t="str">
        <f>TEXT(DAY(tblMaster[[#This Row],[Order_Date]]),"dddd")</f>
        <v>Sunday</v>
      </c>
      <c r="AB274" s="19" t="str">
        <f>IF(tblMaster[[#This Row],[Revenue]]&gt;=5000,"High",IF(tblMaster[[#This Row],[Revenue]]&lt;2000,"Low","Medium"))</f>
        <v>Low</v>
      </c>
    </row>
    <row r="275" spans="1:28" x14ac:dyDescent="0.25">
      <c r="A275" s="10">
        <v>274</v>
      </c>
      <c r="B275" s="10" t="s">
        <v>174</v>
      </c>
      <c r="C275" s="5">
        <v>41</v>
      </c>
      <c r="D275" s="5">
        <v>5</v>
      </c>
      <c r="E275" s="11">
        <v>45232</v>
      </c>
      <c r="F275" s="12">
        <v>0.27628472222222222</v>
      </c>
      <c r="G275" s="11">
        <v>45242</v>
      </c>
      <c r="H275" s="12">
        <v>0.87055555555555553</v>
      </c>
      <c r="I275" s="10" t="s">
        <v>448</v>
      </c>
      <c r="J275" s="10" t="s">
        <v>19</v>
      </c>
      <c r="K275" s="18" t="str">
        <f>_xlfn.XLOOKUP(tblMaster[[#This Row],[Customer_ID]],tblCustomers[Customer_ID],tblCustomers[City],"Not Found",0)</f>
        <v>Bhubaneswar</v>
      </c>
      <c r="L275" s="18" t="str">
        <f>_xlfn.XLOOKUP(tblMaster[[#This Row],[Customer_ID]],tblCustomers[Customer_ID],tblCustomers[Name],"Not Found",0)</f>
        <v>Jivika Rajan</v>
      </c>
      <c r="M275" s="18" t="str">
        <f>_xlfn.XLOOKUP(tblMaster[[#This Row],[Customer_ID]],tblCustomers[Customer_ID],tblCustomers[Gender],"Not Found",0)</f>
        <v>Female</v>
      </c>
      <c r="N275" s="18" t="str">
        <f>_xlfn.XLOOKUP(tblMaster[[#This Row],[Product_ID]],tblProducts[Product_ID],tblProducts[Product_Name],"Not Found",0)</f>
        <v>Aut Box</v>
      </c>
      <c r="O275" s="18" t="str">
        <f>_xlfn.XLOOKUP(tblMaster[[#This Row],[Product_ID]],tblProducts[Product_ID],tblProducts[Category],"Not Found",0)</f>
        <v>Sweets</v>
      </c>
      <c r="P275" s="18" t="str">
        <f>_xlfn.XLOOKUP(tblMaster[[#This Row],[Product_ID]],tblProducts[Product_ID],tblProducts[Occasion],"Not Found",0)</f>
        <v>Diwali</v>
      </c>
      <c r="Q275" s="18">
        <f>_xlfn.XLOOKUP(tblMaster[[#This Row],[Product_ID]],tblProducts[Product_ID],tblProducts[Price (INR)],"Not Found",0)</f>
        <v>1977</v>
      </c>
      <c r="R275" s="19">
        <f>tblMaster[[#This Row],[Price]]*tblMaster[[#This Row],[Quantity]]</f>
        <v>9885</v>
      </c>
      <c r="S275" s="19">
        <f>tblMaster[[#This Row],[Price]]*0.7*tblMaster[[#This Row],[Quantity]]</f>
        <v>6919.4999999999991</v>
      </c>
      <c r="T275" s="19">
        <f>tblMaster[[#This Row],[Revenue]]-tblMaster[[#This Row],[Estimated Cost (at 70%) ]]</f>
        <v>2965.5000000000009</v>
      </c>
      <c r="U275" s="19">
        <f>tblMaster[[#This Row],[Profit]]/tblMaster[[#This Row],[Revenue]]</f>
        <v>0.3000000000000001</v>
      </c>
      <c r="V275" s="19">
        <f>tblMaster[[#This Row],[Delivery_Date]]-tblMaster[[#This Row],[Order_Date]]</f>
        <v>10</v>
      </c>
      <c r="W275" s="19" t="str">
        <f>TEXT(tblMaster[[#This Row],[Order_Date]],"mmmm")</f>
        <v>November</v>
      </c>
      <c r="X275" s="19">
        <f>MONTH(tblMaster[[#This Row],[Order_Date]])</f>
        <v>11</v>
      </c>
      <c r="Y275" s="19" t="str">
        <f>"Q"&amp;ROUNDUP(tblMaster[[#This Row],[Month Number]]/3,0)</f>
        <v>Q4</v>
      </c>
      <c r="Z275" s="19">
        <f>YEAR(tblMaster[[#This Row],[Order_Date]])</f>
        <v>2023</v>
      </c>
      <c r="AA275" s="19" t="str">
        <f>TEXT(DAY(tblMaster[[#This Row],[Order_Date]]),"dddd")</f>
        <v>Monday</v>
      </c>
      <c r="AB275" s="19" t="str">
        <f>IF(tblMaster[[#This Row],[Revenue]]&gt;=5000,"High",IF(tblMaster[[#This Row],[Revenue]]&lt;2000,"Low","Medium"))</f>
        <v>High</v>
      </c>
    </row>
    <row r="276" spans="1:28" x14ac:dyDescent="0.25">
      <c r="A276" s="7">
        <v>275</v>
      </c>
      <c r="B276" s="7" t="s">
        <v>283</v>
      </c>
      <c r="C276" s="4">
        <v>29</v>
      </c>
      <c r="D276" s="4">
        <v>1</v>
      </c>
      <c r="E276" s="8">
        <v>44987</v>
      </c>
      <c r="F276" s="9">
        <v>0.17623842592592592</v>
      </c>
      <c r="G276" s="8">
        <v>44990</v>
      </c>
      <c r="H276" s="9">
        <v>5.392361111111111E-2</v>
      </c>
      <c r="I276" s="7" t="s">
        <v>450</v>
      </c>
      <c r="J276" s="7" t="s">
        <v>25</v>
      </c>
      <c r="K276" s="18" t="str">
        <f>_xlfn.XLOOKUP(tblMaster[[#This Row],[Customer_ID]],tblCustomers[Customer_ID],tblCustomers[City],"Not Found",0)</f>
        <v>Noida</v>
      </c>
      <c r="L276" s="18" t="str">
        <f>_xlfn.XLOOKUP(tblMaster[[#This Row],[Customer_ID]],tblCustomers[Customer_ID],tblCustomers[Name],"Not Found",0)</f>
        <v>Hridaan Rajagopalan</v>
      </c>
      <c r="M276" s="18" t="str">
        <f>_xlfn.XLOOKUP(tblMaster[[#This Row],[Customer_ID]],tblCustomers[Customer_ID],tblCustomers[Gender],"Not Found",0)</f>
        <v>Female</v>
      </c>
      <c r="N276" s="18" t="str">
        <f>_xlfn.XLOOKUP(tblMaster[[#This Row],[Product_ID]],tblProducts[Product_ID],tblProducts[Product_Name],"Not Found",0)</f>
        <v>In Set</v>
      </c>
      <c r="O276" s="18" t="str">
        <f>_xlfn.XLOOKUP(tblMaster[[#This Row],[Product_ID]],tblProducts[Product_ID],tblProducts[Category],"Not Found",0)</f>
        <v>Colors</v>
      </c>
      <c r="P276" s="18" t="str">
        <f>_xlfn.XLOOKUP(tblMaster[[#This Row],[Product_ID]],tblProducts[Product_ID],tblProducts[Occasion],"Not Found",0)</f>
        <v>Holi</v>
      </c>
      <c r="Q276" s="18">
        <f>_xlfn.XLOOKUP(tblMaster[[#This Row],[Product_ID]],tblProducts[Product_ID],tblProducts[Price (INR)],"Not Found",0)</f>
        <v>1252</v>
      </c>
      <c r="R276" s="19">
        <f>tblMaster[[#This Row],[Price]]*tblMaster[[#This Row],[Quantity]]</f>
        <v>1252</v>
      </c>
      <c r="S276" s="19">
        <f>tblMaster[[#This Row],[Price]]*0.7*tblMaster[[#This Row],[Quantity]]</f>
        <v>876.4</v>
      </c>
      <c r="T276" s="19">
        <f>tblMaster[[#This Row],[Revenue]]-tblMaster[[#This Row],[Estimated Cost (at 70%) ]]</f>
        <v>375.6</v>
      </c>
      <c r="U276" s="19">
        <f>tblMaster[[#This Row],[Profit]]/tblMaster[[#This Row],[Revenue]]</f>
        <v>0.30000000000000004</v>
      </c>
      <c r="V276" s="19">
        <f>tblMaster[[#This Row],[Delivery_Date]]-tblMaster[[#This Row],[Order_Date]]</f>
        <v>3</v>
      </c>
      <c r="W276" s="19" t="str">
        <f>TEXT(tblMaster[[#This Row],[Order_Date]],"mmmm")</f>
        <v>March</v>
      </c>
      <c r="X276" s="19">
        <f>MONTH(tblMaster[[#This Row],[Order_Date]])</f>
        <v>3</v>
      </c>
      <c r="Y276" s="19" t="str">
        <f>"Q"&amp;ROUNDUP(tblMaster[[#This Row],[Month Number]]/3,0)</f>
        <v>Q1</v>
      </c>
      <c r="Z276" s="19">
        <f>YEAR(tblMaster[[#This Row],[Order_Date]])</f>
        <v>2023</v>
      </c>
      <c r="AA276" s="19" t="str">
        <f>TEXT(DAY(tblMaster[[#This Row],[Order_Date]]),"dddd")</f>
        <v>Monday</v>
      </c>
      <c r="AB276" s="19" t="str">
        <f>IF(tblMaster[[#This Row],[Revenue]]&gt;=5000,"High",IF(tblMaster[[#This Row],[Revenue]]&lt;2000,"Low","Medium"))</f>
        <v>Low</v>
      </c>
    </row>
    <row r="277" spans="1:28" x14ac:dyDescent="0.25">
      <c r="A277" s="10">
        <v>276</v>
      </c>
      <c r="B277" s="10" t="s">
        <v>185</v>
      </c>
      <c r="C277" s="5">
        <v>15</v>
      </c>
      <c r="D277" s="5">
        <v>2</v>
      </c>
      <c r="E277" s="11">
        <v>45074</v>
      </c>
      <c r="F277" s="12">
        <v>6.5347222222222223E-2</v>
      </c>
      <c r="G277" s="11">
        <v>45078</v>
      </c>
      <c r="H277" s="12">
        <v>0.29552083333333334</v>
      </c>
      <c r="I277" s="10" t="s">
        <v>451</v>
      </c>
      <c r="J277" s="10" t="s">
        <v>30</v>
      </c>
      <c r="K277" s="18" t="str">
        <f>_xlfn.XLOOKUP(tblMaster[[#This Row],[Customer_ID]],tblCustomers[Customer_ID],tblCustomers[City],"Not Found",0)</f>
        <v>North Dumdum</v>
      </c>
      <c r="L277" s="18" t="str">
        <f>_xlfn.XLOOKUP(tblMaster[[#This Row],[Customer_ID]],tblCustomers[Customer_ID],tblCustomers[Name],"Not Found",0)</f>
        <v>Badal Vora</v>
      </c>
      <c r="M277" s="18" t="str">
        <f>_xlfn.XLOOKUP(tblMaster[[#This Row],[Customer_ID]],tblCustomers[Customer_ID],tblCustomers[Gender],"Not Found",0)</f>
        <v>Male</v>
      </c>
      <c r="N277" s="18" t="str">
        <f>_xlfn.XLOOKUP(tblMaster[[#This Row],[Product_ID]],tblProducts[Product_ID],tblProducts[Product_Name],"Not Found",0)</f>
        <v>Repudiandae Box</v>
      </c>
      <c r="O277" s="18" t="str">
        <f>_xlfn.XLOOKUP(tblMaster[[#This Row],[Product_ID]],tblProducts[Product_ID],tblProducts[Category],"Not Found",0)</f>
        <v>Raksha Bandhan</v>
      </c>
      <c r="P277" s="18" t="str">
        <f>_xlfn.XLOOKUP(tblMaster[[#This Row],[Product_ID]],tblProducts[Product_ID],tblProducts[Occasion],"Not Found",0)</f>
        <v>Anniversary</v>
      </c>
      <c r="Q277" s="18">
        <f>_xlfn.XLOOKUP(tblMaster[[#This Row],[Product_ID]],tblProducts[Product_ID],tblProducts[Price (INR)],"Not Found",0)</f>
        <v>1488</v>
      </c>
      <c r="R277" s="19">
        <f>tblMaster[[#This Row],[Price]]*tblMaster[[#This Row],[Quantity]]</f>
        <v>2976</v>
      </c>
      <c r="S277" s="19">
        <f>tblMaster[[#This Row],[Price]]*0.7*tblMaster[[#This Row],[Quantity]]</f>
        <v>2083.1999999999998</v>
      </c>
      <c r="T277" s="19">
        <f>tblMaster[[#This Row],[Revenue]]-tblMaster[[#This Row],[Estimated Cost (at 70%) ]]</f>
        <v>892.80000000000018</v>
      </c>
      <c r="U277" s="19">
        <f>tblMaster[[#This Row],[Profit]]/tblMaster[[#This Row],[Revenue]]</f>
        <v>0.30000000000000004</v>
      </c>
      <c r="V277" s="19">
        <f>tblMaster[[#This Row],[Delivery_Date]]-tblMaster[[#This Row],[Order_Date]]</f>
        <v>4</v>
      </c>
      <c r="W277" s="19" t="str">
        <f>TEXT(tblMaster[[#This Row],[Order_Date]],"mmmm")</f>
        <v>May</v>
      </c>
      <c r="X277" s="19">
        <f>MONTH(tblMaster[[#This Row],[Order_Date]])</f>
        <v>5</v>
      </c>
      <c r="Y277" s="19" t="str">
        <f>"Q"&amp;ROUNDUP(tblMaster[[#This Row],[Month Number]]/3,0)</f>
        <v>Q2</v>
      </c>
      <c r="Z277" s="19">
        <f>YEAR(tblMaster[[#This Row],[Order_Date]])</f>
        <v>2023</v>
      </c>
      <c r="AA277" s="19" t="str">
        <f>TEXT(DAY(tblMaster[[#This Row],[Order_Date]]),"dddd")</f>
        <v>Saturday</v>
      </c>
      <c r="AB277" s="19" t="str">
        <f>IF(tblMaster[[#This Row],[Revenue]]&gt;=5000,"High",IF(tblMaster[[#This Row],[Revenue]]&lt;2000,"Low","Medium"))</f>
        <v>Medium</v>
      </c>
    </row>
    <row r="278" spans="1:28" x14ac:dyDescent="0.25">
      <c r="A278" s="7">
        <v>277</v>
      </c>
      <c r="B278" s="7" t="s">
        <v>285</v>
      </c>
      <c r="C278" s="4">
        <v>34</v>
      </c>
      <c r="D278" s="4">
        <v>5</v>
      </c>
      <c r="E278" s="8">
        <v>45161</v>
      </c>
      <c r="F278" s="9">
        <v>0.8032407407407407</v>
      </c>
      <c r="G278" s="8">
        <v>45167</v>
      </c>
      <c r="H278" s="9">
        <v>0.65993055555555558</v>
      </c>
      <c r="I278" s="7" t="s">
        <v>383</v>
      </c>
      <c r="J278" s="7" t="s">
        <v>33</v>
      </c>
      <c r="K278" s="18" t="str">
        <f>_xlfn.XLOOKUP(tblMaster[[#This Row],[Customer_ID]],tblCustomers[Customer_ID],tblCustomers[City],"Not Found",0)</f>
        <v>Nagpur</v>
      </c>
      <c r="L278" s="18" t="str">
        <f>_xlfn.XLOOKUP(tblMaster[[#This Row],[Customer_ID]],tblCustomers[Customer_ID],tblCustomers[Name],"Not Found",0)</f>
        <v>Inaaya  Sarraf</v>
      </c>
      <c r="M278" s="18" t="str">
        <f>_xlfn.XLOOKUP(tblMaster[[#This Row],[Customer_ID]],tblCustomers[Customer_ID],tblCustomers[Gender],"Not Found",0)</f>
        <v>Male</v>
      </c>
      <c r="N278" s="18" t="str">
        <f>_xlfn.XLOOKUP(tblMaster[[#This Row],[Product_ID]],tblProducts[Product_ID],tblProducts[Product_Name],"Not Found",0)</f>
        <v>Placeat Pack</v>
      </c>
      <c r="O278" s="18" t="str">
        <f>_xlfn.XLOOKUP(tblMaster[[#This Row],[Product_ID]],tblProducts[Product_ID],tblProducts[Category],"Not Found",0)</f>
        <v>Soft Toys</v>
      </c>
      <c r="P278" s="18" t="str">
        <f>_xlfn.XLOOKUP(tblMaster[[#This Row],[Product_ID]],tblProducts[Product_ID],tblProducts[Occasion],"Not Found",0)</f>
        <v>Raksha Bandhan</v>
      </c>
      <c r="Q278" s="18">
        <f>_xlfn.XLOOKUP(tblMaster[[#This Row],[Product_ID]],tblProducts[Product_ID],tblProducts[Price (INR)],"Not Found",0)</f>
        <v>1335</v>
      </c>
      <c r="R278" s="19">
        <f>tblMaster[[#This Row],[Price]]*tblMaster[[#This Row],[Quantity]]</f>
        <v>6675</v>
      </c>
      <c r="S278" s="19">
        <f>tblMaster[[#This Row],[Price]]*0.7*tblMaster[[#This Row],[Quantity]]</f>
        <v>4672.4999999999991</v>
      </c>
      <c r="T278" s="19">
        <f>tblMaster[[#This Row],[Revenue]]-tblMaster[[#This Row],[Estimated Cost (at 70%) ]]</f>
        <v>2002.5000000000009</v>
      </c>
      <c r="U278" s="19">
        <f>tblMaster[[#This Row],[Profit]]/tblMaster[[#This Row],[Revenue]]</f>
        <v>0.30000000000000016</v>
      </c>
      <c r="V278" s="19">
        <f>tblMaster[[#This Row],[Delivery_Date]]-tblMaster[[#This Row],[Order_Date]]</f>
        <v>6</v>
      </c>
      <c r="W278" s="19" t="str">
        <f>TEXT(tblMaster[[#This Row],[Order_Date]],"mmmm")</f>
        <v>August</v>
      </c>
      <c r="X278" s="19">
        <f>MONTH(tblMaster[[#This Row],[Order_Date]])</f>
        <v>8</v>
      </c>
      <c r="Y278" s="19" t="str">
        <f>"Q"&amp;ROUNDUP(tblMaster[[#This Row],[Month Number]]/3,0)</f>
        <v>Q3</v>
      </c>
      <c r="Z278" s="19">
        <f>YEAR(tblMaster[[#This Row],[Order_Date]])</f>
        <v>2023</v>
      </c>
      <c r="AA278" s="19" t="str">
        <f>TEXT(DAY(tblMaster[[#This Row],[Order_Date]]),"dddd")</f>
        <v>Monday</v>
      </c>
      <c r="AB278" s="19" t="str">
        <f>IF(tblMaster[[#This Row],[Revenue]]&gt;=5000,"High",IF(tblMaster[[#This Row],[Revenue]]&lt;2000,"Low","Medium"))</f>
        <v>High</v>
      </c>
    </row>
    <row r="279" spans="1:28" x14ac:dyDescent="0.25">
      <c r="A279" s="10">
        <v>278</v>
      </c>
      <c r="B279" s="10" t="s">
        <v>182</v>
      </c>
      <c r="C279" s="5">
        <v>1</v>
      </c>
      <c r="D279" s="5">
        <v>2</v>
      </c>
      <c r="E279" s="11">
        <v>45097</v>
      </c>
      <c r="F279" s="12">
        <v>0.98185185185185186</v>
      </c>
      <c r="G279" s="11">
        <v>45101</v>
      </c>
      <c r="H279" s="12">
        <v>0.23800925925925925</v>
      </c>
      <c r="I279" s="10" t="s">
        <v>452</v>
      </c>
      <c r="J279" s="10" t="s">
        <v>8</v>
      </c>
      <c r="K279" s="18" t="str">
        <f>_xlfn.XLOOKUP(tblMaster[[#This Row],[Customer_ID]],tblCustomers[Customer_ID],tblCustomers[City],"Not Found",0)</f>
        <v>Agra</v>
      </c>
      <c r="L279" s="18" t="str">
        <f>_xlfn.XLOOKUP(tblMaster[[#This Row],[Customer_ID]],tblCustomers[Customer_ID],tblCustomers[Name],"Not Found",0)</f>
        <v>Seher Mann</v>
      </c>
      <c r="M279" s="18" t="str">
        <f>_xlfn.XLOOKUP(tblMaster[[#This Row],[Customer_ID]],tblCustomers[Customer_ID],tblCustomers[Gender],"Not Found",0)</f>
        <v>Male</v>
      </c>
      <c r="N279" s="18" t="str">
        <f>_xlfn.XLOOKUP(tblMaster[[#This Row],[Product_ID]],tblProducts[Product_ID],tblProducts[Product_Name],"Not Found",0)</f>
        <v>Magnam Set</v>
      </c>
      <c r="O279" s="18" t="str">
        <f>_xlfn.XLOOKUP(tblMaster[[#This Row],[Product_ID]],tblProducts[Product_ID],tblProducts[Category],"Not Found",0)</f>
        <v>Soft Toys</v>
      </c>
      <c r="P279" s="18" t="str">
        <f>_xlfn.XLOOKUP(tblMaster[[#This Row],[Product_ID]],tblProducts[Product_ID],tblProducts[Occasion],"Not Found",0)</f>
        <v>All Occasions</v>
      </c>
      <c r="Q279" s="18">
        <f>_xlfn.XLOOKUP(tblMaster[[#This Row],[Product_ID]],tblProducts[Product_ID],tblProducts[Price (INR)],"Not Found",0)</f>
        <v>1935</v>
      </c>
      <c r="R279" s="19">
        <f>tblMaster[[#This Row],[Price]]*tblMaster[[#This Row],[Quantity]]</f>
        <v>3870</v>
      </c>
      <c r="S279" s="19">
        <f>tblMaster[[#This Row],[Price]]*0.7*tblMaster[[#This Row],[Quantity]]</f>
        <v>2709</v>
      </c>
      <c r="T279" s="19">
        <f>tblMaster[[#This Row],[Revenue]]-tblMaster[[#This Row],[Estimated Cost (at 70%) ]]</f>
        <v>1161</v>
      </c>
      <c r="U279" s="19">
        <f>tblMaster[[#This Row],[Profit]]/tblMaster[[#This Row],[Revenue]]</f>
        <v>0.3</v>
      </c>
      <c r="V279" s="19">
        <f>tblMaster[[#This Row],[Delivery_Date]]-tblMaster[[#This Row],[Order_Date]]</f>
        <v>4</v>
      </c>
      <c r="W279" s="19" t="str">
        <f>TEXT(tblMaster[[#This Row],[Order_Date]],"mmmm")</f>
        <v>June</v>
      </c>
      <c r="X279" s="19">
        <f>MONTH(tblMaster[[#This Row],[Order_Date]])</f>
        <v>6</v>
      </c>
      <c r="Y279" s="19" t="str">
        <f>"Q"&amp;ROUNDUP(tblMaster[[#This Row],[Month Number]]/3,0)</f>
        <v>Q2</v>
      </c>
      <c r="Z279" s="19">
        <f>YEAR(tblMaster[[#This Row],[Order_Date]])</f>
        <v>2023</v>
      </c>
      <c r="AA279" s="19" t="str">
        <f>TEXT(DAY(tblMaster[[#This Row],[Order_Date]]),"dddd")</f>
        <v>Friday</v>
      </c>
      <c r="AB279" s="19" t="str">
        <f>IF(tblMaster[[#This Row],[Revenue]]&gt;=5000,"High",IF(tblMaster[[#This Row],[Revenue]]&lt;2000,"Low","Medium"))</f>
        <v>Medium</v>
      </c>
    </row>
    <row r="280" spans="1:28" x14ac:dyDescent="0.25">
      <c r="A280" s="7">
        <v>279</v>
      </c>
      <c r="B280" s="7" t="s">
        <v>229</v>
      </c>
      <c r="C280" s="4">
        <v>23</v>
      </c>
      <c r="D280" s="4">
        <v>4</v>
      </c>
      <c r="E280" s="8">
        <v>45254</v>
      </c>
      <c r="F280" s="9">
        <v>0.38525462962962964</v>
      </c>
      <c r="G280" s="8">
        <v>45256</v>
      </c>
      <c r="H280" s="9">
        <v>0.74401620370370369</v>
      </c>
      <c r="I280" s="7" t="s">
        <v>318</v>
      </c>
      <c r="J280" s="7" t="s">
        <v>30</v>
      </c>
      <c r="K280" s="18" t="str">
        <f>_xlfn.XLOOKUP(tblMaster[[#This Row],[Customer_ID]],tblCustomers[Customer_ID],tblCustomers[City],"Not Found",0)</f>
        <v>Anand</v>
      </c>
      <c r="L280" s="18" t="str">
        <f>_xlfn.XLOOKUP(tblMaster[[#This Row],[Customer_ID]],tblCustomers[Customer_ID],tblCustomers[Name],"Not Found",0)</f>
        <v>Eva Sankaran</v>
      </c>
      <c r="M280" s="18" t="str">
        <f>_xlfn.XLOOKUP(tblMaster[[#This Row],[Customer_ID]],tblCustomers[Customer_ID],tblCustomers[Gender],"Not Found",0)</f>
        <v>Male</v>
      </c>
      <c r="N280" s="18" t="str">
        <f>_xlfn.XLOOKUP(tblMaster[[#This Row],[Product_ID]],tblProducts[Product_ID],tblProducts[Product_Name],"Not Found",0)</f>
        <v>Dignissimos Pack</v>
      </c>
      <c r="O280" s="18" t="str">
        <f>_xlfn.XLOOKUP(tblMaster[[#This Row],[Product_ID]],tblProducts[Product_ID],tblProducts[Category],"Not Found",0)</f>
        <v>Sweets</v>
      </c>
      <c r="P280" s="18" t="str">
        <f>_xlfn.XLOOKUP(tblMaster[[#This Row],[Product_ID]],tblProducts[Product_ID],tblProducts[Occasion],"Not Found",0)</f>
        <v>Anniversary</v>
      </c>
      <c r="Q280" s="18">
        <f>_xlfn.XLOOKUP(tblMaster[[#This Row],[Product_ID]],tblProducts[Product_ID],tblProducts[Price (INR)],"Not Found",0)</f>
        <v>1098</v>
      </c>
      <c r="R280" s="19">
        <f>tblMaster[[#This Row],[Price]]*tblMaster[[#This Row],[Quantity]]</f>
        <v>4392</v>
      </c>
      <c r="S280" s="19">
        <f>tblMaster[[#This Row],[Price]]*0.7*tblMaster[[#This Row],[Quantity]]</f>
        <v>3074.3999999999996</v>
      </c>
      <c r="T280" s="19">
        <f>tblMaster[[#This Row],[Revenue]]-tblMaster[[#This Row],[Estimated Cost (at 70%) ]]</f>
        <v>1317.6000000000004</v>
      </c>
      <c r="U280" s="19">
        <f>tblMaster[[#This Row],[Profit]]/tblMaster[[#This Row],[Revenue]]</f>
        <v>0.3000000000000001</v>
      </c>
      <c r="V280" s="19">
        <f>tblMaster[[#This Row],[Delivery_Date]]-tblMaster[[#This Row],[Order_Date]]</f>
        <v>2</v>
      </c>
      <c r="W280" s="19" t="str">
        <f>TEXT(tblMaster[[#This Row],[Order_Date]],"mmmm")</f>
        <v>November</v>
      </c>
      <c r="X280" s="19">
        <f>MONTH(tblMaster[[#This Row],[Order_Date]])</f>
        <v>11</v>
      </c>
      <c r="Y280" s="19" t="str">
        <f>"Q"&amp;ROUNDUP(tblMaster[[#This Row],[Month Number]]/3,0)</f>
        <v>Q4</v>
      </c>
      <c r="Z280" s="19">
        <f>YEAR(tblMaster[[#This Row],[Order_Date]])</f>
        <v>2023</v>
      </c>
      <c r="AA280" s="19" t="str">
        <f>TEXT(DAY(tblMaster[[#This Row],[Order_Date]]),"dddd")</f>
        <v>Tuesday</v>
      </c>
      <c r="AB280" s="19" t="str">
        <f>IF(tblMaster[[#This Row],[Revenue]]&gt;=5000,"High",IF(tblMaster[[#This Row],[Revenue]]&lt;2000,"Low","Medium"))</f>
        <v>Medium</v>
      </c>
    </row>
    <row r="281" spans="1:28" x14ac:dyDescent="0.25">
      <c r="A281" s="10">
        <v>280</v>
      </c>
      <c r="B281" s="10" t="s">
        <v>440</v>
      </c>
      <c r="C281" s="5">
        <v>19</v>
      </c>
      <c r="D281" s="5">
        <v>3</v>
      </c>
      <c r="E281" s="11">
        <v>44964</v>
      </c>
      <c r="F281" s="12">
        <v>0.73943287037037042</v>
      </c>
      <c r="G281" s="11">
        <v>44969</v>
      </c>
      <c r="H281" s="12">
        <v>0.68825231481481486</v>
      </c>
      <c r="I281" s="10" t="s">
        <v>360</v>
      </c>
      <c r="J281" s="10" t="s">
        <v>12</v>
      </c>
      <c r="K281" s="18" t="str">
        <f>_xlfn.XLOOKUP(tblMaster[[#This Row],[Customer_ID]],tblCustomers[Customer_ID],tblCustomers[City],"Not Found",0)</f>
        <v>Bilaspur</v>
      </c>
      <c r="L281" s="18" t="str">
        <f>_xlfn.XLOOKUP(tblMaster[[#This Row],[Customer_ID]],tblCustomers[Customer_ID],tblCustomers[Name],"Not Found",0)</f>
        <v>Jayesh Lanka</v>
      </c>
      <c r="M281" s="18" t="str">
        <f>_xlfn.XLOOKUP(tblMaster[[#This Row],[Customer_ID]],tblCustomers[Customer_ID],tblCustomers[Gender],"Not Found",0)</f>
        <v>Male</v>
      </c>
      <c r="N281" s="18" t="str">
        <f>_xlfn.XLOOKUP(tblMaster[[#This Row],[Product_ID]],tblProducts[Product_ID],tblProducts[Product_Name],"Not Found",0)</f>
        <v>Iure Gift</v>
      </c>
      <c r="O281" s="18" t="str">
        <f>_xlfn.XLOOKUP(tblMaster[[#This Row],[Product_ID]],tblProducts[Product_ID],tblProducts[Category],"Not Found",0)</f>
        <v>Mugs</v>
      </c>
      <c r="P281" s="18" t="str">
        <f>_xlfn.XLOOKUP(tblMaster[[#This Row],[Product_ID]],tblProducts[Product_ID],tblProducts[Occasion],"Not Found",0)</f>
        <v>Valentine's Day</v>
      </c>
      <c r="Q281" s="18">
        <f>_xlfn.XLOOKUP(tblMaster[[#This Row],[Product_ID]],tblProducts[Product_ID],tblProducts[Price (INR)],"Not Found",0)</f>
        <v>1234</v>
      </c>
      <c r="R281" s="19">
        <f>tblMaster[[#This Row],[Price]]*tblMaster[[#This Row],[Quantity]]</f>
        <v>3702</v>
      </c>
      <c r="S281" s="19">
        <f>tblMaster[[#This Row],[Price]]*0.7*tblMaster[[#This Row],[Quantity]]</f>
        <v>2591.3999999999996</v>
      </c>
      <c r="T281" s="19">
        <f>tblMaster[[#This Row],[Revenue]]-tblMaster[[#This Row],[Estimated Cost (at 70%) ]]</f>
        <v>1110.6000000000004</v>
      </c>
      <c r="U281" s="19">
        <f>tblMaster[[#This Row],[Profit]]/tblMaster[[#This Row],[Revenue]]</f>
        <v>0.3000000000000001</v>
      </c>
      <c r="V281" s="19">
        <f>tblMaster[[#This Row],[Delivery_Date]]-tblMaster[[#This Row],[Order_Date]]</f>
        <v>5</v>
      </c>
      <c r="W281" s="19" t="str">
        <f>TEXT(tblMaster[[#This Row],[Order_Date]],"mmmm")</f>
        <v>February</v>
      </c>
      <c r="X281" s="19">
        <f>MONTH(tblMaster[[#This Row],[Order_Date]])</f>
        <v>2</v>
      </c>
      <c r="Y281" s="19" t="str">
        <f>"Q"&amp;ROUNDUP(tblMaster[[#This Row],[Month Number]]/3,0)</f>
        <v>Q1</v>
      </c>
      <c r="Z281" s="19">
        <f>YEAR(tblMaster[[#This Row],[Order_Date]])</f>
        <v>2023</v>
      </c>
      <c r="AA281" s="19" t="str">
        <f>TEXT(DAY(tblMaster[[#This Row],[Order_Date]]),"dddd")</f>
        <v>Saturday</v>
      </c>
      <c r="AB281" s="19" t="str">
        <f>IF(tblMaster[[#This Row],[Revenue]]&gt;=5000,"High",IF(tblMaster[[#This Row],[Revenue]]&lt;2000,"Low","Medium"))</f>
        <v>Medium</v>
      </c>
    </row>
    <row r="282" spans="1:28" x14ac:dyDescent="0.25">
      <c r="A282" s="7">
        <v>281</v>
      </c>
      <c r="B282" s="7" t="s">
        <v>289</v>
      </c>
      <c r="C282" s="4">
        <v>15</v>
      </c>
      <c r="D282" s="4">
        <v>3</v>
      </c>
      <c r="E282" s="8">
        <v>45190</v>
      </c>
      <c r="F282" s="9">
        <v>0.85887731481481477</v>
      </c>
      <c r="G282" s="8">
        <v>45194</v>
      </c>
      <c r="H282" s="9">
        <v>0.43557870370370372</v>
      </c>
      <c r="I282" s="7" t="s">
        <v>384</v>
      </c>
      <c r="J282" s="7" t="s">
        <v>30</v>
      </c>
      <c r="K282" s="18" t="str">
        <f>_xlfn.XLOOKUP(tblMaster[[#This Row],[Customer_ID]],tblCustomers[Customer_ID],tblCustomers[City],"Not Found",0)</f>
        <v>Chinsurah</v>
      </c>
      <c r="L282" s="18" t="str">
        <f>_xlfn.XLOOKUP(tblMaster[[#This Row],[Customer_ID]],tblCustomers[Customer_ID],tblCustomers[Name],"Not Found",0)</f>
        <v>Veer Ray</v>
      </c>
      <c r="M282" s="18" t="str">
        <f>_xlfn.XLOOKUP(tblMaster[[#This Row],[Customer_ID]],tblCustomers[Customer_ID],tblCustomers[Gender],"Not Found",0)</f>
        <v>Female</v>
      </c>
      <c r="N282" s="18" t="str">
        <f>_xlfn.XLOOKUP(tblMaster[[#This Row],[Product_ID]],tblProducts[Product_ID],tblProducts[Product_Name],"Not Found",0)</f>
        <v>Repudiandae Box</v>
      </c>
      <c r="O282" s="18" t="str">
        <f>_xlfn.XLOOKUP(tblMaster[[#This Row],[Product_ID]],tblProducts[Product_ID],tblProducts[Category],"Not Found",0)</f>
        <v>Raksha Bandhan</v>
      </c>
      <c r="P282" s="18" t="str">
        <f>_xlfn.XLOOKUP(tblMaster[[#This Row],[Product_ID]],tblProducts[Product_ID],tblProducts[Occasion],"Not Found",0)</f>
        <v>Anniversary</v>
      </c>
      <c r="Q282" s="18">
        <f>_xlfn.XLOOKUP(tblMaster[[#This Row],[Product_ID]],tblProducts[Product_ID],tblProducts[Price (INR)],"Not Found",0)</f>
        <v>1488</v>
      </c>
      <c r="R282" s="19">
        <f>tblMaster[[#This Row],[Price]]*tblMaster[[#This Row],[Quantity]]</f>
        <v>4464</v>
      </c>
      <c r="S282" s="19">
        <f>tblMaster[[#This Row],[Price]]*0.7*tblMaster[[#This Row],[Quantity]]</f>
        <v>3124.7999999999997</v>
      </c>
      <c r="T282" s="19">
        <f>tblMaster[[#This Row],[Revenue]]-tblMaster[[#This Row],[Estimated Cost (at 70%) ]]</f>
        <v>1339.2000000000003</v>
      </c>
      <c r="U282" s="19">
        <f>tblMaster[[#This Row],[Profit]]/tblMaster[[#This Row],[Revenue]]</f>
        <v>0.30000000000000004</v>
      </c>
      <c r="V282" s="19">
        <f>tblMaster[[#This Row],[Delivery_Date]]-tblMaster[[#This Row],[Order_Date]]</f>
        <v>4</v>
      </c>
      <c r="W282" s="19" t="str">
        <f>TEXT(tblMaster[[#This Row],[Order_Date]],"mmmm")</f>
        <v>September</v>
      </c>
      <c r="X282" s="19">
        <f>MONTH(tblMaster[[#This Row],[Order_Date]])</f>
        <v>9</v>
      </c>
      <c r="Y282" s="19" t="str">
        <f>"Q"&amp;ROUNDUP(tblMaster[[#This Row],[Month Number]]/3,0)</f>
        <v>Q3</v>
      </c>
      <c r="Z282" s="19">
        <f>YEAR(tblMaster[[#This Row],[Order_Date]])</f>
        <v>2023</v>
      </c>
      <c r="AA282" s="19" t="str">
        <f>TEXT(DAY(tblMaster[[#This Row],[Order_Date]]),"dddd")</f>
        <v>Saturday</v>
      </c>
      <c r="AB282" s="19" t="str">
        <f>IF(tblMaster[[#This Row],[Revenue]]&gt;=5000,"High",IF(tblMaster[[#This Row],[Revenue]]&lt;2000,"Low","Medium"))</f>
        <v>Medium</v>
      </c>
    </row>
    <row r="283" spans="1:28" x14ac:dyDescent="0.25">
      <c r="A283" s="10">
        <v>282</v>
      </c>
      <c r="B283" s="10" t="s">
        <v>361</v>
      </c>
      <c r="C283" s="5">
        <v>41</v>
      </c>
      <c r="D283" s="5">
        <v>2</v>
      </c>
      <c r="E283" s="11">
        <v>45241</v>
      </c>
      <c r="F283" s="12">
        <v>0.43112268518518521</v>
      </c>
      <c r="G283" s="11">
        <v>45249</v>
      </c>
      <c r="H283" s="12">
        <v>0.92476851851851849</v>
      </c>
      <c r="I283" s="10" t="s">
        <v>360</v>
      </c>
      <c r="J283" s="10" t="s">
        <v>19</v>
      </c>
      <c r="K283" s="18" t="str">
        <f>_xlfn.XLOOKUP(tblMaster[[#This Row],[Customer_ID]],tblCustomers[Customer_ID],tblCustomers[City],"Not Found",0)</f>
        <v>Dibrugarh</v>
      </c>
      <c r="L283" s="18" t="str">
        <f>_xlfn.XLOOKUP(tblMaster[[#This Row],[Customer_ID]],tblCustomers[Customer_ID],tblCustomers[Name],"Not Found",0)</f>
        <v>Zoya Mani</v>
      </c>
      <c r="M283" s="18" t="str">
        <f>_xlfn.XLOOKUP(tblMaster[[#This Row],[Customer_ID]],tblCustomers[Customer_ID],tblCustomers[Gender],"Not Found",0)</f>
        <v>Male</v>
      </c>
      <c r="N283" s="18" t="str">
        <f>_xlfn.XLOOKUP(tblMaster[[#This Row],[Product_ID]],tblProducts[Product_ID],tblProducts[Product_Name],"Not Found",0)</f>
        <v>Aut Box</v>
      </c>
      <c r="O283" s="18" t="str">
        <f>_xlfn.XLOOKUP(tblMaster[[#This Row],[Product_ID]],tblProducts[Product_ID],tblProducts[Category],"Not Found",0)</f>
        <v>Sweets</v>
      </c>
      <c r="P283" s="18" t="str">
        <f>_xlfn.XLOOKUP(tblMaster[[#This Row],[Product_ID]],tblProducts[Product_ID],tblProducts[Occasion],"Not Found",0)</f>
        <v>Diwali</v>
      </c>
      <c r="Q283" s="18">
        <f>_xlfn.XLOOKUP(tblMaster[[#This Row],[Product_ID]],tblProducts[Product_ID],tblProducts[Price (INR)],"Not Found",0)</f>
        <v>1977</v>
      </c>
      <c r="R283" s="19">
        <f>tblMaster[[#This Row],[Price]]*tblMaster[[#This Row],[Quantity]]</f>
        <v>3954</v>
      </c>
      <c r="S283" s="19">
        <f>tblMaster[[#This Row],[Price]]*0.7*tblMaster[[#This Row],[Quantity]]</f>
        <v>2767.7999999999997</v>
      </c>
      <c r="T283" s="19">
        <f>tblMaster[[#This Row],[Revenue]]-tblMaster[[#This Row],[Estimated Cost (at 70%) ]]</f>
        <v>1186.2000000000003</v>
      </c>
      <c r="U283" s="19">
        <f>tblMaster[[#This Row],[Profit]]/tblMaster[[#This Row],[Revenue]]</f>
        <v>0.30000000000000004</v>
      </c>
      <c r="V283" s="19">
        <f>tblMaster[[#This Row],[Delivery_Date]]-tblMaster[[#This Row],[Order_Date]]</f>
        <v>8</v>
      </c>
      <c r="W283" s="19" t="str">
        <f>TEXT(tblMaster[[#This Row],[Order_Date]],"mmmm")</f>
        <v>November</v>
      </c>
      <c r="X283" s="19">
        <f>MONTH(tblMaster[[#This Row],[Order_Date]])</f>
        <v>11</v>
      </c>
      <c r="Y283" s="19" t="str">
        <f>"Q"&amp;ROUNDUP(tblMaster[[#This Row],[Month Number]]/3,0)</f>
        <v>Q4</v>
      </c>
      <c r="Z283" s="19">
        <f>YEAR(tblMaster[[#This Row],[Order_Date]])</f>
        <v>2023</v>
      </c>
      <c r="AA283" s="19" t="str">
        <f>TEXT(DAY(tblMaster[[#This Row],[Order_Date]]),"dddd")</f>
        <v>Wednesday</v>
      </c>
      <c r="AB283" s="19" t="str">
        <f>IF(tblMaster[[#This Row],[Revenue]]&gt;=5000,"High",IF(tblMaster[[#This Row],[Revenue]]&lt;2000,"Low","Medium"))</f>
        <v>Medium</v>
      </c>
    </row>
    <row r="284" spans="1:28" x14ac:dyDescent="0.25">
      <c r="A284" s="7">
        <v>283</v>
      </c>
      <c r="B284" s="7" t="s">
        <v>441</v>
      </c>
      <c r="C284" s="4">
        <v>23</v>
      </c>
      <c r="D284" s="4">
        <v>2</v>
      </c>
      <c r="E284" s="8">
        <v>45253</v>
      </c>
      <c r="F284" s="9">
        <v>0.11914351851851852</v>
      </c>
      <c r="G284" s="8">
        <v>45260</v>
      </c>
      <c r="H284" s="9">
        <v>0.76504629629629628</v>
      </c>
      <c r="I284" s="7" t="s">
        <v>453</v>
      </c>
      <c r="J284" s="7" t="s">
        <v>30</v>
      </c>
      <c r="K284" s="18" t="str">
        <f>_xlfn.XLOOKUP(tblMaster[[#This Row],[Customer_ID]],tblCustomers[Customer_ID],tblCustomers[City],"Not Found",0)</f>
        <v>Purnia</v>
      </c>
      <c r="L284" s="18" t="str">
        <f>_xlfn.XLOOKUP(tblMaster[[#This Row],[Customer_ID]],tblCustomers[Customer_ID],tblCustomers[Name],"Not Found",0)</f>
        <v>Ivana Amble</v>
      </c>
      <c r="M284" s="18" t="str">
        <f>_xlfn.XLOOKUP(tblMaster[[#This Row],[Customer_ID]],tblCustomers[Customer_ID],tblCustomers[Gender],"Not Found",0)</f>
        <v>Female</v>
      </c>
      <c r="N284" s="18" t="str">
        <f>_xlfn.XLOOKUP(tblMaster[[#This Row],[Product_ID]],tblProducts[Product_ID],tblProducts[Product_Name],"Not Found",0)</f>
        <v>Dignissimos Pack</v>
      </c>
      <c r="O284" s="18" t="str">
        <f>_xlfn.XLOOKUP(tblMaster[[#This Row],[Product_ID]],tblProducts[Product_ID],tblProducts[Category],"Not Found",0)</f>
        <v>Sweets</v>
      </c>
      <c r="P284" s="18" t="str">
        <f>_xlfn.XLOOKUP(tblMaster[[#This Row],[Product_ID]],tblProducts[Product_ID],tblProducts[Occasion],"Not Found",0)</f>
        <v>Anniversary</v>
      </c>
      <c r="Q284" s="18">
        <f>_xlfn.XLOOKUP(tblMaster[[#This Row],[Product_ID]],tblProducts[Product_ID],tblProducts[Price (INR)],"Not Found",0)</f>
        <v>1098</v>
      </c>
      <c r="R284" s="19">
        <f>tblMaster[[#This Row],[Price]]*tblMaster[[#This Row],[Quantity]]</f>
        <v>2196</v>
      </c>
      <c r="S284" s="19">
        <f>tblMaster[[#This Row],[Price]]*0.7*tblMaster[[#This Row],[Quantity]]</f>
        <v>1537.1999999999998</v>
      </c>
      <c r="T284" s="19">
        <f>tblMaster[[#This Row],[Revenue]]-tblMaster[[#This Row],[Estimated Cost (at 70%) ]]</f>
        <v>658.80000000000018</v>
      </c>
      <c r="U284" s="19">
        <f>tblMaster[[#This Row],[Profit]]/tblMaster[[#This Row],[Revenue]]</f>
        <v>0.3000000000000001</v>
      </c>
      <c r="V284" s="19">
        <f>tblMaster[[#This Row],[Delivery_Date]]-tblMaster[[#This Row],[Order_Date]]</f>
        <v>7</v>
      </c>
      <c r="W284" s="19" t="str">
        <f>TEXT(tblMaster[[#This Row],[Order_Date]],"mmmm")</f>
        <v>November</v>
      </c>
      <c r="X284" s="19">
        <f>MONTH(tblMaster[[#This Row],[Order_Date]])</f>
        <v>11</v>
      </c>
      <c r="Y284" s="19" t="str">
        <f>"Q"&amp;ROUNDUP(tblMaster[[#This Row],[Month Number]]/3,0)</f>
        <v>Q4</v>
      </c>
      <c r="Z284" s="19">
        <f>YEAR(tblMaster[[#This Row],[Order_Date]])</f>
        <v>2023</v>
      </c>
      <c r="AA284" s="19" t="str">
        <f>TEXT(DAY(tblMaster[[#This Row],[Order_Date]]),"dddd")</f>
        <v>Monday</v>
      </c>
      <c r="AB284" s="19" t="str">
        <f>IF(tblMaster[[#This Row],[Revenue]]&gt;=5000,"High",IF(tblMaster[[#This Row],[Revenue]]&lt;2000,"Low","Medium"))</f>
        <v>Medium</v>
      </c>
    </row>
    <row r="285" spans="1:28" x14ac:dyDescent="0.25">
      <c r="A285" s="10">
        <v>284</v>
      </c>
      <c r="B285" s="10" t="s">
        <v>279</v>
      </c>
      <c r="C285" s="5">
        <v>17</v>
      </c>
      <c r="D285" s="5">
        <v>1</v>
      </c>
      <c r="E285" s="11">
        <v>45148</v>
      </c>
      <c r="F285" s="12">
        <v>0.67574074074074075</v>
      </c>
      <c r="G285" s="11">
        <v>45154</v>
      </c>
      <c r="H285" s="12">
        <v>0.47357638888888887</v>
      </c>
      <c r="I285" s="10" t="s">
        <v>300</v>
      </c>
      <c r="J285" s="10" t="s">
        <v>30</v>
      </c>
      <c r="K285" s="18" t="str">
        <f>_xlfn.XLOOKUP(tblMaster[[#This Row],[Customer_ID]],tblCustomers[Customer_ID],tblCustomers[City],"Not Found",0)</f>
        <v>Delhi</v>
      </c>
      <c r="L285" s="18" t="str">
        <f>_xlfn.XLOOKUP(tblMaster[[#This Row],[Customer_ID]],tblCustomers[Customer_ID],tblCustomers[Name],"Not Found",0)</f>
        <v>Zain Hegde</v>
      </c>
      <c r="M285" s="18" t="str">
        <f>_xlfn.XLOOKUP(tblMaster[[#This Row],[Customer_ID]],tblCustomers[Customer_ID],tblCustomers[Gender],"Not Found",0)</f>
        <v>Female</v>
      </c>
      <c r="N285" s="18" t="str">
        <f>_xlfn.XLOOKUP(tblMaster[[#This Row],[Product_ID]],tblProducts[Product_ID],tblProducts[Product_Name],"Not Found",0)</f>
        <v>Delectus Gift</v>
      </c>
      <c r="O285" s="18" t="str">
        <f>_xlfn.XLOOKUP(tblMaster[[#This Row],[Product_ID]],tblProducts[Product_ID],tblProducts[Category],"Not Found",0)</f>
        <v>Soft Toys</v>
      </c>
      <c r="P285" s="18" t="str">
        <f>_xlfn.XLOOKUP(tblMaster[[#This Row],[Product_ID]],tblProducts[Product_ID],tblProducts[Occasion],"Not Found",0)</f>
        <v>Anniversary</v>
      </c>
      <c r="Q285" s="18">
        <f>_xlfn.XLOOKUP(tblMaster[[#This Row],[Product_ID]],tblProducts[Product_ID],tblProducts[Price (INR)],"Not Found",0)</f>
        <v>1899</v>
      </c>
      <c r="R285" s="19">
        <f>tblMaster[[#This Row],[Price]]*tblMaster[[#This Row],[Quantity]]</f>
        <v>1899</v>
      </c>
      <c r="S285" s="19">
        <f>tblMaster[[#This Row],[Price]]*0.7*tblMaster[[#This Row],[Quantity]]</f>
        <v>1329.3</v>
      </c>
      <c r="T285" s="19">
        <f>tblMaster[[#This Row],[Revenue]]-tblMaster[[#This Row],[Estimated Cost (at 70%) ]]</f>
        <v>569.70000000000005</v>
      </c>
      <c r="U285" s="19">
        <f>tblMaster[[#This Row],[Profit]]/tblMaster[[#This Row],[Revenue]]</f>
        <v>0.30000000000000004</v>
      </c>
      <c r="V285" s="19">
        <f>tblMaster[[#This Row],[Delivery_Date]]-tblMaster[[#This Row],[Order_Date]]</f>
        <v>6</v>
      </c>
      <c r="W285" s="19" t="str">
        <f>TEXT(tblMaster[[#This Row],[Order_Date]],"mmmm")</f>
        <v>August</v>
      </c>
      <c r="X285" s="19">
        <f>MONTH(tblMaster[[#This Row],[Order_Date]])</f>
        <v>8</v>
      </c>
      <c r="Y285" s="19" t="str">
        <f>"Q"&amp;ROUNDUP(tblMaster[[#This Row],[Month Number]]/3,0)</f>
        <v>Q3</v>
      </c>
      <c r="Z285" s="19">
        <f>YEAR(tblMaster[[#This Row],[Order_Date]])</f>
        <v>2023</v>
      </c>
      <c r="AA285" s="19" t="str">
        <f>TEXT(DAY(tblMaster[[#This Row],[Order_Date]]),"dddd")</f>
        <v>Tuesday</v>
      </c>
      <c r="AB285" s="19" t="str">
        <f>IF(tblMaster[[#This Row],[Revenue]]&gt;=5000,"High",IF(tblMaster[[#This Row],[Revenue]]&lt;2000,"Low","Medium"))</f>
        <v>Low</v>
      </c>
    </row>
    <row r="286" spans="1:28" x14ac:dyDescent="0.25">
      <c r="A286" s="7">
        <v>285</v>
      </c>
      <c r="B286" s="7" t="s">
        <v>316</v>
      </c>
      <c r="C286" s="4">
        <v>7</v>
      </c>
      <c r="D286" s="4">
        <v>5</v>
      </c>
      <c r="E286" s="8">
        <v>44983</v>
      </c>
      <c r="F286" s="9">
        <v>0.72689814814814813</v>
      </c>
      <c r="G286" s="8">
        <v>44986</v>
      </c>
      <c r="H286" s="9">
        <v>0.53634259259259254</v>
      </c>
      <c r="I286" s="7" t="s">
        <v>445</v>
      </c>
      <c r="J286" s="7" t="s">
        <v>25</v>
      </c>
      <c r="K286" s="18" t="str">
        <f>_xlfn.XLOOKUP(tblMaster[[#This Row],[Customer_ID]],tblCustomers[Customer_ID],tblCustomers[City],"Not Found",0)</f>
        <v>Ahmednagar</v>
      </c>
      <c r="L286" s="18" t="str">
        <f>_xlfn.XLOOKUP(tblMaster[[#This Row],[Customer_ID]],tblCustomers[Customer_ID],tblCustomers[Name],"Not Found",0)</f>
        <v>Anya Chaudhari</v>
      </c>
      <c r="M286" s="18" t="str">
        <f>_xlfn.XLOOKUP(tblMaster[[#This Row],[Customer_ID]],tblCustomers[Customer_ID],tblCustomers[Gender],"Not Found",0)</f>
        <v>Female</v>
      </c>
      <c r="N286" s="18" t="str">
        <f>_xlfn.XLOOKUP(tblMaster[[#This Row],[Product_ID]],tblProducts[Product_ID],tblProducts[Product_Name],"Not Found",0)</f>
        <v>Quos Set</v>
      </c>
      <c r="O286" s="18" t="str">
        <f>_xlfn.XLOOKUP(tblMaster[[#This Row],[Product_ID]],tblProducts[Product_ID],tblProducts[Category],"Not Found",0)</f>
        <v>Soft Toys</v>
      </c>
      <c r="P286" s="18" t="str">
        <f>_xlfn.XLOOKUP(tblMaster[[#This Row],[Product_ID]],tblProducts[Product_ID],tblProducts[Occasion],"Not Found",0)</f>
        <v>Holi</v>
      </c>
      <c r="Q286" s="18">
        <f>_xlfn.XLOOKUP(tblMaster[[#This Row],[Product_ID]],tblProducts[Product_ID],tblProducts[Price (INR)],"Not Found",0)</f>
        <v>409</v>
      </c>
      <c r="R286" s="19">
        <f>tblMaster[[#This Row],[Price]]*tblMaster[[#This Row],[Quantity]]</f>
        <v>2045</v>
      </c>
      <c r="S286" s="19">
        <f>tblMaster[[#This Row],[Price]]*0.7*tblMaster[[#This Row],[Quantity]]</f>
        <v>1431.4999999999998</v>
      </c>
      <c r="T286" s="19">
        <f>tblMaster[[#This Row],[Revenue]]-tblMaster[[#This Row],[Estimated Cost (at 70%) ]]</f>
        <v>613.50000000000023</v>
      </c>
      <c r="U286" s="19">
        <f>tblMaster[[#This Row],[Profit]]/tblMaster[[#This Row],[Revenue]]</f>
        <v>0.3000000000000001</v>
      </c>
      <c r="V286" s="19">
        <f>tblMaster[[#This Row],[Delivery_Date]]-tblMaster[[#This Row],[Order_Date]]</f>
        <v>3</v>
      </c>
      <c r="W286" s="19" t="str">
        <f>TEXT(tblMaster[[#This Row],[Order_Date]],"mmmm")</f>
        <v>February</v>
      </c>
      <c r="X286" s="19">
        <f>MONTH(tblMaster[[#This Row],[Order_Date]])</f>
        <v>2</v>
      </c>
      <c r="Y286" s="19" t="str">
        <f>"Q"&amp;ROUNDUP(tblMaster[[#This Row],[Month Number]]/3,0)</f>
        <v>Q1</v>
      </c>
      <c r="Z286" s="19">
        <f>YEAR(tblMaster[[#This Row],[Order_Date]])</f>
        <v>2023</v>
      </c>
      <c r="AA286" s="19" t="str">
        <f>TEXT(DAY(tblMaster[[#This Row],[Order_Date]]),"dddd")</f>
        <v>Thursday</v>
      </c>
      <c r="AB286" s="19" t="str">
        <f>IF(tblMaster[[#This Row],[Revenue]]&gt;=5000,"High",IF(tblMaster[[#This Row],[Revenue]]&lt;2000,"Low","Medium"))</f>
        <v>Medium</v>
      </c>
    </row>
    <row r="287" spans="1:28" x14ac:dyDescent="0.25">
      <c r="A287" s="10">
        <v>286</v>
      </c>
      <c r="B287" s="10" t="s">
        <v>413</v>
      </c>
      <c r="C287" s="5">
        <v>50</v>
      </c>
      <c r="D287" s="5">
        <v>3</v>
      </c>
      <c r="E287" s="11">
        <v>44991</v>
      </c>
      <c r="F287" s="12">
        <v>0.83726851851851847</v>
      </c>
      <c r="G287" s="11">
        <v>44997</v>
      </c>
      <c r="H287" s="12">
        <v>0.11211805555555555</v>
      </c>
      <c r="I287" s="10" t="s">
        <v>454</v>
      </c>
      <c r="J287" s="10" t="s">
        <v>25</v>
      </c>
      <c r="K287" s="18" t="str">
        <f>_xlfn.XLOOKUP(tblMaster[[#This Row],[Customer_ID]],tblCustomers[Customer_ID],tblCustomers[City],"Not Found",0)</f>
        <v>Cuttack</v>
      </c>
      <c r="L287" s="18" t="str">
        <f>_xlfn.XLOOKUP(tblMaster[[#This Row],[Customer_ID]],tblCustomers[Customer_ID],tblCustomers[Name],"Not Found",0)</f>
        <v>Navya Golla</v>
      </c>
      <c r="M287" s="18" t="str">
        <f>_xlfn.XLOOKUP(tblMaster[[#This Row],[Customer_ID]],tblCustomers[Customer_ID],tblCustomers[Gender],"Not Found",0)</f>
        <v>Male</v>
      </c>
      <c r="N287" s="18" t="str">
        <f>_xlfn.XLOOKUP(tblMaster[[#This Row],[Product_ID]],tblProducts[Product_ID],tblProducts[Product_Name],"Not Found",0)</f>
        <v>Eligendi Set</v>
      </c>
      <c r="O287" s="18" t="str">
        <f>_xlfn.XLOOKUP(tblMaster[[#This Row],[Product_ID]],tblProducts[Product_ID],tblProducts[Category],"Not Found",0)</f>
        <v>Plants</v>
      </c>
      <c r="P287" s="18" t="str">
        <f>_xlfn.XLOOKUP(tblMaster[[#This Row],[Product_ID]],tblProducts[Product_ID],tblProducts[Occasion],"Not Found",0)</f>
        <v>Holi</v>
      </c>
      <c r="Q287" s="18">
        <f>_xlfn.XLOOKUP(tblMaster[[#This Row],[Product_ID]],tblProducts[Product_ID],tblProducts[Price (INR)],"Not Found",0)</f>
        <v>422</v>
      </c>
      <c r="R287" s="19">
        <f>tblMaster[[#This Row],[Price]]*tblMaster[[#This Row],[Quantity]]</f>
        <v>1266</v>
      </c>
      <c r="S287" s="19">
        <f>tblMaster[[#This Row],[Price]]*0.7*tblMaster[[#This Row],[Quantity]]</f>
        <v>886.19999999999993</v>
      </c>
      <c r="T287" s="19">
        <f>tblMaster[[#This Row],[Revenue]]-tblMaster[[#This Row],[Estimated Cost (at 70%) ]]</f>
        <v>379.80000000000007</v>
      </c>
      <c r="U287" s="19">
        <f>tblMaster[[#This Row],[Profit]]/tblMaster[[#This Row],[Revenue]]</f>
        <v>0.30000000000000004</v>
      </c>
      <c r="V287" s="19">
        <f>tblMaster[[#This Row],[Delivery_Date]]-tblMaster[[#This Row],[Order_Date]]</f>
        <v>6</v>
      </c>
      <c r="W287" s="19" t="str">
        <f>TEXT(tblMaster[[#This Row],[Order_Date]],"mmmm")</f>
        <v>March</v>
      </c>
      <c r="X287" s="19">
        <f>MONTH(tblMaster[[#This Row],[Order_Date]])</f>
        <v>3</v>
      </c>
      <c r="Y287" s="19" t="str">
        <f>"Q"&amp;ROUNDUP(tblMaster[[#This Row],[Month Number]]/3,0)</f>
        <v>Q1</v>
      </c>
      <c r="Z287" s="19">
        <f>YEAR(tblMaster[[#This Row],[Order_Date]])</f>
        <v>2023</v>
      </c>
      <c r="AA287" s="19" t="str">
        <f>TEXT(DAY(tblMaster[[#This Row],[Order_Date]]),"dddd")</f>
        <v>Friday</v>
      </c>
      <c r="AB287" s="19" t="str">
        <f>IF(tblMaster[[#This Row],[Revenue]]&gt;=5000,"High",IF(tblMaster[[#This Row],[Revenue]]&lt;2000,"Low","Medium"))</f>
        <v>Low</v>
      </c>
    </row>
    <row r="288" spans="1:28" x14ac:dyDescent="0.25">
      <c r="A288" s="7">
        <v>287</v>
      </c>
      <c r="B288" s="7" t="s">
        <v>200</v>
      </c>
      <c r="C288" s="4">
        <v>7</v>
      </c>
      <c r="D288" s="4">
        <v>5</v>
      </c>
      <c r="E288" s="8">
        <v>44988</v>
      </c>
      <c r="F288" s="9">
        <v>0.20421296296296296</v>
      </c>
      <c r="G288" s="8">
        <v>44991</v>
      </c>
      <c r="H288" s="9">
        <v>0.65274305555555556</v>
      </c>
      <c r="I288" s="7" t="s">
        <v>455</v>
      </c>
      <c r="J288" s="7" t="s">
        <v>25</v>
      </c>
      <c r="K288" s="18" t="str">
        <f>_xlfn.XLOOKUP(tblMaster[[#This Row],[Customer_ID]],tblCustomers[Customer_ID],tblCustomers[City],"Not Found",0)</f>
        <v>Orai</v>
      </c>
      <c r="L288" s="18" t="str">
        <f>_xlfn.XLOOKUP(tblMaster[[#This Row],[Customer_ID]],tblCustomers[Customer_ID],tblCustomers[Name],"Not Found",0)</f>
        <v>Lagan Kapoor</v>
      </c>
      <c r="M288" s="18" t="str">
        <f>_xlfn.XLOOKUP(tblMaster[[#This Row],[Customer_ID]],tblCustomers[Customer_ID],tblCustomers[Gender],"Not Found",0)</f>
        <v>Female</v>
      </c>
      <c r="N288" s="18" t="str">
        <f>_xlfn.XLOOKUP(tblMaster[[#This Row],[Product_ID]],tblProducts[Product_ID],tblProducts[Product_Name],"Not Found",0)</f>
        <v>Quos Set</v>
      </c>
      <c r="O288" s="18" t="str">
        <f>_xlfn.XLOOKUP(tblMaster[[#This Row],[Product_ID]],tblProducts[Product_ID],tblProducts[Category],"Not Found",0)</f>
        <v>Soft Toys</v>
      </c>
      <c r="P288" s="18" t="str">
        <f>_xlfn.XLOOKUP(tblMaster[[#This Row],[Product_ID]],tblProducts[Product_ID],tblProducts[Occasion],"Not Found",0)</f>
        <v>Holi</v>
      </c>
      <c r="Q288" s="18">
        <f>_xlfn.XLOOKUP(tblMaster[[#This Row],[Product_ID]],tblProducts[Product_ID],tblProducts[Price (INR)],"Not Found",0)</f>
        <v>409</v>
      </c>
      <c r="R288" s="19">
        <f>tblMaster[[#This Row],[Price]]*tblMaster[[#This Row],[Quantity]]</f>
        <v>2045</v>
      </c>
      <c r="S288" s="19">
        <f>tblMaster[[#This Row],[Price]]*0.7*tblMaster[[#This Row],[Quantity]]</f>
        <v>1431.4999999999998</v>
      </c>
      <c r="T288" s="19">
        <f>tblMaster[[#This Row],[Revenue]]-tblMaster[[#This Row],[Estimated Cost (at 70%) ]]</f>
        <v>613.50000000000023</v>
      </c>
      <c r="U288" s="19">
        <f>tblMaster[[#This Row],[Profit]]/tblMaster[[#This Row],[Revenue]]</f>
        <v>0.3000000000000001</v>
      </c>
      <c r="V288" s="19">
        <f>tblMaster[[#This Row],[Delivery_Date]]-tblMaster[[#This Row],[Order_Date]]</f>
        <v>3</v>
      </c>
      <c r="W288" s="19" t="str">
        <f>TEXT(tblMaster[[#This Row],[Order_Date]],"mmmm")</f>
        <v>March</v>
      </c>
      <c r="X288" s="19">
        <f>MONTH(tblMaster[[#This Row],[Order_Date]])</f>
        <v>3</v>
      </c>
      <c r="Y288" s="19" t="str">
        <f>"Q"&amp;ROUNDUP(tblMaster[[#This Row],[Month Number]]/3,0)</f>
        <v>Q1</v>
      </c>
      <c r="Z288" s="19">
        <f>YEAR(tblMaster[[#This Row],[Order_Date]])</f>
        <v>2023</v>
      </c>
      <c r="AA288" s="19" t="str">
        <f>TEXT(DAY(tblMaster[[#This Row],[Order_Date]]),"dddd")</f>
        <v>Tuesday</v>
      </c>
      <c r="AB288" s="19" t="str">
        <f>IF(tblMaster[[#This Row],[Revenue]]&gt;=5000,"High",IF(tblMaster[[#This Row],[Revenue]]&lt;2000,"Low","Medium"))</f>
        <v>Medium</v>
      </c>
    </row>
    <row r="289" spans="1:28" x14ac:dyDescent="0.25">
      <c r="A289" s="10">
        <v>288</v>
      </c>
      <c r="B289" s="10" t="s">
        <v>329</v>
      </c>
      <c r="C289" s="5">
        <v>34</v>
      </c>
      <c r="D289" s="5">
        <v>2</v>
      </c>
      <c r="E289" s="11">
        <v>45159</v>
      </c>
      <c r="F289" s="12">
        <v>0.66594907407407411</v>
      </c>
      <c r="G289" s="11">
        <v>45161</v>
      </c>
      <c r="H289" s="12">
        <v>0.86291666666666667</v>
      </c>
      <c r="I289" s="10" t="s">
        <v>452</v>
      </c>
      <c r="J289" s="10" t="s">
        <v>33</v>
      </c>
      <c r="K289" s="18" t="str">
        <f>_xlfn.XLOOKUP(tblMaster[[#This Row],[Customer_ID]],tblCustomers[Customer_ID],tblCustomers[City],"Not Found",0)</f>
        <v>Vellore</v>
      </c>
      <c r="L289" s="18" t="str">
        <f>_xlfn.XLOOKUP(tblMaster[[#This Row],[Customer_ID]],tblCustomers[Customer_ID],tblCustomers[Name],"Not Found",0)</f>
        <v>Ira Sarna</v>
      </c>
      <c r="M289" s="18" t="str">
        <f>_xlfn.XLOOKUP(tblMaster[[#This Row],[Customer_ID]],tblCustomers[Customer_ID],tblCustomers[Gender],"Not Found",0)</f>
        <v>Male</v>
      </c>
      <c r="N289" s="18" t="str">
        <f>_xlfn.XLOOKUP(tblMaster[[#This Row],[Product_ID]],tblProducts[Product_ID],tblProducts[Product_Name],"Not Found",0)</f>
        <v>Placeat Pack</v>
      </c>
      <c r="O289" s="18" t="str">
        <f>_xlfn.XLOOKUP(tblMaster[[#This Row],[Product_ID]],tblProducts[Product_ID],tblProducts[Category],"Not Found",0)</f>
        <v>Soft Toys</v>
      </c>
      <c r="P289" s="18" t="str">
        <f>_xlfn.XLOOKUP(tblMaster[[#This Row],[Product_ID]],tblProducts[Product_ID],tblProducts[Occasion],"Not Found",0)</f>
        <v>Raksha Bandhan</v>
      </c>
      <c r="Q289" s="18">
        <f>_xlfn.XLOOKUP(tblMaster[[#This Row],[Product_ID]],tblProducts[Product_ID],tblProducts[Price (INR)],"Not Found",0)</f>
        <v>1335</v>
      </c>
      <c r="R289" s="19">
        <f>tblMaster[[#This Row],[Price]]*tblMaster[[#This Row],[Quantity]]</f>
        <v>2670</v>
      </c>
      <c r="S289" s="19">
        <f>tblMaster[[#This Row],[Price]]*0.7*tblMaster[[#This Row],[Quantity]]</f>
        <v>1868.9999999999998</v>
      </c>
      <c r="T289" s="19">
        <f>tblMaster[[#This Row],[Revenue]]-tblMaster[[#This Row],[Estimated Cost (at 70%) ]]</f>
        <v>801.00000000000023</v>
      </c>
      <c r="U289" s="19">
        <f>tblMaster[[#This Row],[Profit]]/tblMaster[[#This Row],[Revenue]]</f>
        <v>0.3000000000000001</v>
      </c>
      <c r="V289" s="19">
        <f>tblMaster[[#This Row],[Delivery_Date]]-tblMaster[[#This Row],[Order_Date]]</f>
        <v>2</v>
      </c>
      <c r="W289" s="19" t="str">
        <f>TEXT(tblMaster[[#This Row],[Order_Date]],"mmmm")</f>
        <v>August</v>
      </c>
      <c r="X289" s="19">
        <f>MONTH(tblMaster[[#This Row],[Order_Date]])</f>
        <v>8</v>
      </c>
      <c r="Y289" s="19" t="str">
        <f>"Q"&amp;ROUNDUP(tblMaster[[#This Row],[Month Number]]/3,0)</f>
        <v>Q3</v>
      </c>
      <c r="Z289" s="19">
        <f>YEAR(tblMaster[[#This Row],[Order_Date]])</f>
        <v>2023</v>
      </c>
      <c r="AA289" s="19" t="str">
        <f>TEXT(DAY(tblMaster[[#This Row],[Order_Date]]),"dddd")</f>
        <v>Saturday</v>
      </c>
      <c r="AB289" s="19" t="str">
        <f>IF(tblMaster[[#This Row],[Revenue]]&gt;=5000,"High",IF(tblMaster[[#This Row],[Revenue]]&lt;2000,"Low","Medium"))</f>
        <v>Medium</v>
      </c>
    </row>
    <row r="290" spans="1:28" x14ac:dyDescent="0.25">
      <c r="A290" s="7">
        <v>289</v>
      </c>
      <c r="B290" s="7" t="s">
        <v>208</v>
      </c>
      <c r="C290" s="4">
        <v>30</v>
      </c>
      <c r="D290" s="4">
        <v>4</v>
      </c>
      <c r="E290" s="8">
        <v>45167</v>
      </c>
      <c r="F290" s="9">
        <v>0.9861226851851852</v>
      </c>
      <c r="G290" s="8">
        <v>45175</v>
      </c>
      <c r="H290" s="9">
        <v>0.11812499999999999</v>
      </c>
      <c r="I290" s="7" t="s">
        <v>456</v>
      </c>
      <c r="J290" s="7" t="s">
        <v>30</v>
      </c>
      <c r="K290" s="18" t="str">
        <f>_xlfn.XLOOKUP(tblMaster[[#This Row],[Customer_ID]],tblCustomers[Customer_ID],tblCustomers[City],"Not Found",0)</f>
        <v>Nizamabad</v>
      </c>
      <c r="L290" s="18" t="str">
        <f>_xlfn.XLOOKUP(tblMaster[[#This Row],[Customer_ID]],tblCustomers[Customer_ID],tblCustomers[Name],"Not Found",0)</f>
        <v>Eva Vaidya</v>
      </c>
      <c r="M290" s="18" t="str">
        <f>_xlfn.XLOOKUP(tblMaster[[#This Row],[Customer_ID]],tblCustomers[Customer_ID],tblCustomers[Gender],"Not Found",0)</f>
        <v>Male</v>
      </c>
      <c r="N290" s="18" t="str">
        <f>_xlfn.XLOOKUP(tblMaster[[#This Row],[Product_ID]],tblProducts[Product_ID],tblProducts[Product_Name],"Not Found",0)</f>
        <v>Recusandae Pack</v>
      </c>
      <c r="O290" s="18" t="str">
        <f>_xlfn.XLOOKUP(tblMaster[[#This Row],[Product_ID]],tblProducts[Product_ID],tblProducts[Category],"Not Found",0)</f>
        <v>Colors</v>
      </c>
      <c r="P290" s="18" t="str">
        <f>_xlfn.XLOOKUP(tblMaster[[#This Row],[Product_ID]],tblProducts[Product_ID],tblProducts[Occasion],"Not Found",0)</f>
        <v>Anniversary</v>
      </c>
      <c r="Q290" s="18">
        <f>_xlfn.XLOOKUP(tblMaster[[#This Row],[Product_ID]],tblProducts[Product_ID],tblProducts[Price (INR)],"Not Found",0)</f>
        <v>751</v>
      </c>
      <c r="R290" s="19">
        <f>tblMaster[[#This Row],[Price]]*tblMaster[[#This Row],[Quantity]]</f>
        <v>3004</v>
      </c>
      <c r="S290" s="19">
        <f>tblMaster[[#This Row],[Price]]*0.7*tblMaster[[#This Row],[Quantity]]</f>
        <v>2102.7999999999997</v>
      </c>
      <c r="T290" s="19">
        <f>tblMaster[[#This Row],[Revenue]]-tblMaster[[#This Row],[Estimated Cost (at 70%) ]]</f>
        <v>901.20000000000027</v>
      </c>
      <c r="U290" s="19">
        <f>tblMaster[[#This Row],[Profit]]/tblMaster[[#This Row],[Revenue]]</f>
        <v>0.3000000000000001</v>
      </c>
      <c r="V290" s="19">
        <f>tblMaster[[#This Row],[Delivery_Date]]-tblMaster[[#This Row],[Order_Date]]</f>
        <v>8</v>
      </c>
      <c r="W290" s="19" t="str">
        <f>TEXT(tblMaster[[#This Row],[Order_Date]],"mmmm")</f>
        <v>August</v>
      </c>
      <c r="X290" s="19">
        <f>MONTH(tblMaster[[#This Row],[Order_Date]])</f>
        <v>8</v>
      </c>
      <c r="Y290" s="19" t="str">
        <f>"Q"&amp;ROUNDUP(tblMaster[[#This Row],[Month Number]]/3,0)</f>
        <v>Q3</v>
      </c>
      <c r="Z290" s="19">
        <f>YEAR(tblMaster[[#This Row],[Order_Date]])</f>
        <v>2023</v>
      </c>
      <c r="AA290" s="19" t="str">
        <f>TEXT(DAY(tblMaster[[#This Row],[Order_Date]]),"dddd")</f>
        <v>Sunday</v>
      </c>
      <c r="AB290" s="19" t="str">
        <f>IF(tblMaster[[#This Row],[Revenue]]&gt;=5000,"High",IF(tblMaster[[#This Row],[Revenue]]&lt;2000,"Low","Medium"))</f>
        <v>Medium</v>
      </c>
    </row>
    <row r="291" spans="1:28" x14ac:dyDescent="0.25">
      <c r="A291" s="10">
        <v>290</v>
      </c>
      <c r="B291" s="10" t="s">
        <v>424</v>
      </c>
      <c r="C291" s="5">
        <v>69</v>
      </c>
      <c r="D291" s="5">
        <v>3</v>
      </c>
      <c r="E291" s="11">
        <v>44991</v>
      </c>
      <c r="F291" s="12">
        <v>0.43562499999999998</v>
      </c>
      <c r="G291" s="11">
        <v>44995</v>
      </c>
      <c r="H291" s="12">
        <v>0.6066435185185185</v>
      </c>
      <c r="I291" s="10" t="s">
        <v>439</v>
      </c>
      <c r="J291" s="10" t="s">
        <v>25</v>
      </c>
      <c r="K291" s="18" t="str">
        <f>_xlfn.XLOOKUP(tblMaster[[#This Row],[Customer_ID]],tblCustomers[Customer_ID],tblCustomers[City],"Not Found",0)</f>
        <v>Bhilai</v>
      </c>
      <c r="L291" s="18" t="str">
        <f>_xlfn.XLOOKUP(tblMaster[[#This Row],[Customer_ID]],tblCustomers[Customer_ID],tblCustomers[Name],"Not Found",0)</f>
        <v>Vedika Sankaran</v>
      </c>
      <c r="M291" s="18" t="str">
        <f>_xlfn.XLOOKUP(tblMaster[[#This Row],[Customer_ID]],tblCustomers[Customer_ID],tblCustomers[Gender],"Not Found",0)</f>
        <v>Female</v>
      </c>
      <c r="N291" s="18" t="str">
        <f>_xlfn.XLOOKUP(tblMaster[[#This Row],[Product_ID]],tblProducts[Product_ID],tblProducts[Product_Name],"Not Found",0)</f>
        <v>Id Box</v>
      </c>
      <c r="O291" s="18" t="str">
        <f>_xlfn.XLOOKUP(tblMaster[[#This Row],[Product_ID]],tblProducts[Product_ID],tblProducts[Category],"Not Found",0)</f>
        <v>Cake</v>
      </c>
      <c r="P291" s="18" t="str">
        <f>_xlfn.XLOOKUP(tblMaster[[#This Row],[Product_ID]],tblProducts[Product_ID],tblProducts[Occasion],"Not Found",0)</f>
        <v>Holi</v>
      </c>
      <c r="Q291" s="18">
        <f>_xlfn.XLOOKUP(tblMaster[[#This Row],[Product_ID]],tblProducts[Product_ID],tblProducts[Price (INR)],"Not Found",0)</f>
        <v>998</v>
      </c>
      <c r="R291" s="19">
        <f>tblMaster[[#This Row],[Price]]*tblMaster[[#This Row],[Quantity]]</f>
        <v>2994</v>
      </c>
      <c r="S291" s="19">
        <f>tblMaster[[#This Row],[Price]]*0.7*tblMaster[[#This Row],[Quantity]]</f>
        <v>2095.7999999999997</v>
      </c>
      <c r="T291" s="19">
        <f>tblMaster[[#This Row],[Revenue]]-tblMaster[[#This Row],[Estimated Cost (at 70%) ]]</f>
        <v>898.20000000000027</v>
      </c>
      <c r="U291" s="19">
        <f>tblMaster[[#This Row],[Profit]]/tblMaster[[#This Row],[Revenue]]</f>
        <v>0.3000000000000001</v>
      </c>
      <c r="V291" s="19">
        <f>tblMaster[[#This Row],[Delivery_Date]]-tblMaster[[#This Row],[Order_Date]]</f>
        <v>4</v>
      </c>
      <c r="W291" s="19" t="str">
        <f>TEXT(tblMaster[[#This Row],[Order_Date]],"mmmm")</f>
        <v>March</v>
      </c>
      <c r="X291" s="19">
        <f>MONTH(tblMaster[[#This Row],[Order_Date]])</f>
        <v>3</v>
      </c>
      <c r="Y291" s="19" t="str">
        <f>"Q"&amp;ROUNDUP(tblMaster[[#This Row],[Month Number]]/3,0)</f>
        <v>Q1</v>
      </c>
      <c r="Z291" s="19">
        <f>YEAR(tblMaster[[#This Row],[Order_Date]])</f>
        <v>2023</v>
      </c>
      <c r="AA291" s="19" t="str">
        <f>TEXT(DAY(tblMaster[[#This Row],[Order_Date]]),"dddd")</f>
        <v>Friday</v>
      </c>
      <c r="AB291" s="19" t="str">
        <f>IF(tblMaster[[#This Row],[Revenue]]&gt;=5000,"High",IF(tblMaster[[#This Row],[Revenue]]&lt;2000,"Low","Medium"))</f>
        <v>Medium</v>
      </c>
    </row>
    <row r="292" spans="1:28" x14ac:dyDescent="0.25">
      <c r="A292" s="7">
        <v>291</v>
      </c>
      <c r="B292" s="7" t="s">
        <v>197</v>
      </c>
      <c r="C292" s="4">
        <v>49</v>
      </c>
      <c r="D292" s="4">
        <v>2</v>
      </c>
      <c r="E292" s="8">
        <v>44967</v>
      </c>
      <c r="F292" s="9">
        <v>8.7962962962962968E-3</v>
      </c>
      <c r="G292" s="8">
        <v>44968</v>
      </c>
      <c r="H292" s="9">
        <v>0.95336805555555559</v>
      </c>
      <c r="I292" s="7" t="s">
        <v>428</v>
      </c>
      <c r="J292" s="7" t="s">
        <v>12</v>
      </c>
      <c r="K292" s="18" t="str">
        <f>_xlfn.XLOOKUP(tblMaster[[#This Row],[Customer_ID]],tblCustomers[Customer_ID],tblCustomers[City],"Not Found",0)</f>
        <v>Hyderabad</v>
      </c>
      <c r="L292" s="18" t="str">
        <f>_xlfn.XLOOKUP(tblMaster[[#This Row],[Customer_ID]],tblCustomers[Customer_ID],tblCustomers[Name],"Not Found",0)</f>
        <v>Charvi Karnik</v>
      </c>
      <c r="M292" s="18" t="str">
        <f>_xlfn.XLOOKUP(tblMaster[[#This Row],[Customer_ID]],tblCustomers[Customer_ID],tblCustomers[Gender],"Not Found",0)</f>
        <v>Male</v>
      </c>
      <c r="N292" s="18" t="str">
        <f>_xlfn.XLOOKUP(tblMaster[[#This Row],[Product_ID]],tblProducts[Product_ID],tblProducts[Product_Name],"Not Found",0)</f>
        <v>Voluptate Pack</v>
      </c>
      <c r="O292" s="18" t="str">
        <f>_xlfn.XLOOKUP(tblMaster[[#This Row],[Product_ID]],tblProducts[Product_ID],tblProducts[Category],"Not Found",0)</f>
        <v>Colors</v>
      </c>
      <c r="P292" s="18" t="str">
        <f>_xlfn.XLOOKUP(tblMaster[[#This Row],[Product_ID]],tblProducts[Product_ID],tblProducts[Occasion],"Not Found",0)</f>
        <v>Valentine's Day</v>
      </c>
      <c r="Q292" s="18">
        <f>_xlfn.XLOOKUP(tblMaster[[#This Row],[Product_ID]],tblProducts[Product_ID],tblProducts[Price (INR)],"Not Found",0)</f>
        <v>903</v>
      </c>
      <c r="R292" s="19">
        <f>tblMaster[[#This Row],[Price]]*tblMaster[[#This Row],[Quantity]]</f>
        <v>1806</v>
      </c>
      <c r="S292" s="19">
        <f>tblMaster[[#This Row],[Price]]*0.7*tblMaster[[#This Row],[Quantity]]</f>
        <v>1264.1999999999998</v>
      </c>
      <c r="T292" s="19">
        <f>tblMaster[[#This Row],[Revenue]]-tblMaster[[#This Row],[Estimated Cost (at 70%) ]]</f>
        <v>541.80000000000018</v>
      </c>
      <c r="U292" s="19">
        <f>tblMaster[[#This Row],[Profit]]/tblMaster[[#This Row],[Revenue]]</f>
        <v>0.3000000000000001</v>
      </c>
      <c r="V292" s="19">
        <f>tblMaster[[#This Row],[Delivery_Date]]-tblMaster[[#This Row],[Order_Date]]</f>
        <v>1</v>
      </c>
      <c r="W292" s="19" t="str">
        <f>TEXT(tblMaster[[#This Row],[Order_Date]],"mmmm")</f>
        <v>February</v>
      </c>
      <c r="X292" s="19">
        <f>MONTH(tblMaster[[#This Row],[Order_Date]])</f>
        <v>2</v>
      </c>
      <c r="Y292" s="19" t="str">
        <f>"Q"&amp;ROUNDUP(tblMaster[[#This Row],[Month Number]]/3,0)</f>
        <v>Q1</v>
      </c>
      <c r="Z292" s="19">
        <f>YEAR(tblMaster[[#This Row],[Order_Date]])</f>
        <v>2023</v>
      </c>
      <c r="AA292" s="19" t="str">
        <f>TEXT(DAY(tblMaster[[#This Row],[Order_Date]]),"dddd")</f>
        <v>Tuesday</v>
      </c>
      <c r="AB292" s="19" t="str">
        <f>IF(tblMaster[[#This Row],[Revenue]]&gt;=5000,"High",IF(tblMaster[[#This Row],[Revenue]]&lt;2000,"Low","Medium"))</f>
        <v>Low</v>
      </c>
    </row>
    <row r="293" spans="1:28" x14ac:dyDescent="0.25">
      <c r="A293" s="10">
        <v>292</v>
      </c>
      <c r="B293" s="10" t="s">
        <v>291</v>
      </c>
      <c r="C293" s="5">
        <v>54</v>
      </c>
      <c r="D293" s="5">
        <v>1</v>
      </c>
      <c r="E293" s="11">
        <v>45196</v>
      </c>
      <c r="F293" s="12">
        <v>0.94693287037037033</v>
      </c>
      <c r="G293" s="11">
        <v>45202</v>
      </c>
      <c r="H293" s="12">
        <v>7.2766203703703708E-2</v>
      </c>
      <c r="I293" s="10" t="s">
        <v>327</v>
      </c>
      <c r="J293" s="10" t="s">
        <v>30</v>
      </c>
      <c r="K293" s="18" t="str">
        <f>_xlfn.XLOOKUP(tblMaster[[#This Row],[Customer_ID]],tblCustomers[Customer_ID],tblCustomers[City],"Not Found",0)</f>
        <v>Bharatpur</v>
      </c>
      <c r="L293" s="18" t="str">
        <f>_xlfn.XLOOKUP(tblMaster[[#This Row],[Customer_ID]],tblCustomers[Customer_ID],tblCustomers[Name],"Not Found",0)</f>
        <v>Kismat Kapadia</v>
      </c>
      <c r="M293" s="18" t="str">
        <f>_xlfn.XLOOKUP(tblMaster[[#This Row],[Customer_ID]],tblCustomers[Customer_ID],tblCustomers[Gender],"Not Found",0)</f>
        <v>Female</v>
      </c>
      <c r="N293" s="18" t="str">
        <f>_xlfn.XLOOKUP(tblMaster[[#This Row],[Product_ID]],tblProducts[Product_ID],tblProducts[Product_Name],"Not Found",0)</f>
        <v>Occaecati Gift</v>
      </c>
      <c r="O293" s="18" t="str">
        <f>_xlfn.XLOOKUP(tblMaster[[#This Row],[Product_ID]],tblProducts[Product_ID],tblProducts[Category],"Not Found",0)</f>
        <v>Cake</v>
      </c>
      <c r="P293" s="18" t="str">
        <f>_xlfn.XLOOKUP(tblMaster[[#This Row],[Product_ID]],tblProducts[Product_ID],tblProducts[Occasion],"Not Found",0)</f>
        <v>Anniversary</v>
      </c>
      <c r="Q293" s="18">
        <f>_xlfn.XLOOKUP(tblMaster[[#This Row],[Product_ID]],tblProducts[Product_ID],tblProducts[Price (INR)],"Not Found",0)</f>
        <v>1236</v>
      </c>
      <c r="R293" s="19">
        <f>tblMaster[[#This Row],[Price]]*tblMaster[[#This Row],[Quantity]]</f>
        <v>1236</v>
      </c>
      <c r="S293" s="19">
        <f>tblMaster[[#This Row],[Price]]*0.7*tblMaster[[#This Row],[Quantity]]</f>
        <v>865.19999999999993</v>
      </c>
      <c r="T293" s="19">
        <f>tblMaster[[#This Row],[Revenue]]-tblMaster[[#This Row],[Estimated Cost (at 70%) ]]</f>
        <v>370.80000000000007</v>
      </c>
      <c r="U293" s="19">
        <f>tblMaster[[#This Row],[Profit]]/tblMaster[[#This Row],[Revenue]]</f>
        <v>0.30000000000000004</v>
      </c>
      <c r="V293" s="19">
        <f>tblMaster[[#This Row],[Delivery_Date]]-tblMaster[[#This Row],[Order_Date]]</f>
        <v>6</v>
      </c>
      <c r="W293" s="19" t="str">
        <f>TEXT(tblMaster[[#This Row],[Order_Date]],"mmmm")</f>
        <v>September</v>
      </c>
      <c r="X293" s="19">
        <f>MONTH(tblMaster[[#This Row],[Order_Date]])</f>
        <v>9</v>
      </c>
      <c r="Y293" s="19" t="str">
        <f>"Q"&amp;ROUNDUP(tblMaster[[#This Row],[Month Number]]/3,0)</f>
        <v>Q3</v>
      </c>
      <c r="Z293" s="19">
        <f>YEAR(tblMaster[[#This Row],[Order_Date]])</f>
        <v>2023</v>
      </c>
      <c r="AA293" s="19" t="str">
        <f>TEXT(DAY(tblMaster[[#This Row],[Order_Date]]),"dddd")</f>
        <v>Friday</v>
      </c>
      <c r="AB293" s="19" t="str">
        <f>IF(tblMaster[[#This Row],[Revenue]]&gt;=5000,"High",IF(tblMaster[[#This Row],[Revenue]]&lt;2000,"Low","Medium"))</f>
        <v>Low</v>
      </c>
    </row>
    <row r="294" spans="1:28" x14ac:dyDescent="0.25">
      <c r="A294" s="7">
        <v>293</v>
      </c>
      <c r="B294" s="7" t="s">
        <v>440</v>
      </c>
      <c r="C294" s="4">
        <v>1</v>
      </c>
      <c r="D294" s="4">
        <v>4</v>
      </c>
      <c r="E294" s="8">
        <v>45173</v>
      </c>
      <c r="F294" s="9">
        <v>0.16929398148148148</v>
      </c>
      <c r="G294" s="8">
        <v>45178</v>
      </c>
      <c r="H294" s="9">
        <v>0.75736111111111115</v>
      </c>
      <c r="I294" s="7" t="s">
        <v>457</v>
      </c>
      <c r="J294" s="7" t="s">
        <v>8</v>
      </c>
      <c r="K294" s="18" t="str">
        <f>_xlfn.XLOOKUP(tblMaster[[#This Row],[Customer_ID]],tblCustomers[Customer_ID],tblCustomers[City],"Not Found",0)</f>
        <v>Bilaspur</v>
      </c>
      <c r="L294" s="18" t="str">
        <f>_xlfn.XLOOKUP(tblMaster[[#This Row],[Customer_ID]],tblCustomers[Customer_ID],tblCustomers[Name],"Not Found",0)</f>
        <v>Jayesh Lanka</v>
      </c>
      <c r="M294" s="18" t="str">
        <f>_xlfn.XLOOKUP(tblMaster[[#This Row],[Customer_ID]],tblCustomers[Customer_ID],tblCustomers[Gender],"Not Found",0)</f>
        <v>Male</v>
      </c>
      <c r="N294" s="18" t="str">
        <f>_xlfn.XLOOKUP(tblMaster[[#This Row],[Product_ID]],tblProducts[Product_ID],tblProducts[Product_Name],"Not Found",0)</f>
        <v>Magnam Set</v>
      </c>
      <c r="O294" s="18" t="str">
        <f>_xlfn.XLOOKUP(tblMaster[[#This Row],[Product_ID]],tblProducts[Product_ID],tblProducts[Category],"Not Found",0)</f>
        <v>Soft Toys</v>
      </c>
      <c r="P294" s="18" t="str">
        <f>_xlfn.XLOOKUP(tblMaster[[#This Row],[Product_ID]],tblProducts[Product_ID],tblProducts[Occasion],"Not Found",0)</f>
        <v>All Occasions</v>
      </c>
      <c r="Q294" s="18">
        <f>_xlfn.XLOOKUP(tblMaster[[#This Row],[Product_ID]],tblProducts[Product_ID],tblProducts[Price (INR)],"Not Found",0)</f>
        <v>1935</v>
      </c>
      <c r="R294" s="19">
        <f>tblMaster[[#This Row],[Price]]*tblMaster[[#This Row],[Quantity]]</f>
        <v>7740</v>
      </c>
      <c r="S294" s="19">
        <f>tblMaster[[#This Row],[Price]]*0.7*tblMaster[[#This Row],[Quantity]]</f>
        <v>5418</v>
      </c>
      <c r="T294" s="19">
        <f>tblMaster[[#This Row],[Revenue]]-tblMaster[[#This Row],[Estimated Cost (at 70%) ]]</f>
        <v>2322</v>
      </c>
      <c r="U294" s="19">
        <f>tblMaster[[#This Row],[Profit]]/tblMaster[[#This Row],[Revenue]]</f>
        <v>0.3</v>
      </c>
      <c r="V294" s="19">
        <f>tblMaster[[#This Row],[Delivery_Date]]-tblMaster[[#This Row],[Order_Date]]</f>
        <v>5</v>
      </c>
      <c r="W294" s="19" t="str">
        <f>TEXT(tblMaster[[#This Row],[Order_Date]],"mmmm")</f>
        <v>September</v>
      </c>
      <c r="X294" s="19">
        <f>MONTH(tblMaster[[#This Row],[Order_Date]])</f>
        <v>9</v>
      </c>
      <c r="Y294" s="19" t="str">
        <f>"Q"&amp;ROUNDUP(tblMaster[[#This Row],[Month Number]]/3,0)</f>
        <v>Q3</v>
      </c>
      <c r="Z294" s="19">
        <f>YEAR(tblMaster[[#This Row],[Order_Date]])</f>
        <v>2023</v>
      </c>
      <c r="AA294" s="19" t="str">
        <f>TEXT(DAY(tblMaster[[#This Row],[Order_Date]]),"dddd")</f>
        <v>Wednesday</v>
      </c>
      <c r="AB294" s="19" t="str">
        <f>IF(tblMaster[[#This Row],[Revenue]]&gt;=5000,"High",IF(tblMaster[[#This Row],[Revenue]]&lt;2000,"Low","Medium"))</f>
        <v>High</v>
      </c>
    </row>
    <row r="295" spans="1:28" x14ac:dyDescent="0.25">
      <c r="A295" s="10">
        <v>294</v>
      </c>
      <c r="B295" s="10" t="s">
        <v>221</v>
      </c>
      <c r="C295" s="5">
        <v>26</v>
      </c>
      <c r="D295" s="5">
        <v>5</v>
      </c>
      <c r="E295" s="11">
        <v>44986</v>
      </c>
      <c r="F295" s="12">
        <v>0.87798611111111113</v>
      </c>
      <c r="G295" s="11">
        <v>44988</v>
      </c>
      <c r="H295" s="12">
        <v>0.82284722222222217</v>
      </c>
      <c r="I295" s="10" t="s">
        <v>458</v>
      </c>
      <c r="J295" s="10" t="s">
        <v>25</v>
      </c>
      <c r="K295" s="18" t="str">
        <f>_xlfn.XLOOKUP(tblMaster[[#This Row],[Customer_ID]],tblCustomers[Customer_ID],tblCustomers[City],"Not Found",0)</f>
        <v>Jorhat</v>
      </c>
      <c r="L295" s="18" t="str">
        <f>_xlfn.XLOOKUP(tblMaster[[#This Row],[Customer_ID]],tblCustomers[Customer_ID],tblCustomers[Name],"Not Found",0)</f>
        <v>Bhamini Ravi</v>
      </c>
      <c r="M295" s="18" t="str">
        <f>_xlfn.XLOOKUP(tblMaster[[#This Row],[Customer_ID]],tblCustomers[Customer_ID],tblCustomers[Gender],"Not Found",0)</f>
        <v>Male</v>
      </c>
      <c r="N295" s="18" t="str">
        <f>_xlfn.XLOOKUP(tblMaster[[#This Row],[Product_ID]],tblProducts[Product_ID],tblProducts[Product_Name],"Not Found",0)</f>
        <v>Aliquam Box</v>
      </c>
      <c r="O295" s="18" t="str">
        <f>_xlfn.XLOOKUP(tblMaster[[#This Row],[Product_ID]],tblProducts[Product_ID],tblProducts[Category],"Not Found",0)</f>
        <v>Colors</v>
      </c>
      <c r="P295" s="18" t="str">
        <f>_xlfn.XLOOKUP(tblMaster[[#This Row],[Product_ID]],tblProducts[Product_ID],tblProducts[Occasion],"Not Found",0)</f>
        <v>Holi</v>
      </c>
      <c r="Q295" s="18">
        <f>_xlfn.XLOOKUP(tblMaster[[#This Row],[Product_ID]],tblProducts[Product_ID],tblProducts[Price (INR)],"Not Found",0)</f>
        <v>289</v>
      </c>
      <c r="R295" s="19">
        <f>tblMaster[[#This Row],[Price]]*tblMaster[[#This Row],[Quantity]]</f>
        <v>1445</v>
      </c>
      <c r="S295" s="19">
        <f>tblMaster[[#This Row],[Price]]*0.7*tblMaster[[#This Row],[Quantity]]</f>
        <v>1011.4999999999999</v>
      </c>
      <c r="T295" s="19">
        <f>tblMaster[[#This Row],[Revenue]]-tblMaster[[#This Row],[Estimated Cost (at 70%) ]]</f>
        <v>433.50000000000011</v>
      </c>
      <c r="U295" s="19">
        <f>tblMaster[[#This Row],[Profit]]/tblMaster[[#This Row],[Revenue]]</f>
        <v>0.3000000000000001</v>
      </c>
      <c r="V295" s="19">
        <f>tblMaster[[#This Row],[Delivery_Date]]-tblMaster[[#This Row],[Order_Date]]</f>
        <v>2</v>
      </c>
      <c r="W295" s="19" t="str">
        <f>TEXT(tblMaster[[#This Row],[Order_Date]],"mmmm")</f>
        <v>March</v>
      </c>
      <c r="X295" s="19">
        <f>MONTH(tblMaster[[#This Row],[Order_Date]])</f>
        <v>3</v>
      </c>
      <c r="Y295" s="19" t="str">
        <f>"Q"&amp;ROUNDUP(tblMaster[[#This Row],[Month Number]]/3,0)</f>
        <v>Q1</v>
      </c>
      <c r="Z295" s="19">
        <f>YEAR(tblMaster[[#This Row],[Order_Date]])</f>
        <v>2023</v>
      </c>
      <c r="AA295" s="19" t="str">
        <f>TEXT(DAY(tblMaster[[#This Row],[Order_Date]]),"dddd")</f>
        <v>Sunday</v>
      </c>
      <c r="AB295" s="19" t="str">
        <f>IF(tblMaster[[#This Row],[Revenue]]&gt;=5000,"High",IF(tblMaster[[#This Row],[Revenue]]&lt;2000,"Low","Medium"))</f>
        <v>Low</v>
      </c>
    </row>
    <row r="296" spans="1:28" x14ac:dyDescent="0.25">
      <c r="A296" s="7">
        <v>295</v>
      </c>
      <c r="B296" s="7" t="s">
        <v>424</v>
      </c>
      <c r="C296" s="4">
        <v>18</v>
      </c>
      <c r="D296" s="4">
        <v>1</v>
      </c>
      <c r="E296" s="8">
        <v>45075</v>
      </c>
      <c r="F296" s="9">
        <v>0.66260416666666666</v>
      </c>
      <c r="G296" s="8">
        <v>45079</v>
      </c>
      <c r="H296" s="9">
        <v>0.42131944444444447</v>
      </c>
      <c r="I296" s="7" t="s">
        <v>459</v>
      </c>
      <c r="J296" s="7" t="s">
        <v>36</v>
      </c>
      <c r="K296" s="18" t="str">
        <f>_xlfn.XLOOKUP(tblMaster[[#This Row],[Customer_ID]],tblCustomers[Customer_ID],tblCustomers[City],"Not Found",0)</f>
        <v>Bhilai</v>
      </c>
      <c r="L296" s="18" t="str">
        <f>_xlfn.XLOOKUP(tblMaster[[#This Row],[Customer_ID]],tblCustomers[Customer_ID],tblCustomers[Name],"Not Found",0)</f>
        <v>Vedika Sankaran</v>
      </c>
      <c r="M296" s="18" t="str">
        <f>_xlfn.XLOOKUP(tblMaster[[#This Row],[Customer_ID]],tblCustomers[Customer_ID],tblCustomers[Gender],"Not Found",0)</f>
        <v>Female</v>
      </c>
      <c r="N296" s="18" t="str">
        <f>_xlfn.XLOOKUP(tblMaster[[#This Row],[Product_ID]],tblProducts[Product_ID],tblProducts[Product_Name],"Not Found",0)</f>
        <v>Nemo Set</v>
      </c>
      <c r="O296" s="18" t="str">
        <f>_xlfn.XLOOKUP(tblMaster[[#This Row],[Product_ID]],tblProducts[Product_ID],tblProducts[Category],"Not Found",0)</f>
        <v>Plants</v>
      </c>
      <c r="P296" s="18" t="str">
        <f>_xlfn.XLOOKUP(tblMaster[[#This Row],[Product_ID]],tblProducts[Product_ID],tblProducts[Occasion],"Not Found",0)</f>
        <v>Birthday</v>
      </c>
      <c r="Q296" s="18">
        <f>_xlfn.XLOOKUP(tblMaster[[#This Row],[Product_ID]],tblProducts[Product_ID],tblProducts[Price (INR)],"Not Found",0)</f>
        <v>781</v>
      </c>
      <c r="R296" s="19">
        <f>tblMaster[[#This Row],[Price]]*tblMaster[[#This Row],[Quantity]]</f>
        <v>781</v>
      </c>
      <c r="S296" s="19">
        <f>tblMaster[[#This Row],[Price]]*0.7*tblMaster[[#This Row],[Quantity]]</f>
        <v>546.69999999999993</v>
      </c>
      <c r="T296" s="19">
        <f>tblMaster[[#This Row],[Revenue]]-tblMaster[[#This Row],[Estimated Cost (at 70%) ]]</f>
        <v>234.30000000000007</v>
      </c>
      <c r="U296" s="19">
        <f>tblMaster[[#This Row],[Profit]]/tblMaster[[#This Row],[Revenue]]</f>
        <v>0.3000000000000001</v>
      </c>
      <c r="V296" s="19">
        <f>tblMaster[[#This Row],[Delivery_Date]]-tblMaster[[#This Row],[Order_Date]]</f>
        <v>4</v>
      </c>
      <c r="W296" s="19" t="str">
        <f>TEXT(tblMaster[[#This Row],[Order_Date]],"mmmm")</f>
        <v>May</v>
      </c>
      <c r="X296" s="19">
        <f>MONTH(tblMaster[[#This Row],[Order_Date]])</f>
        <v>5</v>
      </c>
      <c r="Y296" s="19" t="str">
        <f>"Q"&amp;ROUNDUP(tblMaster[[#This Row],[Month Number]]/3,0)</f>
        <v>Q2</v>
      </c>
      <c r="Z296" s="19">
        <f>YEAR(tblMaster[[#This Row],[Order_Date]])</f>
        <v>2023</v>
      </c>
      <c r="AA296" s="19" t="str">
        <f>TEXT(DAY(tblMaster[[#This Row],[Order_Date]]),"dddd")</f>
        <v>Sunday</v>
      </c>
      <c r="AB296" s="19" t="str">
        <f>IF(tblMaster[[#This Row],[Revenue]]&gt;=5000,"High",IF(tblMaster[[#This Row],[Revenue]]&lt;2000,"Low","Medium"))</f>
        <v>Low</v>
      </c>
    </row>
    <row r="297" spans="1:28" x14ac:dyDescent="0.25">
      <c r="A297" s="10">
        <v>296</v>
      </c>
      <c r="B297" s="10" t="s">
        <v>313</v>
      </c>
      <c r="C297" s="5">
        <v>70</v>
      </c>
      <c r="D297" s="5">
        <v>5</v>
      </c>
      <c r="E297" s="11">
        <v>45017</v>
      </c>
      <c r="F297" s="12">
        <v>0.49668981481481483</v>
      </c>
      <c r="G297" s="11">
        <v>45027</v>
      </c>
      <c r="H297" s="12">
        <v>0.81511574074074078</v>
      </c>
      <c r="I297" s="10" t="s">
        <v>445</v>
      </c>
      <c r="J297" s="10" t="s">
        <v>36</v>
      </c>
      <c r="K297" s="18" t="str">
        <f>_xlfn.XLOOKUP(tblMaster[[#This Row],[Customer_ID]],tblCustomers[Customer_ID],tblCustomers[City],"Not Found",0)</f>
        <v>Ratlam</v>
      </c>
      <c r="L297" s="18" t="str">
        <f>_xlfn.XLOOKUP(tblMaster[[#This Row],[Customer_ID]],tblCustomers[Customer_ID],tblCustomers[Name],"Not Found",0)</f>
        <v>Kaira Ramachandran</v>
      </c>
      <c r="M297" s="18" t="str">
        <f>_xlfn.XLOOKUP(tblMaster[[#This Row],[Customer_ID]],tblCustomers[Customer_ID],tblCustomers[Gender],"Not Found",0)</f>
        <v>Male</v>
      </c>
      <c r="N297" s="18" t="str">
        <f>_xlfn.XLOOKUP(tblMaster[[#This Row],[Product_ID]],tblProducts[Product_ID],tblProducts[Product_Name],"Not Found",0)</f>
        <v>Error Gift</v>
      </c>
      <c r="O297" s="18" t="str">
        <f>_xlfn.XLOOKUP(tblMaster[[#This Row],[Product_ID]],tblProducts[Product_ID],tblProducts[Category],"Not Found",0)</f>
        <v>Sweets</v>
      </c>
      <c r="P297" s="18" t="str">
        <f>_xlfn.XLOOKUP(tblMaster[[#This Row],[Product_ID]],tblProducts[Product_ID],tblProducts[Occasion],"Not Found",0)</f>
        <v>Birthday</v>
      </c>
      <c r="Q297" s="18">
        <f>_xlfn.XLOOKUP(tblMaster[[#This Row],[Product_ID]],tblProducts[Product_ID],tblProducts[Price (INR)],"Not Found",0)</f>
        <v>866</v>
      </c>
      <c r="R297" s="19">
        <f>tblMaster[[#This Row],[Price]]*tblMaster[[#This Row],[Quantity]]</f>
        <v>4330</v>
      </c>
      <c r="S297" s="19">
        <f>tblMaster[[#This Row],[Price]]*0.7*tblMaster[[#This Row],[Quantity]]</f>
        <v>3030.9999999999995</v>
      </c>
      <c r="T297" s="19">
        <f>tblMaster[[#This Row],[Revenue]]-tblMaster[[#This Row],[Estimated Cost (at 70%) ]]</f>
        <v>1299.0000000000005</v>
      </c>
      <c r="U297" s="19">
        <f>tblMaster[[#This Row],[Profit]]/tblMaster[[#This Row],[Revenue]]</f>
        <v>0.3000000000000001</v>
      </c>
      <c r="V297" s="19">
        <f>tblMaster[[#This Row],[Delivery_Date]]-tblMaster[[#This Row],[Order_Date]]</f>
        <v>10</v>
      </c>
      <c r="W297" s="19" t="str">
        <f>TEXT(tblMaster[[#This Row],[Order_Date]],"mmmm")</f>
        <v>April</v>
      </c>
      <c r="X297" s="19">
        <f>MONTH(tblMaster[[#This Row],[Order_Date]])</f>
        <v>4</v>
      </c>
      <c r="Y297" s="19" t="str">
        <f>"Q"&amp;ROUNDUP(tblMaster[[#This Row],[Month Number]]/3,0)</f>
        <v>Q2</v>
      </c>
      <c r="Z297" s="19">
        <f>YEAR(tblMaster[[#This Row],[Order_Date]])</f>
        <v>2023</v>
      </c>
      <c r="AA297" s="19" t="str">
        <f>TEXT(DAY(tblMaster[[#This Row],[Order_Date]]),"dddd")</f>
        <v>Sunday</v>
      </c>
      <c r="AB297" s="19" t="str">
        <f>IF(tblMaster[[#This Row],[Revenue]]&gt;=5000,"High",IF(tblMaster[[#This Row],[Revenue]]&lt;2000,"Low","Medium"))</f>
        <v>Medium</v>
      </c>
    </row>
    <row r="298" spans="1:28" x14ac:dyDescent="0.25">
      <c r="A298" s="7">
        <v>297</v>
      </c>
      <c r="B298" s="7" t="s">
        <v>221</v>
      </c>
      <c r="C298" s="4">
        <v>13</v>
      </c>
      <c r="D298" s="4">
        <v>3</v>
      </c>
      <c r="E298" s="8">
        <v>44985</v>
      </c>
      <c r="F298" s="9">
        <v>0.84408564814814813</v>
      </c>
      <c r="G298" s="8">
        <v>44990</v>
      </c>
      <c r="H298" s="9">
        <v>0.8697569444444444</v>
      </c>
      <c r="I298" s="7" t="s">
        <v>397</v>
      </c>
      <c r="J298" s="7" t="s">
        <v>25</v>
      </c>
      <c r="K298" s="18" t="str">
        <f>_xlfn.XLOOKUP(tblMaster[[#This Row],[Customer_ID]],tblCustomers[Customer_ID],tblCustomers[City],"Not Found",0)</f>
        <v>Jorhat</v>
      </c>
      <c r="L298" s="18" t="str">
        <f>_xlfn.XLOOKUP(tblMaster[[#This Row],[Customer_ID]],tblCustomers[Customer_ID],tblCustomers[Name],"Not Found",0)</f>
        <v>Bhamini Ravi</v>
      </c>
      <c r="M298" s="18" t="str">
        <f>_xlfn.XLOOKUP(tblMaster[[#This Row],[Customer_ID]],tblCustomers[Customer_ID],tblCustomers[Gender],"Not Found",0)</f>
        <v>Male</v>
      </c>
      <c r="N298" s="18" t="str">
        <f>_xlfn.XLOOKUP(tblMaster[[#This Row],[Product_ID]],tblProducts[Product_ID],tblProducts[Product_Name],"Not Found",0)</f>
        <v>Et Set</v>
      </c>
      <c r="O298" s="18" t="str">
        <f>_xlfn.XLOOKUP(tblMaster[[#This Row],[Product_ID]],tblProducts[Product_ID],tblProducts[Category],"Not Found",0)</f>
        <v>Mugs</v>
      </c>
      <c r="P298" s="18" t="str">
        <f>_xlfn.XLOOKUP(tblMaster[[#This Row],[Product_ID]],tblProducts[Product_ID],tblProducts[Occasion],"Not Found",0)</f>
        <v>Holi</v>
      </c>
      <c r="Q298" s="18">
        <f>_xlfn.XLOOKUP(tblMaster[[#This Row],[Product_ID]],tblProducts[Product_ID],tblProducts[Price (INR)],"Not Found",0)</f>
        <v>1141</v>
      </c>
      <c r="R298" s="19">
        <f>tblMaster[[#This Row],[Price]]*tblMaster[[#This Row],[Quantity]]</f>
        <v>3423</v>
      </c>
      <c r="S298" s="19">
        <f>tblMaster[[#This Row],[Price]]*0.7*tblMaster[[#This Row],[Quantity]]</f>
        <v>2396.1</v>
      </c>
      <c r="T298" s="19">
        <f>tblMaster[[#This Row],[Revenue]]-tblMaster[[#This Row],[Estimated Cost (at 70%) ]]</f>
        <v>1026.9000000000001</v>
      </c>
      <c r="U298" s="19">
        <f>tblMaster[[#This Row],[Profit]]/tblMaster[[#This Row],[Revenue]]</f>
        <v>0.30000000000000004</v>
      </c>
      <c r="V298" s="19">
        <f>tblMaster[[#This Row],[Delivery_Date]]-tblMaster[[#This Row],[Order_Date]]</f>
        <v>5</v>
      </c>
      <c r="W298" s="19" t="str">
        <f>TEXT(tblMaster[[#This Row],[Order_Date]],"mmmm")</f>
        <v>February</v>
      </c>
      <c r="X298" s="19">
        <f>MONTH(tblMaster[[#This Row],[Order_Date]])</f>
        <v>2</v>
      </c>
      <c r="Y298" s="19" t="str">
        <f>"Q"&amp;ROUNDUP(tblMaster[[#This Row],[Month Number]]/3,0)</f>
        <v>Q1</v>
      </c>
      <c r="Z298" s="19">
        <f>YEAR(tblMaster[[#This Row],[Order_Date]])</f>
        <v>2023</v>
      </c>
      <c r="AA298" s="19" t="str">
        <f>TEXT(DAY(tblMaster[[#This Row],[Order_Date]]),"dddd")</f>
        <v>Saturday</v>
      </c>
      <c r="AB298" s="19" t="str">
        <f>IF(tblMaster[[#This Row],[Revenue]]&gt;=5000,"High",IF(tblMaster[[#This Row],[Revenue]]&lt;2000,"Low","Medium"))</f>
        <v>Medium</v>
      </c>
    </row>
    <row r="299" spans="1:28" x14ac:dyDescent="0.25">
      <c r="A299" s="10">
        <v>298</v>
      </c>
      <c r="B299" s="10" t="s">
        <v>279</v>
      </c>
      <c r="C299" s="5">
        <v>3</v>
      </c>
      <c r="D299" s="5">
        <v>1</v>
      </c>
      <c r="E299" s="11">
        <v>44968</v>
      </c>
      <c r="F299" s="12">
        <v>0.96283564814814815</v>
      </c>
      <c r="G299" s="11">
        <v>44969</v>
      </c>
      <c r="H299" s="12">
        <v>9.5636574074074068E-2</v>
      </c>
      <c r="I299" s="10" t="s">
        <v>386</v>
      </c>
      <c r="J299" s="10" t="s">
        <v>12</v>
      </c>
      <c r="K299" s="18" t="str">
        <f>_xlfn.XLOOKUP(tblMaster[[#This Row],[Customer_ID]],tblCustomers[Customer_ID],tblCustomers[City],"Not Found",0)</f>
        <v>Delhi</v>
      </c>
      <c r="L299" s="18" t="str">
        <f>_xlfn.XLOOKUP(tblMaster[[#This Row],[Customer_ID]],tblCustomers[Customer_ID],tblCustomers[Name],"Not Found",0)</f>
        <v>Zain Hegde</v>
      </c>
      <c r="M299" s="18" t="str">
        <f>_xlfn.XLOOKUP(tblMaster[[#This Row],[Customer_ID]],tblCustomers[Customer_ID],tblCustomers[Gender],"Not Found",0)</f>
        <v>Female</v>
      </c>
      <c r="N299" s="18" t="str">
        <f>_xlfn.XLOOKUP(tblMaster[[#This Row],[Product_ID]],tblProducts[Product_ID],tblProducts[Product_Name],"Not Found",0)</f>
        <v>Eius Gift</v>
      </c>
      <c r="O299" s="18" t="str">
        <f>_xlfn.XLOOKUP(tblMaster[[#This Row],[Product_ID]],tblProducts[Product_ID],tblProducts[Category],"Not Found",0)</f>
        <v>Colors</v>
      </c>
      <c r="P299" s="18" t="str">
        <f>_xlfn.XLOOKUP(tblMaster[[#This Row],[Product_ID]],tblProducts[Product_ID],tblProducts[Occasion],"Not Found",0)</f>
        <v>Valentine's Day</v>
      </c>
      <c r="Q299" s="18">
        <f>_xlfn.XLOOKUP(tblMaster[[#This Row],[Product_ID]],tblProducts[Product_ID],tblProducts[Price (INR)],"Not Found",0)</f>
        <v>1534</v>
      </c>
      <c r="R299" s="19">
        <f>tblMaster[[#This Row],[Price]]*tblMaster[[#This Row],[Quantity]]</f>
        <v>1534</v>
      </c>
      <c r="S299" s="19">
        <f>tblMaster[[#This Row],[Price]]*0.7*tblMaster[[#This Row],[Quantity]]</f>
        <v>1073.8</v>
      </c>
      <c r="T299" s="19">
        <f>tblMaster[[#This Row],[Revenue]]-tblMaster[[#This Row],[Estimated Cost (at 70%) ]]</f>
        <v>460.20000000000005</v>
      </c>
      <c r="U299" s="19">
        <f>tblMaster[[#This Row],[Profit]]/tblMaster[[#This Row],[Revenue]]</f>
        <v>0.30000000000000004</v>
      </c>
      <c r="V299" s="19">
        <f>tblMaster[[#This Row],[Delivery_Date]]-tblMaster[[#This Row],[Order_Date]]</f>
        <v>1</v>
      </c>
      <c r="W299" s="19" t="str">
        <f>TEXT(tblMaster[[#This Row],[Order_Date]],"mmmm")</f>
        <v>February</v>
      </c>
      <c r="X299" s="19">
        <f>MONTH(tblMaster[[#This Row],[Order_Date]])</f>
        <v>2</v>
      </c>
      <c r="Y299" s="19" t="str">
        <f>"Q"&amp;ROUNDUP(tblMaster[[#This Row],[Month Number]]/3,0)</f>
        <v>Q1</v>
      </c>
      <c r="Z299" s="19">
        <f>YEAR(tblMaster[[#This Row],[Order_Date]])</f>
        <v>2023</v>
      </c>
      <c r="AA299" s="19" t="str">
        <f>TEXT(DAY(tblMaster[[#This Row],[Order_Date]]),"dddd")</f>
        <v>Wednesday</v>
      </c>
      <c r="AB299" s="19" t="str">
        <f>IF(tblMaster[[#This Row],[Revenue]]&gt;=5000,"High",IF(tblMaster[[#This Row],[Revenue]]&lt;2000,"Low","Medium"))</f>
        <v>Low</v>
      </c>
    </row>
    <row r="300" spans="1:28" x14ac:dyDescent="0.25">
      <c r="A300" s="7">
        <v>299</v>
      </c>
      <c r="B300" s="7" t="s">
        <v>210</v>
      </c>
      <c r="C300" s="4">
        <v>8</v>
      </c>
      <c r="D300" s="4">
        <v>5</v>
      </c>
      <c r="E300" s="8">
        <v>45238</v>
      </c>
      <c r="F300" s="9">
        <v>0.49399305555555556</v>
      </c>
      <c r="G300" s="8">
        <v>45247</v>
      </c>
      <c r="H300" s="9">
        <v>0.55406250000000001</v>
      </c>
      <c r="I300" s="7" t="s">
        <v>231</v>
      </c>
      <c r="J300" s="7" t="s">
        <v>30</v>
      </c>
      <c r="K300" s="18" t="str">
        <f>_xlfn.XLOOKUP(tblMaster[[#This Row],[Customer_ID]],tblCustomers[Customer_ID],tblCustomers[City],"Not Found",0)</f>
        <v>New Delhi</v>
      </c>
      <c r="L300" s="18" t="str">
        <f>_xlfn.XLOOKUP(tblMaster[[#This Row],[Customer_ID]],tblCustomers[Customer_ID],tblCustomers[Name],"Not Found",0)</f>
        <v>Adira Rajan</v>
      </c>
      <c r="M300" s="18" t="str">
        <f>_xlfn.XLOOKUP(tblMaster[[#This Row],[Customer_ID]],tblCustomers[Customer_ID],tblCustomers[Gender],"Not Found",0)</f>
        <v>Female</v>
      </c>
      <c r="N300" s="18" t="str">
        <f>_xlfn.XLOOKUP(tblMaster[[#This Row],[Product_ID]],tblProducts[Product_ID],tblProducts[Product_Name],"Not Found",0)</f>
        <v>Qui Box</v>
      </c>
      <c r="O300" s="18" t="str">
        <f>_xlfn.XLOOKUP(tblMaster[[#This Row],[Product_ID]],tblProducts[Product_ID],tblProducts[Category],"Not Found",0)</f>
        <v>Sweets</v>
      </c>
      <c r="P300" s="18" t="str">
        <f>_xlfn.XLOOKUP(tblMaster[[#This Row],[Product_ID]],tblProducts[Product_ID],tblProducts[Occasion],"Not Found",0)</f>
        <v>Anniversary</v>
      </c>
      <c r="Q300" s="18">
        <f>_xlfn.XLOOKUP(tblMaster[[#This Row],[Product_ID]],tblProducts[Product_ID],tblProducts[Price (INR)],"Not Found",0)</f>
        <v>252</v>
      </c>
      <c r="R300" s="19">
        <f>tblMaster[[#This Row],[Price]]*tblMaster[[#This Row],[Quantity]]</f>
        <v>1260</v>
      </c>
      <c r="S300" s="19">
        <f>tblMaster[[#This Row],[Price]]*0.7*tblMaster[[#This Row],[Quantity]]</f>
        <v>881.99999999999989</v>
      </c>
      <c r="T300" s="19">
        <f>tblMaster[[#This Row],[Revenue]]-tblMaster[[#This Row],[Estimated Cost (at 70%) ]]</f>
        <v>378.00000000000011</v>
      </c>
      <c r="U300" s="19">
        <f>tblMaster[[#This Row],[Profit]]/tblMaster[[#This Row],[Revenue]]</f>
        <v>0.3000000000000001</v>
      </c>
      <c r="V300" s="19">
        <f>tblMaster[[#This Row],[Delivery_Date]]-tblMaster[[#This Row],[Order_Date]]</f>
        <v>9</v>
      </c>
      <c r="W300" s="19" t="str">
        <f>TEXT(tblMaster[[#This Row],[Order_Date]],"mmmm")</f>
        <v>November</v>
      </c>
      <c r="X300" s="19">
        <f>MONTH(tblMaster[[#This Row],[Order_Date]])</f>
        <v>11</v>
      </c>
      <c r="Y300" s="19" t="str">
        <f>"Q"&amp;ROUNDUP(tblMaster[[#This Row],[Month Number]]/3,0)</f>
        <v>Q4</v>
      </c>
      <c r="Z300" s="19">
        <f>YEAR(tblMaster[[#This Row],[Order_Date]])</f>
        <v>2023</v>
      </c>
      <c r="AA300" s="19" t="str">
        <f>TEXT(DAY(tblMaster[[#This Row],[Order_Date]]),"dddd")</f>
        <v>Sunday</v>
      </c>
      <c r="AB300" s="19" t="str">
        <f>IF(tblMaster[[#This Row],[Revenue]]&gt;=5000,"High",IF(tblMaster[[#This Row],[Revenue]]&lt;2000,"Low","Medium"))</f>
        <v>Low</v>
      </c>
    </row>
    <row r="301" spans="1:28" x14ac:dyDescent="0.25">
      <c r="A301" s="10">
        <v>300</v>
      </c>
      <c r="B301" s="10" t="s">
        <v>295</v>
      </c>
      <c r="C301" s="5">
        <v>22</v>
      </c>
      <c r="D301" s="5">
        <v>1</v>
      </c>
      <c r="E301" s="11">
        <v>45167</v>
      </c>
      <c r="F301" s="12">
        <v>0.80561342592592589</v>
      </c>
      <c r="G301" s="11">
        <v>45177</v>
      </c>
      <c r="H301" s="12">
        <v>0.76754629629629634</v>
      </c>
      <c r="I301" s="10" t="s">
        <v>460</v>
      </c>
      <c r="J301" s="10" t="s">
        <v>8</v>
      </c>
      <c r="K301" s="18" t="str">
        <f>_xlfn.XLOOKUP(tblMaster[[#This Row],[Customer_ID]],tblCustomers[Customer_ID],tblCustomers[City],"Not Found",0)</f>
        <v>Surat</v>
      </c>
      <c r="L301" s="18" t="str">
        <f>_xlfn.XLOOKUP(tblMaster[[#This Row],[Customer_ID]],tblCustomers[Customer_ID],tblCustomers[Name],"Not Found",0)</f>
        <v>Mannat Anand</v>
      </c>
      <c r="M301" s="18" t="str">
        <f>_xlfn.XLOOKUP(tblMaster[[#This Row],[Customer_ID]],tblCustomers[Customer_ID],tblCustomers[Gender],"Not Found",0)</f>
        <v>Male</v>
      </c>
      <c r="N301" s="18" t="str">
        <f>_xlfn.XLOOKUP(tblMaster[[#This Row],[Product_ID]],tblProducts[Product_ID],tblProducts[Product_Name],"Not Found",0)</f>
        <v>Exercitationem Pack</v>
      </c>
      <c r="O301" s="18" t="str">
        <f>_xlfn.XLOOKUP(tblMaster[[#This Row],[Product_ID]],tblProducts[Product_ID],tblProducts[Category],"Not Found",0)</f>
        <v>Soft Toys</v>
      </c>
      <c r="P301" s="18" t="str">
        <f>_xlfn.XLOOKUP(tblMaster[[#This Row],[Product_ID]],tblProducts[Product_ID],tblProducts[Occasion],"Not Found",0)</f>
        <v>All Occasions</v>
      </c>
      <c r="Q301" s="18">
        <f>_xlfn.XLOOKUP(tblMaster[[#This Row],[Product_ID]],tblProducts[Product_ID],tblProducts[Price (INR)],"Not Found",0)</f>
        <v>1639</v>
      </c>
      <c r="R301" s="19">
        <f>tblMaster[[#This Row],[Price]]*tblMaster[[#This Row],[Quantity]]</f>
        <v>1639</v>
      </c>
      <c r="S301" s="19">
        <f>tblMaster[[#This Row],[Price]]*0.7*tblMaster[[#This Row],[Quantity]]</f>
        <v>1147.3</v>
      </c>
      <c r="T301" s="19">
        <f>tblMaster[[#This Row],[Revenue]]-tblMaster[[#This Row],[Estimated Cost (at 70%) ]]</f>
        <v>491.70000000000005</v>
      </c>
      <c r="U301" s="19">
        <f>tblMaster[[#This Row],[Profit]]/tblMaster[[#This Row],[Revenue]]</f>
        <v>0.30000000000000004</v>
      </c>
      <c r="V301" s="19">
        <f>tblMaster[[#This Row],[Delivery_Date]]-tblMaster[[#This Row],[Order_Date]]</f>
        <v>10</v>
      </c>
      <c r="W301" s="19" t="str">
        <f>TEXT(tblMaster[[#This Row],[Order_Date]],"mmmm")</f>
        <v>August</v>
      </c>
      <c r="X301" s="19">
        <f>MONTH(tblMaster[[#This Row],[Order_Date]])</f>
        <v>8</v>
      </c>
      <c r="Y301" s="19" t="str">
        <f>"Q"&amp;ROUNDUP(tblMaster[[#This Row],[Month Number]]/3,0)</f>
        <v>Q3</v>
      </c>
      <c r="Z301" s="19">
        <f>YEAR(tblMaster[[#This Row],[Order_Date]])</f>
        <v>2023</v>
      </c>
      <c r="AA301" s="19" t="str">
        <f>TEXT(DAY(tblMaster[[#This Row],[Order_Date]]),"dddd")</f>
        <v>Sunday</v>
      </c>
      <c r="AB301" s="19" t="str">
        <f>IF(tblMaster[[#This Row],[Revenue]]&gt;=5000,"High",IF(tblMaster[[#This Row],[Revenue]]&lt;2000,"Low","Medium"))</f>
        <v>Low</v>
      </c>
    </row>
    <row r="302" spans="1:28" x14ac:dyDescent="0.25">
      <c r="A302" s="7">
        <v>301</v>
      </c>
      <c r="B302" s="7" t="s">
        <v>343</v>
      </c>
      <c r="C302" s="4">
        <v>6</v>
      </c>
      <c r="D302" s="4">
        <v>3</v>
      </c>
      <c r="E302" s="8">
        <v>44984</v>
      </c>
      <c r="F302" s="9">
        <v>0.2669212962962963</v>
      </c>
      <c r="G302" s="8">
        <v>44989</v>
      </c>
      <c r="H302" s="9">
        <v>0.70296296296296301</v>
      </c>
      <c r="I302" s="7" t="s">
        <v>196</v>
      </c>
      <c r="J302" s="7" t="s">
        <v>25</v>
      </c>
      <c r="K302" s="18" t="str">
        <f>_xlfn.XLOOKUP(tblMaster[[#This Row],[Customer_ID]],tblCustomers[Customer_ID],tblCustomers[City],"Not Found",0)</f>
        <v>Bhatpara</v>
      </c>
      <c r="L302" s="18" t="str">
        <f>_xlfn.XLOOKUP(tblMaster[[#This Row],[Customer_ID]],tblCustomers[Customer_ID],tblCustomers[Name],"Not Found",0)</f>
        <v>Emir Gokhale</v>
      </c>
      <c r="M302" s="18" t="str">
        <f>_xlfn.XLOOKUP(tblMaster[[#This Row],[Customer_ID]],tblCustomers[Customer_ID],tblCustomers[Gender],"Not Found",0)</f>
        <v>Male</v>
      </c>
      <c r="N302" s="18" t="str">
        <f>_xlfn.XLOOKUP(tblMaster[[#This Row],[Product_ID]],tblProducts[Product_ID],tblProducts[Product_Name],"Not Found",0)</f>
        <v>Quos Box</v>
      </c>
      <c r="O302" s="18" t="str">
        <f>_xlfn.XLOOKUP(tblMaster[[#This Row],[Product_ID]],tblProducts[Product_ID],tblProducts[Category],"Not Found",0)</f>
        <v>Cake</v>
      </c>
      <c r="P302" s="18" t="str">
        <f>_xlfn.XLOOKUP(tblMaster[[#This Row],[Product_ID]],tblProducts[Product_ID],tblProducts[Occasion],"Not Found",0)</f>
        <v>Holi</v>
      </c>
      <c r="Q302" s="18">
        <f>_xlfn.XLOOKUP(tblMaster[[#This Row],[Product_ID]],tblProducts[Product_ID],tblProducts[Price (INR)],"Not Found",0)</f>
        <v>1112</v>
      </c>
      <c r="R302" s="19">
        <f>tblMaster[[#This Row],[Price]]*tblMaster[[#This Row],[Quantity]]</f>
        <v>3336</v>
      </c>
      <c r="S302" s="19">
        <f>tblMaster[[#This Row],[Price]]*0.7*tblMaster[[#This Row],[Quantity]]</f>
        <v>2335.1999999999998</v>
      </c>
      <c r="T302" s="19">
        <f>tblMaster[[#This Row],[Revenue]]-tblMaster[[#This Row],[Estimated Cost (at 70%) ]]</f>
        <v>1000.8000000000002</v>
      </c>
      <c r="U302" s="19">
        <f>tblMaster[[#This Row],[Profit]]/tblMaster[[#This Row],[Revenue]]</f>
        <v>0.30000000000000004</v>
      </c>
      <c r="V302" s="19">
        <f>tblMaster[[#This Row],[Delivery_Date]]-tblMaster[[#This Row],[Order_Date]]</f>
        <v>5</v>
      </c>
      <c r="W302" s="19" t="str">
        <f>TEXT(tblMaster[[#This Row],[Order_Date]],"mmmm")</f>
        <v>February</v>
      </c>
      <c r="X302" s="19">
        <f>MONTH(tblMaster[[#This Row],[Order_Date]])</f>
        <v>2</v>
      </c>
      <c r="Y302" s="19" t="str">
        <f>"Q"&amp;ROUNDUP(tblMaster[[#This Row],[Month Number]]/3,0)</f>
        <v>Q1</v>
      </c>
      <c r="Z302" s="19">
        <f>YEAR(tblMaster[[#This Row],[Order_Date]])</f>
        <v>2023</v>
      </c>
      <c r="AA302" s="19" t="str">
        <f>TEXT(DAY(tblMaster[[#This Row],[Order_Date]]),"dddd")</f>
        <v>Friday</v>
      </c>
      <c r="AB302" s="19" t="str">
        <f>IF(tblMaster[[#This Row],[Revenue]]&gt;=5000,"High",IF(tblMaster[[#This Row],[Revenue]]&lt;2000,"Low","Medium"))</f>
        <v>Medium</v>
      </c>
    </row>
    <row r="303" spans="1:28" x14ac:dyDescent="0.25">
      <c r="A303" s="10">
        <v>302</v>
      </c>
      <c r="B303" s="10" t="s">
        <v>222</v>
      </c>
      <c r="C303" s="5">
        <v>25</v>
      </c>
      <c r="D303" s="5">
        <v>4</v>
      </c>
      <c r="E303" s="11">
        <v>45223</v>
      </c>
      <c r="F303" s="12">
        <v>0.57853009259259258</v>
      </c>
      <c r="G303" s="11">
        <v>45224</v>
      </c>
      <c r="H303" s="12">
        <v>0.71765046296296298</v>
      </c>
      <c r="I303" s="10" t="s">
        <v>342</v>
      </c>
      <c r="J303" s="10" t="s">
        <v>30</v>
      </c>
      <c r="K303" s="18" t="str">
        <f>_xlfn.XLOOKUP(tblMaster[[#This Row],[Customer_ID]],tblCustomers[Customer_ID],tblCustomers[City],"Not Found",0)</f>
        <v>Tiruppur</v>
      </c>
      <c r="L303" s="18" t="str">
        <f>_xlfn.XLOOKUP(tblMaster[[#This Row],[Customer_ID]],tblCustomers[Customer_ID],tblCustomers[Name],"Not Found",0)</f>
        <v>Purab Sheth</v>
      </c>
      <c r="M303" s="18" t="str">
        <f>_xlfn.XLOOKUP(tblMaster[[#This Row],[Customer_ID]],tblCustomers[Customer_ID],tblCustomers[Gender],"Not Found",0)</f>
        <v>Male</v>
      </c>
      <c r="N303" s="18" t="str">
        <f>_xlfn.XLOOKUP(tblMaster[[#This Row],[Product_ID]],tblProducts[Product_ID],tblProducts[Product_Name],"Not Found",0)</f>
        <v>Qui Gift</v>
      </c>
      <c r="O303" s="18" t="str">
        <f>_xlfn.XLOOKUP(tblMaster[[#This Row],[Product_ID]],tblProducts[Product_ID],tblProducts[Category],"Not Found",0)</f>
        <v>Plants</v>
      </c>
      <c r="P303" s="18" t="str">
        <f>_xlfn.XLOOKUP(tblMaster[[#This Row],[Product_ID]],tblProducts[Product_ID],tblProducts[Occasion],"Not Found",0)</f>
        <v>Anniversary</v>
      </c>
      <c r="Q303" s="18">
        <f>_xlfn.XLOOKUP(tblMaster[[#This Row],[Product_ID]],tblProducts[Product_ID],tblProducts[Price (INR)],"Not Found",0)</f>
        <v>1202</v>
      </c>
      <c r="R303" s="19">
        <f>tblMaster[[#This Row],[Price]]*tblMaster[[#This Row],[Quantity]]</f>
        <v>4808</v>
      </c>
      <c r="S303" s="19">
        <f>tblMaster[[#This Row],[Price]]*0.7*tblMaster[[#This Row],[Quantity]]</f>
        <v>3365.6</v>
      </c>
      <c r="T303" s="19">
        <f>tblMaster[[#This Row],[Revenue]]-tblMaster[[#This Row],[Estimated Cost (at 70%) ]]</f>
        <v>1442.4</v>
      </c>
      <c r="U303" s="19">
        <f>tblMaster[[#This Row],[Profit]]/tblMaster[[#This Row],[Revenue]]</f>
        <v>0.30000000000000004</v>
      </c>
      <c r="V303" s="19">
        <f>tblMaster[[#This Row],[Delivery_Date]]-tblMaster[[#This Row],[Order_Date]]</f>
        <v>1</v>
      </c>
      <c r="W303" s="19" t="str">
        <f>TEXT(tblMaster[[#This Row],[Order_Date]],"mmmm")</f>
        <v>October</v>
      </c>
      <c r="X303" s="19">
        <f>MONTH(tblMaster[[#This Row],[Order_Date]])</f>
        <v>10</v>
      </c>
      <c r="Y303" s="19" t="str">
        <f>"Q"&amp;ROUNDUP(tblMaster[[#This Row],[Month Number]]/3,0)</f>
        <v>Q4</v>
      </c>
      <c r="Z303" s="19">
        <f>YEAR(tblMaster[[#This Row],[Order_Date]])</f>
        <v>2023</v>
      </c>
      <c r="AA303" s="19" t="str">
        <f>TEXT(DAY(tblMaster[[#This Row],[Order_Date]]),"dddd")</f>
        <v>Tuesday</v>
      </c>
      <c r="AB303" s="19" t="str">
        <f>IF(tblMaster[[#This Row],[Revenue]]&gt;=5000,"High",IF(tblMaster[[#This Row],[Revenue]]&lt;2000,"Low","Medium"))</f>
        <v>Medium</v>
      </c>
    </row>
    <row r="304" spans="1:28" x14ac:dyDescent="0.25">
      <c r="A304" s="7">
        <v>303</v>
      </c>
      <c r="B304" s="7" t="s">
        <v>341</v>
      </c>
      <c r="C304" s="4">
        <v>14</v>
      </c>
      <c r="D304" s="4">
        <v>1</v>
      </c>
      <c r="E304" s="8">
        <v>45250</v>
      </c>
      <c r="F304" s="9">
        <v>0.27982638888888889</v>
      </c>
      <c r="G304" s="8">
        <v>45259</v>
      </c>
      <c r="H304" s="9">
        <v>0.29724537037037035</v>
      </c>
      <c r="I304" s="7" t="s">
        <v>309</v>
      </c>
      <c r="J304" s="7" t="s">
        <v>36</v>
      </c>
      <c r="K304" s="18" t="str">
        <f>_xlfn.XLOOKUP(tblMaster[[#This Row],[Customer_ID]],tblCustomers[Customer_ID],tblCustomers[City],"Not Found",0)</f>
        <v>Kota</v>
      </c>
      <c r="L304" s="18" t="str">
        <f>_xlfn.XLOOKUP(tblMaster[[#This Row],[Customer_ID]],tblCustomers[Customer_ID],tblCustomers[Name],"Not Found",0)</f>
        <v>Aradhya Batta</v>
      </c>
      <c r="M304" s="18" t="str">
        <f>_xlfn.XLOOKUP(tblMaster[[#This Row],[Customer_ID]],tblCustomers[Customer_ID],tblCustomers[Gender],"Not Found",0)</f>
        <v>Female</v>
      </c>
      <c r="N304" s="18" t="str">
        <f>_xlfn.XLOOKUP(tblMaster[[#This Row],[Product_ID]],tblProducts[Product_ID],tblProducts[Product_Name],"Not Found",0)</f>
        <v>Deserunt Box</v>
      </c>
      <c r="O304" s="18" t="str">
        <f>_xlfn.XLOOKUP(tblMaster[[#This Row],[Product_ID]],tblProducts[Product_ID],tblProducts[Category],"Not Found",0)</f>
        <v>Colors</v>
      </c>
      <c r="P304" s="18" t="str">
        <f>_xlfn.XLOOKUP(tblMaster[[#This Row],[Product_ID]],tblProducts[Product_ID],tblProducts[Occasion],"Not Found",0)</f>
        <v>Birthday</v>
      </c>
      <c r="Q304" s="18">
        <f>_xlfn.XLOOKUP(tblMaster[[#This Row],[Product_ID]],tblProducts[Product_ID],tblProducts[Price (INR)],"Not Found",0)</f>
        <v>1915</v>
      </c>
      <c r="R304" s="19">
        <f>tblMaster[[#This Row],[Price]]*tblMaster[[#This Row],[Quantity]]</f>
        <v>1915</v>
      </c>
      <c r="S304" s="19">
        <f>tblMaster[[#This Row],[Price]]*0.7*tblMaster[[#This Row],[Quantity]]</f>
        <v>1340.5</v>
      </c>
      <c r="T304" s="19">
        <f>tblMaster[[#This Row],[Revenue]]-tblMaster[[#This Row],[Estimated Cost (at 70%) ]]</f>
        <v>574.5</v>
      </c>
      <c r="U304" s="19">
        <f>tblMaster[[#This Row],[Profit]]/tblMaster[[#This Row],[Revenue]]</f>
        <v>0.3</v>
      </c>
      <c r="V304" s="19">
        <f>tblMaster[[#This Row],[Delivery_Date]]-tblMaster[[#This Row],[Order_Date]]</f>
        <v>9</v>
      </c>
      <c r="W304" s="19" t="str">
        <f>TEXT(tblMaster[[#This Row],[Order_Date]],"mmmm")</f>
        <v>November</v>
      </c>
      <c r="X304" s="19">
        <f>MONTH(tblMaster[[#This Row],[Order_Date]])</f>
        <v>11</v>
      </c>
      <c r="Y304" s="19" t="str">
        <f>"Q"&amp;ROUNDUP(tblMaster[[#This Row],[Month Number]]/3,0)</f>
        <v>Q4</v>
      </c>
      <c r="Z304" s="19">
        <f>YEAR(tblMaster[[#This Row],[Order_Date]])</f>
        <v>2023</v>
      </c>
      <c r="AA304" s="19" t="str">
        <f>TEXT(DAY(tblMaster[[#This Row],[Order_Date]]),"dddd")</f>
        <v>Friday</v>
      </c>
      <c r="AB304" s="19" t="str">
        <f>IF(tblMaster[[#This Row],[Revenue]]&gt;=5000,"High",IF(tblMaster[[#This Row],[Revenue]]&lt;2000,"Low","Medium"))</f>
        <v>Low</v>
      </c>
    </row>
    <row r="305" spans="1:28" x14ac:dyDescent="0.25">
      <c r="A305" s="10">
        <v>304</v>
      </c>
      <c r="B305" s="10" t="s">
        <v>215</v>
      </c>
      <c r="C305" s="5">
        <v>67</v>
      </c>
      <c r="D305" s="5">
        <v>3</v>
      </c>
      <c r="E305" s="11">
        <v>44997</v>
      </c>
      <c r="F305" s="12">
        <v>0.39199074074074075</v>
      </c>
      <c r="G305" s="11">
        <v>45004</v>
      </c>
      <c r="H305" s="12">
        <v>0.96501157407407412</v>
      </c>
      <c r="I305" s="10" t="s">
        <v>461</v>
      </c>
      <c r="J305" s="10" t="s">
        <v>30</v>
      </c>
      <c r="K305" s="18" t="str">
        <f>_xlfn.XLOOKUP(tblMaster[[#This Row],[Customer_ID]],tblCustomers[Customer_ID],tblCustomers[City],"Not Found",0)</f>
        <v xml:space="preserve">Khora </v>
      </c>
      <c r="L305" s="18" t="str">
        <f>_xlfn.XLOOKUP(tblMaster[[#This Row],[Customer_ID]],tblCustomers[Customer_ID],tblCustomers[Name],"Not Found",0)</f>
        <v>Shalv Kulkarni</v>
      </c>
      <c r="M305" s="18" t="str">
        <f>_xlfn.XLOOKUP(tblMaster[[#This Row],[Customer_ID]],tblCustomers[Customer_ID],tblCustomers[Gender],"Not Found",0)</f>
        <v>Female</v>
      </c>
      <c r="N305" s="18" t="str">
        <f>_xlfn.XLOOKUP(tblMaster[[#This Row],[Product_ID]],tblProducts[Product_ID],tblProducts[Product_Name],"Not Found",0)</f>
        <v>Maiores Box</v>
      </c>
      <c r="O305" s="18" t="str">
        <f>_xlfn.XLOOKUP(tblMaster[[#This Row],[Product_ID]],tblProducts[Product_ID],tblProducts[Category],"Not Found",0)</f>
        <v>Raksha Bandhan</v>
      </c>
      <c r="P305" s="18" t="str">
        <f>_xlfn.XLOOKUP(tblMaster[[#This Row],[Product_ID]],tblProducts[Product_ID],tblProducts[Occasion],"Not Found",0)</f>
        <v>Anniversary</v>
      </c>
      <c r="Q305" s="18">
        <f>_xlfn.XLOOKUP(tblMaster[[#This Row],[Product_ID]],tblProducts[Product_ID],tblProducts[Price (INR)],"Not Found",0)</f>
        <v>1374</v>
      </c>
      <c r="R305" s="19">
        <f>tblMaster[[#This Row],[Price]]*tblMaster[[#This Row],[Quantity]]</f>
        <v>4122</v>
      </c>
      <c r="S305" s="19">
        <f>tblMaster[[#This Row],[Price]]*0.7*tblMaster[[#This Row],[Quantity]]</f>
        <v>2885.3999999999996</v>
      </c>
      <c r="T305" s="19">
        <f>tblMaster[[#This Row],[Revenue]]-tblMaster[[#This Row],[Estimated Cost (at 70%) ]]</f>
        <v>1236.6000000000004</v>
      </c>
      <c r="U305" s="19">
        <f>tblMaster[[#This Row],[Profit]]/tblMaster[[#This Row],[Revenue]]</f>
        <v>0.3000000000000001</v>
      </c>
      <c r="V305" s="19">
        <f>tblMaster[[#This Row],[Delivery_Date]]-tblMaster[[#This Row],[Order_Date]]</f>
        <v>7</v>
      </c>
      <c r="W305" s="19" t="str">
        <f>TEXT(tblMaster[[#This Row],[Order_Date]],"mmmm")</f>
        <v>March</v>
      </c>
      <c r="X305" s="19">
        <f>MONTH(tblMaster[[#This Row],[Order_Date]])</f>
        <v>3</v>
      </c>
      <c r="Y305" s="19" t="str">
        <f>"Q"&amp;ROUNDUP(tblMaster[[#This Row],[Month Number]]/3,0)</f>
        <v>Q1</v>
      </c>
      <c r="Z305" s="19">
        <f>YEAR(tblMaster[[#This Row],[Order_Date]])</f>
        <v>2023</v>
      </c>
      <c r="AA305" s="19" t="str">
        <f>TEXT(DAY(tblMaster[[#This Row],[Order_Date]]),"dddd")</f>
        <v>Thursday</v>
      </c>
      <c r="AB305" s="19" t="str">
        <f>IF(tblMaster[[#This Row],[Revenue]]&gt;=5000,"High",IF(tblMaster[[#This Row],[Revenue]]&lt;2000,"Low","Medium"))</f>
        <v>Medium</v>
      </c>
    </row>
    <row r="306" spans="1:28" x14ac:dyDescent="0.25">
      <c r="A306" s="7">
        <v>305</v>
      </c>
      <c r="B306" s="7" t="s">
        <v>440</v>
      </c>
      <c r="C306" s="4">
        <v>26</v>
      </c>
      <c r="D306" s="4">
        <v>1</v>
      </c>
      <c r="E306" s="8">
        <v>44987</v>
      </c>
      <c r="F306" s="9">
        <v>7.4537037037037037E-3</v>
      </c>
      <c r="G306" s="8">
        <v>44995</v>
      </c>
      <c r="H306" s="9">
        <v>0.58408564814814812</v>
      </c>
      <c r="I306" s="7" t="s">
        <v>375</v>
      </c>
      <c r="J306" s="7" t="s">
        <v>25</v>
      </c>
      <c r="K306" s="18" t="str">
        <f>_xlfn.XLOOKUP(tblMaster[[#This Row],[Customer_ID]],tblCustomers[Customer_ID],tblCustomers[City],"Not Found",0)</f>
        <v>Bilaspur</v>
      </c>
      <c r="L306" s="18" t="str">
        <f>_xlfn.XLOOKUP(tblMaster[[#This Row],[Customer_ID]],tblCustomers[Customer_ID],tblCustomers[Name],"Not Found",0)</f>
        <v>Jayesh Lanka</v>
      </c>
      <c r="M306" s="18" t="str">
        <f>_xlfn.XLOOKUP(tblMaster[[#This Row],[Customer_ID]],tblCustomers[Customer_ID],tblCustomers[Gender],"Not Found",0)</f>
        <v>Male</v>
      </c>
      <c r="N306" s="18" t="str">
        <f>_xlfn.XLOOKUP(tblMaster[[#This Row],[Product_ID]],tblProducts[Product_ID],tblProducts[Product_Name],"Not Found",0)</f>
        <v>Aliquam Box</v>
      </c>
      <c r="O306" s="18" t="str">
        <f>_xlfn.XLOOKUP(tblMaster[[#This Row],[Product_ID]],tblProducts[Product_ID],tblProducts[Category],"Not Found",0)</f>
        <v>Colors</v>
      </c>
      <c r="P306" s="18" t="str">
        <f>_xlfn.XLOOKUP(tblMaster[[#This Row],[Product_ID]],tblProducts[Product_ID],tblProducts[Occasion],"Not Found",0)</f>
        <v>Holi</v>
      </c>
      <c r="Q306" s="18">
        <f>_xlfn.XLOOKUP(tblMaster[[#This Row],[Product_ID]],tblProducts[Product_ID],tblProducts[Price (INR)],"Not Found",0)</f>
        <v>289</v>
      </c>
      <c r="R306" s="19">
        <f>tblMaster[[#This Row],[Price]]*tblMaster[[#This Row],[Quantity]]</f>
        <v>289</v>
      </c>
      <c r="S306" s="19">
        <f>tblMaster[[#This Row],[Price]]*0.7*tblMaster[[#This Row],[Quantity]]</f>
        <v>202.29999999999998</v>
      </c>
      <c r="T306" s="19">
        <f>tblMaster[[#This Row],[Revenue]]-tblMaster[[#This Row],[Estimated Cost (at 70%) ]]</f>
        <v>86.700000000000017</v>
      </c>
      <c r="U306" s="19">
        <f>tblMaster[[#This Row],[Profit]]/tblMaster[[#This Row],[Revenue]]</f>
        <v>0.30000000000000004</v>
      </c>
      <c r="V306" s="19">
        <f>tblMaster[[#This Row],[Delivery_Date]]-tblMaster[[#This Row],[Order_Date]]</f>
        <v>8</v>
      </c>
      <c r="W306" s="19" t="str">
        <f>TEXT(tblMaster[[#This Row],[Order_Date]],"mmmm")</f>
        <v>March</v>
      </c>
      <c r="X306" s="19">
        <f>MONTH(tblMaster[[#This Row],[Order_Date]])</f>
        <v>3</v>
      </c>
      <c r="Y306" s="19" t="str">
        <f>"Q"&amp;ROUNDUP(tblMaster[[#This Row],[Month Number]]/3,0)</f>
        <v>Q1</v>
      </c>
      <c r="Z306" s="19">
        <f>YEAR(tblMaster[[#This Row],[Order_Date]])</f>
        <v>2023</v>
      </c>
      <c r="AA306" s="19" t="str">
        <f>TEXT(DAY(tblMaster[[#This Row],[Order_Date]]),"dddd")</f>
        <v>Monday</v>
      </c>
      <c r="AB306" s="19" t="str">
        <f>IF(tblMaster[[#This Row],[Revenue]]&gt;=5000,"High",IF(tblMaster[[#This Row],[Revenue]]&lt;2000,"Low","Medium"))</f>
        <v>Low</v>
      </c>
    </row>
    <row r="307" spans="1:28" x14ac:dyDescent="0.25">
      <c r="A307" s="10">
        <v>306</v>
      </c>
      <c r="B307" s="10" t="s">
        <v>382</v>
      </c>
      <c r="C307" s="5">
        <v>49</v>
      </c>
      <c r="D307" s="5">
        <v>4</v>
      </c>
      <c r="E307" s="11">
        <v>44961</v>
      </c>
      <c r="F307" s="12">
        <v>0.48322916666666665</v>
      </c>
      <c r="G307" s="11">
        <v>44969</v>
      </c>
      <c r="H307" s="12">
        <v>0.27638888888888891</v>
      </c>
      <c r="I307" s="10" t="s">
        <v>462</v>
      </c>
      <c r="J307" s="10" t="s">
        <v>12</v>
      </c>
      <c r="K307" s="18" t="str">
        <f>_xlfn.XLOOKUP(tblMaster[[#This Row],[Customer_ID]],tblCustomers[Customer_ID],tblCustomers[City],"Not Found",0)</f>
        <v>Raipur</v>
      </c>
      <c r="L307" s="18" t="str">
        <f>_xlfn.XLOOKUP(tblMaster[[#This Row],[Customer_ID]],tblCustomers[Customer_ID],tblCustomers[Name],"Not Found",0)</f>
        <v>Bhamini Johal</v>
      </c>
      <c r="M307" s="18" t="str">
        <f>_xlfn.XLOOKUP(tblMaster[[#This Row],[Customer_ID]],tblCustomers[Customer_ID],tblCustomers[Gender],"Not Found",0)</f>
        <v>Male</v>
      </c>
      <c r="N307" s="18" t="str">
        <f>_xlfn.XLOOKUP(tblMaster[[#This Row],[Product_ID]],tblProducts[Product_ID],tblProducts[Product_Name],"Not Found",0)</f>
        <v>Voluptate Pack</v>
      </c>
      <c r="O307" s="18" t="str">
        <f>_xlfn.XLOOKUP(tblMaster[[#This Row],[Product_ID]],tblProducts[Product_ID],tblProducts[Category],"Not Found",0)</f>
        <v>Colors</v>
      </c>
      <c r="P307" s="18" t="str">
        <f>_xlfn.XLOOKUP(tblMaster[[#This Row],[Product_ID]],tblProducts[Product_ID],tblProducts[Occasion],"Not Found",0)</f>
        <v>Valentine's Day</v>
      </c>
      <c r="Q307" s="18">
        <f>_xlfn.XLOOKUP(tblMaster[[#This Row],[Product_ID]],tblProducts[Product_ID],tblProducts[Price (INR)],"Not Found",0)</f>
        <v>903</v>
      </c>
      <c r="R307" s="19">
        <f>tblMaster[[#This Row],[Price]]*tblMaster[[#This Row],[Quantity]]</f>
        <v>3612</v>
      </c>
      <c r="S307" s="19">
        <f>tblMaster[[#This Row],[Price]]*0.7*tblMaster[[#This Row],[Quantity]]</f>
        <v>2528.3999999999996</v>
      </c>
      <c r="T307" s="19">
        <f>tblMaster[[#This Row],[Revenue]]-tblMaster[[#This Row],[Estimated Cost (at 70%) ]]</f>
        <v>1083.6000000000004</v>
      </c>
      <c r="U307" s="19">
        <f>tblMaster[[#This Row],[Profit]]/tblMaster[[#This Row],[Revenue]]</f>
        <v>0.3000000000000001</v>
      </c>
      <c r="V307" s="19">
        <f>tblMaster[[#This Row],[Delivery_Date]]-tblMaster[[#This Row],[Order_Date]]</f>
        <v>8</v>
      </c>
      <c r="W307" s="19" t="str">
        <f>TEXT(tblMaster[[#This Row],[Order_Date]],"mmmm")</f>
        <v>February</v>
      </c>
      <c r="X307" s="19">
        <f>MONTH(tblMaster[[#This Row],[Order_Date]])</f>
        <v>2</v>
      </c>
      <c r="Y307" s="19" t="str">
        <f>"Q"&amp;ROUNDUP(tblMaster[[#This Row],[Month Number]]/3,0)</f>
        <v>Q1</v>
      </c>
      <c r="Z307" s="19">
        <f>YEAR(tblMaster[[#This Row],[Order_Date]])</f>
        <v>2023</v>
      </c>
      <c r="AA307" s="19" t="str">
        <f>TEXT(DAY(tblMaster[[#This Row],[Order_Date]]),"dddd")</f>
        <v>Wednesday</v>
      </c>
      <c r="AB307" s="19" t="str">
        <f>IF(tblMaster[[#This Row],[Revenue]]&gt;=5000,"High",IF(tblMaster[[#This Row],[Revenue]]&lt;2000,"Low","Medium"))</f>
        <v>Medium</v>
      </c>
    </row>
    <row r="308" spans="1:28" x14ac:dyDescent="0.25">
      <c r="A308" s="7">
        <v>307</v>
      </c>
      <c r="B308" s="7" t="s">
        <v>190</v>
      </c>
      <c r="C308" s="4">
        <v>3</v>
      </c>
      <c r="D308" s="4">
        <v>1</v>
      </c>
      <c r="E308" s="8">
        <v>44961</v>
      </c>
      <c r="F308" s="9">
        <v>0.90131944444444445</v>
      </c>
      <c r="G308" s="8">
        <v>44965</v>
      </c>
      <c r="H308" s="9">
        <v>0.47789351851851852</v>
      </c>
      <c r="I308" s="7" t="s">
        <v>412</v>
      </c>
      <c r="J308" s="7" t="s">
        <v>12</v>
      </c>
      <c r="K308" s="18" t="str">
        <f>_xlfn.XLOOKUP(tblMaster[[#This Row],[Customer_ID]],tblCustomers[Customer_ID],tblCustomers[City],"Not Found",0)</f>
        <v>Ajmer</v>
      </c>
      <c r="L308" s="18" t="str">
        <f>_xlfn.XLOOKUP(tblMaster[[#This Row],[Customer_ID]],tblCustomers[Customer_ID],tblCustomers[Name],"Not Found",0)</f>
        <v>Eshani Sharma</v>
      </c>
      <c r="M308" s="18" t="str">
        <f>_xlfn.XLOOKUP(tblMaster[[#This Row],[Customer_ID]],tblCustomers[Customer_ID],tblCustomers[Gender],"Not Found",0)</f>
        <v>Male</v>
      </c>
      <c r="N308" s="18" t="str">
        <f>_xlfn.XLOOKUP(tblMaster[[#This Row],[Product_ID]],tblProducts[Product_ID],tblProducts[Product_Name],"Not Found",0)</f>
        <v>Eius Gift</v>
      </c>
      <c r="O308" s="18" t="str">
        <f>_xlfn.XLOOKUP(tblMaster[[#This Row],[Product_ID]],tblProducts[Product_ID],tblProducts[Category],"Not Found",0)</f>
        <v>Colors</v>
      </c>
      <c r="P308" s="18" t="str">
        <f>_xlfn.XLOOKUP(tblMaster[[#This Row],[Product_ID]],tblProducts[Product_ID],tblProducts[Occasion],"Not Found",0)</f>
        <v>Valentine's Day</v>
      </c>
      <c r="Q308" s="18">
        <f>_xlfn.XLOOKUP(tblMaster[[#This Row],[Product_ID]],tblProducts[Product_ID],tblProducts[Price (INR)],"Not Found",0)</f>
        <v>1534</v>
      </c>
      <c r="R308" s="19">
        <f>tblMaster[[#This Row],[Price]]*tblMaster[[#This Row],[Quantity]]</f>
        <v>1534</v>
      </c>
      <c r="S308" s="19">
        <f>tblMaster[[#This Row],[Price]]*0.7*tblMaster[[#This Row],[Quantity]]</f>
        <v>1073.8</v>
      </c>
      <c r="T308" s="19">
        <f>tblMaster[[#This Row],[Revenue]]-tblMaster[[#This Row],[Estimated Cost (at 70%) ]]</f>
        <v>460.20000000000005</v>
      </c>
      <c r="U308" s="19">
        <f>tblMaster[[#This Row],[Profit]]/tblMaster[[#This Row],[Revenue]]</f>
        <v>0.30000000000000004</v>
      </c>
      <c r="V308" s="19">
        <f>tblMaster[[#This Row],[Delivery_Date]]-tblMaster[[#This Row],[Order_Date]]</f>
        <v>4</v>
      </c>
      <c r="W308" s="19" t="str">
        <f>TEXT(tblMaster[[#This Row],[Order_Date]],"mmmm")</f>
        <v>February</v>
      </c>
      <c r="X308" s="19">
        <f>MONTH(tblMaster[[#This Row],[Order_Date]])</f>
        <v>2</v>
      </c>
      <c r="Y308" s="19" t="str">
        <f>"Q"&amp;ROUNDUP(tblMaster[[#This Row],[Month Number]]/3,0)</f>
        <v>Q1</v>
      </c>
      <c r="Z308" s="19">
        <f>YEAR(tblMaster[[#This Row],[Order_Date]])</f>
        <v>2023</v>
      </c>
      <c r="AA308" s="19" t="str">
        <f>TEXT(DAY(tblMaster[[#This Row],[Order_Date]]),"dddd")</f>
        <v>Wednesday</v>
      </c>
      <c r="AB308" s="19" t="str">
        <f>IF(tblMaster[[#This Row],[Revenue]]&gt;=5000,"High",IF(tblMaster[[#This Row],[Revenue]]&lt;2000,"Low","Medium"))</f>
        <v>Low</v>
      </c>
    </row>
    <row r="309" spans="1:28" x14ac:dyDescent="0.25">
      <c r="A309" s="10">
        <v>308</v>
      </c>
      <c r="B309" s="10" t="s">
        <v>463</v>
      </c>
      <c r="C309" s="5">
        <v>57</v>
      </c>
      <c r="D309" s="5">
        <v>1</v>
      </c>
      <c r="E309" s="11">
        <v>44994</v>
      </c>
      <c r="F309" s="12">
        <v>0.32929398148148148</v>
      </c>
      <c r="G309" s="11">
        <v>44997</v>
      </c>
      <c r="H309" s="12">
        <v>0.50791666666666668</v>
      </c>
      <c r="I309" s="10" t="s">
        <v>241</v>
      </c>
      <c r="J309" s="10" t="s">
        <v>36</v>
      </c>
      <c r="K309" s="18" t="str">
        <f>_xlfn.XLOOKUP(tblMaster[[#This Row],[Customer_ID]],tblCustomers[Customer_ID],tblCustomers[City],"Not Found",0)</f>
        <v>Kottayam</v>
      </c>
      <c r="L309" s="18" t="str">
        <f>_xlfn.XLOOKUP(tblMaster[[#This Row],[Customer_ID]],tblCustomers[Customer_ID],tblCustomers[Name],"Not Found",0)</f>
        <v>Hiran Kaul</v>
      </c>
      <c r="M309" s="18" t="str">
        <f>_xlfn.XLOOKUP(tblMaster[[#This Row],[Customer_ID]],tblCustomers[Customer_ID],tblCustomers[Gender],"Not Found",0)</f>
        <v>Male</v>
      </c>
      <c r="N309" s="18" t="str">
        <f>_xlfn.XLOOKUP(tblMaster[[#This Row],[Product_ID]],tblProducts[Product_ID],tblProducts[Product_Name],"Not Found",0)</f>
        <v>Voluptatem Box</v>
      </c>
      <c r="O309" s="18" t="str">
        <f>_xlfn.XLOOKUP(tblMaster[[#This Row],[Product_ID]],tblProducts[Product_ID],tblProducts[Category],"Not Found",0)</f>
        <v>Colors</v>
      </c>
      <c r="P309" s="18" t="str">
        <f>_xlfn.XLOOKUP(tblMaster[[#This Row],[Product_ID]],tblProducts[Product_ID],tblProducts[Occasion],"Not Found",0)</f>
        <v>Birthday</v>
      </c>
      <c r="Q309" s="18">
        <f>_xlfn.XLOOKUP(tblMaster[[#This Row],[Product_ID]],tblProducts[Product_ID],tblProducts[Price (INR)],"Not Found",0)</f>
        <v>1582</v>
      </c>
      <c r="R309" s="19">
        <f>tblMaster[[#This Row],[Price]]*tblMaster[[#This Row],[Quantity]]</f>
        <v>1582</v>
      </c>
      <c r="S309" s="19">
        <f>tblMaster[[#This Row],[Price]]*0.7*tblMaster[[#This Row],[Quantity]]</f>
        <v>1107.3999999999999</v>
      </c>
      <c r="T309" s="19">
        <f>tblMaster[[#This Row],[Revenue]]-tblMaster[[#This Row],[Estimated Cost (at 70%) ]]</f>
        <v>474.60000000000014</v>
      </c>
      <c r="U309" s="19">
        <f>tblMaster[[#This Row],[Profit]]/tblMaster[[#This Row],[Revenue]]</f>
        <v>0.3000000000000001</v>
      </c>
      <c r="V309" s="19">
        <f>tblMaster[[#This Row],[Delivery_Date]]-tblMaster[[#This Row],[Order_Date]]</f>
        <v>3</v>
      </c>
      <c r="W309" s="19" t="str">
        <f>TEXT(tblMaster[[#This Row],[Order_Date]],"mmmm")</f>
        <v>March</v>
      </c>
      <c r="X309" s="19">
        <f>MONTH(tblMaster[[#This Row],[Order_Date]])</f>
        <v>3</v>
      </c>
      <c r="Y309" s="19" t="str">
        <f>"Q"&amp;ROUNDUP(tblMaster[[#This Row],[Month Number]]/3,0)</f>
        <v>Q1</v>
      </c>
      <c r="Z309" s="19">
        <f>YEAR(tblMaster[[#This Row],[Order_Date]])</f>
        <v>2023</v>
      </c>
      <c r="AA309" s="19" t="str">
        <f>TEXT(DAY(tblMaster[[#This Row],[Order_Date]]),"dddd")</f>
        <v>Monday</v>
      </c>
      <c r="AB309" s="19" t="str">
        <f>IF(tblMaster[[#This Row],[Revenue]]&gt;=5000,"High",IF(tblMaster[[#This Row],[Revenue]]&lt;2000,"Low","Medium"))</f>
        <v>Low</v>
      </c>
    </row>
    <row r="310" spans="1:28" x14ac:dyDescent="0.25">
      <c r="A310" s="7">
        <v>309</v>
      </c>
      <c r="B310" s="7" t="s">
        <v>222</v>
      </c>
      <c r="C310" s="4">
        <v>60</v>
      </c>
      <c r="D310" s="4">
        <v>4</v>
      </c>
      <c r="E310" s="8">
        <v>45240</v>
      </c>
      <c r="F310" s="9">
        <v>0.27688657407407408</v>
      </c>
      <c r="G310" s="8">
        <v>45243</v>
      </c>
      <c r="H310" s="9">
        <v>0.21843750000000001</v>
      </c>
      <c r="I310" s="7" t="s">
        <v>360</v>
      </c>
      <c r="J310" s="7" t="s">
        <v>19</v>
      </c>
      <c r="K310" s="18" t="str">
        <f>_xlfn.XLOOKUP(tblMaster[[#This Row],[Customer_ID]],tblCustomers[Customer_ID],tblCustomers[City],"Not Found",0)</f>
        <v>Tiruppur</v>
      </c>
      <c r="L310" s="18" t="str">
        <f>_xlfn.XLOOKUP(tblMaster[[#This Row],[Customer_ID]],tblCustomers[Customer_ID],tblCustomers[Name],"Not Found",0)</f>
        <v>Purab Sheth</v>
      </c>
      <c r="M310" s="18" t="str">
        <f>_xlfn.XLOOKUP(tblMaster[[#This Row],[Customer_ID]],tblCustomers[Customer_ID],tblCustomers[Gender],"Not Found",0)</f>
        <v>Male</v>
      </c>
      <c r="N310" s="18" t="str">
        <f>_xlfn.XLOOKUP(tblMaster[[#This Row],[Product_ID]],tblProducts[Product_ID],tblProducts[Product_Name],"Not Found",0)</f>
        <v>Ea Set</v>
      </c>
      <c r="O310" s="18" t="str">
        <f>_xlfn.XLOOKUP(tblMaster[[#This Row],[Product_ID]],tblProducts[Product_ID],tblProducts[Category],"Not Found",0)</f>
        <v>Sweets</v>
      </c>
      <c r="P310" s="18" t="str">
        <f>_xlfn.XLOOKUP(tblMaster[[#This Row],[Product_ID]],tblProducts[Product_ID],tblProducts[Occasion],"Not Found",0)</f>
        <v>Diwali</v>
      </c>
      <c r="Q310" s="18">
        <f>_xlfn.XLOOKUP(tblMaster[[#This Row],[Product_ID]],tblProducts[Product_ID],tblProducts[Price (INR)],"Not Found",0)</f>
        <v>827</v>
      </c>
      <c r="R310" s="19">
        <f>tblMaster[[#This Row],[Price]]*tblMaster[[#This Row],[Quantity]]</f>
        <v>3308</v>
      </c>
      <c r="S310" s="19">
        <f>tblMaster[[#This Row],[Price]]*0.7*tblMaster[[#This Row],[Quantity]]</f>
        <v>2315.6</v>
      </c>
      <c r="T310" s="19">
        <f>tblMaster[[#This Row],[Revenue]]-tblMaster[[#This Row],[Estimated Cost (at 70%) ]]</f>
        <v>992.40000000000009</v>
      </c>
      <c r="U310" s="19">
        <f>tblMaster[[#This Row],[Profit]]/tblMaster[[#This Row],[Revenue]]</f>
        <v>0.30000000000000004</v>
      </c>
      <c r="V310" s="19">
        <f>tblMaster[[#This Row],[Delivery_Date]]-tblMaster[[#This Row],[Order_Date]]</f>
        <v>3</v>
      </c>
      <c r="W310" s="19" t="str">
        <f>TEXT(tblMaster[[#This Row],[Order_Date]],"mmmm")</f>
        <v>November</v>
      </c>
      <c r="X310" s="19">
        <f>MONTH(tblMaster[[#This Row],[Order_Date]])</f>
        <v>11</v>
      </c>
      <c r="Y310" s="19" t="str">
        <f>"Q"&amp;ROUNDUP(tblMaster[[#This Row],[Month Number]]/3,0)</f>
        <v>Q4</v>
      </c>
      <c r="Z310" s="19">
        <f>YEAR(tblMaster[[#This Row],[Order_Date]])</f>
        <v>2023</v>
      </c>
      <c r="AA310" s="19" t="str">
        <f>TEXT(DAY(tblMaster[[#This Row],[Order_Date]]),"dddd")</f>
        <v>Tuesday</v>
      </c>
      <c r="AB310" s="19" t="str">
        <f>IF(tblMaster[[#This Row],[Revenue]]&gt;=5000,"High",IF(tblMaster[[#This Row],[Revenue]]&lt;2000,"Low","Medium"))</f>
        <v>Medium</v>
      </c>
    </row>
    <row r="311" spans="1:28" x14ac:dyDescent="0.25">
      <c r="A311" s="10">
        <v>310</v>
      </c>
      <c r="B311" s="10" t="s">
        <v>302</v>
      </c>
      <c r="C311" s="5">
        <v>38</v>
      </c>
      <c r="D311" s="5">
        <v>3</v>
      </c>
      <c r="E311" s="11">
        <v>45158</v>
      </c>
      <c r="F311" s="12">
        <v>0.51692129629629635</v>
      </c>
      <c r="G311" s="11">
        <v>45162</v>
      </c>
      <c r="H311" s="12">
        <v>0.65472222222222221</v>
      </c>
      <c r="I311" s="10" t="s">
        <v>419</v>
      </c>
      <c r="J311" s="10" t="s">
        <v>36</v>
      </c>
      <c r="K311" s="18" t="str">
        <f>_xlfn.XLOOKUP(tblMaster[[#This Row],[Customer_ID]],tblCustomers[Customer_ID],tblCustomers[City],"Not Found",0)</f>
        <v>Kavali</v>
      </c>
      <c r="L311" s="18" t="str">
        <f>_xlfn.XLOOKUP(tblMaster[[#This Row],[Customer_ID]],tblCustomers[Customer_ID],tblCustomers[Name],"Not Found",0)</f>
        <v>Akarsh Ramesh</v>
      </c>
      <c r="M311" s="18" t="str">
        <f>_xlfn.XLOOKUP(tblMaster[[#This Row],[Customer_ID]],tblCustomers[Customer_ID],tblCustomers[Gender],"Not Found",0)</f>
        <v>Female</v>
      </c>
      <c r="N311" s="18" t="str">
        <f>_xlfn.XLOOKUP(tblMaster[[#This Row],[Product_ID]],tblProducts[Product_ID],tblProducts[Product_Name],"Not Found",0)</f>
        <v>Mollitia Set</v>
      </c>
      <c r="O311" s="18" t="str">
        <f>_xlfn.XLOOKUP(tblMaster[[#This Row],[Product_ID]],tblProducts[Product_ID],tblProducts[Category],"Not Found",0)</f>
        <v>Cake</v>
      </c>
      <c r="P311" s="18" t="str">
        <f>_xlfn.XLOOKUP(tblMaster[[#This Row],[Product_ID]],tblProducts[Product_ID],tblProducts[Occasion],"Not Found",0)</f>
        <v>Birthday</v>
      </c>
      <c r="Q311" s="18">
        <f>_xlfn.XLOOKUP(tblMaster[[#This Row],[Product_ID]],tblProducts[Product_ID],tblProducts[Price (INR)],"Not Found",0)</f>
        <v>562</v>
      </c>
      <c r="R311" s="19">
        <f>tblMaster[[#This Row],[Price]]*tblMaster[[#This Row],[Quantity]]</f>
        <v>1686</v>
      </c>
      <c r="S311" s="19">
        <f>tblMaster[[#This Row],[Price]]*0.7*tblMaster[[#This Row],[Quantity]]</f>
        <v>1180.1999999999998</v>
      </c>
      <c r="T311" s="19">
        <f>tblMaster[[#This Row],[Revenue]]-tblMaster[[#This Row],[Estimated Cost (at 70%) ]]</f>
        <v>505.80000000000018</v>
      </c>
      <c r="U311" s="19">
        <f>tblMaster[[#This Row],[Profit]]/tblMaster[[#This Row],[Revenue]]</f>
        <v>0.3000000000000001</v>
      </c>
      <c r="V311" s="19">
        <f>tblMaster[[#This Row],[Delivery_Date]]-tblMaster[[#This Row],[Order_Date]]</f>
        <v>4</v>
      </c>
      <c r="W311" s="19" t="str">
        <f>TEXT(tblMaster[[#This Row],[Order_Date]],"mmmm")</f>
        <v>August</v>
      </c>
      <c r="X311" s="19">
        <f>MONTH(tblMaster[[#This Row],[Order_Date]])</f>
        <v>8</v>
      </c>
      <c r="Y311" s="19" t="str">
        <f>"Q"&amp;ROUNDUP(tblMaster[[#This Row],[Month Number]]/3,0)</f>
        <v>Q3</v>
      </c>
      <c r="Z311" s="19">
        <f>YEAR(tblMaster[[#This Row],[Order_Date]])</f>
        <v>2023</v>
      </c>
      <c r="AA311" s="19" t="str">
        <f>TEXT(DAY(tblMaster[[#This Row],[Order_Date]]),"dddd")</f>
        <v>Friday</v>
      </c>
      <c r="AB311" s="19" t="str">
        <f>IF(tblMaster[[#This Row],[Revenue]]&gt;=5000,"High",IF(tblMaster[[#This Row],[Revenue]]&lt;2000,"Low","Medium"))</f>
        <v>Low</v>
      </c>
    </row>
    <row r="312" spans="1:28" x14ac:dyDescent="0.25">
      <c r="A312" s="7">
        <v>311</v>
      </c>
      <c r="B312" s="7" t="s">
        <v>341</v>
      </c>
      <c r="C312" s="4">
        <v>39</v>
      </c>
      <c r="D312" s="4">
        <v>2</v>
      </c>
      <c r="E312" s="8">
        <v>45171</v>
      </c>
      <c r="F312" s="9">
        <v>0.39359953703703704</v>
      </c>
      <c r="G312" s="8">
        <v>45181</v>
      </c>
      <c r="H312" s="9">
        <v>0.74424768518518514</v>
      </c>
      <c r="I312" s="7" t="s">
        <v>426</v>
      </c>
      <c r="J312" s="7" t="s">
        <v>8</v>
      </c>
      <c r="K312" s="18" t="str">
        <f>_xlfn.XLOOKUP(tblMaster[[#This Row],[Customer_ID]],tblCustomers[Customer_ID],tblCustomers[City],"Not Found",0)</f>
        <v>Kota</v>
      </c>
      <c r="L312" s="18" t="str">
        <f>_xlfn.XLOOKUP(tblMaster[[#This Row],[Customer_ID]],tblCustomers[Customer_ID],tblCustomers[Name],"Not Found",0)</f>
        <v>Aradhya Batta</v>
      </c>
      <c r="M312" s="18" t="str">
        <f>_xlfn.XLOOKUP(tblMaster[[#This Row],[Customer_ID]],tblCustomers[Customer_ID],tblCustomers[Gender],"Not Found",0)</f>
        <v>Female</v>
      </c>
      <c r="N312" s="18" t="str">
        <f>_xlfn.XLOOKUP(tblMaster[[#This Row],[Product_ID]],tblProducts[Product_ID],tblProducts[Product_Name],"Not Found",0)</f>
        <v>Voluptate Set</v>
      </c>
      <c r="O312" s="18" t="str">
        <f>_xlfn.XLOOKUP(tblMaster[[#This Row],[Product_ID]],tblProducts[Product_ID],tblProducts[Category],"Not Found",0)</f>
        <v>Mugs</v>
      </c>
      <c r="P312" s="18" t="str">
        <f>_xlfn.XLOOKUP(tblMaster[[#This Row],[Product_ID]],tblProducts[Product_ID],tblProducts[Occasion],"Not Found",0)</f>
        <v>All Occasions</v>
      </c>
      <c r="Q312" s="18">
        <f>_xlfn.XLOOKUP(tblMaster[[#This Row],[Product_ID]],tblProducts[Product_ID],tblProducts[Price (INR)],"Not Found",0)</f>
        <v>387</v>
      </c>
      <c r="R312" s="19">
        <f>tblMaster[[#This Row],[Price]]*tblMaster[[#This Row],[Quantity]]</f>
        <v>774</v>
      </c>
      <c r="S312" s="19">
        <f>tblMaster[[#This Row],[Price]]*0.7*tblMaster[[#This Row],[Quantity]]</f>
        <v>541.79999999999995</v>
      </c>
      <c r="T312" s="19">
        <f>tblMaster[[#This Row],[Revenue]]-tblMaster[[#This Row],[Estimated Cost (at 70%) ]]</f>
        <v>232.20000000000005</v>
      </c>
      <c r="U312" s="19">
        <f>tblMaster[[#This Row],[Profit]]/tblMaster[[#This Row],[Revenue]]</f>
        <v>0.30000000000000004</v>
      </c>
      <c r="V312" s="19">
        <f>tblMaster[[#This Row],[Delivery_Date]]-tblMaster[[#This Row],[Order_Date]]</f>
        <v>10</v>
      </c>
      <c r="W312" s="19" t="str">
        <f>TEXT(tblMaster[[#This Row],[Order_Date]],"mmmm")</f>
        <v>September</v>
      </c>
      <c r="X312" s="19">
        <f>MONTH(tblMaster[[#This Row],[Order_Date]])</f>
        <v>9</v>
      </c>
      <c r="Y312" s="19" t="str">
        <f>"Q"&amp;ROUNDUP(tblMaster[[#This Row],[Month Number]]/3,0)</f>
        <v>Q3</v>
      </c>
      <c r="Z312" s="19">
        <f>YEAR(tblMaster[[#This Row],[Order_Date]])</f>
        <v>2023</v>
      </c>
      <c r="AA312" s="19" t="str">
        <f>TEXT(DAY(tblMaster[[#This Row],[Order_Date]]),"dddd")</f>
        <v>Monday</v>
      </c>
      <c r="AB312" s="19" t="str">
        <f>IF(tblMaster[[#This Row],[Revenue]]&gt;=5000,"High",IF(tblMaster[[#This Row],[Revenue]]&lt;2000,"Low","Medium"))</f>
        <v>Low</v>
      </c>
    </row>
    <row r="313" spans="1:28" x14ac:dyDescent="0.25">
      <c r="A313" s="10">
        <v>312</v>
      </c>
      <c r="B313" s="10" t="s">
        <v>182</v>
      </c>
      <c r="C313" s="5">
        <v>9</v>
      </c>
      <c r="D313" s="5">
        <v>1</v>
      </c>
      <c r="E313" s="11">
        <v>45160</v>
      </c>
      <c r="F313" s="12">
        <v>0.76916666666666667</v>
      </c>
      <c r="G313" s="11">
        <v>45165</v>
      </c>
      <c r="H313" s="12">
        <v>0.25085648148148149</v>
      </c>
      <c r="I313" s="10" t="s">
        <v>464</v>
      </c>
      <c r="J313" s="10" t="s">
        <v>33</v>
      </c>
      <c r="K313" s="18" t="str">
        <f>_xlfn.XLOOKUP(tblMaster[[#This Row],[Customer_ID]],tblCustomers[Customer_ID],tblCustomers[City],"Not Found",0)</f>
        <v>Agra</v>
      </c>
      <c r="L313" s="18" t="str">
        <f>_xlfn.XLOOKUP(tblMaster[[#This Row],[Customer_ID]],tblCustomers[Customer_ID],tblCustomers[Name],"Not Found",0)</f>
        <v>Seher Mann</v>
      </c>
      <c r="M313" s="18" t="str">
        <f>_xlfn.XLOOKUP(tblMaster[[#This Row],[Customer_ID]],tblCustomers[Customer_ID],tblCustomers[Gender],"Not Found",0)</f>
        <v>Male</v>
      </c>
      <c r="N313" s="18" t="str">
        <f>_xlfn.XLOOKUP(tblMaster[[#This Row],[Product_ID]],tblProducts[Product_ID],tblProducts[Product_Name],"Not Found",0)</f>
        <v>Aperiam Box</v>
      </c>
      <c r="O313" s="18" t="str">
        <f>_xlfn.XLOOKUP(tblMaster[[#This Row],[Product_ID]],tblProducts[Product_ID],tblProducts[Category],"Not Found",0)</f>
        <v>Colors</v>
      </c>
      <c r="P313" s="18" t="str">
        <f>_xlfn.XLOOKUP(tblMaster[[#This Row],[Product_ID]],tblProducts[Product_ID],tblProducts[Occasion],"Not Found",0)</f>
        <v>Raksha Bandhan</v>
      </c>
      <c r="Q313" s="18">
        <f>_xlfn.XLOOKUP(tblMaster[[#This Row],[Product_ID]],tblProducts[Product_ID],tblProducts[Price (INR)],"Not Found",0)</f>
        <v>1605</v>
      </c>
      <c r="R313" s="19">
        <f>tblMaster[[#This Row],[Price]]*tblMaster[[#This Row],[Quantity]]</f>
        <v>1605</v>
      </c>
      <c r="S313" s="19">
        <f>tblMaster[[#This Row],[Price]]*0.7*tblMaster[[#This Row],[Quantity]]</f>
        <v>1123.5</v>
      </c>
      <c r="T313" s="19">
        <f>tblMaster[[#This Row],[Revenue]]-tblMaster[[#This Row],[Estimated Cost (at 70%) ]]</f>
        <v>481.5</v>
      </c>
      <c r="U313" s="19">
        <f>tblMaster[[#This Row],[Profit]]/tblMaster[[#This Row],[Revenue]]</f>
        <v>0.3</v>
      </c>
      <c r="V313" s="19">
        <f>tblMaster[[#This Row],[Delivery_Date]]-tblMaster[[#This Row],[Order_Date]]</f>
        <v>5</v>
      </c>
      <c r="W313" s="19" t="str">
        <f>TEXT(tblMaster[[#This Row],[Order_Date]],"mmmm")</f>
        <v>August</v>
      </c>
      <c r="X313" s="19">
        <f>MONTH(tblMaster[[#This Row],[Order_Date]])</f>
        <v>8</v>
      </c>
      <c r="Y313" s="19" t="str">
        <f>"Q"&amp;ROUNDUP(tblMaster[[#This Row],[Month Number]]/3,0)</f>
        <v>Q3</v>
      </c>
      <c r="Z313" s="19">
        <f>YEAR(tblMaster[[#This Row],[Order_Date]])</f>
        <v>2023</v>
      </c>
      <c r="AA313" s="19" t="str">
        <f>TEXT(DAY(tblMaster[[#This Row],[Order_Date]]),"dddd")</f>
        <v>Sunday</v>
      </c>
      <c r="AB313" s="19" t="str">
        <f>IF(tblMaster[[#This Row],[Revenue]]&gt;=5000,"High",IF(tblMaster[[#This Row],[Revenue]]&lt;2000,"Low","Medium"))</f>
        <v>Low</v>
      </c>
    </row>
    <row r="314" spans="1:28" x14ac:dyDescent="0.25">
      <c r="A314" s="7">
        <v>313</v>
      </c>
      <c r="B314" s="7" t="s">
        <v>195</v>
      </c>
      <c r="C314" s="4">
        <v>30</v>
      </c>
      <c r="D314" s="4">
        <v>2</v>
      </c>
      <c r="E314" s="8">
        <v>45129</v>
      </c>
      <c r="F314" s="9">
        <v>0.80866898148148147</v>
      </c>
      <c r="G314" s="8">
        <v>45133</v>
      </c>
      <c r="H314" s="9">
        <v>0.25431712962962966</v>
      </c>
      <c r="I314" s="7" t="s">
        <v>465</v>
      </c>
      <c r="J314" s="7" t="s">
        <v>30</v>
      </c>
      <c r="K314" s="18" t="str">
        <f>_xlfn.XLOOKUP(tblMaster[[#This Row],[Customer_ID]],tblCustomers[Customer_ID],tblCustomers[City],"Not Found",0)</f>
        <v>Haridwar</v>
      </c>
      <c r="L314" s="18" t="str">
        <f>_xlfn.XLOOKUP(tblMaster[[#This Row],[Customer_ID]],tblCustomers[Customer_ID],tblCustomers[Name],"Not Found",0)</f>
        <v>Pihu Choudhury</v>
      </c>
      <c r="M314" s="18" t="str">
        <f>_xlfn.XLOOKUP(tblMaster[[#This Row],[Customer_ID]],tblCustomers[Customer_ID],tblCustomers[Gender],"Not Found",0)</f>
        <v>Male</v>
      </c>
      <c r="N314" s="18" t="str">
        <f>_xlfn.XLOOKUP(tblMaster[[#This Row],[Product_ID]],tblProducts[Product_ID],tblProducts[Product_Name],"Not Found",0)</f>
        <v>Recusandae Pack</v>
      </c>
      <c r="O314" s="18" t="str">
        <f>_xlfn.XLOOKUP(tblMaster[[#This Row],[Product_ID]],tblProducts[Product_ID],tblProducts[Category],"Not Found",0)</f>
        <v>Colors</v>
      </c>
      <c r="P314" s="18" t="str">
        <f>_xlfn.XLOOKUP(tblMaster[[#This Row],[Product_ID]],tblProducts[Product_ID],tblProducts[Occasion],"Not Found",0)</f>
        <v>Anniversary</v>
      </c>
      <c r="Q314" s="18">
        <f>_xlfn.XLOOKUP(tblMaster[[#This Row],[Product_ID]],tblProducts[Product_ID],tblProducts[Price (INR)],"Not Found",0)</f>
        <v>751</v>
      </c>
      <c r="R314" s="19">
        <f>tblMaster[[#This Row],[Price]]*tblMaster[[#This Row],[Quantity]]</f>
        <v>1502</v>
      </c>
      <c r="S314" s="19">
        <f>tblMaster[[#This Row],[Price]]*0.7*tblMaster[[#This Row],[Quantity]]</f>
        <v>1051.3999999999999</v>
      </c>
      <c r="T314" s="19">
        <f>tblMaster[[#This Row],[Revenue]]-tblMaster[[#This Row],[Estimated Cost (at 70%) ]]</f>
        <v>450.60000000000014</v>
      </c>
      <c r="U314" s="19">
        <f>tblMaster[[#This Row],[Profit]]/tblMaster[[#This Row],[Revenue]]</f>
        <v>0.3000000000000001</v>
      </c>
      <c r="V314" s="19">
        <f>tblMaster[[#This Row],[Delivery_Date]]-tblMaster[[#This Row],[Order_Date]]</f>
        <v>4</v>
      </c>
      <c r="W314" s="19" t="str">
        <f>TEXT(tblMaster[[#This Row],[Order_Date]],"mmmm")</f>
        <v>July</v>
      </c>
      <c r="X314" s="19">
        <f>MONTH(tblMaster[[#This Row],[Order_Date]])</f>
        <v>7</v>
      </c>
      <c r="Y314" s="19" t="str">
        <f>"Q"&amp;ROUNDUP(tblMaster[[#This Row],[Month Number]]/3,0)</f>
        <v>Q3</v>
      </c>
      <c r="Z314" s="19">
        <f>YEAR(tblMaster[[#This Row],[Order_Date]])</f>
        <v>2023</v>
      </c>
      <c r="AA314" s="19" t="str">
        <f>TEXT(DAY(tblMaster[[#This Row],[Order_Date]]),"dddd")</f>
        <v>Sunday</v>
      </c>
      <c r="AB314" s="19" t="str">
        <f>IF(tblMaster[[#This Row],[Revenue]]&gt;=5000,"High",IF(tblMaster[[#This Row],[Revenue]]&lt;2000,"Low","Medium"))</f>
        <v>Low</v>
      </c>
    </row>
    <row r="315" spans="1:28" x14ac:dyDescent="0.25">
      <c r="A315" s="10">
        <v>314</v>
      </c>
      <c r="B315" s="10" t="s">
        <v>170</v>
      </c>
      <c r="C315" s="5">
        <v>43</v>
      </c>
      <c r="D315" s="5">
        <v>4</v>
      </c>
      <c r="E315" s="11">
        <v>45235</v>
      </c>
      <c r="F315" s="12">
        <v>0.49214120370370368</v>
      </c>
      <c r="G315" s="11">
        <v>45245</v>
      </c>
      <c r="H315" s="12">
        <v>0.20515046296296297</v>
      </c>
      <c r="I315" s="10" t="s">
        <v>379</v>
      </c>
      <c r="J315" s="10" t="s">
        <v>19</v>
      </c>
      <c r="K315" s="18" t="str">
        <f>_xlfn.XLOOKUP(tblMaster[[#This Row],[Customer_ID]],tblCustomers[Customer_ID],tblCustomers[City],"Not Found",0)</f>
        <v>Haridwar</v>
      </c>
      <c r="L315" s="18" t="str">
        <f>_xlfn.XLOOKUP(tblMaster[[#This Row],[Customer_ID]],tblCustomers[Customer_ID],tblCustomers[Name],"Not Found",0)</f>
        <v>Badal Sathe</v>
      </c>
      <c r="M315" s="18" t="str">
        <f>_xlfn.XLOOKUP(tblMaster[[#This Row],[Customer_ID]],tblCustomers[Customer_ID],tblCustomers[Gender],"Not Found",0)</f>
        <v>Female</v>
      </c>
      <c r="N315" s="18" t="str">
        <f>_xlfn.XLOOKUP(tblMaster[[#This Row],[Product_ID]],tblProducts[Product_ID],tblProducts[Product_Name],"Not Found",0)</f>
        <v>Quisquam Pack</v>
      </c>
      <c r="O315" s="18" t="str">
        <f>_xlfn.XLOOKUP(tblMaster[[#This Row],[Product_ID]],tblProducts[Product_ID],tblProducts[Category],"Not Found",0)</f>
        <v>Raksha Bandhan</v>
      </c>
      <c r="P315" s="18" t="str">
        <f>_xlfn.XLOOKUP(tblMaster[[#This Row],[Product_ID]],tblProducts[Product_ID],tblProducts[Occasion],"Not Found",0)</f>
        <v>Diwali</v>
      </c>
      <c r="Q315" s="18">
        <f>_xlfn.XLOOKUP(tblMaster[[#This Row],[Product_ID]],tblProducts[Product_ID],tblProducts[Price (INR)],"Not Found",0)</f>
        <v>750</v>
      </c>
      <c r="R315" s="19">
        <f>tblMaster[[#This Row],[Price]]*tblMaster[[#This Row],[Quantity]]</f>
        <v>3000</v>
      </c>
      <c r="S315" s="19">
        <f>tblMaster[[#This Row],[Price]]*0.7*tblMaster[[#This Row],[Quantity]]</f>
        <v>2100</v>
      </c>
      <c r="T315" s="19">
        <f>tblMaster[[#This Row],[Revenue]]-tblMaster[[#This Row],[Estimated Cost (at 70%) ]]</f>
        <v>900</v>
      </c>
      <c r="U315" s="19">
        <f>tblMaster[[#This Row],[Profit]]/tblMaster[[#This Row],[Revenue]]</f>
        <v>0.3</v>
      </c>
      <c r="V315" s="19">
        <f>tblMaster[[#This Row],[Delivery_Date]]-tblMaster[[#This Row],[Order_Date]]</f>
        <v>10</v>
      </c>
      <c r="W315" s="19" t="str">
        <f>TEXT(tblMaster[[#This Row],[Order_Date]],"mmmm")</f>
        <v>November</v>
      </c>
      <c r="X315" s="19">
        <f>MONTH(tblMaster[[#This Row],[Order_Date]])</f>
        <v>11</v>
      </c>
      <c r="Y315" s="19" t="str">
        <f>"Q"&amp;ROUNDUP(tblMaster[[#This Row],[Month Number]]/3,0)</f>
        <v>Q4</v>
      </c>
      <c r="Z315" s="19">
        <f>YEAR(tblMaster[[#This Row],[Order_Date]])</f>
        <v>2023</v>
      </c>
      <c r="AA315" s="19" t="str">
        <f>TEXT(DAY(tblMaster[[#This Row],[Order_Date]]),"dddd")</f>
        <v>Thursday</v>
      </c>
      <c r="AB315" s="19" t="str">
        <f>IF(tblMaster[[#This Row],[Revenue]]&gt;=5000,"High",IF(tblMaster[[#This Row],[Revenue]]&lt;2000,"Low","Medium"))</f>
        <v>Medium</v>
      </c>
    </row>
    <row r="316" spans="1:28" x14ac:dyDescent="0.25">
      <c r="A316" s="7">
        <v>315</v>
      </c>
      <c r="B316" s="7" t="s">
        <v>213</v>
      </c>
      <c r="C316" s="4">
        <v>26</v>
      </c>
      <c r="D316" s="4">
        <v>5</v>
      </c>
      <c r="E316" s="8">
        <v>44991</v>
      </c>
      <c r="F316" s="9">
        <v>0.59827546296296297</v>
      </c>
      <c r="G316" s="8">
        <v>44994</v>
      </c>
      <c r="H316" s="9">
        <v>0.80579861111111106</v>
      </c>
      <c r="I316" s="7" t="s">
        <v>466</v>
      </c>
      <c r="J316" s="7" t="s">
        <v>25</v>
      </c>
      <c r="K316" s="18" t="str">
        <f>_xlfn.XLOOKUP(tblMaster[[#This Row],[Customer_ID]],tblCustomers[Customer_ID],tblCustomers[City],"Not Found",0)</f>
        <v>Jamnagar</v>
      </c>
      <c r="L316" s="18" t="str">
        <f>_xlfn.XLOOKUP(tblMaster[[#This Row],[Customer_ID]],tblCustomers[Customer_ID],tblCustomers[Name],"Not Found",0)</f>
        <v>Arhaan Ahluwalia</v>
      </c>
      <c r="M316" s="18" t="str">
        <f>_xlfn.XLOOKUP(tblMaster[[#This Row],[Customer_ID]],tblCustomers[Customer_ID],tblCustomers[Gender],"Not Found",0)</f>
        <v>Male</v>
      </c>
      <c r="N316" s="18" t="str">
        <f>_xlfn.XLOOKUP(tblMaster[[#This Row],[Product_ID]],tblProducts[Product_ID],tblProducts[Product_Name],"Not Found",0)</f>
        <v>Aliquam Box</v>
      </c>
      <c r="O316" s="18" t="str">
        <f>_xlfn.XLOOKUP(tblMaster[[#This Row],[Product_ID]],tblProducts[Product_ID],tblProducts[Category],"Not Found",0)</f>
        <v>Colors</v>
      </c>
      <c r="P316" s="18" t="str">
        <f>_xlfn.XLOOKUP(tblMaster[[#This Row],[Product_ID]],tblProducts[Product_ID],tblProducts[Occasion],"Not Found",0)</f>
        <v>Holi</v>
      </c>
      <c r="Q316" s="18">
        <f>_xlfn.XLOOKUP(tblMaster[[#This Row],[Product_ID]],tblProducts[Product_ID],tblProducts[Price (INR)],"Not Found",0)</f>
        <v>289</v>
      </c>
      <c r="R316" s="19">
        <f>tblMaster[[#This Row],[Price]]*tblMaster[[#This Row],[Quantity]]</f>
        <v>1445</v>
      </c>
      <c r="S316" s="19">
        <f>tblMaster[[#This Row],[Price]]*0.7*tblMaster[[#This Row],[Quantity]]</f>
        <v>1011.4999999999999</v>
      </c>
      <c r="T316" s="19">
        <f>tblMaster[[#This Row],[Revenue]]-tblMaster[[#This Row],[Estimated Cost (at 70%) ]]</f>
        <v>433.50000000000011</v>
      </c>
      <c r="U316" s="19">
        <f>tblMaster[[#This Row],[Profit]]/tblMaster[[#This Row],[Revenue]]</f>
        <v>0.3000000000000001</v>
      </c>
      <c r="V316" s="19">
        <f>tblMaster[[#This Row],[Delivery_Date]]-tblMaster[[#This Row],[Order_Date]]</f>
        <v>3</v>
      </c>
      <c r="W316" s="19" t="str">
        <f>TEXT(tblMaster[[#This Row],[Order_Date]],"mmmm")</f>
        <v>March</v>
      </c>
      <c r="X316" s="19">
        <f>MONTH(tblMaster[[#This Row],[Order_Date]])</f>
        <v>3</v>
      </c>
      <c r="Y316" s="19" t="str">
        <f>"Q"&amp;ROUNDUP(tblMaster[[#This Row],[Month Number]]/3,0)</f>
        <v>Q1</v>
      </c>
      <c r="Z316" s="19">
        <f>YEAR(tblMaster[[#This Row],[Order_Date]])</f>
        <v>2023</v>
      </c>
      <c r="AA316" s="19" t="str">
        <f>TEXT(DAY(tblMaster[[#This Row],[Order_Date]]),"dddd")</f>
        <v>Friday</v>
      </c>
      <c r="AB316" s="19" t="str">
        <f>IF(tblMaster[[#This Row],[Revenue]]&gt;=5000,"High",IF(tblMaster[[#This Row],[Revenue]]&lt;2000,"Low","Medium"))</f>
        <v>Low</v>
      </c>
    </row>
    <row r="317" spans="1:28" x14ac:dyDescent="0.25">
      <c r="A317" s="10">
        <v>316</v>
      </c>
      <c r="B317" s="10" t="s">
        <v>331</v>
      </c>
      <c r="C317" s="5">
        <v>2</v>
      </c>
      <c r="D317" s="5">
        <v>5</v>
      </c>
      <c r="E317" s="11">
        <v>44968</v>
      </c>
      <c r="F317" s="12">
        <v>0.89936342592592589</v>
      </c>
      <c r="G317" s="11">
        <v>44972</v>
      </c>
      <c r="H317" s="12">
        <v>0.30682870370370369</v>
      </c>
      <c r="I317" s="10" t="s">
        <v>455</v>
      </c>
      <c r="J317" s="10" t="s">
        <v>12</v>
      </c>
      <c r="K317" s="18" t="str">
        <f>_xlfn.XLOOKUP(tblMaster[[#This Row],[Customer_ID]],tblCustomers[Customer_ID],tblCustomers[City],"Not Found",0)</f>
        <v>Guntakal</v>
      </c>
      <c r="L317" s="18" t="str">
        <f>_xlfn.XLOOKUP(tblMaster[[#This Row],[Customer_ID]],tblCustomers[Customer_ID],tblCustomers[Name],"Not Found",0)</f>
        <v>Aradhya Kale</v>
      </c>
      <c r="M317" s="18" t="str">
        <f>_xlfn.XLOOKUP(tblMaster[[#This Row],[Customer_ID]],tblCustomers[Customer_ID],tblCustomers[Gender],"Not Found",0)</f>
        <v>Male</v>
      </c>
      <c r="N317" s="18" t="str">
        <f>_xlfn.XLOOKUP(tblMaster[[#This Row],[Product_ID]],tblProducts[Product_ID],tblProducts[Product_Name],"Not Found",0)</f>
        <v>Voluptas Box</v>
      </c>
      <c r="O317" s="18" t="str">
        <f>_xlfn.XLOOKUP(tblMaster[[#This Row],[Product_ID]],tblProducts[Product_ID],tblProducts[Category],"Not Found",0)</f>
        <v>Plants</v>
      </c>
      <c r="P317" s="18" t="str">
        <f>_xlfn.XLOOKUP(tblMaster[[#This Row],[Product_ID]],tblProducts[Product_ID],tblProducts[Occasion],"Not Found",0)</f>
        <v>Valentine's Day</v>
      </c>
      <c r="Q317" s="18">
        <f>_xlfn.XLOOKUP(tblMaster[[#This Row],[Product_ID]],tblProducts[Product_ID],tblProducts[Price (INR)],"Not Found",0)</f>
        <v>441</v>
      </c>
      <c r="R317" s="19">
        <f>tblMaster[[#This Row],[Price]]*tblMaster[[#This Row],[Quantity]]</f>
        <v>2205</v>
      </c>
      <c r="S317" s="19">
        <f>tblMaster[[#This Row],[Price]]*0.7*tblMaster[[#This Row],[Quantity]]</f>
        <v>1543.5</v>
      </c>
      <c r="T317" s="19">
        <f>tblMaster[[#This Row],[Revenue]]-tblMaster[[#This Row],[Estimated Cost (at 70%) ]]</f>
        <v>661.5</v>
      </c>
      <c r="U317" s="19">
        <f>tblMaster[[#This Row],[Profit]]/tblMaster[[#This Row],[Revenue]]</f>
        <v>0.3</v>
      </c>
      <c r="V317" s="19">
        <f>tblMaster[[#This Row],[Delivery_Date]]-tblMaster[[#This Row],[Order_Date]]</f>
        <v>4</v>
      </c>
      <c r="W317" s="19" t="str">
        <f>TEXT(tblMaster[[#This Row],[Order_Date]],"mmmm")</f>
        <v>February</v>
      </c>
      <c r="X317" s="19">
        <f>MONTH(tblMaster[[#This Row],[Order_Date]])</f>
        <v>2</v>
      </c>
      <c r="Y317" s="19" t="str">
        <f>"Q"&amp;ROUNDUP(tblMaster[[#This Row],[Month Number]]/3,0)</f>
        <v>Q1</v>
      </c>
      <c r="Z317" s="19">
        <f>YEAR(tblMaster[[#This Row],[Order_Date]])</f>
        <v>2023</v>
      </c>
      <c r="AA317" s="19" t="str">
        <f>TEXT(DAY(tblMaster[[#This Row],[Order_Date]]),"dddd")</f>
        <v>Wednesday</v>
      </c>
      <c r="AB317" s="19" t="str">
        <f>IF(tblMaster[[#This Row],[Revenue]]&gt;=5000,"High",IF(tblMaster[[#This Row],[Revenue]]&lt;2000,"Low","Medium"))</f>
        <v>Medium</v>
      </c>
    </row>
    <row r="318" spans="1:28" x14ac:dyDescent="0.25">
      <c r="A318" s="7">
        <v>317</v>
      </c>
      <c r="B318" s="7" t="s">
        <v>248</v>
      </c>
      <c r="C318" s="4">
        <v>29</v>
      </c>
      <c r="D318" s="4">
        <v>3</v>
      </c>
      <c r="E318" s="8">
        <v>44992</v>
      </c>
      <c r="F318" s="9">
        <v>0.7857291666666667</v>
      </c>
      <c r="G318" s="8">
        <v>45000</v>
      </c>
      <c r="H318" s="9">
        <v>0.67557870370370365</v>
      </c>
      <c r="I318" s="7" t="s">
        <v>317</v>
      </c>
      <c r="J318" s="7" t="s">
        <v>25</v>
      </c>
      <c r="K318" s="18" t="str">
        <f>_xlfn.XLOOKUP(tblMaster[[#This Row],[Customer_ID]],tblCustomers[Customer_ID],tblCustomers[City],"Not Found",0)</f>
        <v>Panvel</v>
      </c>
      <c r="L318" s="18" t="str">
        <f>_xlfn.XLOOKUP(tblMaster[[#This Row],[Customer_ID]],tblCustomers[Customer_ID],tblCustomers[Name],"Not Found",0)</f>
        <v>Indrans Shukla</v>
      </c>
      <c r="M318" s="18" t="str">
        <f>_xlfn.XLOOKUP(tblMaster[[#This Row],[Customer_ID]],tblCustomers[Customer_ID],tblCustomers[Gender],"Not Found",0)</f>
        <v>Female</v>
      </c>
      <c r="N318" s="18" t="str">
        <f>_xlfn.XLOOKUP(tblMaster[[#This Row],[Product_ID]],tblProducts[Product_ID],tblProducts[Product_Name],"Not Found",0)</f>
        <v>In Set</v>
      </c>
      <c r="O318" s="18" t="str">
        <f>_xlfn.XLOOKUP(tblMaster[[#This Row],[Product_ID]],tblProducts[Product_ID],tblProducts[Category],"Not Found",0)</f>
        <v>Colors</v>
      </c>
      <c r="P318" s="18" t="str">
        <f>_xlfn.XLOOKUP(tblMaster[[#This Row],[Product_ID]],tblProducts[Product_ID],tblProducts[Occasion],"Not Found",0)</f>
        <v>Holi</v>
      </c>
      <c r="Q318" s="18">
        <f>_xlfn.XLOOKUP(tblMaster[[#This Row],[Product_ID]],tblProducts[Product_ID],tblProducts[Price (INR)],"Not Found",0)</f>
        <v>1252</v>
      </c>
      <c r="R318" s="19">
        <f>tblMaster[[#This Row],[Price]]*tblMaster[[#This Row],[Quantity]]</f>
        <v>3756</v>
      </c>
      <c r="S318" s="19">
        <f>tblMaster[[#This Row],[Price]]*0.7*tblMaster[[#This Row],[Quantity]]</f>
        <v>2629.2</v>
      </c>
      <c r="T318" s="19">
        <f>tblMaster[[#This Row],[Revenue]]-tblMaster[[#This Row],[Estimated Cost (at 70%) ]]</f>
        <v>1126.8000000000002</v>
      </c>
      <c r="U318" s="19">
        <f>tblMaster[[#This Row],[Profit]]/tblMaster[[#This Row],[Revenue]]</f>
        <v>0.30000000000000004</v>
      </c>
      <c r="V318" s="19">
        <f>tblMaster[[#This Row],[Delivery_Date]]-tblMaster[[#This Row],[Order_Date]]</f>
        <v>8</v>
      </c>
      <c r="W318" s="19" t="str">
        <f>TEXT(tblMaster[[#This Row],[Order_Date]],"mmmm")</f>
        <v>March</v>
      </c>
      <c r="X318" s="19">
        <f>MONTH(tblMaster[[#This Row],[Order_Date]])</f>
        <v>3</v>
      </c>
      <c r="Y318" s="19" t="str">
        <f>"Q"&amp;ROUNDUP(tblMaster[[#This Row],[Month Number]]/3,0)</f>
        <v>Q1</v>
      </c>
      <c r="Z318" s="19">
        <f>YEAR(tblMaster[[#This Row],[Order_Date]])</f>
        <v>2023</v>
      </c>
      <c r="AA318" s="19" t="str">
        <f>TEXT(DAY(tblMaster[[#This Row],[Order_Date]]),"dddd")</f>
        <v>Saturday</v>
      </c>
      <c r="AB318" s="19" t="str">
        <f>IF(tblMaster[[#This Row],[Revenue]]&gt;=5000,"High",IF(tblMaster[[#This Row],[Revenue]]&lt;2000,"Low","Medium"))</f>
        <v>Medium</v>
      </c>
    </row>
    <row r="319" spans="1:28" x14ac:dyDescent="0.25">
      <c r="A319" s="10">
        <v>318</v>
      </c>
      <c r="B319" s="10" t="s">
        <v>293</v>
      </c>
      <c r="C319" s="5">
        <v>26</v>
      </c>
      <c r="D319" s="5">
        <v>5</v>
      </c>
      <c r="E319" s="11">
        <v>44992</v>
      </c>
      <c r="F319" s="12">
        <v>0.51098379629629631</v>
      </c>
      <c r="G319" s="11">
        <v>44996</v>
      </c>
      <c r="H319" s="12">
        <v>0.66651620370370368</v>
      </c>
      <c r="I319" s="10" t="s">
        <v>467</v>
      </c>
      <c r="J319" s="10" t="s">
        <v>25</v>
      </c>
      <c r="K319" s="18" t="str">
        <f>_xlfn.XLOOKUP(tblMaster[[#This Row],[Customer_ID]],tblCustomers[Customer_ID],tblCustomers[City],"Not Found",0)</f>
        <v>Aizawl</v>
      </c>
      <c r="L319" s="18" t="str">
        <f>_xlfn.XLOOKUP(tblMaster[[#This Row],[Customer_ID]],tblCustomers[Customer_ID],tblCustomers[Name],"Not Found",0)</f>
        <v>Yakshit Shah</v>
      </c>
      <c r="M319" s="18" t="str">
        <f>_xlfn.XLOOKUP(tblMaster[[#This Row],[Customer_ID]],tblCustomers[Customer_ID],tblCustomers[Gender],"Not Found",0)</f>
        <v>Female</v>
      </c>
      <c r="N319" s="18" t="str">
        <f>_xlfn.XLOOKUP(tblMaster[[#This Row],[Product_ID]],tblProducts[Product_ID],tblProducts[Product_Name],"Not Found",0)</f>
        <v>Aliquam Box</v>
      </c>
      <c r="O319" s="18" t="str">
        <f>_xlfn.XLOOKUP(tblMaster[[#This Row],[Product_ID]],tblProducts[Product_ID],tblProducts[Category],"Not Found",0)</f>
        <v>Colors</v>
      </c>
      <c r="P319" s="18" t="str">
        <f>_xlfn.XLOOKUP(tblMaster[[#This Row],[Product_ID]],tblProducts[Product_ID],tblProducts[Occasion],"Not Found",0)</f>
        <v>Holi</v>
      </c>
      <c r="Q319" s="18">
        <f>_xlfn.XLOOKUP(tblMaster[[#This Row],[Product_ID]],tblProducts[Product_ID],tblProducts[Price (INR)],"Not Found",0)</f>
        <v>289</v>
      </c>
      <c r="R319" s="19">
        <f>tblMaster[[#This Row],[Price]]*tblMaster[[#This Row],[Quantity]]</f>
        <v>1445</v>
      </c>
      <c r="S319" s="19">
        <f>tblMaster[[#This Row],[Price]]*0.7*tblMaster[[#This Row],[Quantity]]</f>
        <v>1011.4999999999999</v>
      </c>
      <c r="T319" s="19">
        <f>tblMaster[[#This Row],[Revenue]]-tblMaster[[#This Row],[Estimated Cost (at 70%) ]]</f>
        <v>433.50000000000011</v>
      </c>
      <c r="U319" s="19">
        <f>tblMaster[[#This Row],[Profit]]/tblMaster[[#This Row],[Revenue]]</f>
        <v>0.3000000000000001</v>
      </c>
      <c r="V319" s="19">
        <f>tblMaster[[#This Row],[Delivery_Date]]-tblMaster[[#This Row],[Order_Date]]</f>
        <v>4</v>
      </c>
      <c r="W319" s="19" t="str">
        <f>TEXT(tblMaster[[#This Row],[Order_Date]],"mmmm")</f>
        <v>March</v>
      </c>
      <c r="X319" s="19">
        <f>MONTH(tblMaster[[#This Row],[Order_Date]])</f>
        <v>3</v>
      </c>
      <c r="Y319" s="19" t="str">
        <f>"Q"&amp;ROUNDUP(tblMaster[[#This Row],[Month Number]]/3,0)</f>
        <v>Q1</v>
      </c>
      <c r="Z319" s="19">
        <f>YEAR(tblMaster[[#This Row],[Order_Date]])</f>
        <v>2023</v>
      </c>
      <c r="AA319" s="19" t="str">
        <f>TEXT(DAY(tblMaster[[#This Row],[Order_Date]]),"dddd")</f>
        <v>Saturday</v>
      </c>
      <c r="AB319" s="19" t="str">
        <f>IF(tblMaster[[#This Row],[Revenue]]&gt;=5000,"High",IF(tblMaster[[#This Row],[Revenue]]&lt;2000,"Low","Medium"))</f>
        <v>Low</v>
      </c>
    </row>
    <row r="320" spans="1:28" x14ac:dyDescent="0.25">
      <c r="A320" s="7">
        <v>319</v>
      </c>
      <c r="B320" s="7" t="s">
        <v>182</v>
      </c>
      <c r="C320" s="4">
        <v>64</v>
      </c>
      <c r="D320" s="4">
        <v>1</v>
      </c>
      <c r="E320" s="8">
        <v>45158</v>
      </c>
      <c r="F320" s="9">
        <v>0.26605324074074072</v>
      </c>
      <c r="G320" s="8">
        <v>45164</v>
      </c>
      <c r="H320" s="9">
        <v>0.94748842592592597</v>
      </c>
      <c r="I320" s="7" t="s">
        <v>468</v>
      </c>
      <c r="J320" s="7" t="s">
        <v>33</v>
      </c>
      <c r="K320" s="18" t="str">
        <f>_xlfn.XLOOKUP(tblMaster[[#This Row],[Customer_ID]],tblCustomers[Customer_ID],tblCustomers[City],"Not Found",0)</f>
        <v>Agra</v>
      </c>
      <c r="L320" s="18" t="str">
        <f>_xlfn.XLOOKUP(tblMaster[[#This Row],[Customer_ID]],tblCustomers[Customer_ID],tblCustomers[Name],"Not Found",0)</f>
        <v>Seher Mann</v>
      </c>
      <c r="M320" s="18" t="str">
        <f>_xlfn.XLOOKUP(tblMaster[[#This Row],[Customer_ID]],tblCustomers[Customer_ID],tblCustomers[Gender],"Not Found",0)</f>
        <v>Male</v>
      </c>
      <c r="N320" s="18" t="str">
        <f>_xlfn.XLOOKUP(tblMaster[[#This Row],[Product_ID]],tblProducts[Product_ID],tblProducts[Product_Name],"Not Found",0)</f>
        <v>Nostrum Box</v>
      </c>
      <c r="O320" s="18" t="str">
        <f>_xlfn.XLOOKUP(tblMaster[[#This Row],[Product_ID]],tblProducts[Product_ID],tblProducts[Category],"Not Found",0)</f>
        <v>Soft Toys</v>
      </c>
      <c r="P320" s="18" t="str">
        <f>_xlfn.XLOOKUP(tblMaster[[#This Row],[Product_ID]],tblProducts[Product_ID],tblProducts[Occasion],"Not Found",0)</f>
        <v>Raksha Bandhan</v>
      </c>
      <c r="Q320" s="18">
        <f>_xlfn.XLOOKUP(tblMaster[[#This Row],[Product_ID]],tblProducts[Product_ID],tblProducts[Price (INR)],"Not Found",0)</f>
        <v>1878</v>
      </c>
      <c r="R320" s="19">
        <f>tblMaster[[#This Row],[Price]]*tblMaster[[#This Row],[Quantity]]</f>
        <v>1878</v>
      </c>
      <c r="S320" s="19">
        <f>tblMaster[[#This Row],[Price]]*0.7*tblMaster[[#This Row],[Quantity]]</f>
        <v>1314.6</v>
      </c>
      <c r="T320" s="19">
        <f>tblMaster[[#This Row],[Revenue]]-tblMaster[[#This Row],[Estimated Cost (at 70%) ]]</f>
        <v>563.40000000000009</v>
      </c>
      <c r="U320" s="19">
        <f>tblMaster[[#This Row],[Profit]]/tblMaster[[#This Row],[Revenue]]</f>
        <v>0.30000000000000004</v>
      </c>
      <c r="V320" s="19">
        <f>tblMaster[[#This Row],[Delivery_Date]]-tblMaster[[#This Row],[Order_Date]]</f>
        <v>6</v>
      </c>
      <c r="W320" s="19" t="str">
        <f>TEXT(tblMaster[[#This Row],[Order_Date]],"mmmm")</f>
        <v>August</v>
      </c>
      <c r="X320" s="19">
        <f>MONTH(tblMaster[[#This Row],[Order_Date]])</f>
        <v>8</v>
      </c>
      <c r="Y320" s="19" t="str">
        <f>"Q"&amp;ROUNDUP(tblMaster[[#This Row],[Month Number]]/3,0)</f>
        <v>Q3</v>
      </c>
      <c r="Z320" s="19">
        <f>YEAR(tblMaster[[#This Row],[Order_Date]])</f>
        <v>2023</v>
      </c>
      <c r="AA320" s="19" t="str">
        <f>TEXT(DAY(tblMaster[[#This Row],[Order_Date]]),"dddd")</f>
        <v>Friday</v>
      </c>
      <c r="AB320" s="19" t="str">
        <f>IF(tblMaster[[#This Row],[Revenue]]&gt;=5000,"High",IF(tblMaster[[#This Row],[Revenue]]&lt;2000,"Low","Medium"))</f>
        <v>Low</v>
      </c>
    </row>
    <row r="321" spans="1:28" x14ac:dyDescent="0.25">
      <c r="A321" s="10">
        <v>320</v>
      </c>
      <c r="B321" s="10" t="s">
        <v>369</v>
      </c>
      <c r="C321" s="5">
        <v>13</v>
      </c>
      <c r="D321" s="5">
        <v>1</v>
      </c>
      <c r="E321" s="11">
        <v>44986</v>
      </c>
      <c r="F321" s="12">
        <v>0.32633101851851853</v>
      </c>
      <c r="G321" s="11">
        <v>44993</v>
      </c>
      <c r="H321" s="12">
        <v>0.35996527777777776</v>
      </c>
      <c r="I321" s="10" t="s">
        <v>423</v>
      </c>
      <c r="J321" s="10" t="s">
        <v>25</v>
      </c>
      <c r="K321" s="18" t="str">
        <f>_xlfn.XLOOKUP(tblMaster[[#This Row],[Customer_ID]],tblCustomers[Customer_ID],tblCustomers[City],"Not Found",0)</f>
        <v>Berhampore</v>
      </c>
      <c r="L321" s="18" t="str">
        <f>_xlfn.XLOOKUP(tblMaster[[#This Row],[Customer_ID]],tblCustomers[Customer_ID],tblCustomers[Name],"Not Found",0)</f>
        <v>Jayant Kamdar</v>
      </c>
      <c r="M321" s="18" t="str">
        <f>_xlfn.XLOOKUP(tblMaster[[#This Row],[Customer_ID]],tblCustomers[Customer_ID],tblCustomers[Gender],"Not Found",0)</f>
        <v>Male</v>
      </c>
      <c r="N321" s="18" t="str">
        <f>_xlfn.XLOOKUP(tblMaster[[#This Row],[Product_ID]],tblProducts[Product_ID],tblProducts[Product_Name],"Not Found",0)</f>
        <v>Et Set</v>
      </c>
      <c r="O321" s="18" t="str">
        <f>_xlfn.XLOOKUP(tblMaster[[#This Row],[Product_ID]],tblProducts[Product_ID],tblProducts[Category],"Not Found",0)</f>
        <v>Mugs</v>
      </c>
      <c r="P321" s="18" t="str">
        <f>_xlfn.XLOOKUP(tblMaster[[#This Row],[Product_ID]],tblProducts[Product_ID],tblProducts[Occasion],"Not Found",0)</f>
        <v>Holi</v>
      </c>
      <c r="Q321" s="18">
        <f>_xlfn.XLOOKUP(tblMaster[[#This Row],[Product_ID]],tblProducts[Product_ID],tblProducts[Price (INR)],"Not Found",0)</f>
        <v>1141</v>
      </c>
      <c r="R321" s="19">
        <f>tblMaster[[#This Row],[Price]]*tblMaster[[#This Row],[Quantity]]</f>
        <v>1141</v>
      </c>
      <c r="S321" s="19">
        <f>tblMaster[[#This Row],[Price]]*0.7*tblMaster[[#This Row],[Quantity]]</f>
        <v>798.69999999999993</v>
      </c>
      <c r="T321" s="19">
        <f>tblMaster[[#This Row],[Revenue]]-tblMaster[[#This Row],[Estimated Cost (at 70%) ]]</f>
        <v>342.30000000000007</v>
      </c>
      <c r="U321" s="19">
        <f>tblMaster[[#This Row],[Profit]]/tblMaster[[#This Row],[Revenue]]</f>
        <v>0.30000000000000004</v>
      </c>
      <c r="V321" s="19">
        <f>tblMaster[[#This Row],[Delivery_Date]]-tblMaster[[#This Row],[Order_Date]]</f>
        <v>7</v>
      </c>
      <c r="W321" s="19" t="str">
        <f>TEXT(tblMaster[[#This Row],[Order_Date]],"mmmm")</f>
        <v>March</v>
      </c>
      <c r="X321" s="19">
        <f>MONTH(tblMaster[[#This Row],[Order_Date]])</f>
        <v>3</v>
      </c>
      <c r="Y321" s="19" t="str">
        <f>"Q"&amp;ROUNDUP(tblMaster[[#This Row],[Month Number]]/3,0)</f>
        <v>Q1</v>
      </c>
      <c r="Z321" s="19">
        <f>YEAR(tblMaster[[#This Row],[Order_Date]])</f>
        <v>2023</v>
      </c>
      <c r="AA321" s="19" t="str">
        <f>TEXT(DAY(tblMaster[[#This Row],[Order_Date]]),"dddd")</f>
        <v>Sunday</v>
      </c>
      <c r="AB321" s="19" t="str">
        <f>IF(tblMaster[[#This Row],[Revenue]]&gt;=5000,"High",IF(tblMaster[[#This Row],[Revenue]]&lt;2000,"Low","Medium"))</f>
        <v>Low</v>
      </c>
    </row>
    <row r="322" spans="1:28" x14ac:dyDescent="0.25">
      <c r="A322" s="7">
        <v>321</v>
      </c>
      <c r="B322" s="7" t="s">
        <v>367</v>
      </c>
      <c r="C322" s="4">
        <v>12</v>
      </c>
      <c r="D322" s="4">
        <v>5</v>
      </c>
      <c r="E322" s="8">
        <v>44993</v>
      </c>
      <c r="F322" s="9">
        <v>0.47714120370370372</v>
      </c>
      <c r="G322" s="8">
        <v>45002</v>
      </c>
      <c r="H322" s="9">
        <v>0.41091435185185188</v>
      </c>
      <c r="I322" s="7" t="s">
        <v>469</v>
      </c>
      <c r="J322" s="7" t="s">
        <v>30</v>
      </c>
      <c r="K322" s="18" t="str">
        <f>_xlfn.XLOOKUP(tblMaster[[#This Row],[Customer_ID]],tblCustomers[Customer_ID],tblCustomers[City],"Not Found",0)</f>
        <v>Imphal</v>
      </c>
      <c r="L322" s="18" t="str">
        <f>_xlfn.XLOOKUP(tblMaster[[#This Row],[Customer_ID]],tblCustomers[Customer_ID],tblCustomers[Name],"Not Found",0)</f>
        <v>Aarush Balasubramanian</v>
      </c>
      <c r="M322" s="18" t="str">
        <f>_xlfn.XLOOKUP(tblMaster[[#This Row],[Customer_ID]],tblCustomers[Customer_ID],tblCustomers[Gender],"Not Found",0)</f>
        <v>Female</v>
      </c>
      <c r="N322" s="18" t="str">
        <f>_xlfn.XLOOKUP(tblMaster[[#This Row],[Product_ID]],tblProducts[Product_ID],tblProducts[Product_Name],"Not Found",0)</f>
        <v>Non Set</v>
      </c>
      <c r="O322" s="18" t="str">
        <f>_xlfn.XLOOKUP(tblMaster[[#This Row],[Product_ID]],tblProducts[Product_ID],tblProducts[Category],"Not Found",0)</f>
        <v>Plants</v>
      </c>
      <c r="P322" s="18" t="str">
        <f>_xlfn.XLOOKUP(tblMaster[[#This Row],[Product_ID]],tblProducts[Product_ID],tblProducts[Occasion],"Not Found",0)</f>
        <v>Anniversary</v>
      </c>
      <c r="Q322" s="18">
        <f>_xlfn.XLOOKUP(tblMaster[[#This Row],[Product_ID]],tblProducts[Product_ID],tblProducts[Price (INR)],"Not Found",0)</f>
        <v>672</v>
      </c>
      <c r="R322" s="19">
        <f>tblMaster[[#This Row],[Price]]*tblMaster[[#This Row],[Quantity]]</f>
        <v>3360</v>
      </c>
      <c r="S322" s="19">
        <f>tblMaster[[#This Row],[Price]]*0.7*tblMaster[[#This Row],[Quantity]]</f>
        <v>2352</v>
      </c>
      <c r="T322" s="19">
        <f>tblMaster[[#This Row],[Revenue]]-tblMaster[[#This Row],[Estimated Cost (at 70%) ]]</f>
        <v>1008</v>
      </c>
      <c r="U322" s="19">
        <f>tblMaster[[#This Row],[Profit]]/tblMaster[[#This Row],[Revenue]]</f>
        <v>0.3</v>
      </c>
      <c r="V322" s="19">
        <f>tblMaster[[#This Row],[Delivery_Date]]-tblMaster[[#This Row],[Order_Date]]</f>
        <v>9</v>
      </c>
      <c r="W322" s="19" t="str">
        <f>TEXT(tblMaster[[#This Row],[Order_Date]],"mmmm")</f>
        <v>March</v>
      </c>
      <c r="X322" s="19">
        <f>MONTH(tblMaster[[#This Row],[Order_Date]])</f>
        <v>3</v>
      </c>
      <c r="Y322" s="19" t="str">
        <f>"Q"&amp;ROUNDUP(tblMaster[[#This Row],[Month Number]]/3,0)</f>
        <v>Q1</v>
      </c>
      <c r="Z322" s="19">
        <f>YEAR(tblMaster[[#This Row],[Order_Date]])</f>
        <v>2023</v>
      </c>
      <c r="AA322" s="19" t="str">
        <f>TEXT(DAY(tblMaster[[#This Row],[Order_Date]]),"dddd")</f>
        <v>Sunday</v>
      </c>
      <c r="AB322" s="19" t="str">
        <f>IF(tblMaster[[#This Row],[Revenue]]&gt;=5000,"High",IF(tblMaster[[#This Row],[Revenue]]&lt;2000,"Low","Medium"))</f>
        <v>Medium</v>
      </c>
    </row>
    <row r="323" spans="1:28" x14ac:dyDescent="0.25">
      <c r="A323" s="10">
        <v>322</v>
      </c>
      <c r="B323" s="10" t="s">
        <v>195</v>
      </c>
      <c r="C323" s="5">
        <v>15</v>
      </c>
      <c r="D323" s="5">
        <v>1</v>
      </c>
      <c r="E323" s="11">
        <v>45027</v>
      </c>
      <c r="F323" s="12">
        <v>0.35568287037037039</v>
      </c>
      <c r="G323" s="11">
        <v>45031</v>
      </c>
      <c r="H323" s="12">
        <v>0.14614583333333334</v>
      </c>
      <c r="I323" s="10" t="s">
        <v>470</v>
      </c>
      <c r="J323" s="10" t="s">
        <v>30</v>
      </c>
      <c r="K323" s="18" t="str">
        <f>_xlfn.XLOOKUP(tblMaster[[#This Row],[Customer_ID]],tblCustomers[Customer_ID],tblCustomers[City],"Not Found",0)</f>
        <v>Haridwar</v>
      </c>
      <c r="L323" s="18" t="str">
        <f>_xlfn.XLOOKUP(tblMaster[[#This Row],[Customer_ID]],tblCustomers[Customer_ID],tblCustomers[Name],"Not Found",0)</f>
        <v>Pihu Choudhury</v>
      </c>
      <c r="M323" s="18" t="str">
        <f>_xlfn.XLOOKUP(tblMaster[[#This Row],[Customer_ID]],tblCustomers[Customer_ID],tblCustomers[Gender],"Not Found",0)</f>
        <v>Male</v>
      </c>
      <c r="N323" s="18" t="str">
        <f>_xlfn.XLOOKUP(tblMaster[[#This Row],[Product_ID]],tblProducts[Product_ID],tblProducts[Product_Name],"Not Found",0)</f>
        <v>Repudiandae Box</v>
      </c>
      <c r="O323" s="18" t="str">
        <f>_xlfn.XLOOKUP(tblMaster[[#This Row],[Product_ID]],tblProducts[Product_ID],tblProducts[Category],"Not Found",0)</f>
        <v>Raksha Bandhan</v>
      </c>
      <c r="P323" s="18" t="str">
        <f>_xlfn.XLOOKUP(tblMaster[[#This Row],[Product_ID]],tblProducts[Product_ID],tblProducts[Occasion],"Not Found",0)</f>
        <v>Anniversary</v>
      </c>
      <c r="Q323" s="18">
        <f>_xlfn.XLOOKUP(tblMaster[[#This Row],[Product_ID]],tblProducts[Product_ID],tblProducts[Price (INR)],"Not Found",0)</f>
        <v>1488</v>
      </c>
      <c r="R323" s="19">
        <f>tblMaster[[#This Row],[Price]]*tblMaster[[#This Row],[Quantity]]</f>
        <v>1488</v>
      </c>
      <c r="S323" s="19">
        <f>tblMaster[[#This Row],[Price]]*0.7*tblMaster[[#This Row],[Quantity]]</f>
        <v>1041.5999999999999</v>
      </c>
      <c r="T323" s="19">
        <f>tblMaster[[#This Row],[Revenue]]-tblMaster[[#This Row],[Estimated Cost (at 70%) ]]</f>
        <v>446.40000000000009</v>
      </c>
      <c r="U323" s="19">
        <f>tblMaster[[#This Row],[Profit]]/tblMaster[[#This Row],[Revenue]]</f>
        <v>0.30000000000000004</v>
      </c>
      <c r="V323" s="19">
        <f>tblMaster[[#This Row],[Delivery_Date]]-tblMaster[[#This Row],[Order_Date]]</f>
        <v>4</v>
      </c>
      <c r="W323" s="19" t="str">
        <f>TEXT(tblMaster[[#This Row],[Order_Date]],"mmmm")</f>
        <v>April</v>
      </c>
      <c r="X323" s="19">
        <f>MONTH(tblMaster[[#This Row],[Order_Date]])</f>
        <v>4</v>
      </c>
      <c r="Y323" s="19" t="str">
        <f>"Q"&amp;ROUNDUP(tblMaster[[#This Row],[Month Number]]/3,0)</f>
        <v>Q2</v>
      </c>
      <c r="Z323" s="19">
        <f>YEAR(tblMaster[[#This Row],[Order_Date]])</f>
        <v>2023</v>
      </c>
      <c r="AA323" s="19" t="str">
        <f>TEXT(DAY(tblMaster[[#This Row],[Order_Date]]),"dddd")</f>
        <v>Wednesday</v>
      </c>
      <c r="AB323" s="19" t="str">
        <f>IF(tblMaster[[#This Row],[Revenue]]&gt;=5000,"High",IF(tblMaster[[#This Row],[Revenue]]&lt;2000,"Low","Medium"))</f>
        <v>Low</v>
      </c>
    </row>
    <row r="324" spans="1:28" x14ac:dyDescent="0.25">
      <c r="A324" s="7">
        <v>323</v>
      </c>
      <c r="B324" s="7" t="s">
        <v>193</v>
      </c>
      <c r="C324" s="4">
        <v>23</v>
      </c>
      <c r="D324" s="4">
        <v>2</v>
      </c>
      <c r="E324" s="8">
        <v>44966</v>
      </c>
      <c r="F324" s="9">
        <v>0.75907407407407412</v>
      </c>
      <c r="G324" s="8">
        <v>44967</v>
      </c>
      <c r="H324" s="9">
        <v>0.43234953703703705</v>
      </c>
      <c r="I324" s="7" t="s">
        <v>443</v>
      </c>
      <c r="J324" s="7" t="s">
        <v>30</v>
      </c>
      <c r="K324" s="18" t="str">
        <f>_xlfn.XLOOKUP(tblMaster[[#This Row],[Customer_ID]],tblCustomers[Customer_ID],tblCustomers[City],"Not Found",0)</f>
        <v>Mangalore</v>
      </c>
      <c r="L324" s="18" t="str">
        <f>_xlfn.XLOOKUP(tblMaster[[#This Row],[Customer_ID]],tblCustomers[Customer_ID],tblCustomers[Name],"Not Found",0)</f>
        <v>Manikya Goswami</v>
      </c>
      <c r="M324" s="18" t="str">
        <f>_xlfn.XLOOKUP(tblMaster[[#This Row],[Customer_ID]],tblCustomers[Customer_ID],tblCustomers[Gender],"Not Found",0)</f>
        <v>Female</v>
      </c>
      <c r="N324" s="18" t="str">
        <f>_xlfn.XLOOKUP(tblMaster[[#This Row],[Product_ID]],tblProducts[Product_ID],tblProducts[Product_Name],"Not Found",0)</f>
        <v>Dignissimos Pack</v>
      </c>
      <c r="O324" s="18" t="str">
        <f>_xlfn.XLOOKUP(tblMaster[[#This Row],[Product_ID]],tblProducts[Product_ID],tblProducts[Category],"Not Found",0)</f>
        <v>Sweets</v>
      </c>
      <c r="P324" s="18" t="str">
        <f>_xlfn.XLOOKUP(tblMaster[[#This Row],[Product_ID]],tblProducts[Product_ID],tblProducts[Occasion],"Not Found",0)</f>
        <v>Anniversary</v>
      </c>
      <c r="Q324" s="18">
        <f>_xlfn.XLOOKUP(tblMaster[[#This Row],[Product_ID]],tblProducts[Product_ID],tblProducts[Price (INR)],"Not Found",0)</f>
        <v>1098</v>
      </c>
      <c r="R324" s="19">
        <f>tblMaster[[#This Row],[Price]]*tblMaster[[#This Row],[Quantity]]</f>
        <v>2196</v>
      </c>
      <c r="S324" s="19">
        <f>tblMaster[[#This Row],[Price]]*0.7*tblMaster[[#This Row],[Quantity]]</f>
        <v>1537.1999999999998</v>
      </c>
      <c r="T324" s="19">
        <f>tblMaster[[#This Row],[Revenue]]-tblMaster[[#This Row],[Estimated Cost (at 70%) ]]</f>
        <v>658.80000000000018</v>
      </c>
      <c r="U324" s="19">
        <f>tblMaster[[#This Row],[Profit]]/tblMaster[[#This Row],[Revenue]]</f>
        <v>0.3000000000000001</v>
      </c>
      <c r="V324" s="19">
        <f>tblMaster[[#This Row],[Delivery_Date]]-tblMaster[[#This Row],[Order_Date]]</f>
        <v>1</v>
      </c>
      <c r="W324" s="19" t="str">
        <f>TEXT(tblMaster[[#This Row],[Order_Date]],"mmmm")</f>
        <v>February</v>
      </c>
      <c r="X324" s="19">
        <f>MONTH(tblMaster[[#This Row],[Order_Date]])</f>
        <v>2</v>
      </c>
      <c r="Y324" s="19" t="str">
        <f>"Q"&amp;ROUNDUP(tblMaster[[#This Row],[Month Number]]/3,0)</f>
        <v>Q1</v>
      </c>
      <c r="Z324" s="19">
        <f>YEAR(tblMaster[[#This Row],[Order_Date]])</f>
        <v>2023</v>
      </c>
      <c r="AA324" s="19" t="str">
        <f>TEXT(DAY(tblMaster[[#This Row],[Order_Date]]),"dddd")</f>
        <v>Monday</v>
      </c>
      <c r="AB324" s="19" t="str">
        <f>IF(tblMaster[[#This Row],[Revenue]]&gt;=5000,"High",IF(tblMaster[[#This Row],[Revenue]]&lt;2000,"Low","Medium"))</f>
        <v>Medium</v>
      </c>
    </row>
    <row r="325" spans="1:28" x14ac:dyDescent="0.25">
      <c r="A325" s="10">
        <v>324</v>
      </c>
      <c r="B325" s="10" t="s">
        <v>471</v>
      </c>
      <c r="C325" s="5">
        <v>14</v>
      </c>
      <c r="D325" s="5">
        <v>2</v>
      </c>
      <c r="E325" s="11">
        <v>44959</v>
      </c>
      <c r="F325" s="12">
        <v>0.78296296296296297</v>
      </c>
      <c r="G325" s="11">
        <v>44968</v>
      </c>
      <c r="H325" s="12">
        <v>0.64923611111111112</v>
      </c>
      <c r="I325" s="10" t="s">
        <v>472</v>
      </c>
      <c r="J325" s="10" t="s">
        <v>36</v>
      </c>
      <c r="K325" s="18" t="str">
        <f>_xlfn.XLOOKUP(tblMaster[[#This Row],[Customer_ID]],tblCustomers[Customer_ID],tblCustomers[City],"Not Found",0)</f>
        <v>Parbhani</v>
      </c>
      <c r="L325" s="18" t="str">
        <f>_xlfn.XLOOKUP(tblMaster[[#This Row],[Customer_ID]],tblCustomers[Customer_ID],tblCustomers[Name],"Not Found",0)</f>
        <v>Zeeshan Tailor</v>
      </c>
      <c r="M325" s="18" t="str">
        <f>_xlfn.XLOOKUP(tblMaster[[#This Row],[Customer_ID]],tblCustomers[Customer_ID],tblCustomers[Gender],"Not Found",0)</f>
        <v>Male</v>
      </c>
      <c r="N325" s="18" t="str">
        <f>_xlfn.XLOOKUP(tblMaster[[#This Row],[Product_ID]],tblProducts[Product_ID],tblProducts[Product_Name],"Not Found",0)</f>
        <v>Deserunt Box</v>
      </c>
      <c r="O325" s="18" t="str">
        <f>_xlfn.XLOOKUP(tblMaster[[#This Row],[Product_ID]],tblProducts[Product_ID],tblProducts[Category],"Not Found",0)</f>
        <v>Colors</v>
      </c>
      <c r="P325" s="18" t="str">
        <f>_xlfn.XLOOKUP(tblMaster[[#This Row],[Product_ID]],tblProducts[Product_ID],tblProducts[Occasion],"Not Found",0)</f>
        <v>Birthday</v>
      </c>
      <c r="Q325" s="18">
        <f>_xlfn.XLOOKUP(tblMaster[[#This Row],[Product_ID]],tblProducts[Product_ID],tblProducts[Price (INR)],"Not Found",0)</f>
        <v>1915</v>
      </c>
      <c r="R325" s="19">
        <f>tblMaster[[#This Row],[Price]]*tblMaster[[#This Row],[Quantity]]</f>
        <v>3830</v>
      </c>
      <c r="S325" s="19">
        <f>tblMaster[[#This Row],[Price]]*0.7*tblMaster[[#This Row],[Quantity]]</f>
        <v>2681</v>
      </c>
      <c r="T325" s="19">
        <f>tblMaster[[#This Row],[Revenue]]-tblMaster[[#This Row],[Estimated Cost (at 70%) ]]</f>
        <v>1149</v>
      </c>
      <c r="U325" s="19">
        <f>tblMaster[[#This Row],[Profit]]/tblMaster[[#This Row],[Revenue]]</f>
        <v>0.3</v>
      </c>
      <c r="V325" s="19">
        <f>tblMaster[[#This Row],[Delivery_Date]]-tblMaster[[#This Row],[Order_Date]]</f>
        <v>9</v>
      </c>
      <c r="W325" s="19" t="str">
        <f>TEXT(tblMaster[[#This Row],[Order_Date]],"mmmm")</f>
        <v>February</v>
      </c>
      <c r="X325" s="19">
        <f>MONTH(tblMaster[[#This Row],[Order_Date]])</f>
        <v>2</v>
      </c>
      <c r="Y325" s="19" t="str">
        <f>"Q"&amp;ROUNDUP(tblMaster[[#This Row],[Month Number]]/3,0)</f>
        <v>Q1</v>
      </c>
      <c r="Z325" s="19">
        <f>YEAR(tblMaster[[#This Row],[Order_Date]])</f>
        <v>2023</v>
      </c>
      <c r="AA325" s="19" t="str">
        <f>TEXT(DAY(tblMaster[[#This Row],[Order_Date]]),"dddd")</f>
        <v>Monday</v>
      </c>
      <c r="AB325" s="19" t="str">
        <f>IF(tblMaster[[#This Row],[Revenue]]&gt;=5000,"High",IF(tblMaster[[#This Row],[Revenue]]&lt;2000,"Low","Medium"))</f>
        <v>Medium</v>
      </c>
    </row>
    <row r="326" spans="1:28" x14ac:dyDescent="0.25">
      <c r="A326" s="7">
        <v>325</v>
      </c>
      <c r="B326" s="7" t="s">
        <v>210</v>
      </c>
      <c r="C326" s="4">
        <v>27</v>
      </c>
      <c r="D326" s="4">
        <v>5</v>
      </c>
      <c r="E326" s="8">
        <v>45163</v>
      </c>
      <c r="F326" s="9">
        <v>0.77135416666666667</v>
      </c>
      <c r="G326" s="8">
        <v>45173</v>
      </c>
      <c r="H326" s="9">
        <v>0.83515046296296291</v>
      </c>
      <c r="I326" s="7" t="s">
        <v>351</v>
      </c>
      <c r="J326" s="7" t="s">
        <v>33</v>
      </c>
      <c r="K326" s="18" t="str">
        <f>_xlfn.XLOOKUP(tblMaster[[#This Row],[Customer_ID]],tblCustomers[Customer_ID],tblCustomers[City],"Not Found",0)</f>
        <v>New Delhi</v>
      </c>
      <c r="L326" s="18" t="str">
        <f>_xlfn.XLOOKUP(tblMaster[[#This Row],[Customer_ID]],tblCustomers[Customer_ID],tblCustomers[Name],"Not Found",0)</f>
        <v>Adira Rajan</v>
      </c>
      <c r="M326" s="18" t="str">
        <f>_xlfn.XLOOKUP(tblMaster[[#This Row],[Customer_ID]],tblCustomers[Customer_ID],tblCustomers[Gender],"Not Found",0)</f>
        <v>Female</v>
      </c>
      <c r="N326" s="18" t="str">
        <f>_xlfn.XLOOKUP(tblMaster[[#This Row],[Product_ID]],tblProducts[Product_ID],tblProducts[Product_Name],"Not Found",0)</f>
        <v>Architecto Gift</v>
      </c>
      <c r="O326" s="18" t="str">
        <f>_xlfn.XLOOKUP(tblMaster[[#This Row],[Product_ID]],tblProducts[Product_ID],tblProducts[Category],"Not Found",0)</f>
        <v>Cake</v>
      </c>
      <c r="P326" s="18" t="str">
        <f>_xlfn.XLOOKUP(tblMaster[[#This Row],[Product_ID]],tblProducts[Product_ID],tblProducts[Occasion],"Not Found",0)</f>
        <v>Raksha Bandhan</v>
      </c>
      <c r="Q326" s="18">
        <f>_xlfn.XLOOKUP(tblMaster[[#This Row],[Product_ID]],tblProducts[Product_ID],tblProducts[Price (INR)],"Not Found",0)</f>
        <v>548</v>
      </c>
      <c r="R326" s="19">
        <f>tblMaster[[#This Row],[Price]]*tblMaster[[#This Row],[Quantity]]</f>
        <v>2740</v>
      </c>
      <c r="S326" s="19">
        <f>tblMaster[[#This Row],[Price]]*0.7*tblMaster[[#This Row],[Quantity]]</f>
        <v>1917.9999999999998</v>
      </c>
      <c r="T326" s="19">
        <f>tblMaster[[#This Row],[Revenue]]-tblMaster[[#This Row],[Estimated Cost (at 70%) ]]</f>
        <v>822.00000000000023</v>
      </c>
      <c r="U326" s="19">
        <f>tblMaster[[#This Row],[Profit]]/tblMaster[[#This Row],[Revenue]]</f>
        <v>0.3000000000000001</v>
      </c>
      <c r="V326" s="19">
        <f>tblMaster[[#This Row],[Delivery_Date]]-tblMaster[[#This Row],[Order_Date]]</f>
        <v>10</v>
      </c>
      <c r="W326" s="19" t="str">
        <f>TEXT(tblMaster[[#This Row],[Order_Date]],"mmmm")</f>
        <v>August</v>
      </c>
      <c r="X326" s="19">
        <f>MONTH(tblMaster[[#This Row],[Order_Date]])</f>
        <v>8</v>
      </c>
      <c r="Y326" s="19" t="str">
        <f>"Q"&amp;ROUNDUP(tblMaster[[#This Row],[Month Number]]/3,0)</f>
        <v>Q3</v>
      </c>
      <c r="Z326" s="19">
        <f>YEAR(tblMaster[[#This Row],[Order_Date]])</f>
        <v>2023</v>
      </c>
      <c r="AA326" s="19" t="str">
        <f>TEXT(DAY(tblMaster[[#This Row],[Order_Date]]),"dddd")</f>
        <v>Wednesday</v>
      </c>
      <c r="AB326" s="19" t="str">
        <f>IF(tblMaster[[#This Row],[Revenue]]&gt;=5000,"High",IF(tblMaster[[#This Row],[Revenue]]&lt;2000,"Low","Medium"))</f>
        <v>Medium</v>
      </c>
    </row>
    <row r="327" spans="1:28" x14ac:dyDescent="0.25">
      <c r="A327" s="10">
        <v>326</v>
      </c>
      <c r="B327" s="10" t="s">
        <v>215</v>
      </c>
      <c r="C327" s="5">
        <v>34</v>
      </c>
      <c r="D327" s="5">
        <v>3</v>
      </c>
      <c r="E327" s="11">
        <v>45165</v>
      </c>
      <c r="F327" s="12">
        <v>0.65214120370370365</v>
      </c>
      <c r="G327" s="11">
        <v>45172</v>
      </c>
      <c r="H327" s="12">
        <v>0.64828703703703705</v>
      </c>
      <c r="I327" s="10" t="s">
        <v>473</v>
      </c>
      <c r="J327" s="10" t="s">
        <v>33</v>
      </c>
      <c r="K327" s="18" t="str">
        <f>_xlfn.XLOOKUP(tblMaster[[#This Row],[Customer_ID]],tblCustomers[Customer_ID],tblCustomers[City],"Not Found",0)</f>
        <v xml:space="preserve">Khora </v>
      </c>
      <c r="L327" s="18" t="str">
        <f>_xlfn.XLOOKUP(tblMaster[[#This Row],[Customer_ID]],tblCustomers[Customer_ID],tblCustomers[Name],"Not Found",0)</f>
        <v>Shalv Kulkarni</v>
      </c>
      <c r="M327" s="18" t="str">
        <f>_xlfn.XLOOKUP(tblMaster[[#This Row],[Customer_ID]],tblCustomers[Customer_ID],tblCustomers[Gender],"Not Found",0)</f>
        <v>Female</v>
      </c>
      <c r="N327" s="18" t="str">
        <f>_xlfn.XLOOKUP(tblMaster[[#This Row],[Product_ID]],tblProducts[Product_ID],tblProducts[Product_Name],"Not Found",0)</f>
        <v>Placeat Pack</v>
      </c>
      <c r="O327" s="18" t="str">
        <f>_xlfn.XLOOKUP(tblMaster[[#This Row],[Product_ID]],tblProducts[Product_ID],tblProducts[Category],"Not Found",0)</f>
        <v>Soft Toys</v>
      </c>
      <c r="P327" s="18" t="str">
        <f>_xlfn.XLOOKUP(tblMaster[[#This Row],[Product_ID]],tblProducts[Product_ID],tblProducts[Occasion],"Not Found",0)</f>
        <v>Raksha Bandhan</v>
      </c>
      <c r="Q327" s="18">
        <f>_xlfn.XLOOKUP(tblMaster[[#This Row],[Product_ID]],tblProducts[Product_ID],tblProducts[Price (INR)],"Not Found",0)</f>
        <v>1335</v>
      </c>
      <c r="R327" s="19">
        <f>tblMaster[[#This Row],[Price]]*tblMaster[[#This Row],[Quantity]]</f>
        <v>4005</v>
      </c>
      <c r="S327" s="19">
        <f>tblMaster[[#This Row],[Price]]*0.7*tblMaster[[#This Row],[Quantity]]</f>
        <v>2803.4999999999995</v>
      </c>
      <c r="T327" s="19">
        <f>tblMaster[[#This Row],[Revenue]]-tblMaster[[#This Row],[Estimated Cost (at 70%) ]]</f>
        <v>1201.5000000000005</v>
      </c>
      <c r="U327" s="19">
        <f>tblMaster[[#This Row],[Profit]]/tblMaster[[#This Row],[Revenue]]</f>
        <v>0.3000000000000001</v>
      </c>
      <c r="V327" s="19">
        <f>tblMaster[[#This Row],[Delivery_Date]]-tblMaster[[#This Row],[Order_Date]]</f>
        <v>7</v>
      </c>
      <c r="W327" s="19" t="str">
        <f>TEXT(tblMaster[[#This Row],[Order_Date]],"mmmm")</f>
        <v>August</v>
      </c>
      <c r="X327" s="19">
        <f>MONTH(tblMaster[[#This Row],[Order_Date]])</f>
        <v>8</v>
      </c>
      <c r="Y327" s="19" t="str">
        <f>"Q"&amp;ROUNDUP(tblMaster[[#This Row],[Month Number]]/3,0)</f>
        <v>Q3</v>
      </c>
      <c r="Z327" s="19">
        <f>YEAR(tblMaster[[#This Row],[Order_Date]])</f>
        <v>2023</v>
      </c>
      <c r="AA327" s="19" t="str">
        <f>TEXT(DAY(tblMaster[[#This Row],[Order_Date]]),"dddd")</f>
        <v>Friday</v>
      </c>
      <c r="AB327" s="19" t="str">
        <f>IF(tblMaster[[#This Row],[Revenue]]&gt;=5000,"High",IF(tblMaster[[#This Row],[Revenue]]&lt;2000,"Low","Medium"))</f>
        <v>Medium</v>
      </c>
    </row>
    <row r="328" spans="1:28" x14ac:dyDescent="0.25">
      <c r="A328" s="7">
        <v>327</v>
      </c>
      <c r="B328" s="7" t="s">
        <v>331</v>
      </c>
      <c r="C328" s="4">
        <v>51</v>
      </c>
      <c r="D328" s="4">
        <v>1</v>
      </c>
      <c r="E328" s="8">
        <v>45193</v>
      </c>
      <c r="F328" s="9">
        <v>0.39519675925925923</v>
      </c>
      <c r="G328" s="8">
        <v>45195</v>
      </c>
      <c r="H328" s="9">
        <v>0.83964120370370365</v>
      </c>
      <c r="I328" s="7" t="s">
        <v>455</v>
      </c>
      <c r="J328" s="7" t="s">
        <v>8</v>
      </c>
      <c r="K328" s="18" t="str">
        <f>_xlfn.XLOOKUP(tblMaster[[#This Row],[Customer_ID]],tblCustomers[Customer_ID],tblCustomers[City],"Not Found",0)</f>
        <v>Guntakal</v>
      </c>
      <c r="L328" s="18" t="str">
        <f>_xlfn.XLOOKUP(tblMaster[[#This Row],[Customer_ID]],tblCustomers[Customer_ID],tblCustomers[Name],"Not Found",0)</f>
        <v>Aradhya Kale</v>
      </c>
      <c r="M328" s="18" t="str">
        <f>_xlfn.XLOOKUP(tblMaster[[#This Row],[Customer_ID]],tblCustomers[Customer_ID],tblCustomers[Gender],"Not Found",0)</f>
        <v>Male</v>
      </c>
      <c r="N328" s="18" t="str">
        <f>_xlfn.XLOOKUP(tblMaster[[#This Row],[Product_ID]],tblProducts[Product_ID],tblProducts[Product_Name],"Not Found",0)</f>
        <v>Fugit Set</v>
      </c>
      <c r="O328" s="18" t="str">
        <f>_xlfn.XLOOKUP(tblMaster[[#This Row],[Product_ID]],tblProducts[Product_ID],tblProducts[Category],"Not Found",0)</f>
        <v>Soft Toys</v>
      </c>
      <c r="P328" s="18" t="str">
        <f>_xlfn.XLOOKUP(tblMaster[[#This Row],[Product_ID]],tblProducts[Product_ID],tblProducts[Occasion],"Not Found",0)</f>
        <v>All Occasions</v>
      </c>
      <c r="Q328" s="18">
        <f>_xlfn.XLOOKUP(tblMaster[[#This Row],[Product_ID]],tblProducts[Product_ID],tblProducts[Price (INR)],"Not Found",0)</f>
        <v>1084</v>
      </c>
      <c r="R328" s="19">
        <f>tblMaster[[#This Row],[Price]]*tblMaster[[#This Row],[Quantity]]</f>
        <v>1084</v>
      </c>
      <c r="S328" s="19">
        <f>tblMaster[[#This Row],[Price]]*0.7*tblMaster[[#This Row],[Quantity]]</f>
        <v>758.8</v>
      </c>
      <c r="T328" s="19">
        <f>tblMaster[[#This Row],[Revenue]]-tblMaster[[#This Row],[Estimated Cost (at 70%) ]]</f>
        <v>325.20000000000005</v>
      </c>
      <c r="U328" s="19">
        <f>tblMaster[[#This Row],[Profit]]/tblMaster[[#This Row],[Revenue]]</f>
        <v>0.30000000000000004</v>
      </c>
      <c r="V328" s="19">
        <f>tblMaster[[#This Row],[Delivery_Date]]-tblMaster[[#This Row],[Order_Date]]</f>
        <v>2</v>
      </c>
      <c r="W328" s="19" t="str">
        <f>TEXT(tblMaster[[#This Row],[Order_Date]],"mmmm")</f>
        <v>September</v>
      </c>
      <c r="X328" s="19">
        <f>MONTH(tblMaster[[#This Row],[Order_Date]])</f>
        <v>9</v>
      </c>
      <c r="Y328" s="19" t="str">
        <f>"Q"&amp;ROUNDUP(tblMaster[[#This Row],[Month Number]]/3,0)</f>
        <v>Q3</v>
      </c>
      <c r="Z328" s="19">
        <f>YEAR(tblMaster[[#This Row],[Order_Date]])</f>
        <v>2023</v>
      </c>
      <c r="AA328" s="19" t="str">
        <f>TEXT(DAY(tblMaster[[#This Row],[Order_Date]]),"dddd")</f>
        <v>Tuesday</v>
      </c>
      <c r="AB328" s="19" t="str">
        <f>IF(tblMaster[[#This Row],[Revenue]]&gt;=5000,"High",IF(tblMaster[[#This Row],[Revenue]]&lt;2000,"Low","Medium"))</f>
        <v>Low</v>
      </c>
    </row>
    <row r="329" spans="1:28" x14ac:dyDescent="0.25">
      <c r="A329" s="10">
        <v>328</v>
      </c>
      <c r="B329" s="10" t="s">
        <v>188</v>
      </c>
      <c r="C329" s="5">
        <v>23</v>
      </c>
      <c r="D329" s="5">
        <v>3</v>
      </c>
      <c r="E329" s="11">
        <v>45033</v>
      </c>
      <c r="F329" s="12">
        <v>0.74418981481481483</v>
      </c>
      <c r="G329" s="11">
        <v>45038</v>
      </c>
      <c r="H329" s="12">
        <v>0.37451388888888887</v>
      </c>
      <c r="I329" s="10" t="s">
        <v>474</v>
      </c>
      <c r="J329" s="10" t="s">
        <v>30</v>
      </c>
      <c r="K329" s="18" t="str">
        <f>_xlfn.XLOOKUP(tblMaster[[#This Row],[Customer_ID]],tblCustomers[Customer_ID],tblCustomers[City],"Not Found",0)</f>
        <v>Kavali</v>
      </c>
      <c r="L329" s="18" t="str">
        <f>_xlfn.XLOOKUP(tblMaster[[#This Row],[Customer_ID]],tblCustomers[Customer_ID],tblCustomers[Name],"Not Found",0)</f>
        <v>Jhanvi Chowdhury</v>
      </c>
      <c r="M329" s="18" t="str">
        <f>_xlfn.XLOOKUP(tblMaster[[#This Row],[Customer_ID]],tblCustomers[Customer_ID],tblCustomers[Gender],"Not Found",0)</f>
        <v>Female</v>
      </c>
      <c r="N329" s="18" t="str">
        <f>_xlfn.XLOOKUP(tblMaster[[#This Row],[Product_ID]],tblProducts[Product_ID],tblProducts[Product_Name],"Not Found",0)</f>
        <v>Dignissimos Pack</v>
      </c>
      <c r="O329" s="18" t="str">
        <f>_xlfn.XLOOKUP(tblMaster[[#This Row],[Product_ID]],tblProducts[Product_ID],tblProducts[Category],"Not Found",0)</f>
        <v>Sweets</v>
      </c>
      <c r="P329" s="18" t="str">
        <f>_xlfn.XLOOKUP(tblMaster[[#This Row],[Product_ID]],tblProducts[Product_ID],tblProducts[Occasion],"Not Found",0)</f>
        <v>Anniversary</v>
      </c>
      <c r="Q329" s="18">
        <f>_xlfn.XLOOKUP(tblMaster[[#This Row],[Product_ID]],tblProducts[Product_ID],tblProducts[Price (INR)],"Not Found",0)</f>
        <v>1098</v>
      </c>
      <c r="R329" s="19">
        <f>tblMaster[[#This Row],[Price]]*tblMaster[[#This Row],[Quantity]]</f>
        <v>3294</v>
      </c>
      <c r="S329" s="19">
        <f>tblMaster[[#This Row],[Price]]*0.7*tblMaster[[#This Row],[Quantity]]</f>
        <v>2305.7999999999997</v>
      </c>
      <c r="T329" s="19">
        <f>tblMaster[[#This Row],[Revenue]]-tblMaster[[#This Row],[Estimated Cost (at 70%) ]]</f>
        <v>988.20000000000027</v>
      </c>
      <c r="U329" s="19">
        <f>tblMaster[[#This Row],[Profit]]/tblMaster[[#This Row],[Revenue]]</f>
        <v>0.3000000000000001</v>
      </c>
      <c r="V329" s="19">
        <f>tblMaster[[#This Row],[Delivery_Date]]-tblMaster[[#This Row],[Order_Date]]</f>
        <v>5</v>
      </c>
      <c r="W329" s="19" t="str">
        <f>TEXT(tblMaster[[#This Row],[Order_Date]],"mmmm")</f>
        <v>April</v>
      </c>
      <c r="X329" s="19">
        <f>MONTH(tblMaster[[#This Row],[Order_Date]])</f>
        <v>4</v>
      </c>
      <c r="Y329" s="19" t="str">
        <f>"Q"&amp;ROUNDUP(tblMaster[[#This Row],[Month Number]]/3,0)</f>
        <v>Q2</v>
      </c>
      <c r="Z329" s="19">
        <f>YEAR(tblMaster[[#This Row],[Order_Date]])</f>
        <v>2023</v>
      </c>
      <c r="AA329" s="19" t="str">
        <f>TEXT(DAY(tblMaster[[#This Row],[Order_Date]]),"dddd")</f>
        <v>Tuesday</v>
      </c>
      <c r="AB329" s="19" t="str">
        <f>IF(tblMaster[[#This Row],[Revenue]]&gt;=5000,"High",IF(tblMaster[[#This Row],[Revenue]]&lt;2000,"Low","Medium"))</f>
        <v>Medium</v>
      </c>
    </row>
    <row r="330" spans="1:28" x14ac:dyDescent="0.25">
      <c r="A330" s="7">
        <v>329</v>
      </c>
      <c r="B330" s="7" t="s">
        <v>258</v>
      </c>
      <c r="C330" s="4">
        <v>17</v>
      </c>
      <c r="D330" s="4">
        <v>3</v>
      </c>
      <c r="E330" s="8">
        <v>45164</v>
      </c>
      <c r="F330" s="9">
        <v>9.8645833333333335E-2</v>
      </c>
      <c r="G330" s="8">
        <v>45173</v>
      </c>
      <c r="H330" s="9">
        <v>0.13115740740740742</v>
      </c>
      <c r="I330" s="7" t="s">
        <v>475</v>
      </c>
      <c r="J330" s="7" t="s">
        <v>30</v>
      </c>
      <c r="K330" s="18" t="str">
        <f>_xlfn.XLOOKUP(tblMaster[[#This Row],[Customer_ID]],tblCustomers[Customer_ID],tblCustomers[City],"Not Found",0)</f>
        <v>Warangal</v>
      </c>
      <c r="L330" s="18" t="str">
        <f>_xlfn.XLOOKUP(tblMaster[[#This Row],[Customer_ID]],tblCustomers[Customer_ID],tblCustomers[Name],"Not Found",0)</f>
        <v>Mahika Cherian</v>
      </c>
      <c r="M330" s="18" t="str">
        <f>_xlfn.XLOOKUP(tblMaster[[#This Row],[Customer_ID]],tblCustomers[Customer_ID],tblCustomers[Gender],"Not Found",0)</f>
        <v>Female</v>
      </c>
      <c r="N330" s="18" t="str">
        <f>_xlfn.XLOOKUP(tblMaster[[#This Row],[Product_ID]],tblProducts[Product_ID],tblProducts[Product_Name],"Not Found",0)</f>
        <v>Delectus Gift</v>
      </c>
      <c r="O330" s="18" t="str">
        <f>_xlfn.XLOOKUP(tblMaster[[#This Row],[Product_ID]],tblProducts[Product_ID],tblProducts[Category],"Not Found",0)</f>
        <v>Soft Toys</v>
      </c>
      <c r="P330" s="18" t="str">
        <f>_xlfn.XLOOKUP(tblMaster[[#This Row],[Product_ID]],tblProducts[Product_ID],tblProducts[Occasion],"Not Found",0)</f>
        <v>Anniversary</v>
      </c>
      <c r="Q330" s="18">
        <f>_xlfn.XLOOKUP(tblMaster[[#This Row],[Product_ID]],tblProducts[Product_ID],tblProducts[Price (INR)],"Not Found",0)</f>
        <v>1899</v>
      </c>
      <c r="R330" s="19">
        <f>tblMaster[[#This Row],[Price]]*tblMaster[[#This Row],[Quantity]]</f>
        <v>5697</v>
      </c>
      <c r="S330" s="19">
        <f>tblMaster[[#This Row],[Price]]*0.7*tblMaster[[#This Row],[Quantity]]</f>
        <v>3987.8999999999996</v>
      </c>
      <c r="T330" s="19">
        <f>tblMaster[[#This Row],[Revenue]]-tblMaster[[#This Row],[Estimated Cost (at 70%) ]]</f>
        <v>1709.1000000000004</v>
      </c>
      <c r="U330" s="19">
        <f>tblMaster[[#This Row],[Profit]]/tblMaster[[#This Row],[Revenue]]</f>
        <v>0.30000000000000004</v>
      </c>
      <c r="V330" s="19">
        <f>tblMaster[[#This Row],[Delivery_Date]]-tblMaster[[#This Row],[Order_Date]]</f>
        <v>9</v>
      </c>
      <c r="W330" s="19" t="str">
        <f>TEXT(tblMaster[[#This Row],[Order_Date]],"mmmm")</f>
        <v>August</v>
      </c>
      <c r="X330" s="19">
        <f>MONTH(tblMaster[[#This Row],[Order_Date]])</f>
        <v>8</v>
      </c>
      <c r="Y330" s="19" t="str">
        <f>"Q"&amp;ROUNDUP(tblMaster[[#This Row],[Month Number]]/3,0)</f>
        <v>Q3</v>
      </c>
      <c r="Z330" s="19">
        <f>YEAR(tblMaster[[#This Row],[Order_Date]])</f>
        <v>2023</v>
      </c>
      <c r="AA330" s="19" t="str">
        <f>TEXT(DAY(tblMaster[[#This Row],[Order_Date]]),"dddd")</f>
        <v>Thursday</v>
      </c>
      <c r="AB330" s="19" t="str">
        <f>IF(tblMaster[[#This Row],[Revenue]]&gt;=5000,"High",IF(tblMaster[[#This Row],[Revenue]]&lt;2000,"Low","Medium"))</f>
        <v>High</v>
      </c>
    </row>
    <row r="331" spans="1:28" x14ac:dyDescent="0.25">
      <c r="A331" s="10">
        <v>330</v>
      </c>
      <c r="B331" s="10" t="s">
        <v>242</v>
      </c>
      <c r="C331" s="5">
        <v>59</v>
      </c>
      <c r="D331" s="5">
        <v>2</v>
      </c>
      <c r="E331" s="11">
        <v>45162</v>
      </c>
      <c r="F331" s="12">
        <v>0.8507986111111111</v>
      </c>
      <c r="G331" s="11">
        <v>45170</v>
      </c>
      <c r="H331" s="12">
        <v>0.51828703703703705</v>
      </c>
      <c r="I331" s="10" t="s">
        <v>301</v>
      </c>
      <c r="J331" s="10" t="s">
        <v>33</v>
      </c>
      <c r="K331" s="18" t="str">
        <f>_xlfn.XLOOKUP(tblMaster[[#This Row],[Customer_ID]],tblCustomers[Customer_ID],tblCustomers[City],"Not Found",0)</f>
        <v>Kalyan-Dombivli</v>
      </c>
      <c r="L331" s="18" t="str">
        <f>_xlfn.XLOOKUP(tblMaster[[#This Row],[Customer_ID]],tblCustomers[Customer_ID],tblCustomers[Name],"Not Found",0)</f>
        <v>Nirvi Wagle</v>
      </c>
      <c r="M331" s="18" t="str">
        <f>_xlfn.XLOOKUP(tblMaster[[#This Row],[Customer_ID]],tblCustomers[Customer_ID],tblCustomers[Gender],"Not Found",0)</f>
        <v>Male</v>
      </c>
      <c r="N331" s="18" t="str">
        <f>_xlfn.XLOOKUP(tblMaster[[#This Row],[Product_ID]],tblProducts[Product_ID],tblProducts[Product_Name],"Not Found",0)</f>
        <v>Pariatur Box</v>
      </c>
      <c r="O331" s="18" t="str">
        <f>_xlfn.XLOOKUP(tblMaster[[#This Row],[Product_ID]],tblProducts[Product_ID],tblProducts[Category],"Not Found",0)</f>
        <v>Cake</v>
      </c>
      <c r="P331" s="18" t="str">
        <f>_xlfn.XLOOKUP(tblMaster[[#This Row],[Product_ID]],tblProducts[Product_ID],tblProducts[Occasion],"Not Found",0)</f>
        <v>Raksha Bandhan</v>
      </c>
      <c r="Q331" s="18">
        <f>_xlfn.XLOOKUP(tblMaster[[#This Row],[Product_ID]],tblProducts[Product_ID],tblProducts[Price (INR)],"Not Found",0)</f>
        <v>811</v>
      </c>
      <c r="R331" s="19">
        <f>tblMaster[[#This Row],[Price]]*tblMaster[[#This Row],[Quantity]]</f>
        <v>1622</v>
      </c>
      <c r="S331" s="19">
        <f>tblMaster[[#This Row],[Price]]*0.7*tblMaster[[#This Row],[Quantity]]</f>
        <v>1135.3999999999999</v>
      </c>
      <c r="T331" s="19">
        <f>tblMaster[[#This Row],[Revenue]]-tblMaster[[#This Row],[Estimated Cost (at 70%) ]]</f>
        <v>486.60000000000014</v>
      </c>
      <c r="U331" s="19">
        <f>tblMaster[[#This Row],[Profit]]/tblMaster[[#This Row],[Revenue]]</f>
        <v>0.3000000000000001</v>
      </c>
      <c r="V331" s="19">
        <f>tblMaster[[#This Row],[Delivery_Date]]-tblMaster[[#This Row],[Order_Date]]</f>
        <v>8</v>
      </c>
      <c r="W331" s="19" t="str">
        <f>TEXT(tblMaster[[#This Row],[Order_Date]],"mmmm")</f>
        <v>August</v>
      </c>
      <c r="X331" s="19">
        <f>MONTH(tblMaster[[#This Row],[Order_Date]])</f>
        <v>8</v>
      </c>
      <c r="Y331" s="19" t="str">
        <f>"Q"&amp;ROUNDUP(tblMaster[[#This Row],[Month Number]]/3,0)</f>
        <v>Q3</v>
      </c>
      <c r="Z331" s="19">
        <f>YEAR(tblMaster[[#This Row],[Order_Date]])</f>
        <v>2023</v>
      </c>
      <c r="AA331" s="19" t="str">
        <f>TEXT(DAY(tblMaster[[#This Row],[Order_Date]]),"dddd")</f>
        <v>Tuesday</v>
      </c>
      <c r="AB331" s="19" t="str">
        <f>IF(tblMaster[[#This Row],[Revenue]]&gt;=5000,"High",IF(tblMaster[[#This Row],[Revenue]]&lt;2000,"Low","Medium"))</f>
        <v>Low</v>
      </c>
    </row>
    <row r="332" spans="1:28" x14ac:dyDescent="0.25">
      <c r="A332" s="7">
        <v>331</v>
      </c>
      <c r="B332" s="7" t="s">
        <v>252</v>
      </c>
      <c r="C332" s="4">
        <v>41</v>
      </c>
      <c r="D332" s="4">
        <v>5</v>
      </c>
      <c r="E332" s="8">
        <v>45234</v>
      </c>
      <c r="F332" s="9">
        <v>0.90967592592592594</v>
      </c>
      <c r="G332" s="8">
        <v>45235</v>
      </c>
      <c r="H332" s="9">
        <v>0.59273148148148147</v>
      </c>
      <c r="I332" s="7" t="s">
        <v>449</v>
      </c>
      <c r="J332" s="7" t="s">
        <v>19</v>
      </c>
      <c r="K332" s="18" t="str">
        <f>_xlfn.XLOOKUP(tblMaster[[#This Row],[Customer_ID]],tblCustomers[Customer_ID],tblCustomers[City],"Not Found",0)</f>
        <v>Bidhannagar</v>
      </c>
      <c r="L332" s="18" t="str">
        <f>_xlfn.XLOOKUP(tblMaster[[#This Row],[Customer_ID]],tblCustomers[Customer_ID],tblCustomers[Name],"Not Found",0)</f>
        <v>Abram Sandhu</v>
      </c>
      <c r="M332" s="18" t="str">
        <f>_xlfn.XLOOKUP(tblMaster[[#This Row],[Customer_ID]],tblCustomers[Customer_ID],tblCustomers[Gender],"Not Found",0)</f>
        <v>Male</v>
      </c>
      <c r="N332" s="18" t="str">
        <f>_xlfn.XLOOKUP(tblMaster[[#This Row],[Product_ID]],tblProducts[Product_ID],tblProducts[Product_Name],"Not Found",0)</f>
        <v>Aut Box</v>
      </c>
      <c r="O332" s="18" t="str">
        <f>_xlfn.XLOOKUP(tblMaster[[#This Row],[Product_ID]],tblProducts[Product_ID],tblProducts[Category],"Not Found",0)</f>
        <v>Sweets</v>
      </c>
      <c r="P332" s="18" t="str">
        <f>_xlfn.XLOOKUP(tblMaster[[#This Row],[Product_ID]],tblProducts[Product_ID],tblProducts[Occasion],"Not Found",0)</f>
        <v>Diwali</v>
      </c>
      <c r="Q332" s="18">
        <f>_xlfn.XLOOKUP(tblMaster[[#This Row],[Product_ID]],tblProducts[Product_ID],tblProducts[Price (INR)],"Not Found",0)</f>
        <v>1977</v>
      </c>
      <c r="R332" s="19">
        <f>tblMaster[[#This Row],[Price]]*tblMaster[[#This Row],[Quantity]]</f>
        <v>9885</v>
      </c>
      <c r="S332" s="19">
        <f>tblMaster[[#This Row],[Price]]*0.7*tblMaster[[#This Row],[Quantity]]</f>
        <v>6919.4999999999991</v>
      </c>
      <c r="T332" s="19">
        <f>tblMaster[[#This Row],[Revenue]]-tblMaster[[#This Row],[Estimated Cost (at 70%) ]]</f>
        <v>2965.5000000000009</v>
      </c>
      <c r="U332" s="19">
        <f>tblMaster[[#This Row],[Profit]]/tblMaster[[#This Row],[Revenue]]</f>
        <v>0.3000000000000001</v>
      </c>
      <c r="V332" s="19">
        <f>tblMaster[[#This Row],[Delivery_Date]]-tblMaster[[#This Row],[Order_Date]]</f>
        <v>1</v>
      </c>
      <c r="W332" s="19" t="str">
        <f>TEXT(tblMaster[[#This Row],[Order_Date]],"mmmm")</f>
        <v>November</v>
      </c>
      <c r="X332" s="19">
        <f>MONTH(tblMaster[[#This Row],[Order_Date]])</f>
        <v>11</v>
      </c>
      <c r="Y332" s="19" t="str">
        <f>"Q"&amp;ROUNDUP(tblMaster[[#This Row],[Month Number]]/3,0)</f>
        <v>Q4</v>
      </c>
      <c r="Z332" s="19">
        <f>YEAR(tblMaster[[#This Row],[Order_Date]])</f>
        <v>2023</v>
      </c>
      <c r="AA332" s="19" t="str">
        <f>TEXT(DAY(tblMaster[[#This Row],[Order_Date]]),"dddd")</f>
        <v>Wednesday</v>
      </c>
      <c r="AB332" s="19" t="str">
        <f>IF(tblMaster[[#This Row],[Revenue]]&gt;=5000,"High",IF(tblMaster[[#This Row],[Revenue]]&lt;2000,"Low","Medium"))</f>
        <v>High</v>
      </c>
    </row>
    <row r="333" spans="1:28" x14ac:dyDescent="0.25">
      <c r="A333" s="10">
        <v>332</v>
      </c>
      <c r="B333" s="10" t="s">
        <v>437</v>
      </c>
      <c r="C333" s="5">
        <v>20</v>
      </c>
      <c r="D333" s="5">
        <v>5</v>
      </c>
      <c r="E333" s="11">
        <v>45027</v>
      </c>
      <c r="F333" s="12">
        <v>0.84320601851851851</v>
      </c>
      <c r="G333" s="11">
        <v>45034</v>
      </c>
      <c r="H333" s="12">
        <v>0.59078703703703705</v>
      </c>
      <c r="I333" s="10" t="s">
        <v>194</v>
      </c>
      <c r="J333" s="10" t="s">
        <v>30</v>
      </c>
      <c r="K333" s="18" t="str">
        <f>_xlfn.XLOOKUP(tblMaster[[#This Row],[Customer_ID]],tblCustomers[Customer_ID],tblCustomers[City],"Not Found",0)</f>
        <v>Dhanbad</v>
      </c>
      <c r="L333" s="18" t="str">
        <f>_xlfn.XLOOKUP(tblMaster[[#This Row],[Customer_ID]],tblCustomers[Customer_ID],tblCustomers[Name],"Not Found",0)</f>
        <v>Vardaniya Apte</v>
      </c>
      <c r="M333" s="18" t="str">
        <f>_xlfn.XLOOKUP(tblMaster[[#This Row],[Customer_ID]],tblCustomers[Customer_ID],tblCustomers[Gender],"Not Found",0)</f>
        <v>Male</v>
      </c>
      <c r="N333" s="18" t="str">
        <f>_xlfn.XLOOKUP(tblMaster[[#This Row],[Product_ID]],tblProducts[Product_ID],tblProducts[Product_Name],"Not Found",0)</f>
        <v>Reiciendis Box</v>
      </c>
      <c r="O333" s="18" t="str">
        <f>_xlfn.XLOOKUP(tblMaster[[#This Row],[Product_ID]],tblProducts[Product_ID],tblProducts[Category],"Not Found",0)</f>
        <v>Colors</v>
      </c>
      <c r="P333" s="18" t="str">
        <f>_xlfn.XLOOKUP(tblMaster[[#This Row],[Product_ID]],tblProducts[Product_ID],tblProducts[Occasion],"Not Found",0)</f>
        <v>Anniversary</v>
      </c>
      <c r="Q333" s="18">
        <f>_xlfn.XLOOKUP(tblMaster[[#This Row],[Product_ID]],tblProducts[Product_ID],tblProducts[Price (INR)],"Not Found",0)</f>
        <v>697</v>
      </c>
      <c r="R333" s="19">
        <f>tblMaster[[#This Row],[Price]]*tblMaster[[#This Row],[Quantity]]</f>
        <v>3485</v>
      </c>
      <c r="S333" s="19">
        <f>tblMaster[[#This Row],[Price]]*0.7*tblMaster[[#This Row],[Quantity]]</f>
        <v>2439.5</v>
      </c>
      <c r="T333" s="19">
        <f>tblMaster[[#This Row],[Revenue]]-tblMaster[[#This Row],[Estimated Cost (at 70%) ]]</f>
        <v>1045.5</v>
      </c>
      <c r="U333" s="19">
        <f>tblMaster[[#This Row],[Profit]]/tblMaster[[#This Row],[Revenue]]</f>
        <v>0.3</v>
      </c>
      <c r="V333" s="19">
        <f>tblMaster[[#This Row],[Delivery_Date]]-tblMaster[[#This Row],[Order_Date]]</f>
        <v>7</v>
      </c>
      <c r="W333" s="19" t="str">
        <f>TEXT(tblMaster[[#This Row],[Order_Date]],"mmmm")</f>
        <v>April</v>
      </c>
      <c r="X333" s="19">
        <f>MONTH(tblMaster[[#This Row],[Order_Date]])</f>
        <v>4</v>
      </c>
      <c r="Y333" s="19" t="str">
        <f>"Q"&amp;ROUNDUP(tblMaster[[#This Row],[Month Number]]/3,0)</f>
        <v>Q2</v>
      </c>
      <c r="Z333" s="19">
        <f>YEAR(tblMaster[[#This Row],[Order_Date]])</f>
        <v>2023</v>
      </c>
      <c r="AA333" s="19" t="str">
        <f>TEXT(DAY(tblMaster[[#This Row],[Order_Date]]),"dddd")</f>
        <v>Wednesday</v>
      </c>
      <c r="AB333" s="19" t="str">
        <f>IF(tblMaster[[#This Row],[Revenue]]&gt;=5000,"High",IF(tblMaster[[#This Row],[Revenue]]&lt;2000,"Low","Medium"))</f>
        <v>Medium</v>
      </c>
    </row>
    <row r="334" spans="1:28" x14ac:dyDescent="0.25">
      <c r="A334" s="7">
        <v>333</v>
      </c>
      <c r="B334" s="7" t="s">
        <v>304</v>
      </c>
      <c r="C334" s="4">
        <v>22</v>
      </c>
      <c r="D334" s="4">
        <v>5</v>
      </c>
      <c r="E334" s="8">
        <v>44966</v>
      </c>
      <c r="F334" s="9">
        <v>0.26336805555555554</v>
      </c>
      <c r="G334" s="8">
        <v>44967</v>
      </c>
      <c r="H334" s="9">
        <v>0.1572800925925926</v>
      </c>
      <c r="I334" s="7" t="s">
        <v>476</v>
      </c>
      <c r="J334" s="7" t="s">
        <v>8</v>
      </c>
      <c r="K334" s="18" t="str">
        <f>_xlfn.XLOOKUP(tblMaster[[#This Row],[Customer_ID]],tblCustomers[Customer_ID],tblCustomers[City],"Not Found",0)</f>
        <v>Phagwara</v>
      </c>
      <c r="L334" s="18" t="str">
        <f>_xlfn.XLOOKUP(tblMaster[[#This Row],[Customer_ID]],tblCustomers[Customer_ID],tblCustomers[Name],"Not Found",0)</f>
        <v>Pranay Chaudhary</v>
      </c>
      <c r="M334" s="18" t="str">
        <f>_xlfn.XLOOKUP(tblMaster[[#This Row],[Customer_ID]],tblCustomers[Customer_ID],tblCustomers[Gender],"Not Found",0)</f>
        <v>Female</v>
      </c>
      <c r="N334" s="18" t="str">
        <f>_xlfn.XLOOKUP(tblMaster[[#This Row],[Product_ID]],tblProducts[Product_ID],tblProducts[Product_Name],"Not Found",0)</f>
        <v>Exercitationem Pack</v>
      </c>
      <c r="O334" s="18" t="str">
        <f>_xlfn.XLOOKUP(tblMaster[[#This Row],[Product_ID]],tblProducts[Product_ID],tblProducts[Category],"Not Found",0)</f>
        <v>Soft Toys</v>
      </c>
      <c r="P334" s="18" t="str">
        <f>_xlfn.XLOOKUP(tblMaster[[#This Row],[Product_ID]],tblProducts[Product_ID],tblProducts[Occasion],"Not Found",0)</f>
        <v>All Occasions</v>
      </c>
      <c r="Q334" s="18">
        <f>_xlfn.XLOOKUP(tblMaster[[#This Row],[Product_ID]],tblProducts[Product_ID],tblProducts[Price (INR)],"Not Found",0)</f>
        <v>1639</v>
      </c>
      <c r="R334" s="19">
        <f>tblMaster[[#This Row],[Price]]*tblMaster[[#This Row],[Quantity]]</f>
        <v>8195</v>
      </c>
      <c r="S334" s="19">
        <f>tblMaster[[#This Row],[Price]]*0.7*tblMaster[[#This Row],[Quantity]]</f>
        <v>5736.5</v>
      </c>
      <c r="T334" s="19">
        <f>tblMaster[[#This Row],[Revenue]]-tblMaster[[#This Row],[Estimated Cost (at 70%) ]]</f>
        <v>2458.5</v>
      </c>
      <c r="U334" s="19">
        <f>tblMaster[[#This Row],[Profit]]/tblMaster[[#This Row],[Revenue]]</f>
        <v>0.3</v>
      </c>
      <c r="V334" s="19">
        <f>tblMaster[[#This Row],[Delivery_Date]]-tblMaster[[#This Row],[Order_Date]]</f>
        <v>1</v>
      </c>
      <c r="W334" s="19" t="str">
        <f>TEXT(tblMaster[[#This Row],[Order_Date]],"mmmm")</f>
        <v>February</v>
      </c>
      <c r="X334" s="19">
        <f>MONTH(tblMaster[[#This Row],[Order_Date]])</f>
        <v>2</v>
      </c>
      <c r="Y334" s="19" t="str">
        <f>"Q"&amp;ROUNDUP(tblMaster[[#This Row],[Month Number]]/3,0)</f>
        <v>Q1</v>
      </c>
      <c r="Z334" s="19">
        <f>YEAR(tblMaster[[#This Row],[Order_Date]])</f>
        <v>2023</v>
      </c>
      <c r="AA334" s="19" t="str">
        <f>TEXT(DAY(tblMaster[[#This Row],[Order_Date]]),"dddd")</f>
        <v>Monday</v>
      </c>
      <c r="AB334" s="19" t="str">
        <f>IF(tblMaster[[#This Row],[Revenue]]&gt;=5000,"High",IF(tblMaster[[#This Row],[Revenue]]&lt;2000,"Low","Medium"))</f>
        <v>High</v>
      </c>
    </row>
    <row r="335" spans="1:28" x14ac:dyDescent="0.25">
      <c r="A335" s="10">
        <v>334</v>
      </c>
      <c r="B335" s="10" t="s">
        <v>232</v>
      </c>
      <c r="C335" s="5">
        <v>53</v>
      </c>
      <c r="D335" s="5">
        <v>1</v>
      </c>
      <c r="E335" s="11">
        <v>45166</v>
      </c>
      <c r="F335" s="12">
        <v>0.88872685185185185</v>
      </c>
      <c r="G335" s="11">
        <v>45170</v>
      </c>
      <c r="H335" s="12">
        <v>0.91878472222222218</v>
      </c>
      <c r="I335" s="10" t="s">
        <v>379</v>
      </c>
      <c r="J335" s="10" t="s">
        <v>33</v>
      </c>
      <c r="K335" s="18" t="str">
        <f>_xlfn.XLOOKUP(tblMaster[[#This Row],[Customer_ID]],tblCustomers[Customer_ID],tblCustomers[City],"Not Found",0)</f>
        <v>Malegaon</v>
      </c>
      <c r="L335" s="18" t="str">
        <f>_xlfn.XLOOKUP(tblMaster[[#This Row],[Customer_ID]],tblCustomers[Customer_ID],tblCustomers[Name],"Not Found",0)</f>
        <v>Eshani Buch</v>
      </c>
      <c r="M335" s="18" t="str">
        <f>_xlfn.XLOOKUP(tblMaster[[#This Row],[Customer_ID]],tblCustomers[Customer_ID],tblCustomers[Gender],"Not Found",0)</f>
        <v>Female</v>
      </c>
      <c r="N335" s="18" t="str">
        <f>_xlfn.XLOOKUP(tblMaster[[#This Row],[Product_ID]],tblProducts[Product_ID],tblProducts[Product_Name],"Not Found",0)</f>
        <v>Ipsam Set</v>
      </c>
      <c r="O335" s="18" t="str">
        <f>_xlfn.XLOOKUP(tblMaster[[#This Row],[Product_ID]],tblProducts[Product_ID],tblProducts[Category],"Not Found",0)</f>
        <v>Sweets</v>
      </c>
      <c r="P335" s="18" t="str">
        <f>_xlfn.XLOOKUP(tblMaster[[#This Row],[Product_ID]],tblProducts[Product_ID],tblProducts[Occasion],"Not Found",0)</f>
        <v>Raksha Bandhan</v>
      </c>
      <c r="Q335" s="18">
        <f>_xlfn.XLOOKUP(tblMaster[[#This Row],[Product_ID]],tblProducts[Product_ID],tblProducts[Price (INR)],"Not Found",0)</f>
        <v>1672</v>
      </c>
      <c r="R335" s="19">
        <f>tblMaster[[#This Row],[Price]]*tblMaster[[#This Row],[Quantity]]</f>
        <v>1672</v>
      </c>
      <c r="S335" s="19">
        <f>tblMaster[[#This Row],[Price]]*0.7*tblMaster[[#This Row],[Quantity]]</f>
        <v>1170.3999999999999</v>
      </c>
      <c r="T335" s="19">
        <f>tblMaster[[#This Row],[Revenue]]-tblMaster[[#This Row],[Estimated Cost (at 70%) ]]</f>
        <v>501.60000000000014</v>
      </c>
      <c r="U335" s="19">
        <f>tblMaster[[#This Row],[Profit]]/tblMaster[[#This Row],[Revenue]]</f>
        <v>0.3000000000000001</v>
      </c>
      <c r="V335" s="19">
        <f>tblMaster[[#This Row],[Delivery_Date]]-tblMaster[[#This Row],[Order_Date]]</f>
        <v>4</v>
      </c>
      <c r="W335" s="19" t="str">
        <f>TEXT(tblMaster[[#This Row],[Order_Date]],"mmmm")</f>
        <v>August</v>
      </c>
      <c r="X335" s="19">
        <f>MONTH(tblMaster[[#This Row],[Order_Date]])</f>
        <v>8</v>
      </c>
      <c r="Y335" s="19" t="str">
        <f>"Q"&amp;ROUNDUP(tblMaster[[#This Row],[Month Number]]/3,0)</f>
        <v>Q3</v>
      </c>
      <c r="Z335" s="19">
        <f>YEAR(tblMaster[[#This Row],[Order_Date]])</f>
        <v>2023</v>
      </c>
      <c r="AA335" s="19" t="str">
        <f>TEXT(DAY(tblMaster[[#This Row],[Order_Date]]),"dddd")</f>
        <v>Saturday</v>
      </c>
      <c r="AB335" s="19" t="str">
        <f>IF(tblMaster[[#This Row],[Revenue]]&gt;=5000,"High",IF(tblMaster[[#This Row],[Revenue]]&lt;2000,"Low","Medium"))</f>
        <v>Low</v>
      </c>
    </row>
    <row r="336" spans="1:28" x14ac:dyDescent="0.25">
      <c r="A336" s="7">
        <v>335</v>
      </c>
      <c r="B336" s="7" t="s">
        <v>193</v>
      </c>
      <c r="C336" s="4">
        <v>17</v>
      </c>
      <c r="D336" s="4">
        <v>2</v>
      </c>
      <c r="E336" s="8">
        <v>45236</v>
      </c>
      <c r="F336" s="9">
        <v>8.998842592592593E-2</v>
      </c>
      <c r="G336" s="8">
        <v>45238</v>
      </c>
      <c r="H336" s="9">
        <v>9.9583333333333329E-2</v>
      </c>
      <c r="I336" s="7" t="s">
        <v>477</v>
      </c>
      <c r="J336" s="7" t="s">
        <v>30</v>
      </c>
      <c r="K336" s="18" t="str">
        <f>_xlfn.XLOOKUP(tblMaster[[#This Row],[Customer_ID]],tblCustomers[Customer_ID],tblCustomers[City],"Not Found",0)</f>
        <v>Mangalore</v>
      </c>
      <c r="L336" s="18" t="str">
        <f>_xlfn.XLOOKUP(tblMaster[[#This Row],[Customer_ID]],tblCustomers[Customer_ID],tblCustomers[Name],"Not Found",0)</f>
        <v>Manikya Goswami</v>
      </c>
      <c r="M336" s="18" t="str">
        <f>_xlfn.XLOOKUP(tblMaster[[#This Row],[Customer_ID]],tblCustomers[Customer_ID],tblCustomers[Gender],"Not Found",0)</f>
        <v>Female</v>
      </c>
      <c r="N336" s="18" t="str">
        <f>_xlfn.XLOOKUP(tblMaster[[#This Row],[Product_ID]],tblProducts[Product_ID],tblProducts[Product_Name],"Not Found",0)</f>
        <v>Delectus Gift</v>
      </c>
      <c r="O336" s="18" t="str">
        <f>_xlfn.XLOOKUP(tblMaster[[#This Row],[Product_ID]],tblProducts[Product_ID],tblProducts[Category],"Not Found",0)</f>
        <v>Soft Toys</v>
      </c>
      <c r="P336" s="18" t="str">
        <f>_xlfn.XLOOKUP(tblMaster[[#This Row],[Product_ID]],tblProducts[Product_ID],tblProducts[Occasion],"Not Found",0)</f>
        <v>Anniversary</v>
      </c>
      <c r="Q336" s="18">
        <f>_xlfn.XLOOKUP(tblMaster[[#This Row],[Product_ID]],tblProducts[Product_ID],tblProducts[Price (INR)],"Not Found",0)</f>
        <v>1899</v>
      </c>
      <c r="R336" s="19">
        <f>tblMaster[[#This Row],[Price]]*tblMaster[[#This Row],[Quantity]]</f>
        <v>3798</v>
      </c>
      <c r="S336" s="19">
        <f>tblMaster[[#This Row],[Price]]*0.7*tblMaster[[#This Row],[Quantity]]</f>
        <v>2658.6</v>
      </c>
      <c r="T336" s="19">
        <f>tblMaster[[#This Row],[Revenue]]-tblMaster[[#This Row],[Estimated Cost (at 70%) ]]</f>
        <v>1139.4000000000001</v>
      </c>
      <c r="U336" s="19">
        <f>tblMaster[[#This Row],[Profit]]/tblMaster[[#This Row],[Revenue]]</f>
        <v>0.30000000000000004</v>
      </c>
      <c r="V336" s="19">
        <f>tblMaster[[#This Row],[Delivery_Date]]-tblMaster[[#This Row],[Order_Date]]</f>
        <v>2</v>
      </c>
      <c r="W336" s="19" t="str">
        <f>TEXT(tblMaster[[#This Row],[Order_Date]],"mmmm")</f>
        <v>November</v>
      </c>
      <c r="X336" s="19">
        <f>MONTH(tblMaster[[#This Row],[Order_Date]])</f>
        <v>11</v>
      </c>
      <c r="Y336" s="19" t="str">
        <f>"Q"&amp;ROUNDUP(tblMaster[[#This Row],[Month Number]]/3,0)</f>
        <v>Q4</v>
      </c>
      <c r="Z336" s="19">
        <f>YEAR(tblMaster[[#This Row],[Order_Date]])</f>
        <v>2023</v>
      </c>
      <c r="AA336" s="19" t="str">
        <f>TEXT(DAY(tblMaster[[#This Row],[Order_Date]]),"dddd")</f>
        <v>Friday</v>
      </c>
      <c r="AB336" s="19" t="str">
        <f>IF(tblMaster[[#This Row],[Revenue]]&gt;=5000,"High",IF(tblMaster[[#This Row],[Revenue]]&lt;2000,"Low","Medium"))</f>
        <v>Medium</v>
      </c>
    </row>
    <row r="337" spans="1:28" x14ac:dyDescent="0.25">
      <c r="A337" s="10">
        <v>336</v>
      </c>
      <c r="B337" s="10" t="s">
        <v>191</v>
      </c>
      <c r="C337" s="5">
        <v>53</v>
      </c>
      <c r="D337" s="5">
        <v>1</v>
      </c>
      <c r="E337" s="11">
        <v>45158</v>
      </c>
      <c r="F337" s="12">
        <v>0.18916666666666668</v>
      </c>
      <c r="G337" s="11">
        <v>45163</v>
      </c>
      <c r="H337" s="12">
        <v>0.82936342592592593</v>
      </c>
      <c r="I337" s="10" t="s">
        <v>461</v>
      </c>
      <c r="J337" s="10" t="s">
        <v>33</v>
      </c>
      <c r="K337" s="18" t="str">
        <f>_xlfn.XLOOKUP(tblMaster[[#This Row],[Customer_ID]],tblCustomers[Customer_ID],tblCustomers[City],"Not Found",0)</f>
        <v>Madhyamgram</v>
      </c>
      <c r="L337" s="18" t="str">
        <f>_xlfn.XLOOKUP(tblMaster[[#This Row],[Customer_ID]],tblCustomers[Customer_ID],tblCustomers[Name],"Not Found",0)</f>
        <v>Hunar Tripathi</v>
      </c>
      <c r="M337" s="18" t="str">
        <f>_xlfn.XLOOKUP(tblMaster[[#This Row],[Customer_ID]],tblCustomers[Customer_ID],tblCustomers[Gender],"Not Found",0)</f>
        <v>Female</v>
      </c>
      <c r="N337" s="18" t="str">
        <f>_xlfn.XLOOKUP(tblMaster[[#This Row],[Product_ID]],tblProducts[Product_ID],tblProducts[Product_Name],"Not Found",0)</f>
        <v>Ipsam Set</v>
      </c>
      <c r="O337" s="18" t="str">
        <f>_xlfn.XLOOKUP(tblMaster[[#This Row],[Product_ID]],tblProducts[Product_ID],tblProducts[Category],"Not Found",0)</f>
        <v>Sweets</v>
      </c>
      <c r="P337" s="18" t="str">
        <f>_xlfn.XLOOKUP(tblMaster[[#This Row],[Product_ID]],tblProducts[Product_ID],tblProducts[Occasion],"Not Found",0)</f>
        <v>Raksha Bandhan</v>
      </c>
      <c r="Q337" s="18">
        <f>_xlfn.XLOOKUP(tblMaster[[#This Row],[Product_ID]],tblProducts[Product_ID],tblProducts[Price (INR)],"Not Found",0)</f>
        <v>1672</v>
      </c>
      <c r="R337" s="19">
        <f>tblMaster[[#This Row],[Price]]*tblMaster[[#This Row],[Quantity]]</f>
        <v>1672</v>
      </c>
      <c r="S337" s="19">
        <f>tblMaster[[#This Row],[Price]]*0.7*tblMaster[[#This Row],[Quantity]]</f>
        <v>1170.3999999999999</v>
      </c>
      <c r="T337" s="19">
        <f>tblMaster[[#This Row],[Revenue]]-tblMaster[[#This Row],[Estimated Cost (at 70%) ]]</f>
        <v>501.60000000000014</v>
      </c>
      <c r="U337" s="19">
        <f>tblMaster[[#This Row],[Profit]]/tblMaster[[#This Row],[Revenue]]</f>
        <v>0.3000000000000001</v>
      </c>
      <c r="V337" s="19">
        <f>tblMaster[[#This Row],[Delivery_Date]]-tblMaster[[#This Row],[Order_Date]]</f>
        <v>5</v>
      </c>
      <c r="W337" s="19" t="str">
        <f>TEXT(tblMaster[[#This Row],[Order_Date]],"mmmm")</f>
        <v>August</v>
      </c>
      <c r="X337" s="19">
        <f>MONTH(tblMaster[[#This Row],[Order_Date]])</f>
        <v>8</v>
      </c>
      <c r="Y337" s="19" t="str">
        <f>"Q"&amp;ROUNDUP(tblMaster[[#This Row],[Month Number]]/3,0)</f>
        <v>Q3</v>
      </c>
      <c r="Z337" s="19">
        <f>YEAR(tblMaster[[#This Row],[Order_Date]])</f>
        <v>2023</v>
      </c>
      <c r="AA337" s="19" t="str">
        <f>TEXT(DAY(tblMaster[[#This Row],[Order_Date]]),"dddd")</f>
        <v>Friday</v>
      </c>
      <c r="AB337" s="19" t="str">
        <f>IF(tblMaster[[#This Row],[Revenue]]&gt;=5000,"High",IF(tblMaster[[#This Row],[Revenue]]&lt;2000,"Low","Medium"))</f>
        <v>Low</v>
      </c>
    </row>
    <row r="338" spans="1:28" x14ac:dyDescent="0.25">
      <c r="A338" s="7">
        <v>337</v>
      </c>
      <c r="B338" s="7" t="s">
        <v>289</v>
      </c>
      <c r="C338" s="4">
        <v>24</v>
      </c>
      <c r="D338" s="4">
        <v>3</v>
      </c>
      <c r="E338" s="8">
        <v>45062</v>
      </c>
      <c r="F338" s="9">
        <v>0.59805555555555556</v>
      </c>
      <c r="G338" s="8">
        <v>45068</v>
      </c>
      <c r="H338" s="9">
        <v>0.85153935185185181</v>
      </c>
      <c r="I338" s="7" t="s">
        <v>434</v>
      </c>
      <c r="J338" s="7" t="s">
        <v>36</v>
      </c>
      <c r="K338" s="18" t="str">
        <f>_xlfn.XLOOKUP(tblMaster[[#This Row],[Customer_ID]],tblCustomers[Customer_ID],tblCustomers[City],"Not Found",0)</f>
        <v>Chinsurah</v>
      </c>
      <c r="L338" s="18" t="str">
        <f>_xlfn.XLOOKUP(tblMaster[[#This Row],[Customer_ID]],tblCustomers[Customer_ID],tblCustomers[Name],"Not Found",0)</f>
        <v>Veer Ray</v>
      </c>
      <c r="M338" s="18" t="str">
        <f>_xlfn.XLOOKUP(tblMaster[[#This Row],[Customer_ID]],tblCustomers[Customer_ID],tblCustomers[Gender],"Not Found",0)</f>
        <v>Female</v>
      </c>
      <c r="N338" s="18" t="str">
        <f>_xlfn.XLOOKUP(tblMaster[[#This Row],[Product_ID]],tblProducts[Product_ID],tblProducts[Product_Name],"Not Found",0)</f>
        <v>Ad Box</v>
      </c>
      <c r="O338" s="18" t="str">
        <f>_xlfn.XLOOKUP(tblMaster[[#This Row],[Product_ID]],tblProducts[Product_ID],tblProducts[Category],"Not Found",0)</f>
        <v>Mugs</v>
      </c>
      <c r="P338" s="18" t="str">
        <f>_xlfn.XLOOKUP(tblMaster[[#This Row],[Product_ID]],tblProducts[Product_ID],tblProducts[Occasion],"Not Found",0)</f>
        <v>Birthday</v>
      </c>
      <c r="Q338" s="18">
        <f>_xlfn.XLOOKUP(tblMaster[[#This Row],[Product_ID]],tblProducts[Product_ID],tblProducts[Price (INR)],"Not Found",0)</f>
        <v>535</v>
      </c>
      <c r="R338" s="19">
        <f>tblMaster[[#This Row],[Price]]*tblMaster[[#This Row],[Quantity]]</f>
        <v>1605</v>
      </c>
      <c r="S338" s="19">
        <f>tblMaster[[#This Row],[Price]]*0.7*tblMaster[[#This Row],[Quantity]]</f>
        <v>1123.5</v>
      </c>
      <c r="T338" s="19">
        <f>tblMaster[[#This Row],[Revenue]]-tblMaster[[#This Row],[Estimated Cost (at 70%) ]]</f>
        <v>481.5</v>
      </c>
      <c r="U338" s="19">
        <f>tblMaster[[#This Row],[Profit]]/tblMaster[[#This Row],[Revenue]]</f>
        <v>0.3</v>
      </c>
      <c r="V338" s="19">
        <f>tblMaster[[#This Row],[Delivery_Date]]-tblMaster[[#This Row],[Order_Date]]</f>
        <v>6</v>
      </c>
      <c r="W338" s="19" t="str">
        <f>TEXT(tblMaster[[#This Row],[Order_Date]],"mmmm")</f>
        <v>May</v>
      </c>
      <c r="X338" s="19">
        <f>MONTH(tblMaster[[#This Row],[Order_Date]])</f>
        <v>5</v>
      </c>
      <c r="Y338" s="19" t="str">
        <f>"Q"&amp;ROUNDUP(tblMaster[[#This Row],[Month Number]]/3,0)</f>
        <v>Q2</v>
      </c>
      <c r="Z338" s="19">
        <f>YEAR(tblMaster[[#This Row],[Order_Date]])</f>
        <v>2023</v>
      </c>
      <c r="AA338" s="19" t="str">
        <f>TEXT(DAY(tblMaster[[#This Row],[Order_Date]]),"dddd")</f>
        <v>Monday</v>
      </c>
      <c r="AB338" s="19" t="str">
        <f>IF(tblMaster[[#This Row],[Revenue]]&gt;=5000,"High",IF(tblMaster[[#This Row],[Revenue]]&lt;2000,"Low","Medium"))</f>
        <v>Low</v>
      </c>
    </row>
    <row r="339" spans="1:28" x14ac:dyDescent="0.25">
      <c r="A339" s="10">
        <v>338</v>
      </c>
      <c r="B339" s="10" t="s">
        <v>347</v>
      </c>
      <c r="C339" s="5">
        <v>21</v>
      </c>
      <c r="D339" s="5">
        <v>3</v>
      </c>
      <c r="E339" s="11">
        <v>45158</v>
      </c>
      <c r="F339" s="12">
        <v>0.59434027777777776</v>
      </c>
      <c r="G339" s="11">
        <v>45166</v>
      </c>
      <c r="H339" s="12">
        <v>6.535879629629629E-2</v>
      </c>
      <c r="I339" s="10" t="s">
        <v>473</v>
      </c>
      <c r="J339" s="10" t="s">
        <v>33</v>
      </c>
      <c r="K339" s="18" t="str">
        <f>_xlfn.XLOOKUP(tblMaster[[#This Row],[Customer_ID]],tblCustomers[Customer_ID],tblCustomers[City],"Not Found",0)</f>
        <v>North Dumdum</v>
      </c>
      <c r="L339" s="18" t="str">
        <f>_xlfn.XLOOKUP(tblMaster[[#This Row],[Customer_ID]],tblCustomers[Customer_ID],tblCustomers[Name],"Not Found",0)</f>
        <v>Rania Bhatt</v>
      </c>
      <c r="M339" s="18" t="str">
        <f>_xlfn.XLOOKUP(tblMaster[[#This Row],[Customer_ID]],tblCustomers[Customer_ID],tblCustomers[Gender],"Not Found",0)</f>
        <v>Female</v>
      </c>
      <c r="N339" s="18" t="str">
        <f>_xlfn.XLOOKUP(tblMaster[[#This Row],[Product_ID]],tblProducts[Product_ID],tblProducts[Product_Name],"Not Found",0)</f>
        <v>Quia Gift</v>
      </c>
      <c r="O339" s="18" t="str">
        <f>_xlfn.XLOOKUP(tblMaster[[#This Row],[Product_ID]],tblProducts[Product_ID],tblProducts[Category],"Not Found",0)</f>
        <v>Colors</v>
      </c>
      <c r="P339" s="18" t="str">
        <f>_xlfn.XLOOKUP(tblMaster[[#This Row],[Product_ID]],tblProducts[Product_ID],tblProducts[Occasion],"Not Found",0)</f>
        <v>Raksha Bandhan</v>
      </c>
      <c r="Q339" s="18">
        <f>_xlfn.XLOOKUP(tblMaster[[#This Row],[Product_ID]],tblProducts[Product_ID],tblProducts[Price (INR)],"Not Found",0)</f>
        <v>1561</v>
      </c>
      <c r="R339" s="19">
        <f>tblMaster[[#This Row],[Price]]*tblMaster[[#This Row],[Quantity]]</f>
        <v>4683</v>
      </c>
      <c r="S339" s="19">
        <f>tblMaster[[#This Row],[Price]]*0.7*tblMaster[[#This Row],[Quantity]]</f>
        <v>3278.0999999999995</v>
      </c>
      <c r="T339" s="19">
        <f>tblMaster[[#This Row],[Revenue]]-tblMaster[[#This Row],[Estimated Cost (at 70%) ]]</f>
        <v>1404.9000000000005</v>
      </c>
      <c r="U339" s="19">
        <f>tblMaster[[#This Row],[Profit]]/tblMaster[[#This Row],[Revenue]]</f>
        <v>0.3000000000000001</v>
      </c>
      <c r="V339" s="19">
        <f>tblMaster[[#This Row],[Delivery_Date]]-tblMaster[[#This Row],[Order_Date]]</f>
        <v>8</v>
      </c>
      <c r="W339" s="19" t="str">
        <f>TEXT(tblMaster[[#This Row],[Order_Date]],"mmmm")</f>
        <v>August</v>
      </c>
      <c r="X339" s="19">
        <f>MONTH(tblMaster[[#This Row],[Order_Date]])</f>
        <v>8</v>
      </c>
      <c r="Y339" s="19" t="str">
        <f>"Q"&amp;ROUNDUP(tblMaster[[#This Row],[Month Number]]/3,0)</f>
        <v>Q3</v>
      </c>
      <c r="Z339" s="19">
        <f>YEAR(tblMaster[[#This Row],[Order_Date]])</f>
        <v>2023</v>
      </c>
      <c r="AA339" s="19" t="str">
        <f>TEXT(DAY(tblMaster[[#This Row],[Order_Date]]),"dddd")</f>
        <v>Friday</v>
      </c>
      <c r="AB339" s="19" t="str">
        <f>IF(tblMaster[[#This Row],[Revenue]]&gt;=5000,"High",IF(tblMaster[[#This Row],[Revenue]]&lt;2000,"Low","Medium"))</f>
        <v>Medium</v>
      </c>
    </row>
    <row r="340" spans="1:28" x14ac:dyDescent="0.25">
      <c r="A340" s="7">
        <v>339</v>
      </c>
      <c r="B340" s="7" t="s">
        <v>333</v>
      </c>
      <c r="C340" s="4">
        <v>8</v>
      </c>
      <c r="D340" s="4">
        <v>1</v>
      </c>
      <c r="E340" s="8">
        <v>45189</v>
      </c>
      <c r="F340" s="9">
        <v>0.83841435185185187</v>
      </c>
      <c r="G340" s="8">
        <v>45198</v>
      </c>
      <c r="H340" s="9">
        <v>0.4516087962962963</v>
      </c>
      <c r="I340" s="7" t="s">
        <v>177</v>
      </c>
      <c r="J340" s="7" t="s">
        <v>30</v>
      </c>
      <c r="K340" s="18" t="str">
        <f>_xlfn.XLOOKUP(tblMaster[[#This Row],[Customer_ID]],tblCustomers[Customer_ID],tblCustomers[City],"Not Found",0)</f>
        <v>Raurkela Industrial Township</v>
      </c>
      <c r="L340" s="18" t="str">
        <f>_xlfn.XLOOKUP(tblMaster[[#This Row],[Customer_ID]],tblCustomers[Customer_ID],tblCustomers[Name],"Not Found",0)</f>
        <v>Aaryahi Sodhi</v>
      </c>
      <c r="M340" s="18" t="str">
        <f>_xlfn.XLOOKUP(tblMaster[[#This Row],[Customer_ID]],tblCustomers[Customer_ID],tblCustomers[Gender],"Not Found",0)</f>
        <v>Male</v>
      </c>
      <c r="N340" s="18" t="str">
        <f>_xlfn.XLOOKUP(tblMaster[[#This Row],[Product_ID]],tblProducts[Product_ID],tblProducts[Product_Name],"Not Found",0)</f>
        <v>Qui Box</v>
      </c>
      <c r="O340" s="18" t="str">
        <f>_xlfn.XLOOKUP(tblMaster[[#This Row],[Product_ID]],tblProducts[Product_ID],tblProducts[Category],"Not Found",0)</f>
        <v>Sweets</v>
      </c>
      <c r="P340" s="18" t="str">
        <f>_xlfn.XLOOKUP(tblMaster[[#This Row],[Product_ID]],tblProducts[Product_ID],tblProducts[Occasion],"Not Found",0)</f>
        <v>Anniversary</v>
      </c>
      <c r="Q340" s="18">
        <f>_xlfn.XLOOKUP(tblMaster[[#This Row],[Product_ID]],tblProducts[Product_ID],tblProducts[Price (INR)],"Not Found",0)</f>
        <v>252</v>
      </c>
      <c r="R340" s="19">
        <f>tblMaster[[#This Row],[Price]]*tblMaster[[#This Row],[Quantity]]</f>
        <v>252</v>
      </c>
      <c r="S340" s="19">
        <f>tblMaster[[#This Row],[Price]]*0.7*tblMaster[[#This Row],[Quantity]]</f>
        <v>176.39999999999998</v>
      </c>
      <c r="T340" s="19">
        <f>tblMaster[[#This Row],[Revenue]]-tblMaster[[#This Row],[Estimated Cost (at 70%) ]]</f>
        <v>75.600000000000023</v>
      </c>
      <c r="U340" s="19">
        <f>tblMaster[[#This Row],[Profit]]/tblMaster[[#This Row],[Revenue]]</f>
        <v>0.3000000000000001</v>
      </c>
      <c r="V340" s="19">
        <f>tblMaster[[#This Row],[Delivery_Date]]-tblMaster[[#This Row],[Order_Date]]</f>
        <v>9</v>
      </c>
      <c r="W340" s="19" t="str">
        <f>TEXT(tblMaster[[#This Row],[Order_Date]],"mmmm")</f>
        <v>September</v>
      </c>
      <c r="X340" s="19">
        <f>MONTH(tblMaster[[#This Row],[Order_Date]])</f>
        <v>9</v>
      </c>
      <c r="Y340" s="19" t="str">
        <f>"Q"&amp;ROUNDUP(tblMaster[[#This Row],[Month Number]]/3,0)</f>
        <v>Q3</v>
      </c>
      <c r="Z340" s="19">
        <f>YEAR(tblMaster[[#This Row],[Order_Date]])</f>
        <v>2023</v>
      </c>
      <c r="AA340" s="19" t="str">
        <f>TEXT(DAY(tblMaster[[#This Row],[Order_Date]]),"dddd")</f>
        <v>Friday</v>
      </c>
      <c r="AB340" s="19" t="str">
        <f>IF(tblMaster[[#This Row],[Revenue]]&gt;=5000,"High",IF(tblMaster[[#This Row],[Revenue]]&lt;2000,"Low","Medium"))</f>
        <v>Low</v>
      </c>
    </row>
    <row r="341" spans="1:28" x14ac:dyDescent="0.25">
      <c r="A341" s="10">
        <v>340</v>
      </c>
      <c r="B341" s="10" t="s">
        <v>417</v>
      </c>
      <c r="C341" s="5">
        <v>38</v>
      </c>
      <c r="D341" s="5">
        <v>3</v>
      </c>
      <c r="E341" s="11">
        <v>45121</v>
      </c>
      <c r="F341" s="12">
        <v>0.32848379629629632</v>
      </c>
      <c r="G341" s="11">
        <v>45129</v>
      </c>
      <c r="H341" s="12">
        <v>0.1222337962962963</v>
      </c>
      <c r="I341" s="10" t="s">
        <v>371</v>
      </c>
      <c r="J341" s="10" t="s">
        <v>36</v>
      </c>
      <c r="K341" s="18" t="str">
        <f>_xlfn.XLOOKUP(tblMaster[[#This Row],[Customer_ID]],tblCustomers[Customer_ID],tblCustomers[City],"Not Found",0)</f>
        <v>Gaya</v>
      </c>
      <c r="L341" s="18" t="str">
        <f>_xlfn.XLOOKUP(tblMaster[[#This Row],[Customer_ID]],tblCustomers[Customer_ID],tblCustomers[Name],"Not Found",0)</f>
        <v>Oorja Dayal</v>
      </c>
      <c r="M341" s="18" t="str">
        <f>_xlfn.XLOOKUP(tblMaster[[#This Row],[Customer_ID]],tblCustomers[Customer_ID],tblCustomers[Gender],"Not Found",0)</f>
        <v>Female</v>
      </c>
      <c r="N341" s="18" t="str">
        <f>_xlfn.XLOOKUP(tblMaster[[#This Row],[Product_ID]],tblProducts[Product_ID],tblProducts[Product_Name],"Not Found",0)</f>
        <v>Mollitia Set</v>
      </c>
      <c r="O341" s="18" t="str">
        <f>_xlfn.XLOOKUP(tblMaster[[#This Row],[Product_ID]],tblProducts[Product_ID],tblProducts[Category],"Not Found",0)</f>
        <v>Cake</v>
      </c>
      <c r="P341" s="18" t="str">
        <f>_xlfn.XLOOKUP(tblMaster[[#This Row],[Product_ID]],tblProducts[Product_ID],tblProducts[Occasion],"Not Found",0)</f>
        <v>Birthday</v>
      </c>
      <c r="Q341" s="18">
        <f>_xlfn.XLOOKUP(tblMaster[[#This Row],[Product_ID]],tblProducts[Product_ID],tblProducts[Price (INR)],"Not Found",0)</f>
        <v>562</v>
      </c>
      <c r="R341" s="19">
        <f>tblMaster[[#This Row],[Price]]*tblMaster[[#This Row],[Quantity]]</f>
        <v>1686</v>
      </c>
      <c r="S341" s="19">
        <f>tblMaster[[#This Row],[Price]]*0.7*tblMaster[[#This Row],[Quantity]]</f>
        <v>1180.1999999999998</v>
      </c>
      <c r="T341" s="19">
        <f>tblMaster[[#This Row],[Revenue]]-tblMaster[[#This Row],[Estimated Cost (at 70%) ]]</f>
        <v>505.80000000000018</v>
      </c>
      <c r="U341" s="19">
        <f>tblMaster[[#This Row],[Profit]]/tblMaster[[#This Row],[Revenue]]</f>
        <v>0.3000000000000001</v>
      </c>
      <c r="V341" s="19">
        <f>tblMaster[[#This Row],[Delivery_Date]]-tblMaster[[#This Row],[Order_Date]]</f>
        <v>8</v>
      </c>
      <c r="W341" s="19" t="str">
        <f>TEXT(tblMaster[[#This Row],[Order_Date]],"mmmm")</f>
        <v>July</v>
      </c>
      <c r="X341" s="19">
        <f>MONTH(tblMaster[[#This Row],[Order_Date]])</f>
        <v>7</v>
      </c>
      <c r="Y341" s="19" t="str">
        <f>"Q"&amp;ROUNDUP(tblMaster[[#This Row],[Month Number]]/3,0)</f>
        <v>Q3</v>
      </c>
      <c r="Z341" s="19">
        <f>YEAR(tblMaster[[#This Row],[Order_Date]])</f>
        <v>2023</v>
      </c>
      <c r="AA341" s="19" t="str">
        <f>TEXT(DAY(tblMaster[[#This Row],[Order_Date]]),"dddd")</f>
        <v>Saturday</v>
      </c>
      <c r="AB341" s="19" t="str">
        <f>IF(tblMaster[[#This Row],[Revenue]]&gt;=5000,"High",IF(tblMaster[[#This Row],[Revenue]]&lt;2000,"Low","Medium"))</f>
        <v>Low</v>
      </c>
    </row>
    <row r="342" spans="1:28" x14ac:dyDescent="0.25">
      <c r="A342" s="7">
        <v>341</v>
      </c>
      <c r="B342" s="7" t="s">
        <v>283</v>
      </c>
      <c r="C342" s="4">
        <v>9</v>
      </c>
      <c r="D342" s="4">
        <v>2</v>
      </c>
      <c r="E342" s="8">
        <v>45158</v>
      </c>
      <c r="F342" s="9">
        <v>0.62123842592592593</v>
      </c>
      <c r="G342" s="8">
        <v>45168</v>
      </c>
      <c r="H342" s="9">
        <v>0.93903935185185183</v>
      </c>
      <c r="I342" s="7" t="s">
        <v>478</v>
      </c>
      <c r="J342" s="7" t="s">
        <v>33</v>
      </c>
      <c r="K342" s="18" t="str">
        <f>_xlfn.XLOOKUP(tblMaster[[#This Row],[Customer_ID]],tblCustomers[Customer_ID],tblCustomers[City],"Not Found",0)</f>
        <v>Noida</v>
      </c>
      <c r="L342" s="18" t="str">
        <f>_xlfn.XLOOKUP(tblMaster[[#This Row],[Customer_ID]],tblCustomers[Customer_ID],tblCustomers[Name],"Not Found",0)</f>
        <v>Hridaan Rajagopalan</v>
      </c>
      <c r="M342" s="18" t="str">
        <f>_xlfn.XLOOKUP(tblMaster[[#This Row],[Customer_ID]],tblCustomers[Customer_ID],tblCustomers[Gender],"Not Found",0)</f>
        <v>Female</v>
      </c>
      <c r="N342" s="18" t="str">
        <f>_xlfn.XLOOKUP(tblMaster[[#This Row],[Product_ID]],tblProducts[Product_ID],tblProducts[Product_Name],"Not Found",0)</f>
        <v>Aperiam Box</v>
      </c>
      <c r="O342" s="18" t="str">
        <f>_xlfn.XLOOKUP(tblMaster[[#This Row],[Product_ID]],tblProducts[Product_ID],tblProducts[Category],"Not Found",0)</f>
        <v>Colors</v>
      </c>
      <c r="P342" s="18" t="str">
        <f>_xlfn.XLOOKUP(tblMaster[[#This Row],[Product_ID]],tblProducts[Product_ID],tblProducts[Occasion],"Not Found",0)</f>
        <v>Raksha Bandhan</v>
      </c>
      <c r="Q342" s="18">
        <f>_xlfn.XLOOKUP(tblMaster[[#This Row],[Product_ID]],tblProducts[Product_ID],tblProducts[Price (INR)],"Not Found",0)</f>
        <v>1605</v>
      </c>
      <c r="R342" s="19">
        <f>tblMaster[[#This Row],[Price]]*tblMaster[[#This Row],[Quantity]]</f>
        <v>3210</v>
      </c>
      <c r="S342" s="19">
        <f>tblMaster[[#This Row],[Price]]*0.7*tblMaster[[#This Row],[Quantity]]</f>
        <v>2247</v>
      </c>
      <c r="T342" s="19">
        <f>tblMaster[[#This Row],[Revenue]]-tblMaster[[#This Row],[Estimated Cost (at 70%) ]]</f>
        <v>963</v>
      </c>
      <c r="U342" s="19">
        <f>tblMaster[[#This Row],[Profit]]/tblMaster[[#This Row],[Revenue]]</f>
        <v>0.3</v>
      </c>
      <c r="V342" s="19">
        <f>tblMaster[[#This Row],[Delivery_Date]]-tblMaster[[#This Row],[Order_Date]]</f>
        <v>10</v>
      </c>
      <c r="W342" s="19" t="str">
        <f>TEXT(tblMaster[[#This Row],[Order_Date]],"mmmm")</f>
        <v>August</v>
      </c>
      <c r="X342" s="19">
        <f>MONTH(tblMaster[[#This Row],[Order_Date]])</f>
        <v>8</v>
      </c>
      <c r="Y342" s="19" t="str">
        <f>"Q"&amp;ROUNDUP(tblMaster[[#This Row],[Month Number]]/3,0)</f>
        <v>Q3</v>
      </c>
      <c r="Z342" s="19">
        <f>YEAR(tblMaster[[#This Row],[Order_Date]])</f>
        <v>2023</v>
      </c>
      <c r="AA342" s="19" t="str">
        <f>TEXT(DAY(tblMaster[[#This Row],[Order_Date]]),"dddd")</f>
        <v>Friday</v>
      </c>
      <c r="AB342" s="19" t="str">
        <f>IF(tblMaster[[#This Row],[Revenue]]&gt;=5000,"High",IF(tblMaster[[#This Row],[Revenue]]&lt;2000,"Low","Medium"))</f>
        <v>Medium</v>
      </c>
    </row>
    <row r="343" spans="1:28" x14ac:dyDescent="0.25">
      <c r="A343" s="10">
        <v>342</v>
      </c>
      <c r="B343" s="10" t="s">
        <v>285</v>
      </c>
      <c r="C343" s="5">
        <v>36</v>
      </c>
      <c r="D343" s="5">
        <v>5</v>
      </c>
      <c r="E343" s="11">
        <v>45233</v>
      </c>
      <c r="F343" s="12">
        <v>0.16924768518518518</v>
      </c>
      <c r="G343" s="11">
        <v>45238</v>
      </c>
      <c r="H343" s="12">
        <v>0.68490740740740741</v>
      </c>
      <c r="I343" s="10" t="s">
        <v>290</v>
      </c>
      <c r="J343" s="10" t="s">
        <v>36</v>
      </c>
      <c r="K343" s="18" t="str">
        <f>_xlfn.XLOOKUP(tblMaster[[#This Row],[Customer_ID]],tblCustomers[Customer_ID],tblCustomers[City],"Not Found",0)</f>
        <v>Nagpur</v>
      </c>
      <c r="L343" s="18" t="str">
        <f>_xlfn.XLOOKUP(tblMaster[[#This Row],[Customer_ID]],tblCustomers[Customer_ID],tblCustomers[Name],"Not Found",0)</f>
        <v>Inaaya  Sarraf</v>
      </c>
      <c r="M343" s="18" t="str">
        <f>_xlfn.XLOOKUP(tblMaster[[#This Row],[Customer_ID]],tblCustomers[Customer_ID],tblCustomers[Gender],"Not Found",0)</f>
        <v>Male</v>
      </c>
      <c r="N343" s="18" t="str">
        <f>_xlfn.XLOOKUP(tblMaster[[#This Row],[Product_ID]],tblProducts[Product_ID],tblProducts[Product_Name],"Not Found",0)</f>
        <v>Cum Gift</v>
      </c>
      <c r="O343" s="18" t="str">
        <f>_xlfn.XLOOKUP(tblMaster[[#This Row],[Product_ID]],tblProducts[Product_ID],tblProducts[Category],"Not Found",0)</f>
        <v>Plants</v>
      </c>
      <c r="P343" s="18" t="str">
        <f>_xlfn.XLOOKUP(tblMaster[[#This Row],[Product_ID]],tblProducts[Product_ID],tblProducts[Occasion],"Not Found",0)</f>
        <v>Birthday</v>
      </c>
      <c r="Q343" s="18">
        <f>_xlfn.XLOOKUP(tblMaster[[#This Row],[Product_ID]],tblProducts[Product_ID],tblProducts[Price (INR)],"Not Found",0)</f>
        <v>203</v>
      </c>
      <c r="R343" s="19">
        <f>tblMaster[[#This Row],[Price]]*tblMaster[[#This Row],[Quantity]]</f>
        <v>1015</v>
      </c>
      <c r="S343" s="19">
        <f>tblMaster[[#This Row],[Price]]*0.7*tblMaster[[#This Row],[Quantity]]</f>
        <v>710.5</v>
      </c>
      <c r="T343" s="19">
        <f>tblMaster[[#This Row],[Revenue]]-tblMaster[[#This Row],[Estimated Cost (at 70%) ]]</f>
        <v>304.5</v>
      </c>
      <c r="U343" s="19">
        <f>tblMaster[[#This Row],[Profit]]/tblMaster[[#This Row],[Revenue]]</f>
        <v>0.3</v>
      </c>
      <c r="V343" s="19">
        <f>tblMaster[[#This Row],[Delivery_Date]]-tblMaster[[#This Row],[Order_Date]]</f>
        <v>5</v>
      </c>
      <c r="W343" s="19" t="str">
        <f>TEXT(tblMaster[[#This Row],[Order_Date]],"mmmm")</f>
        <v>November</v>
      </c>
      <c r="X343" s="19">
        <f>MONTH(tblMaster[[#This Row],[Order_Date]])</f>
        <v>11</v>
      </c>
      <c r="Y343" s="19" t="str">
        <f>"Q"&amp;ROUNDUP(tblMaster[[#This Row],[Month Number]]/3,0)</f>
        <v>Q4</v>
      </c>
      <c r="Z343" s="19">
        <f>YEAR(tblMaster[[#This Row],[Order_Date]])</f>
        <v>2023</v>
      </c>
      <c r="AA343" s="19" t="str">
        <f>TEXT(DAY(tblMaster[[#This Row],[Order_Date]]),"dddd")</f>
        <v>Tuesday</v>
      </c>
      <c r="AB343" s="19" t="str">
        <f>IF(tblMaster[[#This Row],[Revenue]]&gt;=5000,"High",IF(tblMaster[[#This Row],[Revenue]]&lt;2000,"Low","Medium"))</f>
        <v>Low</v>
      </c>
    </row>
    <row r="344" spans="1:28" x14ac:dyDescent="0.25">
      <c r="A344" s="7">
        <v>343</v>
      </c>
      <c r="B344" s="7" t="s">
        <v>239</v>
      </c>
      <c r="C344" s="4">
        <v>66</v>
      </c>
      <c r="D344" s="4">
        <v>3</v>
      </c>
      <c r="E344" s="8">
        <v>44991</v>
      </c>
      <c r="F344" s="9">
        <v>0.59212962962962967</v>
      </c>
      <c r="G344" s="8">
        <v>44994</v>
      </c>
      <c r="H344" s="9">
        <v>0.39380787037037035</v>
      </c>
      <c r="I344" s="7" t="s">
        <v>479</v>
      </c>
      <c r="J344" s="7" t="s">
        <v>25</v>
      </c>
      <c r="K344" s="18" t="str">
        <f>_xlfn.XLOOKUP(tblMaster[[#This Row],[Customer_ID]],tblCustomers[Customer_ID],tblCustomers[City],"Not Found",0)</f>
        <v>Karimnagar</v>
      </c>
      <c r="L344" s="18" t="str">
        <f>_xlfn.XLOOKUP(tblMaster[[#This Row],[Customer_ID]],tblCustomers[Customer_ID],tblCustomers[Name],"Not Found",0)</f>
        <v>Rania Mann</v>
      </c>
      <c r="M344" s="18" t="str">
        <f>_xlfn.XLOOKUP(tblMaster[[#This Row],[Customer_ID]],tblCustomers[Customer_ID],tblCustomers[Gender],"Not Found",0)</f>
        <v>Female</v>
      </c>
      <c r="N344" s="18" t="str">
        <f>_xlfn.XLOOKUP(tblMaster[[#This Row],[Product_ID]],tblProducts[Product_ID],tblProducts[Product_Name],"Not Found",0)</f>
        <v>Quas Box</v>
      </c>
      <c r="O344" s="18" t="str">
        <f>_xlfn.XLOOKUP(tblMaster[[#This Row],[Product_ID]],tblProducts[Product_ID],tblProducts[Category],"Not Found",0)</f>
        <v>Colors</v>
      </c>
      <c r="P344" s="18" t="str">
        <f>_xlfn.XLOOKUP(tblMaster[[#This Row],[Product_ID]],tblProducts[Product_ID],tblProducts[Occasion],"Not Found",0)</f>
        <v>Holi</v>
      </c>
      <c r="Q344" s="18">
        <f>_xlfn.XLOOKUP(tblMaster[[#This Row],[Product_ID]],tblProducts[Product_ID],tblProducts[Price (INR)],"Not Found",0)</f>
        <v>610</v>
      </c>
      <c r="R344" s="19">
        <f>tblMaster[[#This Row],[Price]]*tblMaster[[#This Row],[Quantity]]</f>
        <v>1830</v>
      </c>
      <c r="S344" s="19">
        <f>tblMaster[[#This Row],[Price]]*0.7*tblMaster[[#This Row],[Quantity]]</f>
        <v>1281</v>
      </c>
      <c r="T344" s="19">
        <f>tblMaster[[#This Row],[Revenue]]-tblMaster[[#This Row],[Estimated Cost (at 70%) ]]</f>
        <v>549</v>
      </c>
      <c r="U344" s="19">
        <f>tblMaster[[#This Row],[Profit]]/tblMaster[[#This Row],[Revenue]]</f>
        <v>0.3</v>
      </c>
      <c r="V344" s="19">
        <f>tblMaster[[#This Row],[Delivery_Date]]-tblMaster[[#This Row],[Order_Date]]</f>
        <v>3</v>
      </c>
      <c r="W344" s="19" t="str">
        <f>TEXT(tblMaster[[#This Row],[Order_Date]],"mmmm")</f>
        <v>March</v>
      </c>
      <c r="X344" s="19">
        <f>MONTH(tblMaster[[#This Row],[Order_Date]])</f>
        <v>3</v>
      </c>
      <c r="Y344" s="19" t="str">
        <f>"Q"&amp;ROUNDUP(tblMaster[[#This Row],[Month Number]]/3,0)</f>
        <v>Q1</v>
      </c>
      <c r="Z344" s="19">
        <f>YEAR(tblMaster[[#This Row],[Order_Date]])</f>
        <v>2023</v>
      </c>
      <c r="AA344" s="19" t="str">
        <f>TEXT(DAY(tblMaster[[#This Row],[Order_Date]]),"dddd")</f>
        <v>Friday</v>
      </c>
      <c r="AB344" s="19" t="str">
        <f>IF(tblMaster[[#This Row],[Revenue]]&gt;=5000,"High",IF(tblMaster[[#This Row],[Revenue]]&lt;2000,"Low","Medium"))</f>
        <v>Low</v>
      </c>
    </row>
    <row r="345" spans="1:28" x14ac:dyDescent="0.25">
      <c r="A345" s="10">
        <v>344</v>
      </c>
      <c r="B345" s="10" t="s">
        <v>246</v>
      </c>
      <c r="C345" s="5">
        <v>28</v>
      </c>
      <c r="D345" s="5">
        <v>5</v>
      </c>
      <c r="E345" s="11">
        <v>45167</v>
      </c>
      <c r="F345" s="12">
        <v>0.71275462962962965</v>
      </c>
      <c r="G345" s="11">
        <v>45172</v>
      </c>
      <c r="H345" s="12">
        <v>0.26952546296296298</v>
      </c>
      <c r="I345" s="10" t="s">
        <v>378</v>
      </c>
      <c r="J345" s="10" t="s">
        <v>33</v>
      </c>
      <c r="K345" s="18" t="str">
        <f>_xlfn.XLOOKUP(tblMaster[[#This Row],[Customer_ID]],tblCustomers[Customer_ID],tblCustomers[City],"Not Found",0)</f>
        <v>Machilipatnam</v>
      </c>
      <c r="L345" s="18" t="str">
        <f>_xlfn.XLOOKUP(tblMaster[[#This Row],[Customer_ID]],tblCustomers[Customer_ID],tblCustomers[Name],"Not Found",0)</f>
        <v>Samaira Ganesh</v>
      </c>
      <c r="M345" s="18" t="str">
        <f>_xlfn.XLOOKUP(tblMaster[[#This Row],[Customer_ID]],tblCustomers[Customer_ID],tblCustomers[Gender],"Not Found",0)</f>
        <v>Male</v>
      </c>
      <c r="N345" s="18" t="str">
        <f>_xlfn.XLOOKUP(tblMaster[[#This Row],[Product_ID]],tblProducts[Product_ID],tblProducts[Product_Name],"Not Found",0)</f>
        <v>Velit Set</v>
      </c>
      <c r="O345" s="18" t="str">
        <f>_xlfn.XLOOKUP(tblMaster[[#This Row],[Product_ID]],tblProducts[Product_ID],tblProducts[Category],"Not Found",0)</f>
        <v>Sweets</v>
      </c>
      <c r="P345" s="18" t="str">
        <f>_xlfn.XLOOKUP(tblMaster[[#This Row],[Product_ID]],tblProducts[Product_ID],tblProducts[Occasion],"Not Found",0)</f>
        <v>Raksha Bandhan</v>
      </c>
      <c r="Q345" s="18">
        <f>_xlfn.XLOOKUP(tblMaster[[#This Row],[Product_ID]],tblProducts[Product_ID],tblProducts[Price (INR)],"Not Found",0)</f>
        <v>1778</v>
      </c>
      <c r="R345" s="19">
        <f>tblMaster[[#This Row],[Price]]*tblMaster[[#This Row],[Quantity]]</f>
        <v>8890</v>
      </c>
      <c r="S345" s="19">
        <f>tblMaster[[#This Row],[Price]]*0.7*tblMaster[[#This Row],[Quantity]]</f>
        <v>6223</v>
      </c>
      <c r="T345" s="19">
        <f>tblMaster[[#This Row],[Revenue]]-tblMaster[[#This Row],[Estimated Cost (at 70%) ]]</f>
        <v>2667</v>
      </c>
      <c r="U345" s="19">
        <f>tblMaster[[#This Row],[Profit]]/tblMaster[[#This Row],[Revenue]]</f>
        <v>0.3</v>
      </c>
      <c r="V345" s="19">
        <f>tblMaster[[#This Row],[Delivery_Date]]-tblMaster[[#This Row],[Order_Date]]</f>
        <v>5</v>
      </c>
      <c r="W345" s="19" t="str">
        <f>TEXT(tblMaster[[#This Row],[Order_Date]],"mmmm")</f>
        <v>August</v>
      </c>
      <c r="X345" s="19">
        <f>MONTH(tblMaster[[#This Row],[Order_Date]])</f>
        <v>8</v>
      </c>
      <c r="Y345" s="19" t="str">
        <f>"Q"&amp;ROUNDUP(tblMaster[[#This Row],[Month Number]]/3,0)</f>
        <v>Q3</v>
      </c>
      <c r="Z345" s="19">
        <f>YEAR(tblMaster[[#This Row],[Order_Date]])</f>
        <v>2023</v>
      </c>
      <c r="AA345" s="19" t="str">
        <f>TEXT(DAY(tblMaster[[#This Row],[Order_Date]]),"dddd")</f>
        <v>Sunday</v>
      </c>
      <c r="AB345" s="19" t="str">
        <f>IF(tblMaster[[#This Row],[Revenue]]&gt;=5000,"High",IF(tblMaster[[#This Row],[Revenue]]&lt;2000,"Low","Medium"))</f>
        <v>High</v>
      </c>
    </row>
    <row r="346" spans="1:28" x14ac:dyDescent="0.25">
      <c r="A346" s="7">
        <v>345</v>
      </c>
      <c r="B346" s="7" t="s">
        <v>195</v>
      </c>
      <c r="C346" s="4">
        <v>45</v>
      </c>
      <c r="D346" s="4">
        <v>4</v>
      </c>
      <c r="E346" s="8">
        <v>45184</v>
      </c>
      <c r="F346" s="9">
        <v>0.65326388888888887</v>
      </c>
      <c r="G346" s="8">
        <v>45192</v>
      </c>
      <c r="H346" s="9">
        <v>0.96633101851851855</v>
      </c>
      <c r="I346" s="7" t="s">
        <v>462</v>
      </c>
      <c r="J346" s="7" t="s">
        <v>36</v>
      </c>
      <c r="K346" s="18" t="str">
        <f>_xlfn.XLOOKUP(tblMaster[[#This Row],[Customer_ID]],tblCustomers[Customer_ID],tblCustomers[City],"Not Found",0)</f>
        <v>Haridwar</v>
      </c>
      <c r="L346" s="18" t="str">
        <f>_xlfn.XLOOKUP(tblMaster[[#This Row],[Customer_ID]],tblCustomers[Customer_ID],tblCustomers[Name],"Not Found",0)</f>
        <v>Pihu Choudhury</v>
      </c>
      <c r="M346" s="18" t="str">
        <f>_xlfn.XLOOKUP(tblMaster[[#This Row],[Customer_ID]],tblCustomers[Customer_ID],tblCustomers[Gender],"Not Found",0)</f>
        <v>Male</v>
      </c>
      <c r="N346" s="18" t="str">
        <f>_xlfn.XLOOKUP(tblMaster[[#This Row],[Product_ID]],tblProducts[Product_ID],tblProducts[Product_Name],"Not Found",0)</f>
        <v>Iusto Set</v>
      </c>
      <c r="O346" s="18" t="str">
        <f>_xlfn.XLOOKUP(tblMaster[[#This Row],[Product_ID]],tblProducts[Product_ID],tblProducts[Category],"Not Found",0)</f>
        <v>Raksha Bandhan</v>
      </c>
      <c r="P346" s="18" t="str">
        <f>_xlfn.XLOOKUP(tblMaster[[#This Row],[Product_ID]],tblProducts[Product_ID],tblProducts[Occasion],"Not Found",0)</f>
        <v>Birthday</v>
      </c>
      <c r="Q346" s="18">
        <f>_xlfn.XLOOKUP(tblMaster[[#This Row],[Product_ID]],tblProducts[Product_ID],tblProducts[Price (INR)],"Not Found",0)</f>
        <v>722</v>
      </c>
      <c r="R346" s="19">
        <f>tblMaster[[#This Row],[Price]]*tblMaster[[#This Row],[Quantity]]</f>
        <v>2888</v>
      </c>
      <c r="S346" s="19">
        <f>tblMaster[[#This Row],[Price]]*0.7*tblMaster[[#This Row],[Quantity]]</f>
        <v>2021.6</v>
      </c>
      <c r="T346" s="19">
        <f>tblMaster[[#This Row],[Revenue]]-tblMaster[[#This Row],[Estimated Cost (at 70%) ]]</f>
        <v>866.40000000000009</v>
      </c>
      <c r="U346" s="19">
        <f>tblMaster[[#This Row],[Profit]]/tblMaster[[#This Row],[Revenue]]</f>
        <v>0.30000000000000004</v>
      </c>
      <c r="V346" s="19">
        <f>tblMaster[[#This Row],[Delivery_Date]]-tblMaster[[#This Row],[Order_Date]]</f>
        <v>8</v>
      </c>
      <c r="W346" s="19" t="str">
        <f>TEXT(tblMaster[[#This Row],[Order_Date]],"mmmm")</f>
        <v>September</v>
      </c>
      <c r="X346" s="19">
        <f>MONTH(tblMaster[[#This Row],[Order_Date]])</f>
        <v>9</v>
      </c>
      <c r="Y346" s="19" t="str">
        <f>"Q"&amp;ROUNDUP(tblMaster[[#This Row],[Month Number]]/3,0)</f>
        <v>Q3</v>
      </c>
      <c r="Z346" s="19">
        <f>YEAR(tblMaster[[#This Row],[Order_Date]])</f>
        <v>2023</v>
      </c>
      <c r="AA346" s="19" t="str">
        <f>TEXT(DAY(tblMaster[[#This Row],[Order_Date]]),"dddd")</f>
        <v>Sunday</v>
      </c>
      <c r="AB346" s="19" t="str">
        <f>IF(tblMaster[[#This Row],[Revenue]]&gt;=5000,"High",IF(tblMaster[[#This Row],[Revenue]]&lt;2000,"Low","Medium"))</f>
        <v>Medium</v>
      </c>
    </row>
    <row r="347" spans="1:28" x14ac:dyDescent="0.25">
      <c r="A347" s="10">
        <v>346</v>
      </c>
      <c r="B347" s="10" t="s">
        <v>202</v>
      </c>
      <c r="C347" s="5">
        <v>50</v>
      </c>
      <c r="D347" s="5">
        <v>1</v>
      </c>
      <c r="E347" s="11">
        <v>44989</v>
      </c>
      <c r="F347" s="12">
        <v>0.9751967592592593</v>
      </c>
      <c r="G347" s="11">
        <v>44997</v>
      </c>
      <c r="H347" s="12">
        <v>0.69900462962962961</v>
      </c>
      <c r="I347" s="10" t="s">
        <v>395</v>
      </c>
      <c r="J347" s="10" t="s">
        <v>25</v>
      </c>
      <c r="K347" s="18" t="str">
        <f>_xlfn.XLOOKUP(tblMaster[[#This Row],[Customer_ID]],tblCustomers[Customer_ID],tblCustomers[City],"Not Found",0)</f>
        <v>Anantapuram</v>
      </c>
      <c r="L347" s="18" t="str">
        <f>_xlfn.XLOOKUP(tblMaster[[#This Row],[Customer_ID]],tblCustomers[Customer_ID],tblCustomers[Name],"Not Found",0)</f>
        <v>Drishya De</v>
      </c>
      <c r="M347" s="18" t="str">
        <f>_xlfn.XLOOKUP(tblMaster[[#This Row],[Customer_ID]],tblCustomers[Customer_ID],tblCustomers[Gender],"Not Found",0)</f>
        <v>Female</v>
      </c>
      <c r="N347" s="18" t="str">
        <f>_xlfn.XLOOKUP(tblMaster[[#This Row],[Product_ID]],tblProducts[Product_ID],tblProducts[Product_Name],"Not Found",0)</f>
        <v>Eligendi Set</v>
      </c>
      <c r="O347" s="18" t="str">
        <f>_xlfn.XLOOKUP(tblMaster[[#This Row],[Product_ID]],tblProducts[Product_ID],tblProducts[Category],"Not Found",0)</f>
        <v>Plants</v>
      </c>
      <c r="P347" s="18" t="str">
        <f>_xlfn.XLOOKUP(tblMaster[[#This Row],[Product_ID]],tblProducts[Product_ID],tblProducts[Occasion],"Not Found",0)</f>
        <v>Holi</v>
      </c>
      <c r="Q347" s="18">
        <f>_xlfn.XLOOKUP(tblMaster[[#This Row],[Product_ID]],tblProducts[Product_ID],tblProducts[Price (INR)],"Not Found",0)</f>
        <v>422</v>
      </c>
      <c r="R347" s="19">
        <f>tblMaster[[#This Row],[Price]]*tblMaster[[#This Row],[Quantity]]</f>
        <v>422</v>
      </c>
      <c r="S347" s="19">
        <f>tblMaster[[#This Row],[Price]]*0.7*tblMaster[[#This Row],[Quantity]]</f>
        <v>295.39999999999998</v>
      </c>
      <c r="T347" s="19">
        <f>tblMaster[[#This Row],[Revenue]]-tblMaster[[#This Row],[Estimated Cost (at 70%) ]]</f>
        <v>126.60000000000002</v>
      </c>
      <c r="U347" s="19">
        <f>tblMaster[[#This Row],[Profit]]/tblMaster[[#This Row],[Revenue]]</f>
        <v>0.30000000000000004</v>
      </c>
      <c r="V347" s="19">
        <f>tblMaster[[#This Row],[Delivery_Date]]-tblMaster[[#This Row],[Order_Date]]</f>
        <v>8</v>
      </c>
      <c r="W347" s="19" t="str">
        <f>TEXT(tblMaster[[#This Row],[Order_Date]],"mmmm")</f>
        <v>March</v>
      </c>
      <c r="X347" s="19">
        <f>MONTH(tblMaster[[#This Row],[Order_Date]])</f>
        <v>3</v>
      </c>
      <c r="Y347" s="19" t="str">
        <f>"Q"&amp;ROUNDUP(tblMaster[[#This Row],[Month Number]]/3,0)</f>
        <v>Q1</v>
      </c>
      <c r="Z347" s="19">
        <f>YEAR(tblMaster[[#This Row],[Order_Date]])</f>
        <v>2023</v>
      </c>
      <c r="AA347" s="19" t="str">
        <f>TEXT(DAY(tblMaster[[#This Row],[Order_Date]]),"dddd")</f>
        <v>Wednesday</v>
      </c>
      <c r="AB347" s="19" t="str">
        <f>IF(tblMaster[[#This Row],[Revenue]]&gt;=5000,"High",IF(tblMaster[[#This Row],[Revenue]]&lt;2000,"Low","Medium"))</f>
        <v>Low</v>
      </c>
    </row>
    <row r="348" spans="1:28" x14ac:dyDescent="0.25">
      <c r="A348" s="7">
        <v>347</v>
      </c>
      <c r="B348" s="7" t="s">
        <v>480</v>
      </c>
      <c r="C348" s="4">
        <v>34</v>
      </c>
      <c r="D348" s="4">
        <v>2</v>
      </c>
      <c r="E348" s="8">
        <v>45167</v>
      </c>
      <c r="F348" s="9">
        <v>0.40718749999999998</v>
      </c>
      <c r="G348" s="8">
        <v>45177</v>
      </c>
      <c r="H348" s="9">
        <v>0.35913194444444446</v>
      </c>
      <c r="I348" s="7" t="s">
        <v>481</v>
      </c>
      <c r="J348" s="7" t="s">
        <v>33</v>
      </c>
      <c r="K348" s="18" t="str">
        <f>_xlfn.XLOOKUP(tblMaster[[#This Row],[Customer_ID]],tblCustomers[Customer_ID],tblCustomers[City],"Not Found",0)</f>
        <v>Bhatpara</v>
      </c>
      <c r="L348" s="18" t="str">
        <f>_xlfn.XLOOKUP(tblMaster[[#This Row],[Customer_ID]],tblCustomers[Customer_ID],tblCustomers[Name],"Not Found",0)</f>
        <v>Hridaan Sood</v>
      </c>
      <c r="M348" s="18" t="str">
        <f>_xlfn.XLOOKUP(tblMaster[[#This Row],[Customer_ID]],tblCustomers[Customer_ID],tblCustomers[Gender],"Not Found",0)</f>
        <v>Male</v>
      </c>
      <c r="N348" s="18" t="str">
        <f>_xlfn.XLOOKUP(tblMaster[[#This Row],[Product_ID]],tblProducts[Product_ID],tblProducts[Product_Name],"Not Found",0)</f>
        <v>Placeat Pack</v>
      </c>
      <c r="O348" s="18" t="str">
        <f>_xlfn.XLOOKUP(tblMaster[[#This Row],[Product_ID]],tblProducts[Product_ID],tblProducts[Category],"Not Found",0)</f>
        <v>Soft Toys</v>
      </c>
      <c r="P348" s="18" t="str">
        <f>_xlfn.XLOOKUP(tblMaster[[#This Row],[Product_ID]],tblProducts[Product_ID],tblProducts[Occasion],"Not Found",0)</f>
        <v>Raksha Bandhan</v>
      </c>
      <c r="Q348" s="18">
        <f>_xlfn.XLOOKUP(tblMaster[[#This Row],[Product_ID]],tblProducts[Product_ID],tblProducts[Price (INR)],"Not Found",0)</f>
        <v>1335</v>
      </c>
      <c r="R348" s="19">
        <f>tblMaster[[#This Row],[Price]]*tblMaster[[#This Row],[Quantity]]</f>
        <v>2670</v>
      </c>
      <c r="S348" s="19">
        <f>tblMaster[[#This Row],[Price]]*0.7*tblMaster[[#This Row],[Quantity]]</f>
        <v>1868.9999999999998</v>
      </c>
      <c r="T348" s="19">
        <f>tblMaster[[#This Row],[Revenue]]-tblMaster[[#This Row],[Estimated Cost (at 70%) ]]</f>
        <v>801.00000000000023</v>
      </c>
      <c r="U348" s="19">
        <f>tblMaster[[#This Row],[Profit]]/tblMaster[[#This Row],[Revenue]]</f>
        <v>0.3000000000000001</v>
      </c>
      <c r="V348" s="19">
        <f>tblMaster[[#This Row],[Delivery_Date]]-tblMaster[[#This Row],[Order_Date]]</f>
        <v>10</v>
      </c>
      <c r="W348" s="19" t="str">
        <f>TEXT(tblMaster[[#This Row],[Order_Date]],"mmmm")</f>
        <v>August</v>
      </c>
      <c r="X348" s="19">
        <f>MONTH(tblMaster[[#This Row],[Order_Date]])</f>
        <v>8</v>
      </c>
      <c r="Y348" s="19" t="str">
        <f>"Q"&amp;ROUNDUP(tblMaster[[#This Row],[Month Number]]/3,0)</f>
        <v>Q3</v>
      </c>
      <c r="Z348" s="19">
        <f>YEAR(tblMaster[[#This Row],[Order_Date]])</f>
        <v>2023</v>
      </c>
      <c r="AA348" s="19" t="str">
        <f>TEXT(DAY(tblMaster[[#This Row],[Order_Date]]),"dddd")</f>
        <v>Sunday</v>
      </c>
      <c r="AB348" s="19" t="str">
        <f>IF(tblMaster[[#This Row],[Revenue]]&gt;=5000,"High",IF(tblMaster[[#This Row],[Revenue]]&lt;2000,"Low","Medium"))</f>
        <v>Medium</v>
      </c>
    </row>
    <row r="349" spans="1:28" x14ac:dyDescent="0.25">
      <c r="A349" s="10">
        <v>348</v>
      </c>
      <c r="B349" s="10" t="s">
        <v>299</v>
      </c>
      <c r="C349" s="5">
        <v>30</v>
      </c>
      <c r="D349" s="5">
        <v>2</v>
      </c>
      <c r="E349" s="11">
        <v>45258</v>
      </c>
      <c r="F349" s="12">
        <v>0.85667824074074073</v>
      </c>
      <c r="G349" s="11">
        <v>45267</v>
      </c>
      <c r="H349" s="12">
        <v>0.50207175925925929</v>
      </c>
      <c r="I349" s="10" t="s">
        <v>292</v>
      </c>
      <c r="J349" s="10" t="s">
        <v>30</v>
      </c>
      <c r="K349" s="18" t="str">
        <f>_xlfn.XLOOKUP(tblMaster[[#This Row],[Customer_ID]],tblCustomers[Customer_ID],tblCustomers[City],"Not Found",0)</f>
        <v>Satara</v>
      </c>
      <c r="L349" s="18" t="str">
        <f>_xlfn.XLOOKUP(tblMaster[[#This Row],[Customer_ID]],tblCustomers[Customer_ID],tblCustomers[Name],"Not Found",0)</f>
        <v>Riya Wagle</v>
      </c>
      <c r="M349" s="18" t="str">
        <f>_xlfn.XLOOKUP(tblMaster[[#This Row],[Customer_ID]],tblCustomers[Customer_ID],tblCustomers[Gender],"Not Found",0)</f>
        <v>Male</v>
      </c>
      <c r="N349" s="18" t="str">
        <f>_xlfn.XLOOKUP(tblMaster[[#This Row],[Product_ID]],tblProducts[Product_ID],tblProducts[Product_Name],"Not Found",0)</f>
        <v>Recusandae Pack</v>
      </c>
      <c r="O349" s="18" t="str">
        <f>_xlfn.XLOOKUP(tblMaster[[#This Row],[Product_ID]],tblProducts[Product_ID],tblProducts[Category],"Not Found",0)</f>
        <v>Colors</v>
      </c>
      <c r="P349" s="18" t="str">
        <f>_xlfn.XLOOKUP(tblMaster[[#This Row],[Product_ID]],tblProducts[Product_ID],tblProducts[Occasion],"Not Found",0)</f>
        <v>Anniversary</v>
      </c>
      <c r="Q349" s="18">
        <f>_xlfn.XLOOKUP(tblMaster[[#This Row],[Product_ID]],tblProducts[Product_ID],tblProducts[Price (INR)],"Not Found",0)</f>
        <v>751</v>
      </c>
      <c r="R349" s="19">
        <f>tblMaster[[#This Row],[Price]]*tblMaster[[#This Row],[Quantity]]</f>
        <v>1502</v>
      </c>
      <c r="S349" s="19">
        <f>tblMaster[[#This Row],[Price]]*0.7*tblMaster[[#This Row],[Quantity]]</f>
        <v>1051.3999999999999</v>
      </c>
      <c r="T349" s="19">
        <f>tblMaster[[#This Row],[Revenue]]-tblMaster[[#This Row],[Estimated Cost (at 70%) ]]</f>
        <v>450.60000000000014</v>
      </c>
      <c r="U349" s="19">
        <f>tblMaster[[#This Row],[Profit]]/tblMaster[[#This Row],[Revenue]]</f>
        <v>0.3000000000000001</v>
      </c>
      <c r="V349" s="19">
        <f>tblMaster[[#This Row],[Delivery_Date]]-tblMaster[[#This Row],[Order_Date]]</f>
        <v>9</v>
      </c>
      <c r="W349" s="19" t="str">
        <f>TEXT(tblMaster[[#This Row],[Order_Date]],"mmmm")</f>
        <v>November</v>
      </c>
      <c r="X349" s="19">
        <f>MONTH(tblMaster[[#This Row],[Order_Date]])</f>
        <v>11</v>
      </c>
      <c r="Y349" s="19" t="str">
        <f>"Q"&amp;ROUNDUP(tblMaster[[#This Row],[Month Number]]/3,0)</f>
        <v>Q4</v>
      </c>
      <c r="Z349" s="19">
        <f>YEAR(tblMaster[[#This Row],[Order_Date]])</f>
        <v>2023</v>
      </c>
      <c r="AA349" s="19" t="str">
        <f>TEXT(DAY(tblMaster[[#This Row],[Order_Date]]),"dddd")</f>
        <v>Saturday</v>
      </c>
      <c r="AB349" s="19" t="str">
        <f>IF(tblMaster[[#This Row],[Revenue]]&gt;=5000,"High",IF(tblMaster[[#This Row],[Revenue]]&lt;2000,"Low","Medium"))</f>
        <v>Low</v>
      </c>
    </row>
    <row r="350" spans="1:28" x14ac:dyDescent="0.25">
      <c r="A350" s="7">
        <v>349</v>
      </c>
      <c r="B350" s="7" t="s">
        <v>274</v>
      </c>
      <c r="C350" s="4">
        <v>44</v>
      </c>
      <c r="D350" s="4">
        <v>4</v>
      </c>
      <c r="E350" s="8">
        <v>45241</v>
      </c>
      <c r="F350" s="9">
        <v>0.14765046296296297</v>
      </c>
      <c r="G350" s="8">
        <v>45242</v>
      </c>
      <c r="H350" s="9">
        <v>0.43834490740740739</v>
      </c>
      <c r="I350" s="7" t="s">
        <v>425</v>
      </c>
      <c r="J350" s="7" t="s">
        <v>19</v>
      </c>
      <c r="K350" s="18" t="str">
        <f>_xlfn.XLOOKUP(tblMaster[[#This Row],[Customer_ID]],tblCustomers[Customer_ID],tblCustomers[City],"Not Found",0)</f>
        <v>Gangtok</v>
      </c>
      <c r="L350" s="18" t="str">
        <f>_xlfn.XLOOKUP(tblMaster[[#This Row],[Customer_ID]],tblCustomers[Customer_ID],tblCustomers[Name],"Not Found",0)</f>
        <v>Advika Dhar</v>
      </c>
      <c r="M350" s="18" t="str">
        <f>_xlfn.XLOOKUP(tblMaster[[#This Row],[Customer_ID]],tblCustomers[Customer_ID],tblCustomers[Gender],"Not Found",0)</f>
        <v>Male</v>
      </c>
      <c r="N350" s="18" t="str">
        <f>_xlfn.XLOOKUP(tblMaster[[#This Row],[Product_ID]],tblProducts[Product_ID],tblProducts[Product_Name],"Not Found",0)</f>
        <v>Dolorum Set</v>
      </c>
      <c r="O350" s="18" t="str">
        <f>_xlfn.XLOOKUP(tblMaster[[#This Row],[Product_ID]],tblProducts[Product_ID],tblProducts[Category],"Not Found",0)</f>
        <v>Plants</v>
      </c>
      <c r="P350" s="18" t="str">
        <f>_xlfn.XLOOKUP(tblMaster[[#This Row],[Product_ID]],tblProducts[Product_ID],tblProducts[Occasion],"Not Found",0)</f>
        <v>Diwali</v>
      </c>
      <c r="Q350" s="18">
        <f>_xlfn.XLOOKUP(tblMaster[[#This Row],[Product_ID]],tblProducts[Product_ID],tblProducts[Price (INR)],"Not Found",0)</f>
        <v>794</v>
      </c>
      <c r="R350" s="19">
        <f>tblMaster[[#This Row],[Price]]*tblMaster[[#This Row],[Quantity]]</f>
        <v>3176</v>
      </c>
      <c r="S350" s="19">
        <f>tblMaster[[#This Row],[Price]]*0.7*tblMaster[[#This Row],[Quantity]]</f>
        <v>2223.1999999999998</v>
      </c>
      <c r="T350" s="19">
        <f>tblMaster[[#This Row],[Revenue]]-tblMaster[[#This Row],[Estimated Cost (at 70%) ]]</f>
        <v>952.80000000000018</v>
      </c>
      <c r="U350" s="19">
        <f>tblMaster[[#This Row],[Profit]]/tblMaster[[#This Row],[Revenue]]</f>
        <v>0.30000000000000004</v>
      </c>
      <c r="V350" s="19">
        <f>tblMaster[[#This Row],[Delivery_Date]]-tblMaster[[#This Row],[Order_Date]]</f>
        <v>1</v>
      </c>
      <c r="W350" s="19" t="str">
        <f>TEXT(tblMaster[[#This Row],[Order_Date]],"mmmm")</f>
        <v>November</v>
      </c>
      <c r="X350" s="19">
        <f>MONTH(tblMaster[[#This Row],[Order_Date]])</f>
        <v>11</v>
      </c>
      <c r="Y350" s="19" t="str">
        <f>"Q"&amp;ROUNDUP(tblMaster[[#This Row],[Month Number]]/3,0)</f>
        <v>Q4</v>
      </c>
      <c r="Z350" s="19">
        <f>YEAR(tblMaster[[#This Row],[Order_Date]])</f>
        <v>2023</v>
      </c>
      <c r="AA350" s="19" t="str">
        <f>TEXT(DAY(tblMaster[[#This Row],[Order_Date]]),"dddd")</f>
        <v>Wednesday</v>
      </c>
      <c r="AB350" s="19" t="str">
        <f>IF(tblMaster[[#This Row],[Revenue]]&gt;=5000,"High",IF(tblMaster[[#This Row],[Revenue]]&lt;2000,"Low","Medium"))</f>
        <v>Medium</v>
      </c>
    </row>
    <row r="351" spans="1:28" x14ac:dyDescent="0.25">
      <c r="A351" s="10">
        <v>350</v>
      </c>
      <c r="B351" s="10" t="s">
        <v>246</v>
      </c>
      <c r="C351" s="5">
        <v>19</v>
      </c>
      <c r="D351" s="5">
        <v>3</v>
      </c>
      <c r="E351" s="11">
        <v>44970</v>
      </c>
      <c r="F351" s="12">
        <v>0.51593750000000005</v>
      </c>
      <c r="G351" s="11">
        <v>44979</v>
      </c>
      <c r="H351" s="12">
        <v>0.68483796296296295</v>
      </c>
      <c r="I351" s="10" t="s">
        <v>339</v>
      </c>
      <c r="J351" s="10" t="s">
        <v>12</v>
      </c>
      <c r="K351" s="18" t="str">
        <f>_xlfn.XLOOKUP(tblMaster[[#This Row],[Customer_ID]],tblCustomers[Customer_ID],tblCustomers[City],"Not Found",0)</f>
        <v>Machilipatnam</v>
      </c>
      <c r="L351" s="18" t="str">
        <f>_xlfn.XLOOKUP(tblMaster[[#This Row],[Customer_ID]],tblCustomers[Customer_ID],tblCustomers[Name],"Not Found",0)</f>
        <v>Samaira Ganesh</v>
      </c>
      <c r="M351" s="18" t="str">
        <f>_xlfn.XLOOKUP(tblMaster[[#This Row],[Customer_ID]],tblCustomers[Customer_ID],tblCustomers[Gender],"Not Found",0)</f>
        <v>Male</v>
      </c>
      <c r="N351" s="18" t="str">
        <f>_xlfn.XLOOKUP(tblMaster[[#This Row],[Product_ID]],tblProducts[Product_ID],tblProducts[Product_Name],"Not Found",0)</f>
        <v>Iure Gift</v>
      </c>
      <c r="O351" s="18" t="str">
        <f>_xlfn.XLOOKUP(tblMaster[[#This Row],[Product_ID]],tblProducts[Product_ID],tblProducts[Category],"Not Found",0)</f>
        <v>Mugs</v>
      </c>
      <c r="P351" s="18" t="str">
        <f>_xlfn.XLOOKUP(tblMaster[[#This Row],[Product_ID]],tblProducts[Product_ID],tblProducts[Occasion],"Not Found",0)</f>
        <v>Valentine's Day</v>
      </c>
      <c r="Q351" s="18">
        <f>_xlfn.XLOOKUP(tblMaster[[#This Row],[Product_ID]],tblProducts[Product_ID],tblProducts[Price (INR)],"Not Found",0)</f>
        <v>1234</v>
      </c>
      <c r="R351" s="19">
        <f>tblMaster[[#This Row],[Price]]*tblMaster[[#This Row],[Quantity]]</f>
        <v>3702</v>
      </c>
      <c r="S351" s="19">
        <f>tblMaster[[#This Row],[Price]]*0.7*tblMaster[[#This Row],[Quantity]]</f>
        <v>2591.3999999999996</v>
      </c>
      <c r="T351" s="19">
        <f>tblMaster[[#This Row],[Revenue]]-tblMaster[[#This Row],[Estimated Cost (at 70%) ]]</f>
        <v>1110.6000000000004</v>
      </c>
      <c r="U351" s="19">
        <f>tblMaster[[#This Row],[Profit]]/tblMaster[[#This Row],[Revenue]]</f>
        <v>0.3000000000000001</v>
      </c>
      <c r="V351" s="19">
        <f>tblMaster[[#This Row],[Delivery_Date]]-tblMaster[[#This Row],[Order_Date]]</f>
        <v>9</v>
      </c>
      <c r="W351" s="19" t="str">
        <f>TEXT(tblMaster[[#This Row],[Order_Date]],"mmmm")</f>
        <v>February</v>
      </c>
      <c r="X351" s="19">
        <f>MONTH(tblMaster[[#This Row],[Order_Date]])</f>
        <v>2</v>
      </c>
      <c r="Y351" s="19" t="str">
        <f>"Q"&amp;ROUNDUP(tblMaster[[#This Row],[Month Number]]/3,0)</f>
        <v>Q1</v>
      </c>
      <c r="Z351" s="19">
        <f>YEAR(tblMaster[[#This Row],[Order_Date]])</f>
        <v>2023</v>
      </c>
      <c r="AA351" s="19" t="str">
        <f>TEXT(DAY(tblMaster[[#This Row],[Order_Date]]),"dddd")</f>
        <v>Friday</v>
      </c>
      <c r="AB351" s="19" t="str">
        <f>IF(tblMaster[[#This Row],[Revenue]]&gt;=5000,"High",IF(tblMaster[[#This Row],[Revenue]]&lt;2000,"Low","Medium"))</f>
        <v>Medium</v>
      </c>
    </row>
    <row r="352" spans="1:28" x14ac:dyDescent="0.25">
      <c r="A352" s="7">
        <v>351</v>
      </c>
      <c r="B352" s="7" t="s">
        <v>183</v>
      </c>
      <c r="C352" s="4">
        <v>1</v>
      </c>
      <c r="D352" s="4">
        <v>1</v>
      </c>
      <c r="E352" s="8">
        <v>44942</v>
      </c>
      <c r="F352" s="9">
        <v>0.63271990740740736</v>
      </c>
      <c r="G352" s="8">
        <v>44951</v>
      </c>
      <c r="H352" s="9">
        <v>0.93748842592592596</v>
      </c>
      <c r="I352" s="7" t="s">
        <v>383</v>
      </c>
      <c r="J352" s="7" t="s">
        <v>8</v>
      </c>
      <c r="K352" s="18" t="str">
        <f>_xlfn.XLOOKUP(tblMaster[[#This Row],[Customer_ID]],tblCustomers[Customer_ID],tblCustomers[City],"Not Found",0)</f>
        <v>Dhanbad</v>
      </c>
      <c r="L352" s="18" t="str">
        <f>_xlfn.XLOOKUP(tblMaster[[#This Row],[Customer_ID]],tblCustomers[Customer_ID],tblCustomers[Name],"Not Found",0)</f>
        <v>Ranbir Loyal</v>
      </c>
      <c r="M352" s="18" t="str">
        <f>_xlfn.XLOOKUP(tblMaster[[#This Row],[Customer_ID]],tblCustomers[Customer_ID],tblCustomers[Gender],"Not Found",0)</f>
        <v>Female</v>
      </c>
      <c r="N352" s="18" t="str">
        <f>_xlfn.XLOOKUP(tblMaster[[#This Row],[Product_ID]],tblProducts[Product_ID],tblProducts[Product_Name],"Not Found",0)</f>
        <v>Magnam Set</v>
      </c>
      <c r="O352" s="18" t="str">
        <f>_xlfn.XLOOKUP(tblMaster[[#This Row],[Product_ID]],tblProducts[Product_ID],tblProducts[Category],"Not Found",0)</f>
        <v>Soft Toys</v>
      </c>
      <c r="P352" s="18" t="str">
        <f>_xlfn.XLOOKUP(tblMaster[[#This Row],[Product_ID]],tblProducts[Product_ID],tblProducts[Occasion],"Not Found",0)</f>
        <v>All Occasions</v>
      </c>
      <c r="Q352" s="18">
        <f>_xlfn.XLOOKUP(tblMaster[[#This Row],[Product_ID]],tblProducts[Product_ID],tblProducts[Price (INR)],"Not Found",0)</f>
        <v>1935</v>
      </c>
      <c r="R352" s="19">
        <f>tblMaster[[#This Row],[Price]]*tblMaster[[#This Row],[Quantity]]</f>
        <v>1935</v>
      </c>
      <c r="S352" s="19">
        <f>tblMaster[[#This Row],[Price]]*0.7*tblMaster[[#This Row],[Quantity]]</f>
        <v>1354.5</v>
      </c>
      <c r="T352" s="19">
        <f>tblMaster[[#This Row],[Revenue]]-tblMaster[[#This Row],[Estimated Cost (at 70%) ]]</f>
        <v>580.5</v>
      </c>
      <c r="U352" s="19">
        <f>tblMaster[[#This Row],[Profit]]/tblMaster[[#This Row],[Revenue]]</f>
        <v>0.3</v>
      </c>
      <c r="V352" s="19">
        <f>tblMaster[[#This Row],[Delivery_Date]]-tblMaster[[#This Row],[Order_Date]]</f>
        <v>9</v>
      </c>
      <c r="W352" s="19" t="str">
        <f>TEXT(tblMaster[[#This Row],[Order_Date]],"mmmm")</f>
        <v>January</v>
      </c>
      <c r="X352" s="19">
        <f>MONTH(tblMaster[[#This Row],[Order_Date]])</f>
        <v>1</v>
      </c>
      <c r="Y352" s="19" t="str">
        <f>"Q"&amp;ROUNDUP(tblMaster[[#This Row],[Month Number]]/3,0)</f>
        <v>Q1</v>
      </c>
      <c r="Z352" s="19">
        <f>YEAR(tblMaster[[#This Row],[Order_Date]])</f>
        <v>2023</v>
      </c>
      <c r="AA352" s="19" t="str">
        <f>TEXT(DAY(tblMaster[[#This Row],[Order_Date]]),"dddd")</f>
        <v>Monday</v>
      </c>
      <c r="AB352" s="19" t="str">
        <f>IF(tblMaster[[#This Row],[Revenue]]&gt;=5000,"High",IF(tblMaster[[#This Row],[Revenue]]&lt;2000,"Low","Medium"))</f>
        <v>Low</v>
      </c>
    </row>
    <row r="353" spans="1:28" x14ac:dyDescent="0.25">
      <c r="A353" s="10">
        <v>352</v>
      </c>
      <c r="B353" s="10" t="s">
        <v>235</v>
      </c>
      <c r="C353" s="5">
        <v>28</v>
      </c>
      <c r="D353" s="5">
        <v>1</v>
      </c>
      <c r="E353" s="11">
        <v>45161</v>
      </c>
      <c r="F353" s="12">
        <v>0.99288194444444444</v>
      </c>
      <c r="G353" s="11">
        <v>45171</v>
      </c>
      <c r="H353" s="12">
        <v>0.3853240740740741</v>
      </c>
      <c r="I353" s="10" t="s">
        <v>462</v>
      </c>
      <c r="J353" s="10" t="s">
        <v>33</v>
      </c>
      <c r="K353" s="18" t="str">
        <f>_xlfn.XLOOKUP(tblMaster[[#This Row],[Customer_ID]],tblCustomers[Customer_ID],tblCustomers[City],"Not Found",0)</f>
        <v>Bhopal</v>
      </c>
      <c r="L353" s="18" t="str">
        <f>_xlfn.XLOOKUP(tblMaster[[#This Row],[Customer_ID]],tblCustomers[Customer_ID],tblCustomers[Name],"Not Found",0)</f>
        <v>Mohanlal Garde</v>
      </c>
      <c r="M353" s="18" t="str">
        <f>_xlfn.XLOOKUP(tblMaster[[#This Row],[Customer_ID]],tblCustomers[Customer_ID],tblCustomers[Gender],"Not Found",0)</f>
        <v>Male</v>
      </c>
      <c r="N353" s="18" t="str">
        <f>_xlfn.XLOOKUP(tblMaster[[#This Row],[Product_ID]],tblProducts[Product_ID],tblProducts[Product_Name],"Not Found",0)</f>
        <v>Velit Set</v>
      </c>
      <c r="O353" s="18" t="str">
        <f>_xlfn.XLOOKUP(tblMaster[[#This Row],[Product_ID]],tblProducts[Product_ID],tblProducts[Category],"Not Found",0)</f>
        <v>Sweets</v>
      </c>
      <c r="P353" s="18" t="str">
        <f>_xlfn.XLOOKUP(tblMaster[[#This Row],[Product_ID]],tblProducts[Product_ID],tblProducts[Occasion],"Not Found",0)</f>
        <v>Raksha Bandhan</v>
      </c>
      <c r="Q353" s="18">
        <f>_xlfn.XLOOKUP(tblMaster[[#This Row],[Product_ID]],tblProducts[Product_ID],tblProducts[Price (INR)],"Not Found",0)</f>
        <v>1778</v>
      </c>
      <c r="R353" s="19">
        <f>tblMaster[[#This Row],[Price]]*tblMaster[[#This Row],[Quantity]]</f>
        <v>1778</v>
      </c>
      <c r="S353" s="19">
        <f>tblMaster[[#This Row],[Price]]*0.7*tblMaster[[#This Row],[Quantity]]</f>
        <v>1244.5999999999999</v>
      </c>
      <c r="T353" s="19">
        <f>tblMaster[[#This Row],[Revenue]]-tblMaster[[#This Row],[Estimated Cost (at 70%) ]]</f>
        <v>533.40000000000009</v>
      </c>
      <c r="U353" s="19">
        <f>tblMaster[[#This Row],[Profit]]/tblMaster[[#This Row],[Revenue]]</f>
        <v>0.30000000000000004</v>
      </c>
      <c r="V353" s="19">
        <f>tblMaster[[#This Row],[Delivery_Date]]-tblMaster[[#This Row],[Order_Date]]</f>
        <v>10</v>
      </c>
      <c r="W353" s="19" t="str">
        <f>TEXT(tblMaster[[#This Row],[Order_Date]],"mmmm")</f>
        <v>August</v>
      </c>
      <c r="X353" s="19">
        <f>MONTH(tblMaster[[#This Row],[Order_Date]])</f>
        <v>8</v>
      </c>
      <c r="Y353" s="19" t="str">
        <f>"Q"&amp;ROUNDUP(tblMaster[[#This Row],[Month Number]]/3,0)</f>
        <v>Q3</v>
      </c>
      <c r="Z353" s="19">
        <f>YEAR(tblMaster[[#This Row],[Order_Date]])</f>
        <v>2023</v>
      </c>
      <c r="AA353" s="19" t="str">
        <f>TEXT(DAY(tblMaster[[#This Row],[Order_Date]]),"dddd")</f>
        <v>Monday</v>
      </c>
      <c r="AB353" s="19" t="str">
        <f>IF(tblMaster[[#This Row],[Revenue]]&gt;=5000,"High",IF(tblMaster[[#This Row],[Revenue]]&lt;2000,"Low","Medium"))</f>
        <v>Low</v>
      </c>
    </row>
    <row r="354" spans="1:28" x14ac:dyDescent="0.25">
      <c r="A354" s="7">
        <v>353</v>
      </c>
      <c r="B354" s="7" t="s">
        <v>402</v>
      </c>
      <c r="C354" s="4">
        <v>55</v>
      </c>
      <c r="D354" s="4">
        <v>2</v>
      </c>
      <c r="E354" s="8">
        <v>45159</v>
      </c>
      <c r="F354" s="9">
        <v>0.40517361111111111</v>
      </c>
      <c r="G354" s="8">
        <v>45162</v>
      </c>
      <c r="H354" s="9">
        <v>0.59182870370370366</v>
      </c>
      <c r="I354" s="7" t="s">
        <v>442</v>
      </c>
      <c r="J354" s="7" t="s">
        <v>33</v>
      </c>
      <c r="K354" s="18" t="str">
        <f>_xlfn.XLOOKUP(tblMaster[[#This Row],[Customer_ID]],tblCustomers[Customer_ID],tblCustomers[City],"Not Found",0)</f>
        <v>Nellore</v>
      </c>
      <c r="L354" s="18" t="str">
        <f>_xlfn.XLOOKUP(tblMaster[[#This Row],[Customer_ID]],tblCustomers[Customer_ID],tblCustomers[Name],"Not Found",0)</f>
        <v>Oorja Dey</v>
      </c>
      <c r="M354" s="18" t="str">
        <f>_xlfn.XLOOKUP(tblMaster[[#This Row],[Customer_ID]],tblCustomers[Customer_ID],tblCustomers[Gender],"Not Found",0)</f>
        <v>Female</v>
      </c>
      <c r="N354" s="18" t="str">
        <f>_xlfn.XLOOKUP(tblMaster[[#This Row],[Product_ID]],tblProducts[Product_ID],tblProducts[Product_Name],"Not Found",0)</f>
        <v>Dolores Gift</v>
      </c>
      <c r="O354" s="18" t="str">
        <f>_xlfn.XLOOKUP(tblMaster[[#This Row],[Product_ID]],tblProducts[Product_ID],tblProducts[Category],"Not Found",0)</f>
        <v>Soft Toys</v>
      </c>
      <c r="P354" s="18" t="str">
        <f>_xlfn.XLOOKUP(tblMaster[[#This Row],[Product_ID]],tblProducts[Product_ID],tblProducts[Occasion],"Not Found",0)</f>
        <v>Raksha Bandhan</v>
      </c>
      <c r="Q354" s="18">
        <f>_xlfn.XLOOKUP(tblMaster[[#This Row],[Product_ID]],tblProducts[Product_ID],tblProducts[Price (INR)],"Not Found",0)</f>
        <v>1904</v>
      </c>
      <c r="R354" s="19">
        <f>tblMaster[[#This Row],[Price]]*tblMaster[[#This Row],[Quantity]]</f>
        <v>3808</v>
      </c>
      <c r="S354" s="19">
        <f>tblMaster[[#This Row],[Price]]*0.7*tblMaster[[#This Row],[Quantity]]</f>
        <v>2665.6</v>
      </c>
      <c r="T354" s="19">
        <f>tblMaster[[#This Row],[Revenue]]-tblMaster[[#This Row],[Estimated Cost (at 70%) ]]</f>
        <v>1142.4000000000001</v>
      </c>
      <c r="U354" s="19">
        <f>tblMaster[[#This Row],[Profit]]/tblMaster[[#This Row],[Revenue]]</f>
        <v>0.30000000000000004</v>
      </c>
      <c r="V354" s="19">
        <f>tblMaster[[#This Row],[Delivery_Date]]-tblMaster[[#This Row],[Order_Date]]</f>
        <v>3</v>
      </c>
      <c r="W354" s="19" t="str">
        <f>TEXT(tblMaster[[#This Row],[Order_Date]],"mmmm")</f>
        <v>August</v>
      </c>
      <c r="X354" s="19">
        <f>MONTH(tblMaster[[#This Row],[Order_Date]])</f>
        <v>8</v>
      </c>
      <c r="Y354" s="19" t="str">
        <f>"Q"&amp;ROUNDUP(tblMaster[[#This Row],[Month Number]]/3,0)</f>
        <v>Q3</v>
      </c>
      <c r="Z354" s="19">
        <f>YEAR(tblMaster[[#This Row],[Order_Date]])</f>
        <v>2023</v>
      </c>
      <c r="AA354" s="19" t="str">
        <f>TEXT(DAY(tblMaster[[#This Row],[Order_Date]]),"dddd")</f>
        <v>Saturday</v>
      </c>
      <c r="AB354" s="19" t="str">
        <f>IF(tblMaster[[#This Row],[Revenue]]&gt;=5000,"High",IF(tblMaster[[#This Row],[Revenue]]&lt;2000,"Low","Medium"))</f>
        <v>Medium</v>
      </c>
    </row>
    <row r="355" spans="1:28" x14ac:dyDescent="0.25">
      <c r="A355" s="10">
        <v>354</v>
      </c>
      <c r="B355" s="10" t="s">
        <v>347</v>
      </c>
      <c r="C355" s="5">
        <v>13</v>
      </c>
      <c r="D355" s="5">
        <v>5</v>
      </c>
      <c r="E355" s="11">
        <v>44983</v>
      </c>
      <c r="F355" s="12">
        <v>0.72601851851851851</v>
      </c>
      <c r="G355" s="11">
        <v>44991</v>
      </c>
      <c r="H355" s="12">
        <v>0.40523148148148147</v>
      </c>
      <c r="I355" s="10" t="s">
        <v>309</v>
      </c>
      <c r="J355" s="10" t="s">
        <v>25</v>
      </c>
      <c r="K355" s="18" t="str">
        <f>_xlfn.XLOOKUP(tblMaster[[#This Row],[Customer_ID]],tblCustomers[Customer_ID],tblCustomers[City],"Not Found",0)</f>
        <v>North Dumdum</v>
      </c>
      <c r="L355" s="18" t="str">
        <f>_xlfn.XLOOKUP(tblMaster[[#This Row],[Customer_ID]],tblCustomers[Customer_ID],tblCustomers[Name],"Not Found",0)</f>
        <v>Rania Bhatt</v>
      </c>
      <c r="M355" s="18" t="str">
        <f>_xlfn.XLOOKUP(tblMaster[[#This Row],[Customer_ID]],tblCustomers[Customer_ID],tblCustomers[Gender],"Not Found",0)</f>
        <v>Female</v>
      </c>
      <c r="N355" s="18" t="str">
        <f>_xlfn.XLOOKUP(tblMaster[[#This Row],[Product_ID]],tblProducts[Product_ID],tblProducts[Product_Name],"Not Found",0)</f>
        <v>Et Set</v>
      </c>
      <c r="O355" s="18" t="str">
        <f>_xlfn.XLOOKUP(tblMaster[[#This Row],[Product_ID]],tblProducts[Product_ID],tblProducts[Category],"Not Found",0)</f>
        <v>Mugs</v>
      </c>
      <c r="P355" s="18" t="str">
        <f>_xlfn.XLOOKUP(tblMaster[[#This Row],[Product_ID]],tblProducts[Product_ID],tblProducts[Occasion],"Not Found",0)</f>
        <v>Holi</v>
      </c>
      <c r="Q355" s="18">
        <f>_xlfn.XLOOKUP(tblMaster[[#This Row],[Product_ID]],tblProducts[Product_ID],tblProducts[Price (INR)],"Not Found",0)</f>
        <v>1141</v>
      </c>
      <c r="R355" s="19">
        <f>tblMaster[[#This Row],[Price]]*tblMaster[[#This Row],[Quantity]]</f>
        <v>5705</v>
      </c>
      <c r="S355" s="19">
        <f>tblMaster[[#This Row],[Price]]*0.7*tblMaster[[#This Row],[Quantity]]</f>
        <v>3993.4999999999995</v>
      </c>
      <c r="T355" s="19">
        <f>tblMaster[[#This Row],[Revenue]]-tblMaster[[#This Row],[Estimated Cost (at 70%) ]]</f>
        <v>1711.5000000000005</v>
      </c>
      <c r="U355" s="19">
        <f>tblMaster[[#This Row],[Profit]]/tblMaster[[#This Row],[Revenue]]</f>
        <v>0.3000000000000001</v>
      </c>
      <c r="V355" s="19">
        <f>tblMaster[[#This Row],[Delivery_Date]]-tblMaster[[#This Row],[Order_Date]]</f>
        <v>8</v>
      </c>
      <c r="W355" s="19" t="str">
        <f>TEXT(tblMaster[[#This Row],[Order_Date]],"mmmm")</f>
        <v>February</v>
      </c>
      <c r="X355" s="19">
        <f>MONTH(tblMaster[[#This Row],[Order_Date]])</f>
        <v>2</v>
      </c>
      <c r="Y355" s="19" t="str">
        <f>"Q"&amp;ROUNDUP(tblMaster[[#This Row],[Month Number]]/3,0)</f>
        <v>Q1</v>
      </c>
      <c r="Z355" s="19">
        <f>YEAR(tblMaster[[#This Row],[Order_Date]])</f>
        <v>2023</v>
      </c>
      <c r="AA355" s="19" t="str">
        <f>TEXT(DAY(tblMaster[[#This Row],[Order_Date]]),"dddd")</f>
        <v>Thursday</v>
      </c>
      <c r="AB355" s="19" t="str">
        <f>IF(tblMaster[[#This Row],[Revenue]]&gt;=5000,"High",IF(tblMaster[[#This Row],[Revenue]]&lt;2000,"Low","Medium"))</f>
        <v>High</v>
      </c>
    </row>
    <row r="356" spans="1:28" x14ac:dyDescent="0.25">
      <c r="A356" s="7">
        <v>355</v>
      </c>
      <c r="B356" s="7" t="s">
        <v>183</v>
      </c>
      <c r="C356" s="4">
        <v>10</v>
      </c>
      <c r="D356" s="4">
        <v>1</v>
      </c>
      <c r="E356" s="8">
        <v>45284</v>
      </c>
      <c r="F356" s="9">
        <v>0.20328703703703704</v>
      </c>
      <c r="G356" s="8">
        <v>45293</v>
      </c>
      <c r="H356" s="9">
        <v>0.40177083333333335</v>
      </c>
      <c r="I356" s="7" t="s">
        <v>344</v>
      </c>
      <c r="J356" s="7" t="s">
        <v>36</v>
      </c>
      <c r="K356" s="18" t="str">
        <f>_xlfn.XLOOKUP(tblMaster[[#This Row],[Customer_ID]],tblCustomers[Customer_ID],tblCustomers[City],"Not Found",0)</f>
        <v>Dhanbad</v>
      </c>
      <c r="L356" s="18" t="str">
        <f>_xlfn.XLOOKUP(tblMaster[[#This Row],[Customer_ID]],tblCustomers[Customer_ID],tblCustomers[Name],"Not Found",0)</f>
        <v>Ranbir Loyal</v>
      </c>
      <c r="M356" s="18" t="str">
        <f>_xlfn.XLOOKUP(tblMaster[[#This Row],[Customer_ID]],tblCustomers[Customer_ID],tblCustomers[Gender],"Not Found",0)</f>
        <v>Female</v>
      </c>
      <c r="N356" s="18" t="str">
        <f>_xlfn.XLOOKUP(tblMaster[[#This Row],[Product_ID]],tblProducts[Product_ID],tblProducts[Product_Name],"Not Found",0)</f>
        <v>Accusantium Gift</v>
      </c>
      <c r="O356" s="18" t="str">
        <f>_xlfn.XLOOKUP(tblMaster[[#This Row],[Product_ID]],tblProducts[Product_ID],tblProducts[Category],"Not Found",0)</f>
        <v>Cake</v>
      </c>
      <c r="P356" s="18" t="str">
        <f>_xlfn.XLOOKUP(tblMaster[[#This Row],[Product_ID]],tblProducts[Product_ID],tblProducts[Occasion],"Not Found",0)</f>
        <v>Birthday</v>
      </c>
      <c r="Q356" s="18">
        <f>_xlfn.XLOOKUP(tblMaster[[#This Row],[Product_ID]],tblProducts[Product_ID],tblProducts[Price (INR)],"Not Found",0)</f>
        <v>259</v>
      </c>
      <c r="R356" s="19">
        <f>tblMaster[[#This Row],[Price]]*tblMaster[[#This Row],[Quantity]]</f>
        <v>259</v>
      </c>
      <c r="S356" s="19">
        <f>tblMaster[[#This Row],[Price]]*0.7*tblMaster[[#This Row],[Quantity]]</f>
        <v>181.29999999999998</v>
      </c>
      <c r="T356" s="19">
        <f>tblMaster[[#This Row],[Revenue]]-tblMaster[[#This Row],[Estimated Cost (at 70%) ]]</f>
        <v>77.700000000000017</v>
      </c>
      <c r="U356" s="19">
        <f>tblMaster[[#This Row],[Profit]]/tblMaster[[#This Row],[Revenue]]</f>
        <v>0.30000000000000004</v>
      </c>
      <c r="V356" s="19">
        <f>tblMaster[[#This Row],[Delivery_Date]]-tblMaster[[#This Row],[Order_Date]]</f>
        <v>9</v>
      </c>
      <c r="W356" s="19" t="str">
        <f>TEXT(tblMaster[[#This Row],[Order_Date]],"mmmm")</f>
        <v>December</v>
      </c>
      <c r="X356" s="19">
        <f>MONTH(tblMaster[[#This Row],[Order_Date]])</f>
        <v>12</v>
      </c>
      <c r="Y356" s="19" t="str">
        <f>"Q"&amp;ROUNDUP(tblMaster[[#This Row],[Month Number]]/3,0)</f>
        <v>Q4</v>
      </c>
      <c r="Z356" s="19">
        <f>YEAR(tblMaster[[#This Row],[Order_Date]])</f>
        <v>2023</v>
      </c>
      <c r="AA356" s="19" t="str">
        <f>TEXT(DAY(tblMaster[[#This Row],[Order_Date]]),"dddd")</f>
        <v>Tuesday</v>
      </c>
      <c r="AB356" s="19" t="str">
        <f>IF(tblMaster[[#This Row],[Revenue]]&gt;=5000,"High",IF(tblMaster[[#This Row],[Revenue]]&lt;2000,"Low","Medium"))</f>
        <v>Low</v>
      </c>
    </row>
    <row r="357" spans="1:28" x14ac:dyDescent="0.25">
      <c r="A357" s="10">
        <v>356</v>
      </c>
      <c r="B357" s="10" t="s">
        <v>283</v>
      </c>
      <c r="C357" s="5">
        <v>14</v>
      </c>
      <c r="D357" s="5">
        <v>1</v>
      </c>
      <c r="E357" s="11">
        <v>45115</v>
      </c>
      <c r="F357" s="12">
        <v>2.8935185185185185E-2</v>
      </c>
      <c r="G357" s="11">
        <v>45116</v>
      </c>
      <c r="H357" s="12">
        <v>0.18868055555555555</v>
      </c>
      <c r="I357" s="10" t="s">
        <v>431</v>
      </c>
      <c r="J357" s="10" t="s">
        <v>36</v>
      </c>
      <c r="K357" s="18" t="str">
        <f>_xlfn.XLOOKUP(tblMaster[[#This Row],[Customer_ID]],tblCustomers[Customer_ID],tblCustomers[City],"Not Found",0)</f>
        <v>Noida</v>
      </c>
      <c r="L357" s="18" t="str">
        <f>_xlfn.XLOOKUP(tblMaster[[#This Row],[Customer_ID]],tblCustomers[Customer_ID],tblCustomers[Name],"Not Found",0)</f>
        <v>Hridaan Rajagopalan</v>
      </c>
      <c r="M357" s="18" t="str">
        <f>_xlfn.XLOOKUP(tblMaster[[#This Row],[Customer_ID]],tblCustomers[Customer_ID],tblCustomers[Gender],"Not Found",0)</f>
        <v>Female</v>
      </c>
      <c r="N357" s="18" t="str">
        <f>_xlfn.XLOOKUP(tblMaster[[#This Row],[Product_ID]],tblProducts[Product_ID],tblProducts[Product_Name],"Not Found",0)</f>
        <v>Deserunt Box</v>
      </c>
      <c r="O357" s="18" t="str">
        <f>_xlfn.XLOOKUP(tblMaster[[#This Row],[Product_ID]],tblProducts[Product_ID],tblProducts[Category],"Not Found",0)</f>
        <v>Colors</v>
      </c>
      <c r="P357" s="18" t="str">
        <f>_xlfn.XLOOKUP(tblMaster[[#This Row],[Product_ID]],tblProducts[Product_ID],tblProducts[Occasion],"Not Found",0)</f>
        <v>Birthday</v>
      </c>
      <c r="Q357" s="18">
        <f>_xlfn.XLOOKUP(tblMaster[[#This Row],[Product_ID]],tblProducts[Product_ID],tblProducts[Price (INR)],"Not Found",0)</f>
        <v>1915</v>
      </c>
      <c r="R357" s="19">
        <f>tblMaster[[#This Row],[Price]]*tblMaster[[#This Row],[Quantity]]</f>
        <v>1915</v>
      </c>
      <c r="S357" s="19">
        <f>tblMaster[[#This Row],[Price]]*0.7*tblMaster[[#This Row],[Quantity]]</f>
        <v>1340.5</v>
      </c>
      <c r="T357" s="19">
        <f>tblMaster[[#This Row],[Revenue]]-tblMaster[[#This Row],[Estimated Cost (at 70%) ]]</f>
        <v>574.5</v>
      </c>
      <c r="U357" s="19">
        <f>tblMaster[[#This Row],[Profit]]/tblMaster[[#This Row],[Revenue]]</f>
        <v>0.3</v>
      </c>
      <c r="V357" s="19">
        <f>tblMaster[[#This Row],[Delivery_Date]]-tblMaster[[#This Row],[Order_Date]]</f>
        <v>1</v>
      </c>
      <c r="W357" s="19" t="str">
        <f>TEXT(tblMaster[[#This Row],[Order_Date]],"mmmm")</f>
        <v>July</v>
      </c>
      <c r="X357" s="19">
        <f>MONTH(tblMaster[[#This Row],[Order_Date]])</f>
        <v>7</v>
      </c>
      <c r="Y357" s="19" t="str">
        <f>"Q"&amp;ROUNDUP(tblMaster[[#This Row],[Month Number]]/3,0)</f>
        <v>Q3</v>
      </c>
      <c r="Z357" s="19">
        <f>YEAR(tblMaster[[#This Row],[Order_Date]])</f>
        <v>2023</v>
      </c>
      <c r="AA357" s="19" t="str">
        <f>TEXT(DAY(tblMaster[[#This Row],[Order_Date]]),"dddd")</f>
        <v>Sunday</v>
      </c>
      <c r="AB357" s="19" t="str">
        <f>IF(tblMaster[[#This Row],[Revenue]]&gt;=5000,"High",IF(tblMaster[[#This Row],[Revenue]]&lt;2000,"Low","Medium"))</f>
        <v>Low</v>
      </c>
    </row>
    <row r="358" spans="1:28" x14ac:dyDescent="0.25">
      <c r="A358" s="7">
        <v>357</v>
      </c>
      <c r="B358" s="7" t="s">
        <v>213</v>
      </c>
      <c r="C358" s="4">
        <v>62</v>
      </c>
      <c r="D358" s="4">
        <v>4</v>
      </c>
      <c r="E358" s="8">
        <v>44988</v>
      </c>
      <c r="F358" s="9">
        <v>0.83423611111111107</v>
      </c>
      <c r="G358" s="8">
        <v>44998</v>
      </c>
      <c r="H358" s="9">
        <v>0.87192129629629633</v>
      </c>
      <c r="I358" s="7" t="s">
        <v>482</v>
      </c>
      <c r="J358" s="7" t="s">
        <v>25</v>
      </c>
      <c r="K358" s="18" t="str">
        <f>_xlfn.XLOOKUP(tblMaster[[#This Row],[Customer_ID]],tblCustomers[Customer_ID],tblCustomers[City],"Not Found",0)</f>
        <v>Jamnagar</v>
      </c>
      <c r="L358" s="18" t="str">
        <f>_xlfn.XLOOKUP(tblMaster[[#This Row],[Customer_ID]],tblCustomers[Customer_ID],tblCustomers[Name],"Not Found",0)</f>
        <v>Arhaan Ahluwalia</v>
      </c>
      <c r="M358" s="18" t="str">
        <f>_xlfn.XLOOKUP(tblMaster[[#This Row],[Customer_ID]],tblCustomers[Customer_ID],tblCustomers[Gender],"Not Found",0)</f>
        <v>Male</v>
      </c>
      <c r="N358" s="18" t="str">
        <f>_xlfn.XLOOKUP(tblMaster[[#This Row],[Product_ID]],tblProducts[Product_ID],tblProducts[Product_Name],"Not Found",0)</f>
        <v>Sed Set</v>
      </c>
      <c r="O358" s="18" t="str">
        <f>_xlfn.XLOOKUP(tblMaster[[#This Row],[Product_ID]],tblProducts[Product_ID],tblProducts[Category],"Not Found",0)</f>
        <v>Colors</v>
      </c>
      <c r="P358" s="18" t="str">
        <f>_xlfn.XLOOKUP(tblMaster[[#This Row],[Product_ID]],tblProducts[Product_ID],tblProducts[Occasion],"Not Found",0)</f>
        <v>Holi</v>
      </c>
      <c r="Q358" s="18">
        <f>_xlfn.XLOOKUP(tblMaster[[#This Row],[Product_ID]],tblProducts[Product_ID],tblProducts[Price (INR)],"Not Found",0)</f>
        <v>1356</v>
      </c>
      <c r="R358" s="19">
        <f>tblMaster[[#This Row],[Price]]*tblMaster[[#This Row],[Quantity]]</f>
        <v>5424</v>
      </c>
      <c r="S358" s="19">
        <f>tblMaster[[#This Row],[Price]]*0.7*tblMaster[[#This Row],[Quantity]]</f>
        <v>3796.7999999999997</v>
      </c>
      <c r="T358" s="19">
        <f>tblMaster[[#This Row],[Revenue]]-tblMaster[[#This Row],[Estimated Cost (at 70%) ]]</f>
        <v>1627.2000000000003</v>
      </c>
      <c r="U358" s="19">
        <f>tblMaster[[#This Row],[Profit]]/tblMaster[[#This Row],[Revenue]]</f>
        <v>0.30000000000000004</v>
      </c>
      <c r="V358" s="19">
        <f>tblMaster[[#This Row],[Delivery_Date]]-tblMaster[[#This Row],[Order_Date]]</f>
        <v>10</v>
      </c>
      <c r="W358" s="19" t="str">
        <f>TEXT(tblMaster[[#This Row],[Order_Date]],"mmmm")</f>
        <v>March</v>
      </c>
      <c r="X358" s="19">
        <f>MONTH(tblMaster[[#This Row],[Order_Date]])</f>
        <v>3</v>
      </c>
      <c r="Y358" s="19" t="str">
        <f>"Q"&amp;ROUNDUP(tblMaster[[#This Row],[Month Number]]/3,0)</f>
        <v>Q1</v>
      </c>
      <c r="Z358" s="19">
        <f>YEAR(tblMaster[[#This Row],[Order_Date]])</f>
        <v>2023</v>
      </c>
      <c r="AA358" s="19" t="str">
        <f>TEXT(DAY(tblMaster[[#This Row],[Order_Date]]),"dddd")</f>
        <v>Tuesday</v>
      </c>
      <c r="AB358" s="19" t="str">
        <f>IF(tblMaster[[#This Row],[Revenue]]&gt;=5000,"High",IF(tblMaster[[#This Row],[Revenue]]&lt;2000,"Low","Medium"))</f>
        <v>High</v>
      </c>
    </row>
    <row r="359" spans="1:28" x14ac:dyDescent="0.25">
      <c r="A359" s="10">
        <v>358</v>
      </c>
      <c r="B359" s="10" t="s">
        <v>176</v>
      </c>
      <c r="C359" s="5">
        <v>55</v>
      </c>
      <c r="D359" s="5">
        <v>1</v>
      </c>
      <c r="E359" s="11">
        <v>45158</v>
      </c>
      <c r="F359" s="12">
        <v>0.7038078703703704</v>
      </c>
      <c r="G359" s="11">
        <v>45163</v>
      </c>
      <c r="H359" s="12">
        <v>0.56292824074074077</v>
      </c>
      <c r="I359" s="10" t="s">
        <v>483</v>
      </c>
      <c r="J359" s="10" t="s">
        <v>33</v>
      </c>
      <c r="K359" s="18" t="str">
        <f>_xlfn.XLOOKUP(tblMaster[[#This Row],[Customer_ID]],tblCustomers[Customer_ID],tblCustomers[City],"Not Found",0)</f>
        <v>Pallavaram</v>
      </c>
      <c r="L359" s="18" t="str">
        <f>_xlfn.XLOOKUP(tblMaster[[#This Row],[Customer_ID]],tblCustomers[Customer_ID],tblCustomers[Name],"Not Found",0)</f>
        <v>Hazel Mangat</v>
      </c>
      <c r="M359" s="18" t="str">
        <f>_xlfn.XLOOKUP(tblMaster[[#This Row],[Customer_ID]],tblCustomers[Customer_ID],tblCustomers[Gender],"Not Found",0)</f>
        <v>Female</v>
      </c>
      <c r="N359" s="18" t="str">
        <f>_xlfn.XLOOKUP(tblMaster[[#This Row],[Product_ID]],tblProducts[Product_ID],tblProducts[Product_Name],"Not Found",0)</f>
        <v>Dolores Gift</v>
      </c>
      <c r="O359" s="18" t="str">
        <f>_xlfn.XLOOKUP(tblMaster[[#This Row],[Product_ID]],tblProducts[Product_ID],tblProducts[Category],"Not Found",0)</f>
        <v>Soft Toys</v>
      </c>
      <c r="P359" s="18" t="str">
        <f>_xlfn.XLOOKUP(tblMaster[[#This Row],[Product_ID]],tblProducts[Product_ID],tblProducts[Occasion],"Not Found",0)</f>
        <v>Raksha Bandhan</v>
      </c>
      <c r="Q359" s="18">
        <f>_xlfn.XLOOKUP(tblMaster[[#This Row],[Product_ID]],tblProducts[Product_ID],tblProducts[Price (INR)],"Not Found",0)</f>
        <v>1904</v>
      </c>
      <c r="R359" s="19">
        <f>tblMaster[[#This Row],[Price]]*tblMaster[[#This Row],[Quantity]]</f>
        <v>1904</v>
      </c>
      <c r="S359" s="19">
        <f>tblMaster[[#This Row],[Price]]*0.7*tblMaster[[#This Row],[Quantity]]</f>
        <v>1332.8</v>
      </c>
      <c r="T359" s="19">
        <f>tblMaster[[#This Row],[Revenue]]-tblMaster[[#This Row],[Estimated Cost (at 70%) ]]</f>
        <v>571.20000000000005</v>
      </c>
      <c r="U359" s="19">
        <f>tblMaster[[#This Row],[Profit]]/tblMaster[[#This Row],[Revenue]]</f>
        <v>0.30000000000000004</v>
      </c>
      <c r="V359" s="19">
        <f>tblMaster[[#This Row],[Delivery_Date]]-tblMaster[[#This Row],[Order_Date]]</f>
        <v>5</v>
      </c>
      <c r="W359" s="19" t="str">
        <f>TEXT(tblMaster[[#This Row],[Order_Date]],"mmmm")</f>
        <v>August</v>
      </c>
      <c r="X359" s="19">
        <f>MONTH(tblMaster[[#This Row],[Order_Date]])</f>
        <v>8</v>
      </c>
      <c r="Y359" s="19" t="str">
        <f>"Q"&amp;ROUNDUP(tblMaster[[#This Row],[Month Number]]/3,0)</f>
        <v>Q3</v>
      </c>
      <c r="Z359" s="19">
        <f>YEAR(tblMaster[[#This Row],[Order_Date]])</f>
        <v>2023</v>
      </c>
      <c r="AA359" s="19" t="str">
        <f>TEXT(DAY(tblMaster[[#This Row],[Order_Date]]),"dddd")</f>
        <v>Friday</v>
      </c>
      <c r="AB359" s="19" t="str">
        <f>IF(tblMaster[[#This Row],[Revenue]]&gt;=5000,"High",IF(tblMaster[[#This Row],[Revenue]]&lt;2000,"Low","Medium"))</f>
        <v>Low</v>
      </c>
    </row>
    <row r="360" spans="1:28" x14ac:dyDescent="0.25">
      <c r="A360" s="7">
        <v>359</v>
      </c>
      <c r="B360" s="7" t="s">
        <v>437</v>
      </c>
      <c r="C360" s="4">
        <v>47</v>
      </c>
      <c r="D360" s="4">
        <v>2</v>
      </c>
      <c r="E360" s="8">
        <v>44985</v>
      </c>
      <c r="F360" s="9">
        <v>0.50944444444444448</v>
      </c>
      <c r="G360" s="8">
        <v>44990</v>
      </c>
      <c r="H360" s="9">
        <v>0.85520833333333335</v>
      </c>
      <c r="I360" s="7" t="s">
        <v>458</v>
      </c>
      <c r="J360" s="7" t="s">
        <v>25</v>
      </c>
      <c r="K360" s="18" t="str">
        <f>_xlfn.XLOOKUP(tblMaster[[#This Row],[Customer_ID]],tblCustomers[Customer_ID],tblCustomers[City],"Not Found",0)</f>
        <v>Dhanbad</v>
      </c>
      <c r="L360" s="18" t="str">
        <f>_xlfn.XLOOKUP(tblMaster[[#This Row],[Customer_ID]],tblCustomers[Customer_ID],tblCustomers[Name],"Not Found",0)</f>
        <v>Vardaniya Apte</v>
      </c>
      <c r="M360" s="18" t="str">
        <f>_xlfn.XLOOKUP(tblMaster[[#This Row],[Customer_ID]],tblCustomers[Customer_ID],tblCustomers[Gender],"Not Found",0)</f>
        <v>Male</v>
      </c>
      <c r="N360" s="18" t="str">
        <f>_xlfn.XLOOKUP(tblMaster[[#This Row],[Product_ID]],tblProducts[Product_ID],tblProducts[Product_Name],"Not Found",0)</f>
        <v>Harum Pack</v>
      </c>
      <c r="O360" s="18" t="str">
        <f>_xlfn.XLOOKUP(tblMaster[[#This Row],[Product_ID]],tblProducts[Product_ID],tblProducts[Category],"Not Found",0)</f>
        <v>Colors</v>
      </c>
      <c r="P360" s="18" t="str">
        <f>_xlfn.XLOOKUP(tblMaster[[#This Row],[Product_ID]],tblProducts[Product_ID],tblProducts[Occasion],"Not Found",0)</f>
        <v>Holi</v>
      </c>
      <c r="Q360" s="18">
        <f>_xlfn.XLOOKUP(tblMaster[[#This Row],[Product_ID]],tblProducts[Product_ID],tblProducts[Price (INR)],"Not Found",0)</f>
        <v>1638</v>
      </c>
      <c r="R360" s="19">
        <f>tblMaster[[#This Row],[Price]]*tblMaster[[#This Row],[Quantity]]</f>
        <v>3276</v>
      </c>
      <c r="S360" s="19">
        <f>tblMaster[[#This Row],[Price]]*0.7*tblMaster[[#This Row],[Quantity]]</f>
        <v>2293.1999999999998</v>
      </c>
      <c r="T360" s="19">
        <f>tblMaster[[#This Row],[Revenue]]-tblMaster[[#This Row],[Estimated Cost (at 70%) ]]</f>
        <v>982.80000000000018</v>
      </c>
      <c r="U360" s="19">
        <f>tblMaster[[#This Row],[Profit]]/tblMaster[[#This Row],[Revenue]]</f>
        <v>0.30000000000000004</v>
      </c>
      <c r="V360" s="19">
        <f>tblMaster[[#This Row],[Delivery_Date]]-tblMaster[[#This Row],[Order_Date]]</f>
        <v>5</v>
      </c>
      <c r="W360" s="19" t="str">
        <f>TEXT(tblMaster[[#This Row],[Order_Date]],"mmmm")</f>
        <v>February</v>
      </c>
      <c r="X360" s="19">
        <f>MONTH(tblMaster[[#This Row],[Order_Date]])</f>
        <v>2</v>
      </c>
      <c r="Y360" s="19" t="str">
        <f>"Q"&amp;ROUNDUP(tblMaster[[#This Row],[Month Number]]/3,0)</f>
        <v>Q1</v>
      </c>
      <c r="Z360" s="19">
        <f>YEAR(tblMaster[[#This Row],[Order_Date]])</f>
        <v>2023</v>
      </c>
      <c r="AA360" s="19" t="str">
        <f>TEXT(DAY(tblMaster[[#This Row],[Order_Date]]),"dddd")</f>
        <v>Saturday</v>
      </c>
      <c r="AB360" s="19" t="str">
        <f>IF(tblMaster[[#This Row],[Revenue]]&gt;=5000,"High",IF(tblMaster[[#This Row],[Revenue]]&lt;2000,"Low","Medium"))</f>
        <v>Medium</v>
      </c>
    </row>
    <row r="361" spans="1:28" x14ac:dyDescent="0.25">
      <c r="A361" s="10">
        <v>360</v>
      </c>
      <c r="B361" s="10" t="s">
        <v>183</v>
      </c>
      <c r="C361" s="5">
        <v>41</v>
      </c>
      <c r="D361" s="5">
        <v>1</v>
      </c>
      <c r="E361" s="11">
        <v>45236</v>
      </c>
      <c r="F361" s="12">
        <v>0.1332986111111111</v>
      </c>
      <c r="G361" s="11">
        <v>45239</v>
      </c>
      <c r="H361" s="12">
        <v>0.73994212962962957</v>
      </c>
      <c r="I361" s="10" t="s">
        <v>186</v>
      </c>
      <c r="J361" s="10" t="s">
        <v>19</v>
      </c>
      <c r="K361" s="18" t="str">
        <f>_xlfn.XLOOKUP(tblMaster[[#This Row],[Customer_ID]],tblCustomers[Customer_ID],tblCustomers[City],"Not Found",0)</f>
        <v>Dhanbad</v>
      </c>
      <c r="L361" s="18" t="str">
        <f>_xlfn.XLOOKUP(tblMaster[[#This Row],[Customer_ID]],tblCustomers[Customer_ID],tblCustomers[Name],"Not Found",0)</f>
        <v>Ranbir Loyal</v>
      </c>
      <c r="M361" s="18" t="str">
        <f>_xlfn.XLOOKUP(tblMaster[[#This Row],[Customer_ID]],tblCustomers[Customer_ID],tblCustomers[Gender],"Not Found",0)</f>
        <v>Female</v>
      </c>
      <c r="N361" s="18" t="str">
        <f>_xlfn.XLOOKUP(tblMaster[[#This Row],[Product_ID]],tblProducts[Product_ID],tblProducts[Product_Name],"Not Found",0)</f>
        <v>Aut Box</v>
      </c>
      <c r="O361" s="18" t="str">
        <f>_xlfn.XLOOKUP(tblMaster[[#This Row],[Product_ID]],tblProducts[Product_ID],tblProducts[Category],"Not Found",0)</f>
        <v>Sweets</v>
      </c>
      <c r="P361" s="18" t="str">
        <f>_xlfn.XLOOKUP(tblMaster[[#This Row],[Product_ID]],tblProducts[Product_ID],tblProducts[Occasion],"Not Found",0)</f>
        <v>Diwali</v>
      </c>
      <c r="Q361" s="18">
        <f>_xlfn.XLOOKUP(tblMaster[[#This Row],[Product_ID]],tblProducts[Product_ID],tblProducts[Price (INR)],"Not Found",0)</f>
        <v>1977</v>
      </c>
      <c r="R361" s="19">
        <f>tblMaster[[#This Row],[Price]]*tblMaster[[#This Row],[Quantity]]</f>
        <v>1977</v>
      </c>
      <c r="S361" s="19">
        <f>tblMaster[[#This Row],[Price]]*0.7*tblMaster[[#This Row],[Quantity]]</f>
        <v>1383.8999999999999</v>
      </c>
      <c r="T361" s="19">
        <f>tblMaster[[#This Row],[Revenue]]-tblMaster[[#This Row],[Estimated Cost (at 70%) ]]</f>
        <v>593.10000000000014</v>
      </c>
      <c r="U361" s="19">
        <f>tblMaster[[#This Row],[Profit]]/tblMaster[[#This Row],[Revenue]]</f>
        <v>0.30000000000000004</v>
      </c>
      <c r="V361" s="19">
        <f>tblMaster[[#This Row],[Delivery_Date]]-tblMaster[[#This Row],[Order_Date]]</f>
        <v>3</v>
      </c>
      <c r="W361" s="19" t="str">
        <f>TEXT(tblMaster[[#This Row],[Order_Date]],"mmmm")</f>
        <v>November</v>
      </c>
      <c r="X361" s="19">
        <f>MONTH(tblMaster[[#This Row],[Order_Date]])</f>
        <v>11</v>
      </c>
      <c r="Y361" s="19" t="str">
        <f>"Q"&amp;ROUNDUP(tblMaster[[#This Row],[Month Number]]/3,0)</f>
        <v>Q4</v>
      </c>
      <c r="Z361" s="19">
        <f>YEAR(tblMaster[[#This Row],[Order_Date]])</f>
        <v>2023</v>
      </c>
      <c r="AA361" s="19" t="str">
        <f>TEXT(DAY(tblMaster[[#This Row],[Order_Date]]),"dddd")</f>
        <v>Friday</v>
      </c>
      <c r="AB361" s="19" t="str">
        <f>IF(tblMaster[[#This Row],[Revenue]]&gt;=5000,"High",IF(tblMaster[[#This Row],[Revenue]]&lt;2000,"Low","Medium"))</f>
        <v>Low</v>
      </c>
    </row>
    <row r="362" spans="1:28" x14ac:dyDescent="0.25">
      <c r="A362" s="7">
        <v>361</v>
      </c>
      <c r="B362" s="7" t="s">
        <v>367</v>
      </c>
      <c r="C362" s="4">
        <v>47</v>
      </c>
      <c r="D362" s="4">
        <v>4</v>
      </c>
      <c r="E362" s="8">
        <v>44988</v>
      </c>
      <c r="F362" s="9">
        <v>0.25689814814814815</v>
      </c>
      <c r="G362" s="8">
        <v>44996</v>
      </c>
      <c r="H362" s="9">
        <v>0.35636574074074073</v>
      </c>
      <c r="I362" s="7" t="s">
        <v>175</v>
      </c>
      <c r="J362" s="7" t="s">
        <v>25</v>
      </c>
      <c r="K362" s="18" t="str">
        <f>_xlfn.XLOOKUP(tblMaster[[#This Row],[Customer_ID]],tblCustomers[Customer_ID],tblCustomers[City],"Not Found",0)</f>
        <v>Imphal</v>
      </c>
      <c r="L362" s="18" t="str">
        <f>_xlfn.XLOOKUP(tblMaster[[#This Row],[Customer_ID]],tblCustomers[Customer_ID],tblCustomers[Name],"Not Found",0)</f>
        <v>Aarush Balasubramanian</v>
      </c>
      <c r="M362" s="18" t="str">
        <f>_xlfn.XLOOKUP(tblMaster[[#This Row],[Customer_ID]],tblCustomers[Customer_ID],tblCustomers[Gender],"Not Found",0)</f>
        <v>Female</v>
      </c>
      <c r="N362" s="18" t="str">
        <f>_xlfn.XLOOKUP(tblMaster[[#This Row],[Product_ID]],tblProducts[Product_ID],tblProducts[Product_Name],"Not Found",0)</f>
        <v>Harum Pack</v>
      </c>
      <c r="O362" s="18" t="str">
        <f>_xlfn.XLOOKUP(tblMaster[[#This Row],[Product_ID]],tblProducts[Product_ID],tblProducts[Category],"Not Found",0)</f>
        <v>Colors</v>
      </c>
      <c r="P362" s="18" t="str">
        <f>_xlfn.XLOOKUP(tblMaster[[#This Row],[Product_ID]],tblProducts[Product_ID],tblProducts[Occasion],"Not Found",0)</f>
        <v>Holi</v>
      </c>
      <c r="Q362" s="18">
        <f>_xlfn.XLOOKUP(tblMaster[[#This Row],[Product_ID]],tblProducts[Product_ID],tblProducts[Price (INR)],"Not Found",0)</f>
        <v>1638</v>
      </c>
      <c r="R362" s="19">
        <f>tblMaster[[#This Row],[Price]]*tblMaster[[#This Row],[Quantity]]</f>
        <v>6552</v>
      </c>
      <c r="S362" s="19">
        <f>tblMaster[[#This Row],[Price]]*0.7*tblMaster[[#This Row],[Quantity]]</f>
        <v>4586.3999999999996</v>
      </c>
      <c r="T362" s="19">
        <f>tblMaster[[#This Row],[Revenue]]-tblMaster[[#This Row],[Estimated Cost (at 70%) ]]</f>
        <v>1965.6000000000004</v>
      </c>
      <c r="U362" s="19">
        <f>tblMaster[[#This Row],[Profit]]/tblMaster[[#This Row],[Revenue]]</f>
        <v>0.30000000000000004</v>
      </c>
      <c r="V362" s="19">
        <f>tblMaster[[#This Row],[Delivery_Date]]-tblMaster[[#This Row],[Order_Date]]</f>
        <v>8</v>
      </c>
      <c r="W362" s="19" t="str">
        <f>TEXT(tblMaster[[#This Row],[Order_Date]],"mmmm")</f>
        <v>March</v>
      </c>
      <c r="X362" s="19">
        <f>MONTH(tblMaster[[#This Row],[Order_Date]])</f>
        <v>3</v>
      </c>
      <c r="Y362" s="19" t="str">
        <f>"Q"&amp;ROUNDUP(tblMaster[[#This Row],[Month Number]]/3,0)</f>
        <v>Q1</v>
      </c>
      <c r="Z362" s="19">
        <f>YEAR(tblMaster[[#This Row],[Order_Date]])</f>
        <v>2023</v>
      </c>
      <c r="AA362" s="19" t="str">
        <f>TEXT(DAY(tblMaster[[#This Row],[Order_Date]]),"dddd")</f>
        <v>Tuesday</v>
      </c>
      <c r="AB362" s="19" t="str">
        <f>IF(tblMaster[[#This Row],[Revenue]]&gt;=5000,"High",IF(tblMaster[[#This Row],[Revenue]]&lt;2000,"Low","Medium"))</f>
        <v>High</v>
      </c>
    </row>
    <row r="363" spans="1:28" x14ac:dyDescent="0.25">
      <c r="A363" s="10">
        <v>362</v>
      </c>
      <c r="B363" s="10" t="s">
        <v>206</v>
      </c>
      <c r="C363" s="5">
        <v>31</v>
      </c>
      <c r="D363" s="5">
        <v>2</v>
      </c>
      <c r="E363" s="11">
        <v>44995</v>
      </c>
      <c r="F363" s="12">
        <v>0.15278935185185186</v>
      </c>
      <c r="G363" s="11">
        <v>45002</v>
      </c>
      <c r="H363" s="12">
        <v>0.44123842592592594</v>
      </c>
      <c r="I363" s="10" t="s">
        <v>475</v>
      </c>
      <c r="J363" s="10" t="s">
        <v>8</v>
      </c>
      <c r="K363" s="18" t="str">
        <f>_xlfn.XLOOKUP(tblMaster[[#This Row],[Customer_ID]],tblCustomers[Customer_ID],tblCustomers[City],"Not Found",0)</f>
        <v>Karaikudi</v>
      </c>
      <c r="L363" s="18" t="str">
        <f>_xlfn.XLOOKUP(tblMaster[[#This Row],[Customer_ID]],tblCustomers[Customer_ID],tblCustomers[Name],"Not Found",0)</f>
        <v>Rati Dhingra</v>
      </c>
      <c r="M363" s="18" t="str">
        <f>_xlfn.XLOOKUP(tblMaster[[#This Row],[Customer_ID]],tblCustomers[Customer_ID],tblCustomers[Gender],"Not Found",0)</f>
        <v>Male</v>
      </c>
      <c r="N363" s="18" t="str">
        <f>_xlfn.XLOOKUP(tblMaster[[#This Row],[Product_ID]],tblProducts[Product_ID],tblProducts[Product_Name],"Not Found",0)</f>
        <v>Nihil Box</v>
      </c>
      <c r="O363" s="18" t="str">
        <f>_xlfn.XLOOKUP(tblMaster[[#This Row],[Product_ID]],tblProducts[Product_ID],tblProducts[Category],"Not Found",0)</f>
        <v>Colors</v>
      </c>
      <c r="P363" s="18" t="str">
        <f>_xlfn.XLOOKUP(tblMaster[[#This Row],[Product_ID]],tblProducts[Product_ID],tblProducts[Occasion],"Not Found",0)</f>
        <v>All Occasions</v>
      </c>
      <c r="Q363" s="18">
        <f>_xlfn.XLOOKUP(tblMaster[[#This Row],[Product_ID]],tblProducts[Product_ID],tblProducts[Price (INR)],"Not Found",0)</f>
        <v>1804</v>
      </c>
      <c r="R363" s="19">
        <f>tblMaster[[#This Row],[Price]]*tblMaster[[#This Row],[Quantity]]</f>
        <v>3608</v>
      </c>
      <c r="S363" s="19">
        <f>tblMaster[[#This Row],[Price]]*0.7*tblMaster[[#This Row],[Quantity]]</f>
        <v>2525.6</v>
      </c>
      <c r="T363" s="19">
        <f>tblMaster[[#This Row],[Revenue]]-tblMaster[[#This Row],[Estimated Cost (at 70%) ]]</f>
        <v>1082.4000000000001</v>
      </c>
      <c r="U363" s="19">
        <f>tblMaster[[#This Row],[Profit]]/tblMaster[[#This Row],[Revenue]]</f>
        <v>0.30000000000000004</v>
      </c>
      <c r="V363" s="19">
        <f>tblMaster[[#This Row],[Delivery_Date]]-tblMaster[[#This Row],[Order_Date]]</f>
        <v>7</v>
      </c>
      <c r="W363" s="19" t="str">
        <f>TEXT(tblMaster[[#This Row],[Order_Date]],"mmmm")</f>
        <v>March</v>
      </c>
      <c r="X363" s="19">
        <f>MONTH(tblMaster[[#This Row],[Order_Date]])</f>
        <v>3</v>
      </c>
      <c r="Y363" s="19" t="str">
        <f>"Q"&amp;ROUNDUP(tblMaster[[#This Row],[Month Number]]/3,0)</f>
        <v>Q1</v>
      </c>
      <c r="Z363" s="19">
        <f>YEAR(tblMaster[[#This Row],[Order_Date]])</f>
        <v>2023</v>
      </c>
      <c r="AA363" s="19" t="str">
        <f>TEXT(DAY(tblMaster[[#This Row],[Order_Date]]),"dddd")</f>
        <v>Tuesday</v>
      </c>
      <c r="AB363" s="19" t="str">
        <f>IF(tblMaster[[#This Row],[Revenue]]&gt;=5000,"High",IF(tblMaster[[#This Row],[Revenue]]&lt;2000,"Low","Medium"))</f>
        <v>Medium</v>
      </c>
    </row>
    <row r="364" spans="1:28" x14ac:dyDescent="0.25">
      <c r="A364" s="7">
        <v>363</v>
      </c>
      <c r="B364" s="7" t="s">
        <v>349</v>
      </c>
      <c r="C364" s="4">
        <v>15</v>
      </c>
      <c r="D364" s="4">
        <v>2</v>
      </c>
      <c r="E364" s="8">
        <v>45257</v>
      </c>
      <c r="F364" s="9">
        <v>0.79237268518518522</v>
      </c>
      <c r="G364" s="8">
        <v>45265</v>
      </c>
      <c r="H364" s="9">
        <v>7.6805555555555557E-2</v>
      </c>
      <c r="I364" s="7" t="s">
        <v>240</v>
      </c>
      <c r="J364" s="7" t="s">
        <v>30</v>
      </c>
      <c r="K364" s="18" t="str">
        <f>_xlfn.XLOOKUP(tblMaster[[#This Row],[Customer_ID]],tblCustomers[Customer_ID],tblCustomers[City],"Not Found",0)</f>
        <v>Khandwa</v>
      </c>
      <c r="L364" s="18" t="str">
        <f>_xlfn.XLOOKUP(tblMaster[[#This Row],[Customer_ID]],tblCustomers[Customer_ID],tblCustomers[Name],"Not Found",0)</f>
        <v>Ivana Rout</v>
      </c>
      <c r="M364" s="18" t="str">
        <f>_xlfn.XLOOKUP(tblMaster[[#This Row],[Customer_ID]],tblCustomers[Customer_ID],tblCustomers[Gender],"Not Found",0)</f>
        <v>Male</v>
      </c>
      <c r="N364" s="18" t="str">
        <f>_xlfn.XLOOKUP(tblMaster[[#This Row],[Product_ID]],tblProducts[Product_ID],tblProducts[Product_Name],"Not Found",0)</f>
        <v>Repudiandae Box</v>
      </c>
      <c r="O364" s="18" t="str">
        <f>_xlfn.XLOOKUP(tblMaster[[#This Row],[Product_ID]],tblProducts[Product_ID],tblProducts[Category],"Not Found",0)</f>
        <v>Raksha Bandhan</v>
      </c>
      <c r="P364" s="18" t="str">
        <f>_xlfn.XLOOKUP(tblMaster[[#This Row],[Product_ID]],tblProducts[Product_ID],tblProducts[Occasion],"Not Found",0)</f>
        <v>Anniversary</v>
      </c>
      <c r="Q364" s="18">
        <f>_xlfn.XLOOKUP(tblMaster[[#This Row],[Product_ID]],tblProducts[Product_ID],tblProducts[Price (INR)],"Not Found",0)</f>
        <v>1488</v>
      </c>
      <c r="R364" s="19">
        <f>tblMaster[[#This Row],[Price]]*tblMaster[[#This Row],[Quantity]]</f>
        <v>2976</v>
      </c>
      <c r="S364" s="19">
        <f>tblMaster[[#This Row],[Price]]*0.7*tblMaster[[#This Row],[Quantity]]</f>
        <v>2083.1999999999998</v>
      </c>
      <c r="T364" s="19">
        <f>tblMaster[[#This Row],[Revenue]]-tblMaster[[#This Row],[Estimated Cost (at 70%) ]]</f>
        <v>892.80000000000018</v>
      </c>
      <c r="U364" s="19">
        <f>tblMaster[[#This Row],[Profit]]/tblMaster[[#This Row],[Revenue]]</f>
        <v>0.30000000000000004</v>
      </c>
      <c r="V364" s="19">
        <f>tblMaster[[#This Row],[Delivery_Date]]-tblMaster[[#This Row],[Order_Date]]</f>
        <v>8</v>
      </c>
      <c r="W364" s="19" t="str">
        <f>TEXT(tblMaster[[#This Row],[Order_Date]],"mmmm")</f>
        <v>November</v>
      </c>
      <c r="X364" s="19">
        <f>MONTH(tblMaster[[#This Row],[Order_Date]])</f>
        <v>11</v>
      </c>
      <c r="Y364" s="19" t="str">
        <f>"Q"&amp;ROUNDUP(tblMaster[[#This Row],[Month Number]]/3,0)</f>
        <v>Q4</v>
      </c>
      <c r="Z364" s="19">
        <f>YEAR(tblMaster[[#This Row],[Order_Date]])</f>
        <v>2023</v>
      </c>
      <c r="AA364" s="19" t="str">
        <f>TEXT(DAY(tblMaster[[#This Row],[Order_Date]]),"dddd")</f>
        <v>Friday</v>
      </c>
      <c r="AB364" s="19" t="str">
        <f>IF(tblMaster[[#This Row],[Revenue]]&gt;=5000,"High",IF(tblMaster[[#This Row],[Revenue]]&lt;2000,"Low","Medium"))</f>
        <v>Medium</v>
      </c>
    </row>
    <row r="365" spans="1:28" x14ac:dyDescent="0.25">
      <c r="A365" s="10">
        <v>364</v>
      </c>
      <c r="B365" s="10" t="s">
        <v>440</v>
      </c>
      <c r="C365" s="5">
        <v>43</v>
      </c>
      <c r="D365" s="5">
        <v>3</v>
      </c>
      <c r="E365" s="11">
        <v>45238</v>
      </c>
      <c r="F365" s="12">
        <v>0.25626157407407407</v>
      </c>
      <c r="G365" s="11">
        <v>45239</v>
      </c>
      <c r="H365" s="12">
        <v>0.19274305555555554</v>
      </c>
      <c r="I365" s="10" t="s">
        <v>344</v>
      </c>
      <c r="J365" s="10" t="s">
        <v>19</v>
      </c>
      <c r="K365" s="18" t="str">
        <f>_xlfn.XLOOKUP(tblMaster[[#This Row],[Customer_ID]],tblCustomers[Customer_ID],tblCustomers[City],"Not Found",0)</f>
        <v>Bilaspur</v>
      </c>
      <c r="L365" s="18" t="str">
        <f>_xlfn.XLOOKUP(tblMaster[[#This Row],[Customer_ID]],tblCustomers[Customer_ID],tblCustomers[Name],"Not Found",0)</f>
        <v>Jayesh Lanka</v>
      </c>
      <c r="M365" s="18" t="str">
        <f>_xlfn.XLOOKUP(tblMaster[[#This Row],[Customer_ID]],tblCustomers[Customer_ID],tblCustomers[Gender],"Not Found",0)</f>
        <v>Male</v>
      </c>
      <c r="N365" s="18" t="str">
        <f>_xlfn.XLOOKUP(tblMaster[[#This Row],[Product_ID]],tblProducts[Product_ID],tblProducts[Product_Name],"Not Found",0)</f>
        <v>Quisquam Pack</v>
      </c>
      <c r="O365" s="18" t="str">
        <f>_xlfn.XLOOKUP(tblMaster[[#This Row],[Product_ID]],tblProducts[Product_ID],tblProducts[Category],"Not Found",0)</f>
        <v>Raksha Bandhan</v>
      </c>
      <c r="P365" s="18" t="str">
        <f>_xlfn.XLOOKUP(tblMaster[[#This Row],[Product_ID]],tblProducts[Product_ID],tblProducts[Occasion],"Not Found",0)</f>
        <v>Diwali</v>
      </c>
      <c r="Q365" s="18">
        <f>_xlfn.XLOOKUP(tblMaster[[#This Row],[Product_ID]],tblProducts[Product_ID],tblProducts[Price (INR)],"Not Found",0)</f>
        <v>750</v>
      </c>
      <c r="R365" s="19">
        <f>tblMaster[[#This Row],[Price]]*tblMaster[[#This Row],[Quantity]]</f>
        <v>2250</v>
      </c>
      <c r="S365" s="19">
        <f>tblMaster[[#This Row],[Price]]*0.7*tblMaster[[#This Row],[Quantity]]</f>
        <v>1575</v>
      </c>
      <c r="T365" s="19">
        <f>tblMaster[[#This Row],[Revenue]]-tblMaster[[#This Row],[Estimated Cost (at 70%) ]]</f>
        <v>675</v>
      </c>
      <c r="U365" s="19">
        <f>tblMaster[[#This Row],[Profit]]/tblMaster[[#This Row],[Revenue]]</f>
        <v>0.3</v>
      </c>
      <c r="V365" s="19">
        <f>tblMaster[[#This Row],[Delivery_Date]]-tblMaster[[#This Row],[Order_Date]]</f>
        <v>1</v>
      </c>
      <c r="W365" s="19" t="str">
        <f>TEXT(tblMaster[[#This Row],[Order_Date]],"mmmm")</f>
        <v>November</v>
      </c>
      <c r="X365" s="19">
        <f>MONTH(tblMaster[[#This Row],[Order_Date]])</f>
        <v>11</v>
      </c>
      <c r="Y365" s="19" t="str">
        <f>"Q"&amp;ROUNDUP(tblMaster[[#This Row],[Month Number]]/3,0)</f>
        <v>Q4</v>
      </c>
      <c r="Z365" s="19">
        <f>YEAR(tblMaster[[#This Row],[Order_Date]])</f>
        <v>2023</v>
      </c>
      <c r="AA365" s="19" t="str">
        <f>TEXT(DAY(tblMaster[[#This Row],[Order_Date]]),"dddd")</f>
        <v>Sunday</v>
      </c>
      <c r="AB365" s="19" t="str">
        <f>IF(tblMaster[[#This Row],[Revenue]]&gt;=5000,"High",IF(tblMaster[[#This Row],[Revenue]]&lt;2000,"Low","Medium"))</f>
        <v>Medium</v>
      </c>
    </row>
    <row r="366" spans="1:28" x14ac:dyDescent="0.25">
      <c r="A366" s="7">
        <v>365</v>
      </c>
      <c r="B366" s="7" t="s">
        <v>283</v>
      </c>
      <c r="C366" s="4">
        <v>8</v>
      </c>
      <c r="D366" s="4">
        <v>5</v>
      </c>
      <c r="E366" s="8">
        <v>45078</v>
      </c>
      <c r="F366" s="9">
        <v>0.6470717592592593</v>
      </c>
      <c r="G366" s="8">
        <v>45081</v>
      </c>
      <c r="H366" s="9">
        <v>0.4274189814814815</v>
      </c>
      <c r="I366" s="7" t="s">
        <v>296</v>
      </c>
      <c r="J366" s="7" t="s">
        <v>30</v>
      </c>
      <c r="K366" s="18" t="str">
        <f>_xlfn.XLOOKUP(tblMaster[[#This Row],[Customer_ID]],tblCustomers[Customer_ID],tblCustomers[City],"Not Found",0)</f>
        <v>Noida</v>
      </c>
      <c r="L366" s="18" t="str">
        <f>_xlfn.XLOOKUP(tblMaster[[#This Row],[Customer_ID]],tblCustomers[Customer_ID],tblCustomers[Name],"Not Found",0)</f>
        <v>Hridaan Rajagopalan</v>
      </c>
      <c r="M366" s="18" t="str">
        <f>_xlfn.XLOOKUP(tblMaster[[#This Row],[Customer_ID]],tblCustomers[Customer_ID],tblCustomers[Gender],"Not Found",0)</f>
        <v>Female</v>
      </c>
      <c r="N366" s="18" t="str">
        <f>_xlfn.XLOOKUP(tblMaster[[#This Row],[Product_ID]],tblProducts[Product_ID],tblProducts[Product_Name],"Not Found",0)</f>
        <v>Qui Box</v>
      </c>
      <c r="O366" s="18" t="str">
        <f>_xlfn.XLOOKUP(tblMaster[[#This Row],[Product_ID]],tblProducts[Product_ID],tblProducts[Category],"Not Found",0)</f>
        <v>Sweets</v>
      </c>
      <c r="P366" s="18" t="str">
        <f>_xlfn.XLOOKUP(tblMaster[[#This Row],[Product_ID]],tblProducts[Product_ID],tblProducts[Occasion],"Not Found",0)</f>
        <v>Anniversary</v>
      </c>
      <c r="Q366" s="18">
        <f>_xlfn.XLOOKUP(tblMaster[[#This Row],[Product_ID]],tblProducts[Product_ID],tblProducts[Price (INR)],"Not Found",0)</f>
        <v>252</v>
      </c>
      <c r="R366" s="19">
        <f>tblMaster[[#This Row],[Price]]*tblMaster[[#This Row],[Quantity]]</f>
        <v>1260</v>
      </c>
      <c r="S366" s="19">
        <f>tblMaster[[#This Row],[Price]]*0.7*tblMaster[[#This Row],[Quantity]]</f>
        <v>881.99999999999989</v>
      </c>
      <c r="T366" s="19">
        <f>tblMaster[[#This Row],[Revenue]]-tblMaster[[#This Row],[Estimated Cost (at 70%) ]]</f>
        <v>378.00000000000011</v>
      </c>
      <c r="U366" s="19">
        <f>tblMaster[[#This Row],[Profit]]/tblMaster[[#This Row],[Revenue]]</f>
        <v>0.3000000000000001</v>
      </c>
      <c r="V366" s="19">
        <f>tblMaster[[#This Row],[Delivery_Date]]-tblMaster[[#This Row],[Order_Date]]</f>
        <v>3</v>
      </c>
      <c r="W366" s="19" t="str">
        <f>TEXT(tblMaster[[#This Row],[Order_Date]],"mmmm")</f>
        <v>June</v>
      </c>
      <c r="X366" s="19">
        <f>MONTH(tblMaster[[#This Row],[Order_Date]])</f>
        <v>6</v>
      </c>
      <c r="Y366" s="19" t="str">
        <f>"Q"&amp;ROUNDUP(tblMaster[[#This Row],[Month Number]]/3,0)</f>
        <v>Q2</v>
      </c>
      <c r="Z366" s="19">
        <f>YEAR(tblMaster[[#This Row],[Order_Date]])</f>
        <v>2023</v>
      </c>
      <c r="AA366" s="19" t="str">
        <f>TEXT(DAY(tblMaster[[#This Row],[Order_Date]]),"dddd")</f>
        <v>Sunday</v>
      </c>
      <c r="AB366" s="19" t="str">
        <f>IF(tblMaster[[#This Row],[Revenue]]&gt;=5000,"High",IF(tblMaster[[#This Row],[Revenue]]&lt;2000,"Low","Medium"))</f>
        <v>Low</v>
      </c>
    </row>
    <row r="367" spans="1:28" x14ac:dyDescent="0.25">
      <c r="A367" s="10">
        <v>366</v>
      </c>
      <c r="B367" s="10" t="s">
        <v>272</v>
      </c>
      <c r="C367" s="5">
        <v>3</v>
      </c>
      <c r="D367" s="5">
        <v>3</v>
      </c>
      <c r="E367" s="11">
        <v>44965</v>
      </c>
      <c r="F367" s="12">
        <v>0.96929398148148149</v>
      </c>
      <c r="G367" s="11">
        <v>44973</v>
      </c>
      <c r="H367" s="12">
        <v>0.45252314814814815</v>
      </c>
      <c r="I367" s="10" t="s">
        <v>339</v>
      </c>
      <c r="J367" s="10" t="s">
        <v>12</v>
      </c>
      <c r="K367" s="18" t="str">
        <f>_xlfn.XLOOKUP(tblMaster[[#This Row],[Customer_ID]],tblCustomers[Customer_ID],tblCustomers[City],"Not Found",0)</f>
        <v>Indore</v>
      </c>
      <c r="L367" s="18" t="str">
        <f>_xlfn.XLOOKUP(tblMaster[[#This Row],[Customer_ID]],tblCustomers[Customer_ID],tblCustomers[Name],"Not Found",0)</f>
        <v>Suhana Kurian</v>
      </c>
      <c r="M367" s="18" t="str">
        <f>_xlfn.XLOOKUP(tblMaster[[#This Row],[Customer_ID]],tblCustomers[Customer_ID],tblCustomers[Gender],"Not Found",0)</f>
        <v>Female</v>
      </c>
      <c r="N367" s="18" t="str">
        <f>_xlfn.XLOOKUP(tblMaster[[#This Row],[Product_ID]],tblProducts[Product_ID],tblProducts[Product_Name],"Not Found",0)</f>
        <v>Eius Gift</v>
      </c>
      <c r="O367" s="18" t="str">
        <f>_xlfn.XLOOKUP(tblMaster[[#This Row],[Product_ID]],tblProducts[Product_ID],tblProducts[Category],"Not Found",0)</f>
        <v>Colors</v>
      </c>
      <c r="P367" s="18" t="str">
        <f>_xlfn.XLOOKUP(tblMaster[[#This Row],[Product_ID]],tblProducts[Product_ID],tblProducts[Occasion],"Not Found",0)</f>
        <v>Valentine's Day</v>
      </c>
      <c r="Q367" s="18">
        <f>_xlfn.XLOOKUP(tblMaster[[#This Row],[Product_ID]],tblProducts[Product_ID],tblProducts[Price (INR)],"Not Found",0)</f>
        <v>1534</v>
      </c>
      <c r="R367" s="19">
        <f>tblMaster[[#This Row],[Price]]*tblMaster[[#This Row],[Quantity]]</f>
        <v>4602</v>
      </c>
      <c r="S367" s="19">
        <f>tblMaster[[#This Row],[Price]]*0.7*tblMaster[[#This Row],[Quantity]]</f>
        <v>3221.3999999999996</v>
      </c>
      <c r="T367" s="19">
        <f>tblMaster[[#This Row],[Revenue]]-tblMaster[[#This Row],[Estimated Cost (at 70%) ]]</f>
        <v>1380.6000000000004</v>
      </c>
      <c r="U367" s="19">
        <f>tblMaster[[#This Row],[Profit]]/tblMaster[[#This Row],[Revenue]]</f>
        <v>0.3000000000000001</v>
      </c>
      <c r="V367" s="19">
        <f>tblMaster[[#This Row],[Delivery_Date]]-tblMaster[[#This Row],[Order_Date]]</f>
        <v>8</v>
      </c>
      <c r="W367" s="19" t="str">
        <f>TEXT(tblMaster[[#This Row],[Order_Date]],"mmmm")</f>
        <v>February</v>
      </c>
      <c r="X367" s="19">
        <f>MONTH(tblMaster[[#This Row],[Order_Date]])</f>
        <v>2</v>
      </c>
      <c r="Y367" s="19" t="str">
        <f>"Q"&amp;ROUNDUP(tblMaster[[#This Row],[Month Number]]/3,0)</f>
        <v>Q1</v>
      </c>
      <c r="Z367" s="19">
        <f>YEAR(tblMaster[[#This Row],[Order_Date]])</f>
        <v>2023</v>
      </c>
      <c r="AA367" s="19" t="str">
        <f>TEXT(DAY(tblMaster[[#This Row],[Order_Date]]),"dddd")</f>
        <v>Sunday</v>
      </c>
      <c r="AB367" s="19" t="str">
        <f>IF(tblMaster[[#This Row],[Revenue]]&gt;=5000,"High",IF(tblMaster[[#This Row],[Revenue]]&lt;2000,"Low","Medium"))</f>
        <v>Medium</v>
      </c>
    </row>
    <row r="368" spans="1:28" x14ac:dyDescent="0.25">
      <c r="A368" s="7">
        <v>367</v>
      </c>
      <c r="B368" s="7" t="s">
        <v>287</v>
      </c>
      <c r="C368" s="4">
        <v>47</v>
      </c>
      <c r="D368" s="4">
        <v>5</v>
      </c>
      <c r="E368" s="8">
        <v>44988</v>
      </c>
      <c r="F368" s="9">
        <v>3.0659722222222224E-2</v>
      </c>
      <c r="G368" s="8">
        <v>44997</v>
      </c>
      <c r="H368" s="9">
        <v>0.62850694444444444</v>
      </c>
      <c r="I368" s="7" t="s">
        <v>476</v>
      </c>
      <c r="J368" s="7" t="s">
        <v>25</v>
      </c>
      <c r="K368" s="18" t="str">
        <f>_xlfn.XLOOKUP(tblMaster[[#This Row],[Customer_ID]],tblCustomers[Customer_ID],tblCustomers[City],"Not Found",0)</f>
        <v>Kanpur</v>
      </c>
      <c r="L368" s="18" t="str">
        <f>_xlfn.XLOOKUP(tblMaster[[#This Row],[Customer_ID]],tblCustomers[Customer_ID],tblCustomers[Name],"Not Found",0)</f>
        <v>Darshit Dave</v>
      </c>
      <c r="M368" s="18" t="str">
        <f>_xlfn.XLOOKUP(tblMaster[[#This Row],[Customer_ID]],tblCustomers[Customer_ID],tblCustomers[Gender],"Not Found",0)</f>
        <v>Male</v>
      </c>
      <c r="N368" s="18" t="str">
        <f>_xlfn.XLOOKUP(tblMaster[[#This Row],[Product_ID]],tblProducts[Product_ID],tblProducts[Product_Name],"Not Found",0)</f>
        <v>Harum Pack</v>
      </c>
      <c r="O368" s="18" t="str">
        <f>_xlfn.XLOOKUP(tblMaster[[#This Row],[Product_ID]],tblProducts[Product_ID],tblProducts[Category],"Not Found",0)</f>
        <v>Colors</v>
      </c>
      <c r="P368" s="18" t="str">
        <f>_xlfn.XLOOKUP(tblMaster[[#This Row],[Product_ID]],tblProducts[Product_ID],tblProducts[Occasion],"Not Found",0)</f>
        <v>Holi</v>
      </c>
      <c r="Q368" s="18">
        <f>_xlfn.XLOOKUP(tblMaster[[#This Row],[Product_ID]],tblProducts[Product_ID],tblProducts[Price (INR)],"Not Found",0)</f>
        <v>1638</v>
      </c>
      <c r="R368" s="19">
        <f>tblMaster[[#This Row],[Price]]*tblMaster[[#This Row],[Quantity]]</f>
        <v>8190</v>
      </c>
      <c r="S368" s="19">
        <f>tblMaster[[#This Row],[Price]]*0.7*tblMaster[[#This Row],[Quantity]]</f>
        <v>5733</v>
      </c>
      <c r="T368" s="19">
        <f>tblMaster[[#This Row],[Revenue]]-tblMaster[[#This Row],[Estimated Cost (at 70%) ]]</f>
        <v>2457</v>
      </c>
      <c r="U368" s="19">
        <f>tblMaster[[#This Row],[Profit]]/tblMaster[[#This Row],[Revenue]]</f>
        <v>0.3</v>
      </c>
      <c r="V368" s="19">
        <f>tblMaster[[#This Row],[Delivery_Date]]-tblMaster[[#This Row],[Order_Date]]</f>
        <v>9</v>
      </c>
      <c r="W368" s="19" t="str">
        <f>TEXT(tblMaster[[#This Row],[Order_Date]],"mmmm")</f>
        <v>March</v>
      </c>
      <c r="X368" s="19">
        <f>MONTH(tblMaster[[#This Row],[Order_Date]])</f>
        <v>3</v>
      </c>
      <c r="Y368" s="19" t="str">
        <f>"Q"&amp;ROUNDUP(tblMaster[[#This Row],[Month Number]]/3,0)</f>
        <v>Q1</v>
      </c>
      <c r="Z368" s="19">
        <f>YEAR(tblMaster[[#This Row],[Order_Date]])</f>
        <v>2023</v>
      </c>
      <c r="AA368" s="19" t="str">
        <f>TEXT(DAY(tblMaster[[#This Row],[Order_Date]]),"dddd")</f>
        <v>Tuesday</v>
      </c>
      <c r="AB368" s="19" t="str">
        <f>IF(tblMaster[[#This Row],[Revenue]]&gt;=5000,"High",IF(tblMaster[[#This Row],[Revenue]]&lt;2000,"Low","Medium"))</f>
        <v>High</v>
      </c>
    </row>
    <row r="369" spans="1:28" x14ac:dyDescent="0.25">
      <c r="A369" s="10">
        <v>368</v>
      </c>
      <c r="B369" s="10" t="s">
        <v>190</v>
      </c>
      <c r="C369" s="5">
        <v>6</v>
      </c>
      <c r="D369" s="5">
        <v>3</v>
      </c>
      <c r="E369" s="11">
        <v>44989</v>
      </c>
      <c r="F369" s="12">
        <v>0.96067129629629633</v>
      </c>
      <c r="G369" s="11">
        <v>44991</v>
      </c>
      <c r="H369" s="12">
        <v>0.11956018518518519</v>
      </c>
      <c r="I369" s="10" t="s">
        <v>475</v>
      </c>
      <c r="J369" s="10" t="s">
        <v>25</v>
      </c>
      <c r="K369" s="18" t="str">
        <f>_xlfn.XLOOKUP(tblMaster[[#This Row],[Customer_ID]],tblCustomers[Customer_ID],tblCustomers[City],"Not Found",0)</f>
        <v>Ajmer</v>
      </c>
      <c r="L369" s="18" t="str">
        <f>_xlfn.XLOOKUP(tblMaster[[#This Row],[Customer_ID]],tblCustomers[Customer_ID],tblCustomers[Name],"Not Found",0)</f>
        <v>Eshani Sharma</v>
      </c>
      <c r="M369" s="18" t="str">
        <f>_xlfn.XLOOKUP(tblMaster[[#This Row],[Customer_ID]],tblCustomers[Customer_ID],tblCustomers[Gender],"Not Found",0)</f>
        <v>Male</v>
      </c>
      <c r="N369" s="18" t="str">
        <f>_xlfn.XLOOKUP(tblMaster[[#This Row],[Product_ID]],tblProducts[Product_ID],tblProducts[Product_Name],"Not Found",0)</f>
        <v>Quos Box</v>
      </c>
      <c r="O369" s="18" t="str">
        <f>_xlfn.XLOOKUP(tblMaster[[#This Row],[Product_ID]],tblProducts[Product_ID],tblProducts[Category],"Not Found",0)</f>
        <v>Cake</v>
      </c>
      <c r="P369" s="18" t="str">
        <f>_xlfn.XLOOKUP(tblMaster[[#This Row],[Product_ID]],tblProducts[Product_ID],tblProducts[Occasion],"Not Found",0)</f>
        <v>Holi</v>
      </c>
      <c r="Q369" s="18">
        <f>_xlfn.XLOOKUP(tblMaster[[#This Row],[Product_ID]],tblProducts[Product_ID],tblProducts[Price (INR)],"Not Found",0)</f>
        <v>1112</v>
      </c>
      <c r="R369" s="19">
        <f>tblMaster[[#This Row],[Price]]*tblMaster[[#This Row],[Quantity]]</f>
        <v>3336</v>
      </c>
      <c r="S369" s="19">
        <f>tblMaster[[#This Row],[Price]]*0.7*tblMaster[[#This Row],[Quantity]]</f>
        <v>2335.1999999999998</v>
      </c>
      <c r="T369" s="19">
        <f>tblMaster[[#This Row],[Revenue]]-tblMaster[[#This Row],[Estimated Cost (at 70%) ]]</f>
        <v>1000.8000000000002</v>
      </c>
      <c r="U369" s="19">
        <f>tblMaster[[#This Row],[Profit]]/tblMaster[[#This Row],[Revenue]]</f>
        <v>0.30000000000000004</v>
      </c>
      <c r="V369" s="19">
        <f>tblMaster[[#This Row],[Delivery_Date]]-tblMaster[[#This Row],[Order_Date]]</f>
        <v>2</v>
      </c>
      <c r="W369" s="19" t="str">
        <f>TEXT(tblMaster[[#This Row],[Order_Date]],"mmmm")</f>
        <v>March</v>
      </c>
      <c r="X369" s="19">
        <f>MONTH(tblMaster[[#This Row],[Order_Date]])</f>
        <v>3</v>
      </c>
      <c r="Y369" s="19" t="str">
        <f>"Q"&amp;ROUNDUP(tblMaster[[#This Row],[Month Number]]/3,0)</f>
        <v>Q1</v>
      </c>
      <c r="Z369" s="19">
        <f>YEAR(tblMaster[[#This Row],[Order_Date]])</f>
        <v>2023</v>
      </c>
      <c r="AA369" s="19" t="str">
        <f>TEXT(DAY(tblMaster[[#This Row],[Order_Date]]),"dddd")</f>
        <v>Wednesday</v>
      </c>
      <c r="AB369" s="19" t="str">
        <f>IF(tblMaster[[#This Row],[Revenue]]&gt;=5000,"High",IF(tblMaster[[#This Row],[Revenue]]&lt;2000,"Low","Medium"))</f>
        <v>Medium</v>
      </c>
    </row>
    <row r="370" spans="1:28" x14ac:dyDescent="0.25">
      <c r="A370" s="7">
        <v>369</v>
      </c>
      <c r="B370" s="7" t="s">
        <v>248</v>
      </c>
      <c r="C370" s="4">
        <v>63</v>
      </c>
      <c r="D370" s="4">
        <v>3</v>
      </c>
      <c r="E370" s="8">
        <v>45145</v>
      </c>
      <c r="F370" s="9">
        <v>0.30814814814814817</v>
      </c>
      <c r="G370" s="8">
        <v>45153</v>
      </c>
      <c r="H370" s="9">
        <v>0.18645833333333334</v>
      </c>
      <c r="I370" s="7" t="s">
        <v>433</v>
      </c>
      <c r="J370" s="7" t="s">
        <v>8</v>
      </c>
      <c r="K370" s="18" t="str">
        <f>_xlfn.XLOOKUP(tblMaster[[#This Row],[Customer_ID]],tblCustomers[Customer_ID],tblCustomers[City],"Not Found",0)</f>
        <v>Panvel</v>
      </c>
      <c r="L370" s="18" t="str">
        <f>_xlfn.XLOOKUP(tblMaster[[#This Row],[Customer_ID]],tblCustomers[Customer_ID],tblCustomers[Name],"Not Found",0)</f>
        <v>Indrans Shukla</v>
      </c>
      <c r="M370" s="18" t="str">
        <f>_xlfn.XLOOKUP(tblMaster[[#This Row],[Customer_ID]],tblCustomers[Customer_ID],tblCustomers[Gender],"Not Found",0)</f>
        <v>Female</v>
      </c>
      <c r="N370" s="18" t="str">
        <f>_xlfn.XLOOKUP(tblMaster[[#This Row],[Product_ID]],tblProducts[Product_ID],tblProducts[Product_Name],"Not Found",0)</f>
        <v>Adipisci Set</v>
      </c>
      <c r="O370" s="18" t="str">
        <f>_xlfn.XLOOKUP(tblMaster[[#This Row],[Product_ID]],tblProducts[Product_ID],tblProducts[Category],"Not Found",0)</f>
        <v>Sweets</v>
      </c>
      <c r="P370" s="18" t="str">
        <f>_xlfn.XLOOKUP(tblMaster[[#This Row],[Product_ID]],tblProducts[Product_ID],tblProducts[Occasion],"Not Found",0)</f>
        <v>All Occasions</v>
      </c>
      <c r="Q370" s="18">
        <f>_xlfn.XLOOKUP(tblMaster[[#This Row],[Product_ID]],tblProducts[Product_ID],tblProducts[Price (INR)],"Not Found",0)</f>
        <v>1348</v>
      </c>
      <c r="R370" s="19">
        <f>tblMaster[[#This Row],[Price]]*tblMaster[[#This Row],[Quantity]]</f>
        <v>4044</v>
      </c>
      <c r="S370" s="19">
        <f>tblMaster[[#This Row],[Price]]*0.7*tblMaster[[#This Row],[Quantity]]</f>
        <v>2830.7999999999997</v>
      </c>
      <c r="T370" s="19">
        <f>tblMaster[[#This Row],[Revenue]]-tblMaster[[#This Row],[Estimated Cost (at 70%) ]]</f>
        <v>1213.2000000000003</v>
      </c>
      <c r="U370" s="19">
        <f>tblMaster[[#This Row],[Profit]]/tblMaster[[#This Row],[Revenue]]</f>
        <v>0.30000000000000004</v>
      </c>
      <c r="V370" s="19">
        <f>tblMaster[[#This Row],[Delivery_Date]]-tblMaster[[#This Row],[Order_Date]]</f>
        <v>8</v>
      </c>
      <c r="W370" s="19" t="str">
        <f>TEXT(tblMaster[[#This Row],[Order_Date]],"mmmm")</f>
        <v>August</v>
      </c>
      <c r="X370" s="19">
        <f>MONTH(tblMaster[[#This Row],[Order_Date]])</f>
        <v>8</v>
      </c>
      <c r="Y370" s="19" t="str">
        <f>"Q"&amp;ROUNDUP(tblMaster[[#This Row],[Month Number]]/3,0)</f>
        <v>Q3</v>
      </c>
      <c r="Z370" s="19">
        <f>YEAR(tblMaster[[#This Row],[Order_Date]])</f>
        <v>2023</v>
      </c>
      <c r="AA370" s="19" t="str">
        <f>TEXT(DAY(tblMaster[[#This Row],[Order_Date]]),"dddd")</f>
        <v>Saturday</v>
      </c>
      <c r="AB370" s="19" t="str">
        <f>IF(tblMaster[[#This Row],[Revenue]]&gt;=5000,"High",IF(tblMaster[[#This Row],[Revenue]]&lt;2000,"Low","Medium"))</f>
        <v>Medium</v>
      </c>
    </row>
    <row r="371" spans="1:28" x14ac:dyDescent="0.25">
      <c r="A371" s="10">
        <v>370</v>
      </c>
      <c r="B371" s="10" t="s">
        <v>471</v>
      </c>
      <c r="C371" s="5">
        <v>54</v>
      </c>
      <c r="D371" s="5">
        <v>2</v>
      </c>
      <c r="E371" s="11">
        <v>45116</v>
      </c>
      <c r="F371" s="12">
        <v>0.24836805555555555</v>
      </c>
      <c r="G371" s="11">
        <v>45120</v>
      </c>
      <c r="H371" s="12">
        <v>0.79282407407407407</v>
      </c>
      <c r="I371" s="10" t="s">
        <v>259</v>
      </c>
      <c r="J371" s="10" t="s">
        <v>30</v>
      </c>
      <c r="K371" s="18" t="str">
        <f>_xlfn.XLOOKUP(tblMaster[[#This Row],[Customer_ID]],tblCustomers[Customer_ID],tblCustomers[City],"Not Found",0)</f>
        <v>Parbhani</v>
      </c>
      <c r="L371" s="18" t="str">
        <f>_xlfn.XLOOKUP(tblMaster[[#This Row],[Customer_ID]],tblCustomers[Customer_ID],tblCustomers[Name],"Not Found",0)</f>
        <v>Zeeshan Tailor</v>
      </c>
      <c r="M371" s="18" t="str">
        <f>_xlfn.XLOOKUP(tblMaster[[#This Row],[Customer_ID]],tblCustomers[Customer_ID],tblCustomers[Gender],"Not Found",0)</f>
        <v>Male</v>
      </c>
      <c r="N371" s="18" t="str">
        <f>_xlfn.XLOOKUP(tblMaster[[#This Row],[Product_ID]],tblProducts[Product_ID],tblProducts[Product_Name],"Not Found",0)</f>
        <v>Occaecati Gift</v>
      </c>
      <c r="O371" s="18" t="str">
        <f>_xlfn.XLOOKUP(tblMaster[[#This Row],[Product_ID]],tblProducts[Product_ID],tblProducts[Category],"Not Found",0)</f>
        <v>Cake</v>
      </c>
      <c r="P371" s="18" t="str">
        <f>_xlfn.XLOOKUP(tblMaster[[#This Row],[Product_ID]],tblProducts[Product_ID],tblProducts[Occasion],"Not Found",0)</f>
        <v>Anniversary</v>
      </c>
      <c r="Q371" s="18">
        <f>_xlfn.XLOOKUP(tblMaster[[#This Row],[Product_ID]],tblProducts[Product_ID],tblProducts[Price (INR)],"Not Found",0)</f>
        <v>1236</v>
      </c>
      <c r="R371" s="19">
        <f>tblMaster[[#This Row],[Price]]*tblMaster[[#This Row],[Quantity]]</f>
        <v>2472</v>
      </c>
      <c r="S371" s="19">
        <f>tblMaster[[#This Row],[Price]]*0.7*tblMaster[[#This Row],[Quantity]]</f>
        <v>1730.3999999999999</v>
      </c>
      <c r="T371" s="19">
        <f>tblMaster[[#This Row],[Revenue]]-tblMaster[[#This Row],[Estimated Cost (at 70%) ]]</f>
        <v>741.60000000000014</v>
      </c>
      <c r="U371" s="19">
        <f>tblMaster[[#This Row],[Profit]]/tblMaster[[#This Row],[Revenue]]</f>
        <v>0.30000000000000004</v>
      </c>
      <c r="V371" s="19">
        <f>tblMaster[[#This Row],[Delivery_Date]]-tblMaster[[#This Row],[Order_Date]]</f>
        <v>4</v>
      </c>
      <c r="W371" s="19" t="str">
        <f>TEXT(tblMaster[[#This Row],[Order_Date]],"mmmm")</f>
        <v>July</v>
      </c>
      <c r="X371" s="19">
        <f>MONTH(tblMaster[[#This Row],[Order_Date]])</f>
        <v>7</v>
      </c>
      <c r="Y371" s="19" t="str">
        <f>"Q"&amp;ROUNDUP(tblMaster[[#This Row],[Month Number]]/3,0)</f>
        <v>Q3</v>
      </c>
      <c r="Z371" s="19">
        <f>YEAR(tblMaster[[#This Row],[Order_Date]])</f>
        <v>2023</v>
      </c>
      <c r="AA371" s="19" t="str">
        <f>TEXT(DAY(tblMaster[[#This Row],[Order_Date]]),"dddd")</f>
        <v>Monday</v>
      </c>
      <c r="AB371" s="19" t="str">
        <f>IF(tblMaster[[#This Row],[Revenue]]&gt;=5000,"High",IF(tblMaster[[#This Row],[Revenue]]&lt;2000,"Low","Medium"))</f>
        <v>Medium</v>
      </c>
    </row>
    <row r="372" spans="1:28" x14ac:dyDescent="0.25">
      <c r="A372" s="7">
        <v>371</v>
      </c>
      <c r="B372" s="7" t="s">
        <v>202</v>
      </c>
      <c r="C372" s="4">
        <v>23</v>
      </c>
      <c r="D372" s="4">
        <v>4</v>
      </c>
      <c r="E372" s="8">
        <v>45061</v>
      </c>
      <c r="F372" s="9">
        <v>6.1087962962962962E-2</v>
      </c>
      <c r="G372" s="8">
        <v>45065</v>
      </c>
      <c r="H372" s="9">
        <v>0.43665509259259261</v>
      </c>
      <c r="I372" s="7" t="s">
        <v>371</v>
      </c>
      <c r="J372" s="7" t="s">
        <v>30</v>
      </c>
      <c r="K372" s="18" t="str">
        <f>_xlfn.XLOOKUP(tblMaster[[#This Row],[Customer_ID]],tblCustomers[Customer_ID],tblCustomers[City],"Not Found",0)</f>
        <v>Anantapuram</v>
      </c>
      <c r="L372" s="18" t="str">
        <f>_xlfn.XLOOKUP(tblMaster[[#This Row],[Customer_ID]],tblCustomers[Customer_ID],tblCustomers[Name],"Not Found",0)</f>
        <v>Drishya De</v>
      </c>
      <c r="M372" s="18" t="str">
        <f>_xlfn.XLOOKUP(tblMaster[[#This Row],[Customer_ID]],tblCustomers[Customer_ID],tblCustomers[Gender],"Not Found",0)</f>
        <v>Female</v>
      </c>
      <c r="N372" s="18" t="str">
        <f>_xlfn.XLOOKUP(tblMaster[[#This Row],[Product_ID]],tblProducts[Product_ID],tblProducts[Product_Name],"Not Found",0)</f>
        <v>Dignissimos Pack</v>
      </c>
      <c r="O372" s="18" t="str">
        <f>_xlfn.XLOOKUP(tblMaster[[#This Row],[Product_ID]],tblProducts[Product_ID],tblProducts[Category],"Not Found",0)</f>
        <v>Sweets</v>
      </c>
      <c r="P372" s="18" t="str">
        <f>_xlfn.XLOOKUP(tblMaster[[#This Row],[Product_ID]],tblProducts[Product_ID],tblProducts[Occasion],"Not Found",0)</f>
        <v>Anniversary</v>
      </c>
      <c r="Q372" s="18">
        <f>_xlfn.XLOOKUP(tblMaster[[#This Row],[Product_ID]],tblProducts[Product_ID],tblProducts[Price (INR)],"Not Found",0)</f>
        <v>1098</v>
      </c>
      <c r="R372" s="19">
        <f>tblMaster[[#This Row],[Price]]*tblMaster[[#This Row],[Quantity]]</f>
        <v>4392</v>
      </c>
      <c r="S372" s="19">
        <f>tblMaster[[#This Row],[Price]]*0.7*tblMaster[[#This Row],[Quantity]]</f>
        <v>3074.3999999999996</v>
      </c>
      <c r="T372" s="19">
        <f>tblMaster[[#This Row],[Revenue]]-tblMaster[[#This Row],[Estimated Cost (at 70%) ]]</f>
        <v>1317.6000000000004</v>
      </c>
      <c r="U372" s="19">
        <f>tblMaster[[#This Row],[Profit]]/tblMaster[[#This Row],[Revenue]]</f>
        <v>0.3000000000000001</v>
      </c>
      <c r="V372" s="19">
        <f>tblMaster[[#This Row],[Delivery_Date]]-tblMaster[[#This Row],[Order_Date]]</f>
        <v>4</v>
      </c>
      <c r="W372" s="19" t="str">
        <f>TEXT(tblMaster[[#This Row],[Order_Date]],"mmmm")</f>
        <v>May</v>
      </c>
      <c r="X372" s="19">
        <f>MONTH(tblMaster[[#This Row],[Order_Date]])</f>
        <v>5</v>
      </c>
      <c r="Y372" s="19" t="str">
        <f>"Q"&amp;ROUNDUP(tblMaster[[#This Row],[Month Number]]/3,0)</f>
        <v>Q2</v>
      </c>
      <c r="Z372" s="19">
        <f>YEAR(tblMaster[[#This Row],[Order_Date]])</f>
        <v>2023</v>
      </c>
      <c r="AA372" s="19" t="str">
        <f>TEXT(DAY(tblMaster[[#This Row],[Order_Date]]),"dddd")</f>
        <v>Sunday</v>
      </c>
      <c r="AB372" s="19" t="str">
        <f>IF(tblMaster[[#This Row],[Revenue]]&gt;=5000,"High",IF(tblMaster[[#This Row],[Revenue]]&lt;2000,"Low","Medium"))</f>
        <v>Medium</v>
      </c>
    </row>
    <row r="373" spans="1:28" x14ac:dyDescent="0.25">
      <c r="A373" s="10">
        <v>372</v>
      </c>
      <c r="B373" s="10" t="s">
        <v>239</v>
      </c>
      <c r="C373" s="5">
        <v>25</v>
      </c>
      <c r="D373" s="5">
        <v>3</v>
      </c>
      <c r="E373" s="11">
        <v>45238</v>
      </c>
      <c r="F373" s="12">
        <v>0.79473379629629626</v>
      </c>
      <c r="G373" s="11">
        <v>45248</v>
      </c>
      <c r="H373" s="12">
        <v>0.76997685185185183</v>
      </c>
      <c r="I373" s="10" t="s">
        <v>377</v>
      </c>
      <c r="J373" s="10" t="s">
        <v>30</v>
      </c>
      <c r="K373" s="18" t="str">
        <f>_xlfn.XLOOKUP(tblMaster[[#This Row],[Customer_ID]],tblCustomers[Customer_ID],tblCustomers[City],"Not Found",0)</f>
        <v>Karimnagar</v>
      </c>
      <c r="L373" s="18" t="str">
        <f>_xlfn.XLOOKUP(tblMaster[[#This Row],[Customer_ID]],tblCustomers[Customer_ID],tblCustomers[Name],"Not Found",0)</f>
        <v>Rania Mann</v>
      </c>
      <c r="M373" s="18" t="str">
        <f>_xlfn.XLOOKUP(tblMaster[[#This Row],[Customer_ID]],tblCustomers[Customer_ID],tblCustomers[Gender],"Not Found",0)</f>
        <v>Female</v>
      </c>
      <c r="N373" s="18" t="str">
        <f>_xlfn.XLOOKUP(tblMaster[[#This Row],[Product_ID]],tblProducts[Product_ID],tblProducts[Product_Name],"Not Found",0)</f>
        <v>Qui Gift</v>
      </c>
      <c r="O373" s="18" t="str">
        <f>_xlfn.XLOOKUP(tblMaster[[#This Row],[Product_ID]],tblProducts[Product_ID],tblProducts[Category],"Not Found",0)</f>
        <v>Plants</v>
      </c>
      <c r="P373" s="18" t="str">
        <f>_xlfn.XLOOKUP(tblMaster[[#This Row],[Product_ID]],tblProducts[Product_ID],tblProducts[Occasion],"Not Found",0)</f>
        <v>Anniversary</v>
      </c>
      <c r="Q373" s="18">
        <f>_xlfn.XLOOKUP(tblMaster[[#This Row],[Product_ID]],tblProducts[Product_ID],tblProducts[Price (INR)],"Not Found",0)</f>
        <v>1202</v>
      </c>
      <c r="R373" s="19">
        <f>tblMaster[[#This Row],[Price]]*tblMaster[[#This Row],[Quantity]]</f>
        <v>3606</v>
      </c>
      <c r="S373" s="19">
        <f>tblMaster[[#This Row],[Price]]*0.7*tblMaster[[#This Row],[Quantity]]</f>
        <v>2524.1999999999998</v>
      </c>
      <c r="T373" s="19">
        <f>tblMaster[[#This Row],[Revenue]]-tblMaster[[#This Row],[Estimated Cost (at 70%) ]]</f>
        <v>1081.8000000000002</v>
      </c>
      <c r="U373" s="19">
        <f>tblMaster[[#This Row],[Profit]]/tblMaster[[#This Row],[Revenue]]</f>
        <v>0.30000000000000004</v>
      </c>
      <c r="V373" s="19">
        <f>tblMaster[[#This Row],[Delivery_Date]]-tblMaster[[#This Row],[Order_Date]]</f>
        <v>10</v>
      </c>
      <c r="W373" s="19" t="str">
        <f>TEXT(tblMaster[[#This Row],[Order_Date]],"mmmm")</f>
        <v>November</v>
      </c>
      <c r="X373" s="19">
        <f>MONTH(tblMaster[[#This Row],[Order_Date]])</f>
        <v>11</v>
      </c>
      <c r="Y373" s="19" t="str">
        <f>"Q"&amp;ROUNDUP(tblMaster[[#This Row],[Month Number]]/3,0)</f>
        <v>Q4</v>
      </c>
      <c r="Z373" s="19">
        <f>YEAR(tblMaster[[#This Row],[Order_Date]])</f>
        <v>2023</v>
      </c>
      <c r="AA373" s="19" t="str">
        <f>TEXT(DAY(tblMaster[[#This Row],[Order_Date]]),"dddd")</f>
        <v>Sunday</v>
      </c>
      <c r="AB373" s="19" t="str">
        <f>IF(tblMaster[[#This Row],[Revenue]]&gt;=5000,"High",IF(tblMaster[[#This Row],[Revenue]]&lt;2000,"Low","Medium"))</f>
        <v>Medium</v>
      </c>
    </row>
    <row r="374" spans="1:28" x14ac:dyDescent="0.25">
      <c r="A374" s="7">
        <v>373</v>
      </c>
      <c r="B374" s="7" t="s">
        <v>335</v>
      </c>
      <c r="C374" s="4">
        <v>65</v>
      </c>
      <c r="D374" s="4">
        <v>2</v>
      </c>
      <c r="E374" s="8">
        <v>45084</v>
      </c>
      <c r="F374" s="9">
        <v>0.8674884259259259</v>
      </c>
      <c r="G374" s="8">
        <v>45087</v>
      </c>
      <c r="H374" s="9">
        <v>0.99837962962962967</v>
      </c>
      <c r="I374" s="7" t="s">
        <v>472</v>
      </c>
      <c r="J374" s="7" t="s">
        <v>8</v>
      </c>
      <c r="K374" s="18" t="str">
        <f>_xlfn.XLOOKUP(tblMaster[[#This Row],[Customer_ID]],tblCustomers[Customer_ID],tblCustomers[City],"Not Found",0)</f>
        <v>Farrukhabad</v>
      </c>
      <c r="L374" s="18" t="str">
        <f>_xlfn.XLOOKUP(tblMaster[[#This Row],[Customer_ID]],tblCustomers[Customer_ID],tblCustomers[Name],"Not Found",0)</f>
        <v>Ira Chahal</v>
      </c>
      <c r="M374" s="18" t="str">
        <f>_xlfn.XLOOKUP(tblMaster[[#This Row],[Customer_ID]],tblCustomers[Customer_ID],tblCustomers[Gender],"Not Found",0)</f>
        <v>Female</v>
      </c>
      <c r="N374" s="18" t="str">
        <f>_xlfn.XLOOKUP(tblMaster[[#This Row],[Product_ID]],tblProducts[Product_ID],tblProducts[Product_Name],"Not Found",0)</f>
        <v>Error Gift</v>
      </c>
      <c r="O374" s="18" t="str">
        <f>_xlfn.XLOOKUP(tblMaster[[#This Row],[Product_ID]],tblProducts[Product_ID],tblProducts[Category],"Not Found",0)</f>
        <v>Raksha Bandhan</v>
      </c>
      <c r="P374" s="18" t="str">
        <f>_xlfn.XLOOKUP(tblMaster[[#This Row],[Product_ID]],tblProducts[Product_ID],tblProducts[Occasion],"Not Found",0)</f>
        <v>All Occasions</v>
      </c>
      <c r="Q374" s="18">
        <f>_xlfn.XLOOKUP(tblMaster[[#This Row],[Product_ID]],tblProducts[Product_ID],tblProducts[Price (INR)],"Not Found",0)</f>
        <v>1895</v>
      </c>
      <c r="R374" s="19">
        <f>tblMaster[[#This Row],[Price]]*tblMaster[[#This Row],[Quantity]]</f>
        <v>3790</v>
      </c>
      <c r="S374" s="19">
        <f>tblMaster[[#This Row],[Price]]*0.7*tblMaster[[#This Row],[Quantity]]</f>
        <v>2653</v>
      </c>
      <c r="T374" s="19">
        <f>tblMaster[[#This Row],[Revenue]]-tblMaster[[#This Row],[Estimated Cost (at 70%) ]]</f>
        <v>1137</v>
      </c>
      <c r="U374" s="19">
        <f>tblMaster[[#This Row],[Profit]]/tblMaster[[#This Row],[Revenue]]</f>
        <v>0.3</v>
      </c>
      <c r="V374" s="19">
        <f>tblMaster[[#This Row],[Delivery_Date]]-tblMaster[[#This Row],[Order_Date]]</f>
        <v>3</v>
      </c>
      <c r="W374" s="19" t="str">
        <f>TEXT(tblMaster[[#This Row],[Order_Date]],"mmmm")</f>
        <v>June</v>
      </c>
      <c r="X374" s="19">
        <f>MONTH(tblMaster[[#This Row],[Order_Date]])</f>
        <v>6</v>
      </c>
      <c r="Y374" s="19" t="str">
        <f>"Q"&amp;ROUNDUP(tblMaster[[#This Row],[Month Number]]/3,0)</f>
        <v>Q2</v>
      </c>
      <c r="Z374" s="19">
        <f>YEAR(tblMaster[[#This Row],[Order_Date]])</f>
        <v>2023</v>
      </c>
      <c r="AA374" s="19" t="str">
        <f>TEXT(DAY(tblMaster[[#This Row],[Order_Date]]),"dddd")</f>
        <v>Saturday</v>
      </c>
      <c r="AB374" s="19" t="str">
        <f>IF(tblMaster[[#This Row],[Revenue]]&gt;=5000,"High",IF(tblMaster[[#This Row],[Revenue]]&lt;2000,"Low","Medium"))</f>
        <v>Medium</v>
      </c>
    </row>
    <row r="375" spans="1:28" x14ac:dyDescent="0.25">
      <c r="A375" s="10">
        <v>374</v>
      </c>
      <c r="B375" s="10" t="s">
        <v>347</v>
      </c>
      <c r="C375" s="5">
        <v>4</v>
      </c>
      <c r="D375" s="5">
        <v>1</v>
      </c>
      <c r="E375" s="11">
        <v>45237</v>
      </c>
      <c r="F375" s="12">
        <v>0.32467592592592592</v>
      </c>
      <c r="G375" s="11">
        <v>45239</v>
      </c>
      <c r="H375" s="12">
        <v>0.93939814814814815</v>
      </c>
      <c r="I375" s="10" t="s">
        <v>243</v>
      </c>
      <c r="J375" s="10" t="s">
        <v>19</v>
      </c>
      <c r="K375" s="18" t="str">
        <f>_xlfn.XLOOKUP(tblMaster[[#This Row],[Customer_ID]],tblCustomers[Customer_ID],tblCustomers[City],"Not Found",0)</f>
        <v>North Dumdum</v>
      </c>
      <c r="L375" s="18" t="str">
        <f>_xlfn.XLOOKUP(tblMaster[[#This Row],[Customer_ID]],tblCustomers[Customer_ID],tblCustomers[Name],"Not Found",0)</f>
        <v>Rania Bhatt</v>
      </c>
      <c r="M375" s="18" t="str">
        <f>_xlfn.XLOOKUP(tblMaster[[#This Row],[Customer_ID]],tblCustomers[Customer_ID],tblCustomers[Gender],"Not Found",0)</f>
        <v>Female</v>
      </c>
      <c r="N375" s="18" t="str">
        <f>_xlfn.XLOOKUP(tblMaster[[#This Row],[Product_ID]],tblProducts[Product_ID],tblProducts[Product_Name],"Not Found",0)</f>
        <v>Accusantium Set</v>
      </c>
      <c r="O375" s="18" t="str">
        <f>_xlfn.XLOOKUP(tblMaster[[#This Row],[Product_ID]],tblProducts[Product_ID],tblProducts[Category],"Not Found",0)</f>
        <v>Sweets</v>
      </c>
      <c r="P375" s="18" t="str">
        <f>_xlfn.XLOOKUP(tblMaster[[#This Row],[Product_ID]],tblProducts[Product_ID],tblProducts[Occasion],"Not Found",0)</f>
        <v>Diwali</v>
      </c>
      <c r="Q375" s="18">
        <f>_xlfn.XLOOKUP(tblMaster[[#This Row],[Product_ID]],tblProducts[Product_ID],tblProducts[Price (INR)],"Not Found",0)</f>
        <v>1199</v>
      </c>
      <c r="R375" s="19">
        <f>tblMaster[[#This Row],[Price]]*tblMaster[[#This Row],[Quantity]]</f>
        <v>1199</v>
      </c>
      <c r="S375" s="19">
        <f>tblMaster[[#This Row],[Price]]*0.7*tblMaster[[#This Row],[Quantity]]</f>
        <v>839.3</v>
      </c>
      <c r="T375" s="19">
        <f>tblMaster[[#This Row],[Revenue]]-tblMaster[[#This Row],[Estimated Cost (at 70%) ]]</f>
        <v>359.70000000000005</v>
      </c>
      <c r="U375" s="19">
        <f>tblMaster[[#This Row],[Profit]]/tblMaster[[#This Row],[Revenue]]</f>
        <v>0.30000000000000004</v>
      </c>
      <c r="V375" s="19">
        <f>tblMaster[[#This Row],[Delivery_Date]]-tblMaster[[#This Row],[Order_Date]]</f>
        <v>2</v>
      </c>
      <c r="W375" s="19" t="str">
        <f>TEXT(tblMaster[[#This Row],[Order_Date]],"mmmm")</f>
        <v>November</v>
      </c>
      <c r="X375" s="19">
        <f>MONTH(tblMaster[[#This Row],[Order_Date]])</f>
        <v>11</v>
      </c>
      <c r="Y375" s="19" t="str">
        <f>"Q"&amp;ROUNDUP(tblMaster[[#This Row],[Month Number]]/3,0)</f>
        <v>Q4</v>
      </c>
      <c r="Z375" s="19">
        <f>YEAR(tblMaster[[#This Row],[Order_Date]])</f>
        <v>2023</v>
      </c>
      <c r="AA375" s="19" t="str">
        <f>TEXT(DAY(tblMaster[[#This Row],[Order_Date]]),"dddd")</f>
        <v>Saturday</v>
      </c>
      <c r="AB375" s="19" t="str">
        <f>IF(tblMaster[[#This Row],[Revenue]]&gt;=5000,"High",IF(tblMaster[[#This Row],[Revenue]]&lt;2000,"Low","Medium"))</f>
        <v>Low</v>
      </c>
    </row>
    <row r="376" spans="1:28" x14ac:dyDescent="0.25">
      <c r="A376" s="7">
        <v>375</v>
      </c>
      <c r="B376" s="7" t="s">
        <v>210</v>
      </c>
      <c r="C376" s="4">
        <v>46</v>
      </c>
      <c r="D376" s="4">
        <v>1</v>
      </c>
      <c r="E376" s="8">
        <v>44968</v>
      </c>
      <c r="F376" s="9">
        <v>0.17806712962962962</v>
      </c>
      <c r="G376" s="8">
        <v>44977</v>
      </c>
      <c r="H376" s="9">
        <v>0.8178009259259259</v>
      </c>
      <c r="I376" s="7" t="s">
        <v>484</v>
      </c>
      <c r="J376" s="7" t="s">
        <v>30</v>
      </c>
      <c r="K376" s="18" t="str">
        <f>_xlfn.XLOOKUP(tblMaster[[#This Row],[Customer_ID]],tblCustomers[Customer_ID],tblCustomers[City],"Not Found",0)</f>
        <v>New Delhi</v>
      </c>
      <c r="L376" s="18" t="str">
        <f>_xlfn.XLOOKUP(tblMaster[[#This Row],[Customer_ID]],tblCustomers[Customer_ID],tblCustomers[Name],"Not Found",0)</f>
        <v>Adira Rajan</v>
      </c>
      <c r="M376" s="18" t="str">
        <f>_xlfn.XLOOKUP(tblMaster[[#This Row],[Customer_ID]],tblCustomers[Customer_ID],tblCustomers[Gender],"Not Found",0)</f>
        <v>Female</v>
      </c>
      <c r="N376" s="18" t="str">
        <f>_xlfn.XLOOKUP(tblMaster[[#This Row],[Product_ID]],tblProducts[Product_ID],tblProducts[Product_Name],"Not Found",0)</f>
        <v>Pariatur Set</v>
      </c>
      <c r="O376" s="18" t="str">
        <f>_xlfn.XLOOKUP(tblMaster[[#This Row],[Product_ID]],tblProducts[Product_ID],tblProducts[Category],"Not Found",0)</f>
        <v>Cake</v>
      </c>
      <c r="P376" s="18" t="str">
        <f>_xlfn.XLOOKUP(tblMaster[[#This Row],[Product_ID]],tblProducts[Product_ID],tblProducts[Occasion],"Not Found",0)</f>
        <v>Anniversary</v>
      </c>
      <c r="Q376" s="18">
        <f>_xlfn.XLOOKUP(tblMaster[[#This Row],[Product_ID]],tblProducts[Product_ID],tblProducts[Price (INR)],"Not Found",0)</f>
        <v>758</v>
      </c>
      <c r="R376" s="19">
        <f>tblMaster[[#This Row],[Price]]*tblMaster[[#This Row],[Quantity]]</f>
        <v>758</v>
      </c>
      <c r="S376" s="19">
        <f>tblMaster[[#This Row],[Price]]*0.7*tblMaster[[#This Row],[Quantity]]</f>
        <v>530.6</v>
      </c>
      <c r="T376" s="19">
        <f>tblMaster[[#This Row],[Revenue]]-tblMaster[[#This Row],[Estimated Cost (at 70%) ]]</f>
        <v>227.39999999999998</v>
      </c>
      <c r="U376" s="19">
        <f>tblMaster[[#This Row],[Profit]]/tblMaster[[#This Row],[Revenue]]</f>
        <v>0.3</v>
      </c>
      <c r="V376" s="19">
        <f>tblMaster[[#This Row],[Delivery_Date]]-tblMaster[[#This Row],[Order_Date]]</f>
        <v>9</v>
      </c>
      <c r="W376" s="19" t="str">
        <f>TEXT(tblMaster[[#This Row],[Order_Date]],"mmmm")</f>
        <v>February</v>
      </c>
      <c r="X376" s="19">
        <f>MONTH(tblMaster[[#This Row],[Order_Date]])</f>
        <v>2</v>
      </c>
      <c r="Y376" s="19" t="str">
        <f>"Q"&amp;ROUNDUP(tblMaster[[#This Row],[Month Number]]/3,0)</f>
        <v>Q1</v>
      </c>
      <c r="Z376" s="19">
        <f>YEAR(tblMaster[[#This Row],[Order_Date]])</f>
        <v>2023</v>
      </c>
      <c r="AA376" s="19" t="str">
        <f>TEXT(DAY(tblMaster[[#This Row],[Order_Date]]),"dddd")</f>
        <v>Wednesday</v>
      </c>
      <c r="AB376" s="19" t="str">
        <f>IF(tblMaster[[#This Row],[Revenue]]&gt;=5000,"High",IF(tblMaster[[#This Row],[Revenue]]&lt;2000,"Low","Medium"))</f>
        <v>Low</v>
      </c>
    </row>
    <row r="377" spans="1:28" x14ac:dyDescent="0.25">
      <c r="A377" s="10">
        <v>376</v>
      </c>
      <c r="B377" s="10" t="s">
        <v>180</v>
      </c>
      <c r="C377" s="5">
        <v>10</v>
      </c>
      <c r="D377" s="5">
        <v>2</v>
      </c>
      <c r="E377" s="11">
        <v>45060</v>
      </c>
      <c r="F377" s="12">
        <v>0.84620370370370368</v>
      </c>
      <c r="G377" s="11">
        <v>45065</v>
      </c>
      <c r="H377" s="12">
        <v>0.99168981481481477</v>
      </c>
      <c r="I377" s="10" t="s">
        <v>218</v>
      </c>
      <c r="J377" s="10" t="s">
        <v>36</v>
      </c>
      <c r="K377" s="18" t="str">
        <f>_xlfn.XLOOKUP(tblMaster[[#This Row],[Customer_ID]],tblCustomers[Customer_ID],tblCustomers[City],"Not Found",0)</f>
        <v>Sri Ganganagar</v>
      </c>
      <c r="L377" s="18" t="str">
        <f>_xlfn.XLOOKUP(tblMaster[[#This Row],[Customer_ID]],tblCustomers[Customer_ID],tblCustomers[Name],"Not Found",0)</f>
        <v>Nakul Randhawa</v>
      </c>
      <c r="M377" s="18" t="str">
        <f>_xlfn.XLOOKUP(tblMaster[[#This Row],[Customer_ID]],tblCustomers[Customer_ID],tblCustomers[Gender],"Not Found",0)</f>
        <v>Female</v>
      </c>
      <c r="N377" s="18" t="str">
        <f>_xlfn.XLOOKUP(tblMaster[[#This Row],[Product_ID]],tblProducts[Product_ID],tblProducts[Product_Name],"Not Found",0)</f>
        <v>Accusantium Gift</v>
      </c>
      <c r="O377" s="18" t="str">
        <f>_xlfn.XLOOKUP(tblMaster[[#This Row],[Product_ID]],tblProducts[Product_ID],tblProducts[Category],"Not Found",0)</f>
        <v>Cake</v>
      </c>
      <c r="P377" s="18" t="str">
        <f>_xlfn.XLOOKUP(tblMaster[[#This Row],[Product_ID]],tblProducts[Product_ID],tblProducts[Occasion],"Not Found",0)</f>
        <v>Birthday</v>
      </c>
      <c r="Q377" s="18">
        <f>_xlfn.XLOOKUP(tblMaster[[#This Row],[Product_ID]],tblProducts[Product_ID],tblProducts[Price (INR)],"Not Found",0)</f>
        <v>259</v>
      </c>
      <c r="R377" s="19">
        <f>tblMaster[[#This Row],[Price]]*tblMaster[[#This Row],[Quantity]]</f>
        <v>518</v>
      </c>
      <c r="S377" s="19">
        <f>tblMaster[[#This Row],[Price]]*0.7*tblMaster[[#This Row],[Quantity]]</f>
        <v>362.59999999999997</v>
      </c>
      <c r="T377" s="19">
        <f>tblMaster[[#This Row],[Revenue]]-tblMaster[[#This Row],[Estimated Cost (at 70%) ]]</f>
        <v>155.40000000000003</v>
      </c>
      <c r="U377" s="19">
        <f>tblMaster[[#This Row],[Profit]]/tblMaster[[#This Row],[Revenue]]</f>
        <v>0.30000000000000004</v>
      </c>
      <c r="V377" s="19">
        <f>tblMaster[[#This Row],[Delivery_Date]]-tblMaster[[#This Row],[Order_Date]]</f>
        <v>5</v>
      </c>
      <c r="W377" s="19" t="str">
        <f>TEXT(tblMaster[[#This Row],[Order_Date]],"mmmm")</f>
        <v>May</v>
      </c>
      <c r="X377" s="19">
        <f>MONTH(tblMaster[[#This Row],[Order_Date]])</f>
        <v>5</v>
      </c>
      <c r="Y377" s="19" t="str">
        <f>"Q"&amp;ROUNDUP(tblMaster[[#This Row],[Month Number]]/3,0)</f>
        <v>Q2</v>
      </c>
      <c r="Z377" s="19">
        <f>YEAR(tblMaster[[#This Row],[Order_Date]])</f>
        <v>2023</v>
      </c>
      <c r="AA377" s="19" t="str">
        <f>TEXT(DAY(tblMaster[[#This Row],[Order_Date]]),"dddd")</f>
        <v>Saturday</v>
      </c>
      <c r="AB377" s="19" t="str">
        <f>IF(tblMaster[[#This Row],[Revenue]]&gt;=5000,"High",IF(tblMaster[[#This Row],[Revenue]]&lt;2000,"Low","Medium"))</f>
        <v>Low</v>
      </c>
    </row>
    <row r="378" spans="1:28" x14ac:dyDescent="0.25">
      <c r="A378" s="7">
        <v>377</v>
      </c>
      <c r="B378" s="7" t="s">
        <v>193</v>
      </c>
      <c r="C378" s="4">
        <v>55</v>
      </c>
      <c r="D378" s="4">
        <v>4</v>
      </c>
      <c r="E378" s="8">
        <v>45164</v>
      </c>
      <c r="F378" s="9">
        <v>0.35701388888888891</v>
      </c>
      <c r="G378" s="8">
        <v>45169</v>
      </c>
      <c r="H378" s="9">
        <v>0.49107638888888888</v>
      </c>
      <c r="I378" s="7" t="s">
        <v>485</v>
      </c>
      <c r="J378" s="7" t="s">
        <v>33</v>
      </c>
      <c r="K378" s="18" t="str">
        <f>_xlfn.XLOOKUP(tblMaster[[#This Row],[Customer_ID]],tblCustomers[Customer_ID],tblCustomers[City],"Not Found",0)</f>
        <v>Mangalore</v>
      </c>
      <c r="L378" s="18" t="str">
        <f>_xlfn.XLOOKUP(tblMaster[[#This Row],[Customer_ID]],tblCustomers[Customer_ID],tblCustomers[Name],"Not Found",0)</f>
        <v>Manikya Goswami</v>
      </c>
      <c r="M378" s="18" t="str">
        <f>_xlfn.XLOOKUP(tblMaster[[#This Row],[Customer_ID]],tblCustomers[Customer_ID],tblCustomers[Gender],"Not Found",0)</f>
        <v>Female</v>
      </c>
      <c r="N378" s="18" t="str">
        <f>_xlfn.XLOOKUP(tblMaster[[#This Row],[Product_ID]],tblProducts[Product_ID],tblProducts[Product_Name],"Not Found",0)</f>
        <v>Dolores Gift</v>
      </c>
      <c r="O378" s="18" t="str">
        <f>_xlfn.XLOOKUP(tblMaster[[#This Row],[Product_ID]],tblProducts[Product_ID],tblProducts[Category],"Not Found",0)</f>
        <v>Soft Toys</v>
      </c>
      <c r="P378" s="18" t="str">
        <f>_xlfn.XLOOKUP(tblMaster[[#This Row],[Product_ID]],tblProducts[Product_ID],tblProducts[Occasion],"Not Found",0)</f>
        <v>Raksha Bandhan</v>
      </c>
      <c r="Q378" s="18">
        <f>_xlfn.XLOOKUP(tblMaster[[#This Row],[Product_ID]],tblProducts[Product_ID],tblProducts[Price (INR)],"Not Found",0)</f>
        <v>1904</v>
      </c>
      <c r="R378" s="19">
        <f>tblMaster[[#This Row],[Price]]*tblMaster[[#This Row],[Quantity]]</f>
        <v>7616</v>
      </c>
      <c r="S378" s="19">
        <f>tblMaster[[#This Row],[Price]]*0.7*tblMaster[[#This Row],[Quantity]]</f>
        <v>5331.2</v>
      </c>
      <c r="T378" s="19">
        <f>tblMaster[[#This Row],[Revenue]]-tblMaster[[#This Row],[Estimated Cost (at 70%) ]]</f>
        <v>2284.8000000000002</v>
      </c>
      <c r="U378" s="19">
        <f>tblMaster[[#This Row],[Profit]]/tblMaster[[#This Row],[Revenue]]</f>
        <v>0.30000000000000004</v>
      </c>
      <c r="V378" s="19">
        <f>tblMaster[[#This Row],[Delivery_Date]]-tblMaster[[#This Row],[Order_Date]]</f>
        <v>5</v>
      </c>
      <c r="W378" s="19" t="str">
        <f>TEXT(tblMaster[[#This Row],[Order_Date]],"mmmm")</f>
        <v>August</v>
      </c>
      <c r="X378" s="19">
        <f>MONTH(tblMaster[[#This Row],[Order_Date]])</f>
        <v>8</v>
      </c>
      <c r="Y378" s="19" t="str">
        <f>"Q"&amp;ROUNDUP(tblMaster[[#This Row],[Month Number]]/3,0)</f>
        <v>Q3</v>
      </c>
      <c r="Z378" s="19">
        <f>YEAR(tblMaster[[#This Row],[Order_Date]])</f>
        <v>2023</v>
      </c>
      <c r="AA378" s="19" t="str">
        <f>TEXT(DAY(tblMaster[[#This Row],[Order_Date]]),"dddd")</f>
        <v>Thursday</v>
      </c>
      <c r="AB378" s="19" t="str">
        <f>IF(tblMaster[[#This Row],[Revenue]]&gt;=5000,"High",IF(tblMaster[[#This Row],[Revenue]]&lt;2000,"Low","Medium"))</f>
        <v>High</v>
      </c>
    </row>
    <row r="379" spans="1:28" x14ac:dyDescent="0.25">
      <c r="A379" s="10">
        <v>378</v>
      </c>
      <c r="B379" s="10" t="s">
        <v>176</v>
      </c>
      <c r="C379" s="5">
        <v>6</v>
      </c>
      <c r="D379" s="5">
        <v>2</v>
      </c>
      <c r="E379" s="11">
        <v>44986</v>
      </c>
      <c r="F379" s="12">
        <v>0.47939814814814813</v>
      </c>
      <c r="G379" s="11">
        <v>44993</v>
      </c>
      <c r="H379" s="12">
        <v>0.81032407407407403</v>
      </c>
      <c r="I379" s="10" t="s">
        <v>486</v>
      </c>
      <c r="J379" s="10" t="s">
        <v>25</v>
      </c>
      <c r="K379" s="18" t="str">
        <f>_xlfn.XLOOKUP(tblMaster[[#This Row],[Customer_ID]],tblCustomers[Customer_ID],tblCustomers[City],"Not Found",0)</f>
        <v>Pallavaram</v>
      </c>
      <c r="L379" s="18" t="str">
        <f>_xlfn.XLOOKUP(tblMaster[[#This Row],[Customer_ID]],tblCustomers[Customer_ID],tblCustomers[Name],"Not Found",0)</f>
        <v>Hazel Mangat</v>
      </c>
      <c r="M379" s="18" t="str">
        <f>_xlfn.XLOOKUP(tblMaster[[#This Row],[Customer_ID]],tblCustomers[Customer_ID],tblCustomers[Gender],"Not Found",0)</f>
        <v>Female</v>
      </c>
      <c r="N379" s="18" t="str">
        <f>_xlfn.XLOOKUP(tblMaster[[#This Row],[Product_ID]],tblProducts[Product_ID],tblProducts[Product_Name],"Not Found",0)</f>
        <v>Quos Box</v>
      </c>
      <c r="O379" s="18" t="str">
        <f>_xlfn.XLOOKUP(tblMaster[[#This Row],[Product_ID]],tblProducts[Product_ID],tblProducts[Category],"Not Found",0)</f>
        <v>Cake</v>
      </c>
      <c r="P379" s="18" t="str">
        <f>_xlfn.XLOOKUP(tblMaster[[#This Row],[Product_ID]],tblProducts[Product_ID],tblProducts[Occasion],"Not Found",0)</f>
        <v>Holi</v>
      </c>
      <c r="Q379" s="18">
        <f>_xlfn.XLOOKUP(tblMaster[[#This Row],[Product_ID]],tblProducts[Product_ID],tblProducts[Price (INR)],"Not Found",0)</f>
        <v>1112</v>
      </c>
      <c r="R379" s="19">
        <f>tblMaster[[#This Row],[Price]]*tblMaster[[#This Row],[Quantity]]</f>
        <v>2224</v>
      </c>
      <c r="S379" s="19">
        <f>tblMaster[[#This Row],[Price]]*0.7*tblMaster[[#This Row],[Quantity]]</f>
        <v>1556.8</v>
      </c>
      <c r="T379" s="19">
        <f>tblMaster[[#This Row],[Revenue]]-tblMaster[[#This Row],[Estimated Cost (at 70%) ]]</f>
        <v>667.2</v>
      </c>
      <c r="U379" s="19">
        <f>tblMaster[[#This Row],[Profit]]/tblMaster[[#This Row],[Revenue]]</f>
        <v>0.30000000000000004</v>
      </c>
      <c r="V379" s="19">
        <f>tblMaster[[#This Row],[Delivery_Date]]-tblMaster[[#This Row],[Order_Date]]</f>
        <v>7</v>
      </c>
      <c r="W379" s="19" t="str">
        <f>TEXT(tblMaster[[#This Row],[Order_Date]],"mmmm")</f>
        <v>March</v>
      </c>
      <c r="X379" s="19">
        <f>MONTH(tblMaster[[#This Row],[Order_Date]])</f>
        <v>3</v>
      </c>
      <c r="Y379" s="19" t="str">
        <f>"Q"&amp;ROUNDUP(tblMaster[[#This Row],[Month Number]]/3,0)</f>
        <v>Q1</v>
      </c>
      <c r="Z379" s="19">
        <f>YEAR(tblMaster[[#This Row],[Order_Date]])</f>
        <v>2023</v>
      </c>
      <c r="AA379" s="19" t="str">
        <f>TEXT(DAY(tblMaster[[#This Row],[Order_Date]]),"dddd")</f>
        <v>Sunday</v>
      </c>
      <c r="AB379" s="19" t="str">
        <f>IF(tblMaster[[#This Row],[Revenue]]&gt;=5000,"High",IF(tblMaster[[#This Row],[Revenue]]&lt;2000,"Low","Medium"))</f>
        <v>Medium</v>
      </c>
    </row>
    <row r="380" spans="1:28" x14ac:dyDescent="0.25">
      <c r="A380" s="7">
        <v>379</v>
      </c>
      <c r="B380" s="7" t="s">
        <v>174</v>
      </c>
      <c r="C380" s="4">
        <v>66</v>
      </c>
      <c r="D380" s="4">
        <v>1</v>
      </c>
      <c r="E380" s="8">
        <v>44988</v>
      </c>
      <c r="F380" s="9">
        <v>0.98033564814814811</v>
      </c>
      <c r="G380" s="8">
        <v>44991</v>
      </c>
      <c r="H380" s="9">
        <v>0.44725694444444447</v>
      </c>
      <c r="I380" s="7" t="s">
        <v>240</v>
      </c>
      <c r="J380" s="7" t="s">
        <v>25</v>
      </c>
      <c r="K380" s="18" t="str">
        <f>_xlfn.XLOOKUP(tblMaster[[#This Row],[Customer_ID]],tblCustomers[Customer_ID],tblCustomers[City],"Not Found",0)</f>
        <v>Bhubaneswar</v>
      </c>
      <c r="L380" s="18" t="str">
        <f>_xlfn.XLOOKUP(tblMaster[[#This Row],[Customer_ID]],tblCustomers[Customer_ID],tblCustomers[Name],"Not Found",0)</f>
        <v>Jivika Rajan</v>
      </c>
      <c r="M380" s="18" t="str">
        <f>_xlfn.XLOOKUP(tblMaster[[#This Row],[Customer_ID]],tblCustomers[Customer_ID],tblCustomers[Gender],"Not Found",0)</f>
        <v>Female</v>
      </c>
      <c r="N380" s="18" t="str">
        <f>_xlfn.XLOOKUP(tblMaster[[#This Row],[Product_ID]],tblProducts[Product_ID],tblProducts[Product_Name],"Not Found",0)</f>
        <v>Quas Box</v>
      </c>
      <c r="O380" s="18" t="str">
        <f>_xlfn.XLOOKUP(tblMaster[[#This Row],[Product_ID]],tblProducts[Product_ID],tblProducts[Category],"Not Found",0)</f>
        <v>Colors</v>
      </c>
      <c r="P380" s="18" t="str">
        <f>_xlfn.XLOOKUP(tblMaster[[#This Row],[Product_ID]],tblProducts[Product_ID],tblProducts[Occasion],"Not Found",0)</f>
        <v>Holi</v>
      </c>
      <c r="Q380" s="18">
        <f>_xlfn.XLOOKUP(tblMaster[[#This Row],[Product_ID]],tblProducts[Product_ID],tblProducts[Price (INR)],"Not Found",0)</f>
        <v>610</v>
      </c>
      <c r="R380" s="19">
        <f>tblMaster[[#This Row],[Price]]*tblMaster[[#This Row],[Quantity]]</f>
        <v>610</v>
      </c>
      <c r="S380" s="19">
        <f>tblMaster[[#This Row],[Price]]*0.7*tblMaster[[#This Row],[Quantity]]</f>
        <v>427</v>
      </c>
      <c r="T380" s="19">
        <f>tblMaster[[#This Row],[Revenue]]-tblMaster[[#This Row],[Estimated Cost (at 70%) ]]</f>
        <v>183</v>
      </c>
      <c r="U380" s="19">
        <f>tblMaster[[#This Row],[Profit]]/tblMaster[[#This Row],[Revenue]]</f>
        <v>0.3</v>
      </c>
      <c r="V380" s="19">
        <f>tblMaster[[#This Row],[Delivery_Date]]-tblMaster[[#This Row],[Order_Date]]</f>
        <v>3</v>
      </c>
      <c r="W380" s="19" t="str">
        <f>TEXT(tblMaster[[#This Row],[Order_Date]],"mmmm")</f>
        <v>March</v>
      </c>
      <c r="X380" s="19">
        <f>MONTH(tblMaster[[#This Row],[Order_Date]])</f>
        <v>3</v>
      </c>
      <c r="Y380" s="19" t="str">
        <f>"Q"&amp;ROUNDUP(tblMaster[[#This Row],[Month Number]]/3,0)</f>
        <v>Q1</v>
      </c>
      <c r="Z380" s="19">
        <f>YEAR(tblMaster[[#This Row],[Order_Date]])</f>
        <v>2023</v>
      </c>
      <c r="AA380" s="19" t="str">
        <f>TEXT(DAY(tblMaster[[#This Row],[Order_Date]]),"dddd")</f>
        <v>Tuesday</v>
      </c>
      <c r="AB380" s="19" t="str">
        <f>IF(tblMaster[[#This Row],[Revenue]]&gt;=5000,"High",IF(tblMaster[[#This Row],[Revenue]]&lt;2000,"Low","Medium"))</f>
        <v>Low</v>
      </c>
    </row>
    <row r="381" spans="1:28" x14ac:dyDescent="0.25">
      <c r="A381" s="10">
        <v>380</v>
      </c>
      <c r="B381" s="10" t="s">
        <v>178</v>
      </c>
      <c r="C381" s="5">
        <v>60</v>
      </c>
      <c r="D381" s="5">
        <v>4</v>
      </c>
      <c r="E381" s="11">
        <v>45238</v>
      </c>
      <c r="F381" s="12">
        <v>0.56460648148148151</v>
      </c>
      <c r="G381" s="11">
        <v>45245</v>
      </c>
      <c r="H381" s="12">
        <v>0.98653935185185182</v>
      </c>
      <c r="I381" s="10" t="s">
        <v>487</v>
      </c>
      <c r="J381" s="10" t="s">
        <v>19</v>
      </c>
      <c r="K381" s="18" t="str">
        <f>_xlfn.XLOOKUP(tblMaster[[#This Row],[Customer_ID]],tblCustomers[Customer_ID],tblCustomers[City],"Not Found",0)</f>
        <v>Madurai</v>
      </c>
      <c r="L381" s="18" t="str">
        <f>_xlfn.XLOOKUP(tblMaster[[#This Row],[Customer_ID]],tblCustomers[Customer_ID],tblCustomers[Name],"Not Found",0)</f>
        <v>Ritvik Borah</v>
      </c>
      <c r="M381" s="18" t="str">
        <f>_xlfn.XLOOKUP(tblMaster[[#This Row],[Customer_ID]],tblCustomers[Customer_ID],tblCustomers[Gender],"Not Found",0)</f>
        <v>Female</v>
      </c>
      <c r="N381" s="18" t="str">
        <f>_xlfn.XLOOKUP(tblMaster[[#This Row],[Product_ID]],tblProducts[Product_ID],tblProducts[Product_Name],"Not Found",0)</f>
        <v>Ea Set</v>
      </c>
      <c r="O381" s="18" t="str">
        <f>_xlfn.XLOOKUP(tblMaster[[#This Row],[Product_ID]],tblProducts[Product_ID],tblProducts[Category],"Not Found",0)</f>
        <v>Sweets</v>
      </c>
      <c r="P381" s="18" t="str">
        <f>_xlfn.XLOOKUP(tblMaster[[#This Row],[Product_ID]],tblProducts[Product_ID],tblProducts[Occasion],"Not Found",0)</f>
        <v>Diwali</v>
      </c>
      <c r="Q381" s="18">
        <f>_xlfn.XLOOKUP(tblMaster[[#This Row],[Product_ID]],tblProducts[Product_ID],tblProducts[Price (INR)],"Not Found",0)</f>
        <v>827</v>
      </c>
      <c r="R381" s="19">
        <f>tblMaster[[#This Row],[Price]]*tblMaster[[#This Row],[Quantity]]</f>
        <v>3308</v>
      </c>
      <c r="S381" s="19">
        <f>tblMaster[[#This Row],[Price]]*0.7*tblMaster[[#This Row],[Quantity]]</f>
        <v>2315.6</v>
      </c>
      <c r="T381" s="19">
        <f>tblMaster[[#This Row],[Revenue]]-tblMaster[[#This Row],[Estimated Cost (at 70%) ]]</f>
        <v>992.40000000000009</v>
      </c>
      <c r="U381" s="19">
        <f>tblMaster[[#This Row],[Profit]]/tblMaster[[#This Row],[Revenue]]</f>
        <v>0.30000000000000004</v>
      </c>
      <c r="V381" s="19">
        <f>tblMaster[[#This Row],[Delivery_Date]]-tblMaster[[#This Row],[Order_Date]]</f>
        <v>7</v>
      </c>
      <c r="W381" s="19" t="str">
        <f>TEXT(tblMaster[[#This Row],[Order_Date]],"mmmm")</f>
        <v>November</v>
      </c>
      <c r="X381" s="19">
        <f>MONTH(tblMaster[[#This Row],[Order_Date]])</f>
        <v>11</v>
      </c>
      <c r="Y381" s="19" t="str">
        <f>"Q"&amp;ROUNDUP(tblMaster[[#This Row],[Month Number]]/3,0)</f>
        <v>Q4</v>
      </c>
      <c r="Z381" s="19">
        <f>YEAR(tblMaster[[#This Row],[Order_Date]])</f>
        <v>2023</v>
      </c>
      <c r="AA381" s="19" t="str">
        <f>TEXT(DAY(tblMaster[[#This Row],[Order_Date]]),"dddd")</f>
        <v>Sunday</v>
      </c>
      <c r="AB381" s="19" t="str">
        <f>IF(tblMaster[[#This Row],[Revenue]]&gt;=5000,"High",IF(tblMaster[[#This Row],[Revenue]]&lt;2000,"Low","Medium"))</f>
        <v>Medium</v>
      </c>
    </row>
    <row r="382" spans="1:28" x14ac:dyDescent="0.25">
      <c r="A382" s="7">
        <v>381</v>
      </c>
      <c r="B382" s="7" t="s">
        <v>193</v>
      </c>
      <c r="C382" s="4">
        <v>25</v>
      </c>
      <c r="D382" s="4">
        <v>3</v>
      </c>
      <c r="E382" s="8">
        <v>44951</v>
      </c>
      <c r="F382" s="9">
        <v>0.7708680555555556</v>
      </c>
      <c r="G382" s="8">
        <v>44954</v>
      </c>
      <c r="H382" s="9">
        <v>0.26465277777777779</v>
      </c>
      <c r="I382" s="7" t="s">
        <v>461</v>
      </c>
      <c r="J382" s="7" t="s">
        <v>30</v>
      </c>
      <c r="K382" s="18" t="str">
        <f>_xlfn.XLOOKUP(tblMaster[[#This Row],[Customer_ID]],tblCustomers[Customer_ID],tblCustomers[City],"Not Found",0)</f>
        <v>Mangalore</v>
      </c>
      <c r="L382" s="18" t="str">
        <f>_xlfn.XLOOKUP(tblMaster[[#This Row],[Customer_ID]],tblCustomers[Customer_ID],tblCustomers[Name],"Not Found",0)</f>
        <v>Manikya Goswami</v>
      </c>
      <c r="M382" s="18" t="str">
        <f>_xlfn.XLOOKUP(tblMaster[[#This Row],[Customer_ID]],tblCustomers[Customer_ID],tblCustomers[Gender],"Not Found",0)</f>
        <v>Female</v>
      </c>
      <c r="N382" s="18" t="str">
        <f>_xlfn.XLOOKUP(tblMaster[[#This Row],[Product_ID]],tblProducts[Product_ID],tblProducts[Product_Name],"Not Found",0)</f>
        <v>Qui Gift</v>
      </c>
      <c r="O382" s="18" t="str">
        <f>_xlfn.XLOOKUP(tblMaster[[#This Row],[Product_ID]],tblProducts[Product_ID],tblProducts[Category],"Not Found",0)</f>
        <v>Plants</v>
      </c>
      <c r="P382" s="18" t="str">
        <f>_xlfn.XLOOKUP(tblMaster[[#This Row],[Product_ID]],tblProducts[Product_ID],tblProducts[Occasion],"Not Found",0)</f>
        <v>Anniversary</v>
      </c>
      <c r="Q382" s="18">
        <f>_xlfn.XLOOKUP(tblMaster[[#This Row],[Product_ID]],tblProducts[Product_ID],tblProducts[Price (INR)],"Not Found",0)</f>
        <v>1202</v>
      </c>
      <c r="R382" s="19">
        <f>tblMaster[[#This Row],[Price]]*tblMaster[[#This Row],[Quantity]]</f>
        <v>3606</v>
      </c>
      <c r="S382" s="19">
        <f>tblMaster[[#This Row],[Price]]*0.7*tblMaster[[#This Row],[Quantity]]</f>
        <v>2524.1999999999998</v>
      </c>
      <c r="T382" s="19">
        <f>tblMaster[[#This Row],[Revenue]]-tblMaster[[#This Row],[Estimated Cost (at 70%) ]]</f>
        <v>1081.8000000000002</v>
      </c>
      <c r="U382" s="19">
        <f>tblMaster[[#This Row],[Profit]]/tblMaster[[#This Row],[Revenue]]</f>
        <v>0.30000000000000004</v>
      </c>
      <c r="V382" s="19">
        <f>tblMaster[[#This Row],[Delivery_Date]]-tblMaster[[#This Row],[Order_Date]]</f>
        <v>3</v>
      </c>
      <c r="W382" s="19" t="str">
        <f>TEXT(tblMaster[[#This Row],[Order_Date]],"mmmm")</f>
        <v>January</v>
      </c>
      <c r="X382" s="19">
        <f>MONTH(tblMaster[[#This Row],[Order_Date]])</f>
        <v>1</v>
      </c>
      <c r="Y382" s="19" t="str">
        <f>"Q"&amp;ROUNDUP(tblMaster[[#This Row],[Month Number]]/3,0)</f>
        <v>Q1</v>
      </c>
      <c r="Z382" s="19">
        <f>YEAR(tblMaster[[#This Row],[Order_Date]])</f>
        <v>2023</v>
      </c>
      <c r="AA382" s="19" t="str">
        <f>TEXT(DAY(tblMaster[[#This Row],[Order_Date]]),"dddd")</f>
        <v>Wednesday</v>
      </c>
      <c r="AB382" s="19" t="str">
        <f>IF(tblMaster[[#This Row],[Revenue]]&gt;=5000,"High",IF(tblMaster[[#This Row],[Revenue]]&lt;2000,"Low","Medium"))</f>
        <v>Medium</v>
      </c>
    </row>
    <row r="383" spans="1:28" x14ac:dyDescent="0.25">
      <c r="A383" s="10">
        <v>382</v>
      </c>
      <c r="B383" s="10" t="s">
        <v>440</v>
      </c>
      <c r="C383" s="5">
        <v>24</v>
      </c>
      <c r="D383" s="5">
        <v>1</v>
      </c>
      <c r="E383" s="11">
        <v>45080</v>
      </c>
      <c r="F383" s="12">
        <v>0.41827546296296297</v>
      </c>
      <c r="G383" s="11">
        <v>45090</v>
      </c>
      <c r="H383" s="12">
        <v>0.91236111111111107</v>
      </c>
      <c r="I383" s="10" t="s">
        <v>377</v>
      </c>
      <c r="J383" s="10" t="s">
        <v>36</v>
      </c>
      <c r="K383" s="18" t="str">
        <f>_xlfn.XLOOKUP(tblMaster[[#This Row],[Customer_ID]],tblCustomers[Customer_ID],tblCustomers[City],"Not Found",0)</f>
        <v>Bilaspur</v>
      </c>
      <c r="L383" s="18" t="str">
        <f>_xlfn.XLOOKUP(tblMaster[[#This Row],[Customer_ID]],tblCustomers[Customer_ID],tblCustomers[Name],"Not Found",0)</f>
        <v>Jayesh Lanka</v>
      </c>
      <c r="M383" s="18" t="str">
        <f>_xlfn.XLOOKUP(tblMaster[[#This Row],[Customer_ID]],tblCustomers[Customer_ID],tblCustomers[Gender],"Not Found",0)</f>
        <v>Male</v>
      </c>
      <c r="N383" s="18" t="str">
        <f>_xlfn.XLOOKUP(tblMaster[[#This Row],[Product_ID]],tblProducts[Product_ID],tblProducts[Product_Name],"Not Found",0)</f>
        <v>Ad Box</v>
      </c>
      <c r="O383" s="18" t="str">
        <f>_xlfn.XLOOKUP(tblMaster[[#This Row],[Product_ID]],tblProducts[Product_ID],tblProducts[Category],"Not Found",0)</f>
        <v>Mugs</v>
      </c>
      <c r="P383" s="18" t="str">
        <f>_xlfn.XLOOKUP(tblMaster[[#This Row],[Product_ID]],tblProducts[Product_ID],tblProducts[Occasion],"Not Found",0)</f>
        <v>Birthday</v>
      </c>
      <c r="Q383" s="18">
        <f>_xlfn.XLOOKUP(tblMaster[[#This Row],[Product_ID]],tblProducts[Product_ID],tblProducts[Price (INR)],"Not Found",0)</f>
        <v>535</v>
      </c>
      <c r="R383" s="19">
        <f>tblMaster[[#This Row],[Price]]*tblMaster[[#This Row],[Quantity]]</f>
        <v>535</v>
      </c>
      <c r="S383" s="19">
        <f>tblMaster[[#This Row],[Price]]*0.7*tblMaster[[#This Row],[Quantity]]</f>
        <v>374.5</v>
      </c>
      <c r="T383" s="19">
        <f>tblMaster[[#This Row],[Revenue]]-tblMaster[[#This Row],[Estimated Cost (at 70%) ]]</f>
        <v>160.5</v>
      </c>
      <c r="U383" s="19">
        <f>tblMaster[[#This Row],[Profit]]/tblMaster[[#This Row],[Revenue]]</f>
        <v>0.3</v>
      </c>
      <c r="V383" s="19">
        <f>tblMaster[[#This Row],[Delivery_Date]]-tblMaster[[#This Row],[Order_Date]]</f>
        <v>10</v>
      </c>
      <c r="W383" s="19" t="str">
        <f>TEXT(tblMaster[[#This Row],[Order_Date]],"mmmm")</f>
        <v>June</v>
      </c>
      <c r="X383" s="19">
        <f>MONTH(tblMaster[[#This Row],[Order_Date]])</f>
        <v>6</v>
      </c>
      <c r="Y383" s="19" t="str">
        <f>"Q"&amp;ROUNDUP(tblMaster[[#This Row],[Month Number]]/3,0)</f>
        <v>Q2</v>
      </c>
      <c r="Z383" s="19">
        <f>YEAR(tblMaster[[#This Row],[Order_Date]])</f>
        <v>2023</v>
      </c>
      <c r="AA383" s="19" t="str">
        <f>TEXT(DAY(tblMaster[[#This Row],[Order_Date]]),"dddd")</f>
        <v>Tuesday</v>
      </c>
      <c r="AB383" s="19" t="str">
        <f>IF(tblMaster[[#This Row],[Revenue]]&gt;=5000,"High",IF(tblMaster[[#This Row],[Revenue]]&lt;2000,"Low","Medium"))</f>
        <v>Low</v>
      </c>
    </row>
    <row r="384" spans="1:28" x14ac:dyDescent="0.25">
      <c r="A384" s="7">
        <v>383</v>
      </c>
      <c r="B384" s="7" t="s">
        <v>392</v>
      </c>
      <c r="C384" s="4">
        <v>37</v>
      </c>
      <c r="D384" s="4">
        <v>1</v>
      </c>
      <c r="E384" s="8">
        <v>45236</v>
      </c>
      <c r="F384" s="9">
        <v>1.1631944444444445E-2</v>
      </c>
      <c r="G384" s="8">
        <v>45238</v>
      </c>
      <c r="H384" s="9">
        <v>0.84018518518518515</v>
      </c>
      <c r="I384" s="7" t="s">
        <v>473</v>
      </c>
      <c r="J384" s="7" t="s">
        <v>19</v>
      </c>
      <c r="K384" s="18" t="str">
        <f>_xlfn.XLOOKUP(tblMaster[[#This Row],[Customer_ID]],tblCustomers[Customer_ID],tblCustomers[City],"Not Found",0)</f>
        <v>Tenali</v>
      </c>
      <c r="L384" s="18" t="str">
        <f>_xlfn.XLOOKUP(tblMaster[[#This Row],[Customer_ID]],tblCustomers[Customer_ID],tblCustomers[Name],"Not Found",0)</f>
        <v>Amani Ganesh</v>
      </c>
      <c r="M384" s="18" t="str">
        <f>_xlfn.XLOOKUP(tblMaster[[#This Row],[Customer_ID]],tblCustomers[Customer_ID],tblCustomers[Gender],"Not Found",0)</f>
        <v>Male</v>
      </c>
      <c r="N384" s="18" t="str">
        <f>_xlfn.XLOOKUP(tblMaster[[#This Row],[Product_ID]],tblProducts[Product_ID],tblProducts[Product_Name],"Not Found",0)</f>
        <v>Officiis Pack</v>
      </c>
      <c r="O384" s="18" t="str">
        <f>_xlfn.XLOOKUP(tblMaster[[#This Row],[Product_ID]],tblProducts[Product_ID],tblProducts[Category],"Not Found",0)</f>
        <v>Colors</v>
      </c>
      <c r="P384" s="18" t="str">
        <f>_xlfn.XLOOKUP(tblMaster[[#This Row],[Product_ID]],tblProducts[Product_ID],tblProducts[Occasion],"Not Found",0)</f>
        <v>Diwali</v>
      </c>
      <c r="Q384" s="18">
        <f>_xlfn.XLOOKUP(tblMaster[[#This Row],[Product_ID]],tblProducts[Product_ID],tblProducts[Price (INR)],"Not Found",0)</f>
        <v>1428</v>
      </c>
      <c r="R384" s="19">
        <f>tblMaster[[#This Row],[Price]]*tblMaster[[#This Row],[Quantity]]</f>
        <v>1428</v>
      </c>
      <c r="S384" s="19">
        <f>tblMaster[[#This Row],[Price]]*0.7*tblMaster[[#This Row],[Quantity]]</f>
        <v>999.59999999999991</v>
      </c>
      <c r="T384" s="19">
        <f>tblMaster[[#This Row],[Revenue]]-tblMaster[[#This Row],[Estimated Cost (at 70%) ]]</f>
        <v>428.40000000000009</v>
      </c>
      <c r="U384" s="19">
        <f>tblMaster[[#This Row],[Profit]]/tblMaster[[#This Row],[Revenue]]</f>
        <v>0.30000000000000004</v>
      </c>
      <c r="V384" s="19">
        <f>tblMaster[[#This Row],[Delivery_Date]]-tblMaster[[#This Row],[Order_Date]]</f>
        <v>2</v>
      </c>
      <c r="W384" s="19" t="str">
        <f>TEXT(tblMaster[[#This Row],[Order_Date]],"mmmm")</f>
        <v>November</v>
      </c>
      <c r="X384" s="19">
        <f>MONTH(tblMaster[[#This Row],[Order_Date]])</f>
        <v>11</v>
      </c>
      <c r="Y384" s="19" t="str">
        <f>"Q"&amp;ROUNDUP(tblMaster[[#This Row],[Month Number]]/3,0)</f>
        <v>Q4</v>
      </c>
      <c r="Z384" s="19">
        <f>YEAR(tblMaster[[#This Row],[Order_Date]])</f>
        <v>2023</v>
      </c>
      <c r="AA384" s="19" t="str">
        <f>TEXT(DAY(tblMaster[[#This Row],[Order_Date]]),"dddd")</f>
        <v>Friday</v>
      </c>
      <c r="AB384" s="19" t="str">
        <f>IF(tblMaster[[#This Row],[Revenue]]&gt;=5000,"High",IF(tblMaster[[#This Row],[Revenue]]&lt;2000,"Low","Medium"))</f>
        <v>Low</v>
      </c>
    </row>
    <row r="385" spans="1:28" x14ac:dyDescent="0.25">
      <c r="A385" s="10">
        <v>384</v>
      </c>
      <c r="B385" s="10" t="s">
        <v>400</v>
      </c>
      <c r="C385" s="5">
        <v>25</v>
      </c>
      <c r="D385" s="5">
        <v>3</v>
      </c>
      <c r="E385" s="11">
        <v>45057</v>
      </c>
      <c r="F385" s="12">
        <v>0.70690972222222226</v>
      </c>
      <c r="G385" s="11">
        <v>45061</v>
      </c>
      <c r="H385" s="12">
        <v>0.58140046296296299</v>
      </c>
      <c r="I385" s="10" t="s">
        <v>383</v>
      </c>
      <c r="J385" s="10" t="s">
        <v>30</v>
      </c>
      <c r="K385" s="18" t="str">
        <f>_xlfn.XLOOKUP(tblMaster[[#This Row],[Customer_ID]],tblCustomers[Customer_ID],tblCustomers[City],"Not Found",0)</f>
        <v>Miryalaguda</v>
      </c>
      <c r="L385" s="18" t="str">
        <f>_xlfn.XLOOKUP(tblMaster[[#This Row],[Customer_ID]],tblCustomers[Customer_ID],tblCustomers[Name],"Not Found",0)</f>
        <v>Tarini Bava</v>
      </c>
      <c r="M385" s="18" t="str">
        <f>_xlfn.XLOOKUP(tblMaster[[#This Row],[Customer_ID]],tblCustomers[Customer_ID],tblCustomers[Gender],"Not Found",0)</f>
        <v>Male</v>
      </c>
      <c r="N385" s="18" t="str">
        <f>_xlfn.XLOOKUP(tblMaster[[#This Row],[Product_ID]],tblProducts[Product_ID],tblProducts[Product_Name],"Not Found",0)</f>
        <v>Qui Gift</v>
      </c>
      <c r="O385" s="18" t="str">
        <f>_xlfn.XLOOKUP(tblMaster[[#This Row],[Product_ID]],tblProducts[Product_ID],tblProducts[Category],"Not Found",0)</f>
        <v>Plants</v>
      </c>
      <c r="P385" s="18" t="str">
        <f>_xlfn.XLOOKUP(tblMaster[[#This Row],[Product_ID]],tblProducts[Product_ID],tblProducts[Occasion],"Not Found",0)</f>
        <v>Anniversary</v>
      </c>
      <c r="Q385" s="18">
        <f>_xlfn.XLOOKUP(tblMaster[[#This Row],[Product_ID]],tblProducts[Product_ID],tblProducts[Price (INR)],"Not Found",0)</f>
        <v>1202</v>
      </c>
      <c r="R385" s="19">
        <f>tblMaster[[#This Row],[Price]]*tblMaster[[#This Row],[Quantity]]</f>
        <v>3606</v>
      </c>
      <c r="S385" s="19">
        <f>tblMaster[[#This Row],[Price]]*0.7*tblMaster[[#This Row],[Quantity]]</f>
        <v>2524.1999999999998</v>
      </c>
      <c r="T385" s="19">
        <f>tblMaster[[#This Row],[Revenue]]-tblMaster[[#This Row],[Estimated Cost (at 70%) ]]</f>
        <v>1081.8000000000002</v>
      </c>
      <c r="U385" s="19">
        <f>tblMaster[[#This Row],[Profit]]/tblMaster[[#This Row],[Revenue]]</f>
        <v>0.30000000000000004</v>
      </c>
      <c r="V385" s="19">
        <f>tblMaster[[#This Row],[Delivery_Date]]-tblMaster[[#This Row],[Order_Date]]</f>
        <v>4</v>
      </c>
      <c r="W385" s="19" t="str">
        <f>TEXT(tblMaster[[#This Row],[Order_Date]],"mmmm")</f>
        <v>May</v>
      </c>
      <c r="X385" s="19">
        <f>MONTH(tblMaster[[#This Row],[Order_Date]])</f>
        <v>5</v>
      </c>
      <c r="Y385" s="19" t="str">
        <f>"Q"&amp;ROUNDUP(tblMaster[[#This Row],[Month Number]]/3,0)</f>
        <v>Q2</v>
      </c>
      <c r="Z385" s="19">
        <f>YEAR(tblMaster[[#This Row],[Order_Date]])</f>
        <v>2023</v>
      </c>
      <c r="AA385" s="19" t="str">
        <f>TEXT(DAY(tblMaster[[#This Row],[Order_Date]]),"dddd")</f>
        <v>Wednesday</v>
      </c>
      <c r="AB385" s="19" t="str">
        <f>IF(tblMaster[[#This Row],[Revenue]]&gt;=5000,"High",IF(tblMaster[[#This Row],[Revenue]]&lt;2000,"Low","Medium"))</f>
        <v>Medium</v>
      </c>
    </row>
    <row r="386" spans="1:28" x14ac:dyDescent="0.25">
      <c r="A386" s="7">
        <v>385</v>
      </c>
      <c r="B386" s="7" t="s">
        <v>488</v>
      </c>
      <c r="C386" s="4">
        <v>50</v>
      </c>
      <c r="D386" s="4">
        <v>4</v>
      </c>
      <c r="E386" s="8">
        <v>44988</v>
      </c>
      <c r="F386" s="9">
        <v>5.2789351851851851E-2</v>
      </c>
      <c r="G386" s="8">
        <v>44993</v>
      </c>
      <c r="H386" s="9">
        <v>0.44881944444444444</v>
      </c>
      <c r="I386" s="7" t="s">
        <v>439</v>
      </c>
      <c r="J386" s="7" t="s">
        <v>25</v>
      </c>
      <c r="K386" s="18" t="str">
        <f>_xlfn.XLOOKUP(tblMaster[[#This Row],[Customer_ID]],tblCustomers[Customer_ID],tblCustomers[City],"Not Found",0)</f>
        <v>Bulandshahr</v>
      </c>
      <c r="L386" s="18" t="str">
        <f>_xlfn.XLOOKUP(tblMaster[[#This Row],[Customer_ID]],tblCustomers[Customer_ID],tblCustomers[Name],"Not Found",0)</f>
        <v>Myra Edwin</v>
      </c>
      <c r="M386" s="18" t="str">
        <f>_xlfn.XLOOKUP(tblMaster[[#This Row],[Customer_ID]],tblCustomers[Customer_ID],tblCustomers[Gender],"Not Found",0)</f>
        <v>Female</v>
      </c>
      <c r="N386" s="18" t="str">
        <f>_xlfn.XLOOKUP(tblMaster[[#This Row],[Product_ID]],tblProducts[Product_ID],tblProducts[Product_Name],"Not Found",0)</f>
        <v>Eligendi Set</v>
      </c>
      <c r="O386" s="18" t="str">
        <f>_xlfn.XLOOKUP(tblMaster[[#This Row],[Product_ID]],tblProducts[Product_ID],tblProducts[Category],"Not Found",0)</f>
        <v>Plants</v>
      </c>
      <c r="P386" s="18" t="str">
        <f>_xlfn.XLOOKUP(tblMaster[[#This Row],[Product_ID]],tblProducts[Product_ID],tblProducts[Occasion],"Not Found",0)</f>
        <v>Holi</v>
      </c>
      <c r="Q386" s="18">
        <f>_xlfn.XLOOKUP(tblMaster[[#This Row],[Product_ID]],tblProducts[Product_ID],tblProducts[Price (INR)],"Not Found",0)</f>
        <v>422</v>
      </c>
      <c r="R386" s="19">
        <f>tblMaster[[#This Row],[Price]]*tblMaster[[#This Row],[Quantity]]</f>
        <v>1688</v>
      </c>
      <c r="S386" s="19">
        <f>tblMaster[[#This Row],[Price]]*0.7*tblMaster[[#This Row],[Quantity]]</f>
        <v>1181.5999999999999</v>
      </c>
      <c r="T386" s="19">
        <f>tblMaster[[#This Row],[Revenue]]-tblMaster[[#This Row],[Estimated Cost (at 70%) ]]</f>
        <v>506.40000000000009</v>
      </c>
      <c r="U386" s="19">
        <f>tblMaster[[#This Row],[Profit]]/tblMaster[[#This Row],[Revenue]]</f>
        <v>0.30000000000000004</v>
      </c>
      <c r="V386" s="19">
        <f>tblMaster[[#This Row],[Delivery_Date]]-tblMaster[[#This Row],[Order_Date]]</f>
        <v>5</v>
      </c>
      <c r="W386" s="19" t="str">
        <f>TEXT(tblMaster[[#This Row],[Order_Date]],"mmmm")</f>
        <v>March</v>
      </c>
      <c r="X386" s="19">
        <f>MONTH(tblMaster[[#This Row],[Order_Date]])</f>
        <v>3</v>
      </c>
      <c r="Y386" s="19" t="str">
        <f>"Q"&amp;ROUNDUP(tblMaster[[#This Row],[Month Number]]/3,0)</f>
        <v>Q1</v>
      </c>
      <c r="Z386" s="19">
        <f>YEAR(tblMaster[[#This Row],[Order_Date]])</f>
        <v>2023</v>
      </c>
      <c r="AA386" s="19" t="str">
        <f>TEXT(DAY(tblMaster[[#This Row],[Order_Date]]),"dddd")</f>
        <v>Tuesday</v>
      </c>
      <c r="AB386" s="19" t="str">
        <f>IF(tblMaster[[#This Row],[Revenue]]&gt;=5000,"High",IF(tblMaster[[#This Row],[Revenue]]&lt;2000,"Low","Medium"))</f>
        <v>Low</v>
      </c>
    </row>
    <row r="387" spans="1:28" x14ac:dyDescent="0.25">
      <c r="A387" s="10">
        <v>386</v>
      </c>
      <c r="B387" s="10" t="s">
        <v>210</v>
      </c>
      <c r="C387" s="5">
        <v>5</v>
      </c>
      <c r="D387" s="5">
        <v>4</v>
      </c>
      <c r="E387" s="11">
        <v>45081</v>
      </c>
      <c r="F387" s="12">
        <v>0.53315972222222219</v>
      </c>
      <c r="G387" s="11">
        <v>45091</v>
      </c>
      <c r="H387" s="12">
        <v>0.89908564814814818</v>
      </c>
      <c r="I387" s="10" t="s">
        <v>416</v>
      </c>
      <c r="J387" s="10" t="s">
        <v>8</v>
      </c>
      <c r="K387" s="18" t="str">
        <f>_xlfn.XLOOKUP(tblMaster[[#This Row],[Customer_ID]],tblCustomers[Customer_ID],tblCustomers[City],"Not Found",0)</f>
        <v>New Delhi</v>
      </c>
      <c r="L387" s="18" t="str">
        <f>_xlfn.XLOOKUP(tblMaster[[#This Row],[Customer_ID]],tblCustomers[Customer_ID],tblCustomers[Name],"Not Found",0)</f>
        <v>Adira Rajan</v>
      </c>
      <c r="M387" s="18" t="str">
        <f>_xlfn.XLOOKUP(tblMaster[[#This Row],[Customer_ID]],tblCustomers[Customer_ID],tblCustomers[Gender],"Not Found",0)</f>
        <v>Female</v>
      </c>
      <c r="N387" s="18" t="str">
        <f>_xlfn.XLOOKUP(tblMaster[[#This Row],[Product_ID]],tblProducts[Product_ID],tblProducts[Product_Name],"Not Found",0)</f>
        <v>Natus Gift</v>
      </c>
      <c r="O387" s="18" t="str">
        <f>_xlfn.XLOOKUP(tblMaster[[#This Row],[Product_ID]],tblProducts[Product_ID],tblProducts[Category],"Not Found",0)</f>
        <v>Colors</v>
      </c>
      <c r="P387" s="18" t="str">
        <f>_xlfn.XLOOKUP(tblMaster[[#This Row],[Product_ID]],tblProducts[Product_ID],tblProducts[Occasion],"Not Found",0)</f>
        <v>All Occasions</v>
      </c>
      <c r="Q387" s="18">
        <f>_xlfn.XLOOKUP(tblMaster[[#This Row],[Product_ID]],tblProducts[Product_ID],tblProducts[Price (INR)],"Not Found",0)</f>
        <v>1444</v>
      </c>
      <c r="R387" s="19">
        <f>tblMaster[[#This Row],[Price]]*tblMaster[[#This Row],[Quantity]]</f>
        <v>5776</v>
      </c>
      <c r="S387" s="19">
        <f>tblMaster[[#This Row],[Price]]*0.7*tblMaster[[#This Row],[Quantity]]</f>
        <v>4043.2</v>
      </c>
      <c r="T387" s="19">
        <f>tblMaster[[#This Row],[Revenue]]-tblMaster[[#This Row],[Estimated Cost (at 70%) ]]</f>
        <v>1732.8000000000002</v>
      </c>
      <c r="U387" s="19">
        <f>tblMaster[[#This Row],[Profit]]/tblMaster[[#This Row],[Revenue]]</f>
        <v>0.30000000000000004</v>
      </c>
      <c r="V387" s="19">
        <f>tblMaster[[#This Row],[Delivery_Date]]-tblMaster[[#This Row],[Order_Date]]</f>
        <v>10</v>
      </c>
      <c r="W387" s="19" t="str">
        <f>TEXT(tblMaster[[#This Row],[Order_Date]],"mmmm")</f>
        <v>June</v>
      </c>
      <c r="X387" s="19">
        <f>MONTH(tblMaster[[#This Row],[Order_Date]])</f>
        <v>6</v>
      </c>
      <c r="Y387" s="19" t="str">
        <f>"Q"&amp;ROUNDUP(tblMaster[[#This Row],[Month Number]]/3,0)</f>
        <v>Q2</v>
      </c>
      <c r="Z387" s="19">
        <f>YEAR(tblMaster[[#This Row],[Order_Date]])</f>
        <v>2023</v>
      </c>
      <c r="AA387" s="19" t="str">
        <f>TEXT(DAY(tblMaster[[#This Row],[Order_Date]]),"dddd")</f>
        <v>Wednesday</v>
      </c>
      <c r="AB387" s="19" t="str">
        <f>IF(tblMaster[[#This Row],[Revenue]]&gt;=5000,"High",IF(tblMaster[[#This Row],[Revenue]]&lt;2000,"Low","Medium"))</f>
        <v>High</v>
      </c>
    </row>
    <row r="388" spans="1:28" x14ac:dyDescent="0.25">
      <c r="A388" s="7">
        <v>387</v>
      </c>
      <c r="B388" s="7" t="s">
        <v>302</v>
      </c>
      <c r="C388" s="4">
        <v>1</v>
      </c>
      <c r="D388" s="4">
        <v>2</v>
      </c>
      <c r="E388" s="8">
        <v>45046</v>
      </c>
      <c r="F388" s="9">
        <v>0.23501157407407408</v>
      </c>
      <c r="G388" s="8">
        <v>45055</v>
      </c>
      <c r="H388" s="9">
        <v>9.4421296296296295E-2</v>
      </c>
      <c r="I388" s="7" t="s">
        <v>260</v>
      </c>
      <c r="J388" s="7" t="s">
        <v>8</v>
      </c>
      <c r="K388" s="18" t="str">
        <f>_xlfn.XLOOKUP(tblMaster[[#This Row],[Customer_ID]],tblCustomers[Customer_ID],tblCustomers[City],"Not Found",0)</f>
        <v>Kavali</v>
      </c>
      <c r="L388" s="18" t="str">
        <f>_xlfn.XLOOKUP(tblMaster[[#This Row],[Customer_ID]],tblCustomers[Customer_ID],tblCustomers[Name],"Not Found",0)</f>
        <v>Akarsh Ramesh</v>
      </c>
      <c r="M388" s="18" t="str">
        <f>_xlfn.XLOOKUP(tblMaster[[#This Row],[Customer_ID]],tblCustomers[Customer_ID],tblCustomers[Gender],"Not Found",0)</f>
        <v>Female</v>
      </c>
      <c r="N388" s="18" t="str">
        <f>_xlfn.XLOOKUP(tblMaster[[#This Row],[Product_ID]],tblProducts[Product_ID],tblProducts[Product_Name],"Not Found",0)</f>
        <v>Magnam Set</v>
      </c>
      <c r="O388" s="18" t="str">
        <f>_xlfn.XLOOKUP(tblMaster[[#This Row],[Product_ID]],tblProducts[Product_ID],tblProducts[Category],"Not Found",0)</f>
        <v>Soft Toys</v>
      </c>
      <c r="P388" s="18" t="str">
        <f>_xlfn.XLOOKUP(tblMaster[[#This Row],[Product_ID]],tblProducts[Product_ID],tblProducts[Occasion],"Not Found",0)</f>
        <v>All Occasions</v>
      </c>
      <c r="Q388" s="18">
        <f>_xlfn.XLOOKUP(tblMaster[[#This Row],[Product_ID]],tblProducts[Product_ID],tblProducts[Price (INR)],"Not Found",0)</f>
        <v>1935</v>
      </c>
      <c r="R388" s="19">
        <f>tblMaster[[#This Row],[Price]]*tblMaster[[#This Row],[Quantity]]</f>
        <v>3870</v>
      </c>
      <c r="S388" s="19">
        <f>tblMaster[[#This Row],[Price]]*0.7*tblMaster[[#This Row],[Quantity]]</f>
        <v>2709</v>
      </c>
      <c r="T388" s="19">
        <f>tblMaster[[#This Row],[Revenue]]-tblMaster[[#This Row],[Estimated Cost (at 70%) ]]</f>
        <v>1161</v>
      </c>
      <c r="U388" s="19">
        <f>tblMaster[[#This Row],[Profit]]/tblMaster[[#This Row],[Revenue]]</f>
        <v>0.3</v>
      </c>
      <c r="V388" s="19">
        <f>tblMaster[[#This Row],[Delivery_Date]]-tblMaster[[#This Row],[Order_Date]]</f>
        <v>9</v>
      </c>
      <c r="W388" s="19" t="str">
        <f>TEXT(tblMaster[[#This Row],[Order_Date]],"mmmm")</f>
        <v>April</v>
      </c>
      <c r="X388" s="19">
        <f>MONTH(tblMaster[[#This Row],[Order_Date]])</f>
        <v>4</v>
      </c>
      <c r="Y388" s="19" t="str">
        <f>"Q"&amp;ROUNDUP(tblMaster[[#This Row],[Month Number]]/3,0)</f>
        <v>Q2</v>
      </c>
      <c r="Z388" s="19">
        <f>YEAR(tblMaster[[#This Row],[Order_Date]])</f>
        <v>2023</v>
      </c>
      <c r="AA388" s="19" t="str">
        <f>TEXT(DAY(tblMaster[[#This Row],[Order_Date]]),"dddd")</f>
        <v>Monday</v>
      </c>
      <c r="AB388" s="19" t="str">
        <f>IF(tblMaster[[#This Row],[Revenue]]&gt;=5000,"High",IF(tblMaster[[#This Row],[Revenue]]&lt;2000,"Low","Medium"))</f>
        <v>Medium</v>
      </c>
    </row>
    <row r="389" spans="1:28" x14ac:dyDescent="0.25">
      <c r="A389" s="10">
        <v>388</v>
      </c>
      <c r="B389" s="10" t="s">
        <v>232</v>
      </c>
      <c r="C389" s="5">
        <v>36</v>
      </c>
      <c r="D389" s="5">
        <v>2</v>
      </c>
      <c r="E389" s="11">
        <v>45240</v>
      </c>
      <c r="F389" s="12">
        <v>1.0532407407407407E-2</v>
      </c>
      <c r="G389" s="11">
        <v>45248</v>
      </c>
      <c r="H389" s="12">
        <v>0.44243055555555555</v>
      </c>
      <c r="I389" s="10" t="s">
        <v>363</v>
      </c>
      <c r="J389" s="10" t="s">
        <v>36</v>
      </c>
      <c r="K389" s="18" t="str">
        <f>_xlfn.XLOOKUP(tblMaster[[#This Row],[Customer_ID]],tblCustomers[Customer_ID],tblCustomers[City],"Not Found",0)</f>
        <v>Malegaon</v>
      </c>
      <c r="L389" s="18" t="str">
        <f>_xlfn.XLOOKUP(tblMaster[[#This Row],[Customer_ID]],tblCustomers[Customer_ID],tblCustomers[Name],"Not Found",0)</f>
        <v>Eshani Buch</v>
      </c>
      <c r="M389" s="18" t="str">
        <f>_xlfn.XLOOKUP(tblMaster[[#This Row],[Customer_ID]],tblCustomers[Customer_ID],tblCustomers[Gender],"Not Found",0)</f>
        <v>Female</v>
      </c>
      <c r="N389" s="18" t="str">
        <f>_xlfn.XLOOKUP(tblMaster[[#This Row],[Product_ID]],tblProducts[Product_ID],tblProducts[Product_Name],"Not Found",0)</f>
        <v>Cum Gift</v>
      </c>
      <c r="O389" s="18" t="str">
        <f>_xlfn.XLOOKUP(tblMaster[[#This Row],[Product_ID]],tblProducts[Product_ID],tblProducts[Category],"Not Found",0)</f>
        <v>Plants</v>
      </c>
      <c r="P389" s="18" t="str">
        <f>_xlfn.XLOOKUP(tblMaster[[#This Row],[Product_ID]],tblProducts[Product_ID],tblProducts[Occasion],"Not Found",0)</f>
        <v>Birthday</v>
      </c>
      <c r="Q389" s="18">
        <f>_xlfn.XLOOKUP(tblMaster[[#This Row],[Product_ID]],tblProducts[Product_ID],tblProducts[Price (INR)],"Not Found",0)</f>
        <v>203</v>
      </c>
      <c r="R389" s="19">
        <f>tblMaster[[#This Row],[Price]]*tblMaster[[#This Row],[Quantity]]</f>
        <v>406</v>
      </c>
      <c r="S389" s="19">
        <f>tblMaster[[#This Row],[Price]]*0.7*tblMaster[[#This Row],[Quantity]]</f>
        <v>284.2</v>
      </c>
      <c r="T389" s="19">
        <f>tblMaster[[#This Row],[Revenue]]-tblMaster[[#This Row],[Estimated Cost (at 70%) ]]</f>
        <v>121.80000000000001</v>
      </c>
      <c r="U389" s="19">
        <f>tblMaster[[#This Row],[Profit]]/tblMaster[[#This Row],[Revenue]]</f>
        <v>0.30000000000000004</v>
      </c>
      <c r="V389" s="19">
        <f>tblMaster[[#This Row],[Delivery_Date]]-tblMaster[[#This Row],[Order_Date]]</f>
        <v>8</v>
      </c>
      <c r="W389" s="19" t="str">
        <f>TEXT(tblMaster[[#This Row],[Order_Date]],"mmmm")</f>
        <v>November</v>
      </c>
      <c r="X389" s="19">
        <f>MONTH(tblMaster[[#This Row],[Order_Date]])</f>
        <v>11</v>
      </c>
      <c r="Y389" s="19" t="str">
        <f>"Q"&amp;ROUNDUP(tblMaster[[#This Row],[Month Number]]/3,0)</f>
        <v>Q4</v>
      </c>
      <c r="Z389" s="19">
        <f>YEAR(tblMaster[[#This Row],[Order_Date]])</f>
        <v>2023</v>
      </c>
      <c r="AA389" s="19" t="str">
        <f>TEXT(DAY(tblMaster[[#This Row],[Order_Date]]),"dddd")</f>
        <v>Tuesday</v>
      </c>
      <c r="AB389" s="19" t="str">
        <f>IF(tblMaster[[#This Row],[Revenue]]&gt;=5000,"High",IF(tblMaster[[#This Row],[Revenue]]&lt;2000,"Low","Medium"))</f>
        <v>Low</v>
      </c>
    </row>
    <row r="390" spans="1:28" x14ac:dyDescent="0.25">
      <c r="A390" s="7">
        <v>389</v>
      </c>
      <c r="B390" s="7" t="s">
        <v>302</v>
      </c>
      <c r="C390" s="4">
        <v>29</v>
      </c>
      <c r="D390" s="4">
        <v>2</v>
      </c>
      <c r="E390" s="8">
        <v>44991</v>
      </c>
      <c r="F390" s="9">
        <v>0.14326388888888889</v>
      </c>
      <c r="G390" s="8">
        <v>45001</v>
      </c>
      <c r="H390" s="9">
        <v>0.75949074074074074</v>
      </c>
      <c r="I390" s="7" t="s">
        <v>303</v>
      </c>
      <c r="J390" s="7" t="s">
        <v>25</v>
      </c>
      <c r="K390" s="18" t="str">
        <f>_xlfn.XLOOKUP(tblMaster[[#This Row],[Customer_ID]],tblCustomers[Customer_ID],tblCustomers[City],"Not Found",0)</f>
        <v>Kavali</v>
      </c>
      <c r="L390" s="18" t="str">
        <f>_xlfn.XLOOKUP(tblMaster[[#This Row],[Customer_ID]],tblCustomers[Customer_ID],tblCustomers[Name],"Not Found",0)</f>
        <v>Akarsh Ramesh</v>
      </c>
      <c r="M390" s="18" t="str">
        <f>_xlfn.XLOOKUP(tblMaster[[#This Row],[Customer_ID]],tblCustomers[Customer_ID],tblCustomers[Gender],"Not Found",0)</f>
        <v>Female</v>
      </c>
      <c r="N390" s="18" t="str">
        <f>_xlfn.XLOOKUP(tblMaster[[#This Row],[Product_ID]],tblProducts[Product_ID],tblProducts[Product_Name],"Not Found",0)</f>
        <v>In Set</v>
      </c>
      <c r="O390" s="18" t="str">
        <f>_xlfn.XLOOKUP(tblMaster[[#This Row],[Product_ID]],tblProducts[Product_ID],tblProducts[Category],"Not Found",0)</f>
        <v>Colors</v>
      </c>
      <c r="P390" s="18" t="str">
        <f>_xlfn.XLOOKUP(tblMaster[[#This Row],[Product_ID]],tblProducts[Product_ID],tblProducts[Occasion],"Not Found",0)</f>
        <v>Holi</v>
      </c>
      <c r="Q390" s="18">
        <f>_xlfn.XLOOKUP(tblMaster[[#This Row],[Product_ID]],tblProducts[Product_ID],tblProducts[Price (INR)],"Not Found",0)</f>
        <v>1252</v>
      </c>
      <c r="R390" s="19">
        <f>tblMaster[[#This Row],[Price]]*tblMaster[[#This Row],[Quantity]]</f>
        <v>2504</v>
      </c>
      <c r="S390" s="19">
        <f>tblMaster[[#This Row],[Price]]*0.7*tblMaster[[#This Row],[Quantity]]</f>
        <v>1752.8</v>
      </c>
      <c r="T390" s="19">
        <f>tblMaster[[#This Row],[Revenue]]-tblMaster[[#This Row],[Estimated Cost (at 70%) ]]</f>
        <v>751.2</v>
      </c>
      <c r="U390" s="19">
        <f>tblMaster[[#This Row],[Profit]]/tblMaster[[#This Row],[Revenue]]</f>
        <v>0.30000000000000004</v>
      </c>
      <c r="V390" s="19">
        <f>tblMaster[[#This Row],[Delivery_Date]]-tblMaster[[#This Row],[Order_Date]]</f>
        <v>10</v>
      </c>
      <c r="W390" s="19" t="str">
        <f>TEXT(tblMaster[[#This Row],[Order_Date]],"mmmm")</f>
        <v>March</v>
      </c>
      <c r="X390" s="19">
        <f>MONTH(tblMaster[[#This Row],[Order_Date]])</f>
        <v>3</v>
      </c>
      <c r="Y390" s="19" t="str">
        <f>"Q"&amp;ROUNDUP(tblMaster[[#This Row],[Month Number]]/3,0)</f>
        <v>Q1</v>
      </c>
      <c r="Z390" s="19">
        <f>YEAR(tblMaster[[#This Row],[Order_Date]])</f>
        <v>2023</v>
      </c>
      <c r="AA390" s="19" t="str">
        <f>TEXT(DAY(tblMaster[[#This Row],[Order_Date]]),"dddd")</f>
        <v>Friday</v>
      </c>
      <c r="AB390" s="19" t="str">
        <f>IF(tblMaster[[#This Row],[Revenue]]&gt;=5000,"High",IF(tblMaster[[#This Row],[Revenue]]&lt;2000,"Low","Medium"))</f>
        <v>Medium</v>
      </c>
    </row>
    <row r="391" spans="1:28" x14ac:dyDescent="0.25">
      <c r="A391" s="10">
        <v>390</v>
      </c>
      <c r="B391" s="10" t="s">
        <v>409</v>
      </c>
      <c r="C391" s="5">
        <v>26</v>
      </c>
      <c r="D391" s="5">
        <v>4</v>
      </c>
      <c r="E391" s="11">
        <v>44988</v>
      </c>
      <c r="F391" s="12">
        <v>0.65342592592592597</v>
      </c>
      <c r="G391" s="11">
        <v>44995</v>
      </c>
      <c r="H391" s="12">
        <v>0.95980324074074075</v>
      </c>
      <c r="I391" s="10" t="s">
        <v>464</v>
      </c>
      <c r="J391" s="10" t="s">
        <v>25</v>
      </c>
      <c r="K391" s="18" t="str">
        <f>_xlfn.XLOOKUP(tblMaster[[#This Row],[Customer_ID]],tblCustomers[Customer_ID],tblCustomers[City],"Not Found",0)</f>
        <v>Vellore</v>
      </c>
      <c r="L391" s="18" t="str">
        <f>_xlfn.XLOOKUP(tblMaster[[#This Row],[Customer_ID]],tblCustomers[Customer_ID],tblCustomers[Name],"Not Found",0)</f>
        <v>Yasmin Sheth</v>
      </c>
      <c r="M391" s="18" t="str">
        <f>_xlfn.XLOOKUP(tblMaster[[#This Row],[Customer_ID]],tblCustomers[Customer_ID],tblCustomers[Gender],"Not Found",0)</f>
        <v>Female</v>
      </c>
      <c r="N391" s="18" t="str">
        <f>_xlfn.XLOOKUP(tblMaster[[#This Row],[Product_ID]],tblProducts[Product_ID],tblProducts[Product_Name],"Not Found",0)</f>
        <v>Aliquam Box</v>
      </c>
      <c r="O391" s="18" t="str">
        <f>_xlfn.XLOOKUP(tblMaster[[#This Row],[Product_ID]],tblProducts[Product_ID],tblProducts[Category],"Not Found",0)</f>
        <v>Colors</v>
      </c>
      <c r="P391" s="18" t="str">
        <f>_xlfn.XLOOKUP(tblMaster[[#This Row],[Product_ID]],tblProducts[Product_ID],tblProducts[Occasion],"Not Found",0)</f>
        <v>Holi</v>
      </c>
      <c r="Q391" s="18">
        <f>_xlfn.XLOOKUP(tblMaster[[#This Row],[Product_ID]],tblProducts[Product_ID],tblProducts[Price (INR)],"Not Found",0)</f>
        <v>289</v>
      </c>
      <c r="R391" s="19">
        <f>tblMaster[[#This Row],[Price]]*tblMaster[[#This Row],[Quantity]]</f>
        <v>1156</v>
      </c>
      <c r="S391" s="19">
        <f>tblMaster[[#This Row],[Price]]*0.7*tblMaster[[#This Row],[Quantity]]</f>
        <v>809.19999999999993</v>
      </c>
      <c r="T391" s="19">
        <f>tblMaster[[#This Row],[Revenue]]-tblMaster[[#This Row],[Estimated Cost (at 70%) ]]</f>
        <v>346.80000000000007</v>
      </c>
      <c r="U391" s="19">
        <f>tblMaster[[#This Row],[Profit]]/tblMaster[[#This Row],[Revenue]]</f>
        <v>0.30000000000000004</v>
      </c>
      <c r="V391" s="19">
        <f>tblMaster[[#This Row],[Delivery_Date]]-tblMaster[[#This Row],[Order_Date]]</f>
        <v>7</v>
      </c>
      <c r="W391" s="19" t="str">
        <f>TEXT(tblMaster[[#This Row],[Order_Date]],"mmmm")</f>
        <v>March</v>
      </c>
      <c r="X391" s="19">
        <f>MONTH(tblMaster[[#This Row],[Order_Date]])</f>
        <v>3</v>
      </c>
      <c r="Y391" s="19" t="str">
        <f>"Q"&amp;ROUNDUP(tblMaster[[#This Row],[Month Number]]/3,0)</f>
        <v>Q1</v>
      </c>
      <c r="Z391" s="19">
        <f>YEAR(tblMaster[[#This Row],[Order_Date]])</f>
        <v>2023</v>
      </c>
      <c r="AA391" s="19" t="str">
        <f>TEXT(DAY(tblMaster[[#This Row],[Order_Date]]),"dddd")</f>
        <v>Tuesday</v>
      </c>
      <c r="AB391" s="19" t="str">
        <f>IF(tblMaster[[#This Row],[Revenue]]&gt;=5000,"High",IF(tblMaster[[#This Row],[Revenue]]&lt;2000,"Low","Medium"))</f>
        <v>Low</v>
      </c>
    </row>
    <row r="392" spans="1:28" x14ac:dyDescent="0.25">
      <c r="A392" s="7">
        <v>391</v>
      </c>
      <c r="B392" s="7" t="s">
        <v>333</v>
      </c>
      <c r="C392" s="4">
        <v>22</v>
      </c>
      <c r="D392" s="4">
        <v>4</v>
      </c>
      <c r="E392" s="8">
        <v>45289</v>
      </c>
      <c r="F392" s="9">
        <v>0.57229166666666664</v>
      </c>
      <c r="G392" s="8">
        <v>45298</v>
      </c>
      <c r="H392" s="9">
        <v>0.54075231481481478</v>
      </c>
      <c r="I392" s="7" t="s">
        <v>399</v>
      </c>
      <c r="J392" s="7" t="s">
        <v>8</v>
      </c>
      <c r="K392" s="18" t="str">
        <f>_xlfn.XLOOKUP(tblMaster[[#This Row],[Customer_ID]],tblCustomers[Customer_ID],tblCustomers[City],"Not Found",0)</f>
        <v>Raurkela Industrial Township</v>
      </c>
      <c r="L392" s="18" t="str">
        <f>_xlfn.XLOOKUP(tblMaster[[#This Row],[Customer_ID]],tblCustomers[Customer_ID],tblCustomers[Name],"Not Found",0)</f>
        <v>Aaryahi Sodhi</v>
      </c>
      <c r="M392" s="18" t="str">
        <f>_xlfn.XLOOKUP(tblMaster[[#This Row],[Customer_ID]],tblCustomers[Customer_ID],tblCustomers[Gender],"Not Found",0)</f>
        <v>Male</v>
      </c>
      <c r="N392" s="18" t="str">
        <f>_xlfn.XLOOKUP(tblMaster[[#This Row],[Product_ID]],tblProducts[Product_ID],tblProducts[Product_Name],"Not Found",0)</f>
        <v>Exercitationem Pack</v>
      </c>
      <c r="O392" s="18" t="str">
        <f>_xlfn.XLOOKUP(tblMaster[[#This Row],[Product_ID]],tblProducts[Product_ID],tblProducts[Category],"Not Found",0)</f>
        <v>Soft Toys</v>
      </c>
      <c r="P392" s="18" t="str">
        <f>_xlfn.XLOOKUP(tblMaster[[#This Row],[Product_ID]],tblProducts[Product_ID],tblProducts[Occasion],"Not Found",0)</f>
        <v>All Occasions</v>
      </c>
      <c r="Q392" s="18">
        <f>_xlfn.XLOOKUP(tblMaster[[#This Row],[Product_ID]],tblProducts[Product_ID],tblProducts[Price (INR)],"Not Found",0)</f>
        <v>1639</v>
      </c>
      <c r="R392" s="19">
        <f>tblMaster[[#This Row],[Price]]*tblMaster[[#This Row],[Quantity]]</f>
        <v>6556</v>
      </c>
      <c r="S392" s="19">
        <f>tblMaster[[#This Row],[Price]]*0.7*tblMaster[[#This Row],[Quantity]]</f>
        <v>4589.2</v>
      </c>
      <c r="T392" s="19">
        <f>tblMaster[[#This Row],[Revenue]]-tblMaster[[#This Row],[Estimated Cost (at 70%) ]]</f>
        <v>1966.8000000000002</v>
      </c>
      <c r="U392" s="19">
        <f>tblMaster[[#This Row],[Profit]]/tblMaster[[#This Row],[Revenue]]</f>
        <v>0.30000000000000004</v>
      </c>
      <c r="V392" s="19">
        <f>tblMaster[[#This Row],[Delivery_Date]]-tblMaster[[#This Row],[Order_Date]]</f>
        <v>9</v>
      </c>
      <c r="W392" s="19" t="str">
        <f>TEXT(tblMaster[[#This Row],[Order_Date]],"mmmm")</f>
        <v>December</v>
      </c>
      <c r="X392" s="19">
        <f>MONTH(tblMaster[[#This Row],[Order_Date]])</f>
        <v>12</v>
      </c>
      <c r="Y392" s="19" t="str">
        <f>"Q"&amp;ROUNDUP(tblMaster[[#This Row],[Month Number]]/3,0)</f>
        <v>Q4</v>
      </c>
      <c r="Z392" s="19">
        <f>YEAR(tblMaster[[#This Row],[Order_Date]])</f>
        <v>2023</v>
      </c>
      <c r="AA392" s="19" t="str">
        <f>TEXT(DAY(tblMaster[[#This Row],[Order_Date]]),"dddd")</f>
        <v>Sunday</v>
      </c>
      <c r="AB392" s="19" t="str">
        <f>IF(tblMaster[[#This Row],[Revenue]]&gt;=5000,"High",IF(tblMaster[[#This Row],[Revenue]]&lt;2000,"Low","Medium"))</f>
        <v>High</v>
      </c>
    </row>
    <row r="393" spans="1:28" x14ac:dyDescent="0.25">
      <c r="A393" s="10">
        <v>392</v>
      </c>
      <c r="B393" s="10" t="s">
        <v>382</v>
      </c>
      <c r="C393" s="5">
        <v>4</v>
      </c>
      <c r="D393" s="5">
        <v>2</v>
      </c>
      <c r="E393" s="11">
        <v>45235</v>
      </c>
      <c r="F393" s="12">
        <v>0.13813657407407406</v>
      </c>
      <c r="G393" s="11">
        <v>45236</v>
      </c>
      <c r="H393" s="12">
        <v>0.78690972222222222</v>
      </c>
      <c r="I393" s="10" t="s">
        <v>489</v>
      </c>
      <c r="J393" s="10" t="s">
        <v>19</v>
      </c>
      <c r="K393" s="18" t="str">
        <f>_xlfn.XLOOKUP(tblMaster[[#This Row],[Customer_ID]],tblCustomers[Customer_ID],tblCustomers[City],"Not Found",0)</f>
        <v>Raipur</v>
      </c>
      <c r="L393" s="18" t="str">
        <f>_xlfn.XLOOKUP(tblMaster[[#This Row],[Customer_ID]],tblCustomers[Customer_ID],tblCustomers[Name],"Not Found",0)</f>
        <v>Bhamini Johal</v>
      </c>
      <c r="M393" s="18" t="str">
        <f>_xlfn.XLOOKUP(tblMaster[[#This Row],[Customer_ID]],tblCustomers[Customer_ID],tblCustomers[Gender],"Not Found",0)</f>
        <v>Male</v>
      </c>
      <c r="N393" s="18" t="str">
        <f>_xlfn.XLOOKUP(tblMaster[[#This Row],[Product_ID]],tblProducts[Product_ID],tblProducts[Product_Name],"Not Found",0)</f>
        <v>Accusantium Set</v>
      </c>
      <c r="O393" s="18" t="str">
        <f>_xlfn.XLOOKUP(tblMaster[[#This Row],[Product_ID]],tblProducts[Product_ID],tblProducts[Category],"Not Found",0)</f>
        <v>Sweets</v>
      </c>
      <c r="P393" s="18" t="str">
        <f>_xlfn.XLOOKUP(tblMaster[[#This Row],[Product_ID]],tblProducts[Product_ID],tblProducts[Occasion],"Not Found",0)</f>
        <v>Diwali</v>
      </c>
      <c r="Q393" s="18">
        <f>_xlfn.XLOOKUP(tblMaster[[#This Row],[Product_ID]],tblProducts[Product_ID],tblProducts[Price (INR)],"Not Found",0)</f>
        <v>1199</v>
      </c>
      <c r="R393" s="19">
        <f>tblMaster[[#This Row],[Price]]*tblMaster[[#This Row],[Quantity]]</f>
        <v>2398</v>
      </c>
      <c r="S393" s="19">
        <f>tblMaster[[#This Row],[Price]]*0.7*tblMaster[[#This Row],[Quantity]]</f>
        <v>1678.6</v>
      </c>
      <c r="T393" s="19">
        <f>tblMaster[[#This Row],[Revenue]]-tblMaster[[#This Row],[Estimated Cost (at 70%) ]]</f>
        <v>719.40000000000009</v>
      </c>
      <c r="U393" s="19">
        <f>tblMaster[[#This Row],[Profit]]/tblMaster[[#This Row],[Revenue]]</f>
        <v>0.30000000000000004</v>
      </c>
      <c r="V393" s="19">
        <f>tblMaster[[#This Row],[Delivery_Date]]-tblMaster[[#This Row],[Order_Date]]</f>
        <v>1</v>
      </c>
      <c r="W393" s="19" t="str">
        <f>TEXT(tblMaster[[#This Row],[Order_Date]],"mmmm")</f>
        <v>November</v>
      </c>
      <c r="X393" s="19">
        <f>MONTH(tblMaster[[#This Row],[Order_Date]])</f>
        <v>11</v>
      </c>
      <c r="Y393" s="19" t="str">
        <f>"Q"&amp;ROUNDUP(tblMaster[[#This Row],[Month Number]]/3,0)</f>
        <v>Q4</v>
      </c>
      <c r="Z393" s="19">
        <f>YEAR(tblMaster[[#This Row],[Order_Date]])</f>
        <v>2023</v>
      </c>
      <c r="AA393" s="19" t="str">
        <f>TEXT(DAY(tblMaster[[#This Row],[Order_Date]]),"dddd")</f>
        <v>Thursday</v>
      </c>
      <c r="AB393" s="19" t="str">
        <f>IF(tblMaster[[#This Row],[Revenue]]&gt;=5000,"High",IF(tblMaster[[#This Row],[Revenue]]&lt;2000,"Low","Medium"))</f>
        <v>Medium</v>
      </c>
    </row>
    <row r="394" spans="1:28" x14ac:dyDescent="0.25">
      <c r="A394" s="7">
        <v>393</v>
      </c>
      <c r="B394" s="7" t="s">
        <v>347</v>
      </c>
      <c r="C394" s="4">
        <v>17</v>
      </c>
      <c r="D394" s="4">
        <v>5</v>
      </c>
      <c r="E394" s="8">
        <v>45244</v>
      </c>
      <c r="F394" s="9">
        <v>0.45923611111111112</v>
      </c>
      <c r="G394" s="8">
        <v>45252</v>
      </c>
      <c r="H394" s="9">
        <v>0.6741435185185185</v>
      </c>
      <c r="I394" s="7" t="s">
        <v>490</v>
      </c>
      <c r="J394" s="7" t="s">
        <v>30</v>
      </c>
      <c r="K394" s="18" t="str">
        <f>_xlfn.XLOOKUP(tblMaster[[#This Row],[Customer_ID]],tblCustomers[Customer_ID],tblCustomers[City],"Not Found",0)</f>
        <v>North Dumdum</v>
      </c>
      <c r="L394" s="18" t="str">
        <f>_xlfn.XLOOKUP(tblMaster[[#This Row],[Customer_ID]],tblCustomers[Customer_ID],tblCustomers[Name],"Not Found",0)</f>
        <v>Rania Bhatt</v>
      </c>
      <c r="M394" s="18" t="str">
        <f>_xlfn.XLOOKUP(tblMaster[[#This Row],[Customer_ID]],tblCustomers[Customer_ID],tblCustomers[Gender],"Not Found",0)</f>
        <v>Female</v>
      </c>
      <c r="N394" s="18" t="str">
        <f>_xlfn.XLOOKUP(tblMaster[[#This Row],[Product_ID]],tblProducts[Product_ID],tblProducts[Product_Name],"Not Found",0)</f>
        <v>Delectus Gift</v>
      </c>
      <c r="O394" s="18" t="str">
        <f>_xlfn.XLOOKUP(tblMaster[[#This Row],[Product_ID]],tblProducts[Product_ID],tblProducts[Category],"Not Found",0)</f>
        <v>Soft Toys</v>
      </c>
      <c r="P394" s="18" t="str">
        <f>_xlfn.XLOOKUP(tblMaster[[#This Row],[Product_ID]],tblProducts[Product_ID],tblProducts[Occasion],"Not Found",0)</f>
        <v>Anniversary</v>
      </c>
      <c r="Q394" s="18">
        <f>_xlfn.XLOOKUP(tblMaster[[#This Row],[Product_ID]],tblProducts[Product_ID],tblProducts[Price (INR)],"Not Found",0)</f>
        <v>1899</v>
      </c>
      <c r="R394" s="19">
        <f>tblMaster[[#This Row],[Price]]*tblMaster[[#This Row],[Quantity]]</f>
        <v>9495</v>
      </c>
      <c r="S394" s="19">
        <f>tblMaster[[#This Row],[Price]]*0.7*tblMaster[[#This Row],[Quantity]]</f>
        <v>6646.5</v>
      </c>
      <c r="T394" s="19">
        <f>tblMaster[[#This Row],[Revenue]]-tblMaster[[#This Row],[Estimated Cost (at 70%) ]]</f>
        <v>2848.5</v>
      </c>
      <c r="U394" s="19">
        <f>tblMaster[[#This Row],[Profit]]/tblMaster[[#This Row],[Revenue]]</f>
        <v>0.3</v>
      </c>
      <c r="V394" s="19">
        <f>tblMaster[[#This Row],[Delivery_Date]]-tblMaster[[#This Row],[Order_Date]]</f>
        <v>8</v>
      </c>
      <c r="W394" s="19" t="str">
        <f>TEXT(tblMaster[[#This Row],[Order_Date]],"mmmm")</f>
        <v>November</v>
      </c>
      <c r="X394" s="19">
        <f>MONTH(tblMaster[[#This Row],[Order_Date]])</f>
        <v>11</v>
      </c>
      <c r="Y394" s="19" t="str">
        <f>"Q"&amp;ROUNDUP(tblMaster[[#This Row],[Month Number]]/3,0)</f>
        <v>Q4</v>
      </c>
      <c r="Z394" s="19">
        <f>YEAR(tblMaster[[#This Row],[Order_Date]])</f>
        <v>2023</v>
      </c>
      <c r="AA394" s="19" t="str">
        <f>TEXT(DAY(tblMaster[[#This Row],[Order_Date]]),"dddd")</f>
        <v>Saturday</v>
      </c>
      <c r="AB394" s="19" t="str">
        <f>IF(tblMaster[[#This Row],[Revenue]]&gt;=5000,"High",IF(tblMaster[[#This Row],[Revenue]]&lt;2000,"Low","Medium"))</f>
        <v>High</v>
      </c>
    </row>
    <row r="395" spans="1:28" x14ac:dyDescent="0.25">
      <c r="A395" s="10">
        <v>394</v>
      </c>
      <c r="B395" s="10" t="s">
        <v>283</v>
      </c>
      <c r="C395" s="5">
        <v>38</v>
      </c>
      <c r="D395" s="5">
        <v>5</v>
      </c>
      <c r="E395" s="11">
        <v>45008</v>
      </c>
      <c r="F395" s="12">
        <v>0.18515046296296298</v>
      </c>
      <c r="G395" s="11">
        <v>45016</v>
      </c>
      <c r="H395" s="12">
        <v>0.80969907407407404</v>
      </c>
      <c r="I395" s="10" t="s">
        <v>401</v>
      </c>
      <c r="J395" s="10" t="s">
        <v>36</v>
      </c>
      <c r="K395" s="18" t="str">
        <f>_xlfn.XLOOKUP(tblMaster[[#This Row],[Customer_ID]],tblCustomers[Customer_ID],tblCustomers[City],"Not Found",0)</f>
        <v>Noida</v>
      </c>
      <c r="L395" s="18" t="str">
        <f>_xlfn.XLOOKUP(tblMaster[[#This Row],[Customer_ID]],tblCustomers[Customer_ID],tblCustomers[Name],"Not Found",0)</f>
        <v>Hridaan Rajagopalan</v>
      </c>
      <c r="M395" s="18" t="str">
        <f>_xlfn.XLOOKUP(tblMaster[[#This Row],[Customer_ID]],tblCustomers[Customer_ID],tblCustomers[Gender],"Not Found",0)</f>
        <v>Female</v>
      </c>
      <c r="N395" s="18" t="str">
        <f>_xlfn.XLOOKUP(tblMaster[[#This Row],[Product_ID]],tblProducts[Product_ID],tblProducts[Product_Name],"Not Found",0)</f>
        <v>Mollitia Set</v>
      </c>
      <c r="O395" s="18" t="str">
        <f>_xlfn.XLOOKUP(tblMaster[[#This Row],[Product_ID]],tblProducts[Product_ID],tblProducts[Category],"Not Found",0)</f>
        <v>Cake</v>
      </c>
      <c r="P395" s="18" t="str">
        <f>_xlfn.XLOOKUP(tblMaster[[#This Row],[Product_ID]],tblProducts[Product_ID],tblProducts[Occasion],"Not Found",0)</f>
        <v>Birthday</v>
      </c>
      <c r="Q395" s="18">
        <f>_xlfn.XLOOKUP(tblMaster[[#This Row],[Product_ID]],tblProducts[Product_ID],tblProducts[Price (INR)],"Not Found",0)</f>
        <v>562</v>
      </c>
      <c r="R395" s="19">
        <f>tblMaster[[#This Row],[Price]]*tblMaster[[#This Row],[Quantity]]</f>
        <v>2810</v>
      </c>
      <c r="S395" s="19">
        <f>tblMaster[[#This Row],[Price]]*0.7*tblMaster[[#This Row],[Quantity]]</f>
        <v>1967</v>
      </c>
      <c r="T395" s="19">
        <f>tblMaster[[#This Row],[Revenue]]-tblMaster[[#This Row],[Estimated Cost (at 70%) ]]</f>
        <v>843</v>
      </c>
      <c r="U395" s="19">
        <f>tblMaster[[#This Row],[Profit]]/tblMaster[[#This Row],[Revenue]]</f>
        <v>0.3</v>
      </c>
      <c r="V395" s="19">
        <f>tblMaster[[#This Row],[Delivery_Date]]-tblMaster[[#This Row],[Order_Date]]</f>
        <v>8</v>
      </c>
      <c r="W395" s="19" t="str">
        <f>TEXT(tblMaster[[#This Row],[Order_Date]],"mmmm")</f>
        <v>March</v>
      </c>
      <c r="X395" s="19">
        <f>MONTH(tblMaster[[#This Row],[Order_Date]])</f>
        <v>3</v>
      </c>
      <c r="Y395" s="19" t="str">
        <f>"Q"&amp;ROUNDUP(tblMaster[[#This Row],[Month Number]]/3,0)</f>
        <v>Q1</v>
      </c>
      <c r="Z395" s="19">
        <f>YEAR(tblMaster[[#This Row],[Order_Date]])</f>
        <v>2023</v>
      </c>
      <c r="AA395" s="19" t="str">
        <f>TEXT(DAY(tblMaster[[#This Row],[Order_Date]]),"dddd")</f>
        <v>Monday</v>
      </c>
      <c r="AB395" s="19" t="str">
        <f>IF(tblMaster[[#This Row],[Revenue]]&gt;=5000,"High",IF(tblMaster[[#This Row],[Revenue]]&lt;2000,"Low","Medium"))</f>
        <v>Medium</v>
      </c>
    </row>
    <row r="396" spans="1:28" x14ac:dyDescent="0.25">
      <c r="A396" s="7">
        <v>395</v>
      </c>
      <c r="B396" s="7" t="s">
        <v>229</v>
      </c>
      <c r="C396" s="4">
        <v>26</v>
      </c>
      <c r="D396" s="4">
        <v>2</v>
      </c>
      <c r="E396" s="8">
        <v>44988</v>
      </c>
      <c r="F396" s="9">
        <v>0.96868055555555554</v>
      </c>
      <c r="G396" s="8">
        <v>44991</v>
      </c>
      <c r="H396" s="9">
        <v>0.77265046296296291</v>
      </c>
      <c r="I396" s="7" t="s">
        <v>467</v>
      </c>
      <c r="J396" s="7" t="s">
        <v>25</v>
      </c>
      <c r="K396" s="18" t="str">
        <f>_xlfn.XLOOKUP(tblMaster[[#This Row],[Customer_ID]],tblCustomers[Customer_ID],tblCustomers[City],"Not Found",0)</f>
        <v>Anand</v>
      </c>
      <c r="L396" s="18" t="str">
        <f>_xlfn.XLOOKUP(tblMaster[[#This Row],[Customer_ID]],tblCustomers[Customer_ID],tblCustomers[Name],"Not Found",0)</f>
        <v>Eva Sankaran</v>
      </c>
      <c r="M396" s="18" t="str">
        <f>_xlfn.XLOOKUP(tblMaster[[#This Row],[Customer_ID]],tblCustomers[Customer_ID],tblCustomers[Gender],"Not Found",0)</f>
        <v>Male</v>
      </c>
      <c r="N396" s="18" t="str">
        <f>_xlfn.XLOOKUP(tblMaster[[#This Row],[Product_ID]],tblProducts[Product_ID],tblProducts[Product_Name],"Not Found",0)</f>
        <v>Aliquam Box</v>
      </c>
      <c r="O396" s="18" t="str">
        <f>_xlfn.XLOOKUP(tblMaster[[#This Row],[Product_ID]],tblProducts[Product_ID],tblProducts[Category],"Not Found",0)</f>
        <v>Colors</v>
      </c>
      <c r="P396" s="18" t="str">
        <f>_xlfn.XLOOKUP(tblMaster[[#This Row],[Product_ID]],tblProducts[Product_ID],tblProducts[Occasion],"Not Found",0)</f>
        <v>Holi</v>
      </c>
      <c r="Q396" s="18">
        <f>_xlfn.XLOOKUP(tblMaster[[#This Row],[Product_ID]],tblProducts[Product_ID],tblProducts[Price (INR)],"Not Found",0)</f>
        <v>289</v>
      </c>
      <c r="R396" s="19">
        <f>tblMaster[[#This Row],[Price]]*tblMaster[[#This Row],[Quantity]]</f>
        <v>578</v>
      </c>
      <c r="S396" s="19">
        <f>tblMaster[[#This Row],[Price]]*0.7*tblMaster[[#This Row],[Quantity]]</f>
        <v>404.59999999999997</v>
      </c>
      <c r="T396" s="19">
        <f>tblMaster[[#This Row],[Revenue]]-tblMaster[[#This Row],[Estimated Cost (at 70%) ]]</f>
        <v>173.40000000000003</v>
      </c>
      <c r="U396" s="19">
        <f>tblMaster[[#This Row],[Profit]]/tblMaster[[#This Row],[Revenue]]</f>
        <v>0.30000000000000004</v>
      </c>
      <c r="V396" s="19">
        <f>tblMaster[[#This Row],[Delivery_Date]]-tblMaster[[#This Row],[Order_Date]]</f>
        <v>3</v>
      </c>
      <c r="W396" s="19" t="str">
        <f>TEXT(tblMaster[[#This Row],[Order_Date]],"mmmm")</f>
        <v>March</v>
      </c>
      <c r="X396" s="19">
        <f>MONTH(tblMaster[[#This Row],[Order_Date]])</f>
        <v>3</v>
      </c>
      <c r="Y396" s="19" t="str">
        <f>"Q"&amp;ROUNDUP(tblMaster[[#This Row],[Month Number]]/3,0)</f>
        <v>Q1</v>
      </c>
      <c r="Z396" s="19">
        <f>YEAR(tblMaster[[#This Row],[Order_Date]])</f>
        <v>2023</v>
      </c>
      <c r="AA396" s="19" t="str">
        <f>TEXT(DAY(tblMaster[[#This Row],[Order_Date]]),"dddd")</f>
        <v>Tuesday</v>
      </c>
      <c r="AB396" s="19" t="str">
        <f>IF(tblMaster[[#This Row],[Revenue]]&gt;=5000,"High",IF(tblMaster[[#This Row],[Revenue]]&lt;2000,"Low","Medium"))</f>
        <v>Low</v>
      </c>
    </row>
    <row r="397" spans="1:28" x14ac:dyDescent="0.25">
      <c r="A397" s="10">
        <v>396</v>
      </c>
      <c r="B397" s="10" t="s">
        <v>388</v>
      </c>
      <c r="C397" s="5">
        <v>10</v>
      </c>
      <c r="D397" s="5">
        <v>5</v>
      </c>
      <c r="E397" s="11">
        <v>45000</v>
      </c>
      <c r="F397" s="12">
        <v>0.64650462962962962</v>
      </c>
      <c r="G397" s="11">
        <v>45001</v>
      </c>
      <c r="H397" s="12">
        <v>7.2928240740740738E-2</v>
      </c>
      <c r="I397" s="10" t="s">
        <v>378</v>
      </c>
      <c r="J397" s="10" t="s">
        <v>36</v>
      </c>
      <c r="K397" s="18" t="str">
        <f>_xlfn.XLOOKUP(tblMaster[[#This Row],[Customer_ID]],tblCustomers[Customer_ID],tblCustomers[City],"Not Found",0)</f>
        <v>Kalyan-Dombivli</v>
      </c>
      <c r="L397" s="18" t="str">
        <f>_xlfn.XLOOKUP(tblMaster[[#This Row],[Customer_ID]],tblCustomers[Customer_ID],tblCustomers[Name],"Not Found",0)</f>
        <v>Ritvik Garde</v>
      </c>
      <c r="M397" s="18" t="str">
        <f>_xlfn.XLOOKUP(tblMaster[[#This Row],[Customer_ID]],tblCustomers[Customer_ID],tblCustomers[Gender],"Not Found",0)</f>
        <v>Male</v>
      </c>
      <c r="N397" s="18" t="str">
        <f>_xlfn.XLOOKUP(tblMaster[[#This Row],[Product_ID]],tblProducts[Product_ID],tblProducts[Product_Name],"Not Found",0)</f>
        <v>Accusantium Gift</v>
      </c>
      <c r="O397" s="18" t="str">
        <f>_xlfn.XLOOKUP(tblMaster[[#This Row],[Product_ID]],tblProducts[Product_ID],tblProducts[Category],"Not Found",0)</f>
        <v>Cake</v>
      </c>
      <c r="P397" s="18" t="str">
        <f>_xlfn.XLOOKUP(tblMaster[[#This Row],[Product_ID]],tblProducts[Product_ID],tblProducts[Occasion],"Not Found",0)</f>
        <v>Birthday</v>
      </c>
      <c r="Q397" s="18">
        <f>_xlfn.XLOOKUP(tblMaster[[#This Row],[Product_ID]],tblProducts[Product_ID],tblProducts[Price (INR)],"Not Found",0)</f>
        <v>259</v>
      </c>
      <c r="R397" s="19">
        <f>tblMaster[[#This Row],[Price]]*tblMaster[[#This Row],[Quantity]]</f>
        <v>1295</v>
      </c>
      <c r="S397" s="19">
        <f>tblMaster[[#This Row],[Price]]*0.7*tblMaster[[#This Row],[Quantity]]</f>
        <v>906.49999999999989</v>
      </c>
      <c r="T397" s="19">
        <f>tblMaster[[#This Row],[Revenue]]-tblMaster[[#This Row],[Estimated Cost (at 70%) ]]</f>
        <v>388.50000000000011</v>
      </c>
      <c r="U397" s="19">
        <f>tblMaster[[#This Row],[Profit]]/tblMaster[[#This Row],[Revenue]]</f>
        <v>0.3000000000000001</v>
      </c>
      <c r="V397" s="19">
        <f>tblMaster[[#This Row],[Delivery_Date]]-tblMaster[[#This Row],[Order_Date]]</f>
        <v>1</v>
      </c>
      <c r="W397" s="19" t="str">
        <f>TEXT(tblMaster[[#This Row],[Order_Date]],"mmmm")</f>
        <v>March</v>
      </c>
      <c r="X397" s="19">
        <f>MONTH(tblMaster[[#This Row],[Order_Date]])</f>
        <v>3</v>
      </c>
      <c r="Y397" s="19" t="str">
        <f>"Q"&amp;ROUNDUP(tblMaster[[#This Row],[Month Number]]/3,0)</f>
        <v>Q1</v>
      </c>
      <c r="Z397" s="19">
        <f>YEAR(tblMaster[[#This Row],[Order_Date]])</f>
        <v>2023</v>
      </c>
      <c r="AA397" s="19" t="str">
        <f>TEXT(DAY(tblMaster[[#This Row],[Order_Date]]),"dddd")</f>
        <v>Sunday</v>
      </c>
      <c r="AB397" s="19" t="str">
        <f>IF(tblMaster[[#This Row],[Revenue]]&gt;=5000,"High",IF(tblMaster[[#This Row],[Revenue]]&lt;2000,"Low","Medium"))</f>
        <v>Low</v>
      </c>
    </row>
    <row r="398" spans="1:28" x14ac:dyDescent="0.25">
      <c r="A398" s="7">
        <v>397</v>
      </c>
      <c r="B398" s="7" t="s">
        <v>480</v>
      </c>
      <c r="C398" s="4">
        <v>4</v>
      </c>
      <c r="D398" s="4">
        <v>5</v>
      </c>
      <c r="E398" s="8">
        <v>45239</v>
      </c>
      <c r="F398" s="9">
        <v>0.28343750000000001</v>
      </c>
      <c r="G398" s="8">
        <v>45244</v>
      </c>
      <c r="H398" s="9">
        <v>0.56428240740740743</v>
      </c>
      <c r="I398" s="7" t="s">
        <v>425</v>
      </c>
      <c r="J398" s="7" t="s">
        <v>19</v>
      </c>
      <c r="K398" s="18" t="str">
        <f>_xlfn.XLOOKUP(tblMaster[[#This Row],[Customer_ID]],tblCustomers[Customer_ID],tblCustomers[City],"Not Found",0)</f>
        <v>Bhatpara</v>
      </c>
      <c r="L398" s="18" t="str">
        <f>_xlfn.XLOOKUP(tblMaster[[#This Row],[Customer_ID]],tblCustomers[Customer_ID],tblCustomers[Name],"Not Found",0)</f>
        <v>Hridaan Sood</v>
      </c>
      <c r="M398" s="18" t="str">
        <f>_xlfn.XLOOKUP(tblMaster[[#This Row],[Customer_ID]],tblCustomers[Customer_ID],tblCustomers[Gender],"Not Found",0)</f>
        <v>Male</v>
      </c>
      <c r="N398" s="18" t="str">
        <f>_xlfn.XLOOKUP(tblMaster[[#This Row],[Product_ID]],tblProducts[Product_ID],tblProducts[Product_Name],"Not Found",0)</f>
        <v>Accusantium Set</v>
      </c>
      <c r="O398" s="18" t="str">
        <f>_xlfn.XLOOKUP(tblMaster[[#This Row],[Product_ID]],tblProducts[Product_ID],tblProducts[Category],"Not Found",0)</f>
        <v>Sweets</v>
      </c>
      <c r="P398" s="18" t="str">
        <f>_xlfn.XLOOKUP(tblMaster[[#This Row],[Product_ID]],tblProducts[Product_ID],tblProducts[Occasion],"Not Found",0)</f>
        <v>Diwali</v>
      </c>
      <c r="Q398" s="18">
        <f>_xlfn.XLOOKUP(tblMaster[[#This Row],[Product_ID]],tblProducts[Product_ID],tblProducts[Price (INR)],"Not Found",0)</f>
        <v>1199</v>
      </c>
      <c r="R398" s="19">
        <f>tblMaster[[#This Row],[Price]]*tblMaster[[#This Row],[Quantity]]</f>
        <v>5995</v>
      </c>
      <c r="S398" s="19">
        <f>tblMaster[[#This Row],[Price]]*0.7*tblMaster[[#This Row],[Quantity]]</f>
        <v>4196.5</v>
      </c>
      <c r="T398" s="19">
        <f>tblMaster[[#This Row],[Revenue]]-tblMaster[[#This Row],[Estimated Cost (at 70%) ]]</f>
        <v>1798.5</v>
      </c>
      <c r="U398" s="19">
        <f>tblMaster[[#This Row],[Profit]]/tblMaster[[#This Row],[Revenue]]</f>
        <v>0.3</v>
      </c>
      <c r="V398" s="19">
        <f>tblMaster[[#This Row],[Delivery_Date]]-tblMaster[[#This Row],[Order_Date]]</f>
        <v>5</v>
      </c>
      <c r="W398" s="19" t="str">
        <f>TEXT(tblMaster[[#This Row],[Order_Date]],"mmmm")</f>
        <v>November</v>
      </c>
      <c r="X398" s="19">
        <f>MONTH(tblMaster[[#This Row],[Order_Date]])</f>
        <v>11</v>
      </c>
      <c r="Y398" s="19" t="str">
        <f>"Q"&amp;ROUNDUP(tblMaster[[#This Row],[Month Number]]/3,0)</f>
        <v>Q4</v>
      </c>
      <c r="Z398" s="19">
        <f>YEAR(tblMaster[[#This Row],[Order_Date]])</f>
        <v>2023</v>
      </c>
      <c r="AA398" s="19" t="str">
        <f>TEXT(DAY(tblMaster[[#This Row],[Order_Date]]),"dddd")</f>
        <v>Monday</v>
      </c>
      <c r="AB398" s="19" t="str">
        <f>IF(tblMaster[[#This Row],[Revenue]]&gt;=5000,"High",IF(tblMaster[[#This Row],[Revenue]]&lt;2000,"Low","Medium"))</f>
        <v>High</v>
      </c>
    </row>
    <row r="399" spans="1:28" x14ac:dyDescent="0.25">
      <c r="A399" s="10">
        <v>398</v>
      </c>
      <c r="B399" s="10" t="s">
        <v>235</v>
      </c>
      <c r="C399" s="5">
        <v>54</v>
      </c>
      <c r="D399" s="5">
        <v>1</v>
      </c>
      <c r="E399" s="11">
        <v>45051</v>
      </c>
      <c r="F399" s="12">
        <v>0.36482638888888891</v>
      </c>
      <c r="G399" s="11">
        <v>45061</v>
      </c>
      <c r="H399" s="12">
        <v>0.4178587962962963</v>
      </c>
      <c r="I399" s="10" t="s">
        <v>411</v>
      </c>
      <c r="J399" s="10" t="s">
        <v>30</v>
      </c>
      <c r="K399" s="18" t="str">
        <f>_xlfn.XLOOKUP(tblMaster[[#This Row],[Customer_ID]],tblCustomers[Customer_ID],tblCustomers[City],"Not Found",0)</f>
        <v>Bhopal</v>
      </c>
      <c r="L399" s="18" t="str">
        <f>_xlfn.XLOOKUP(tblMaster[[#This Row],[Customer_ID]],tblCustomers[Customer_ID],tblCustomers[Name],"Not Found",0)</f>
        <v>Mohanlal Garde</v>
      </c>
      <c r="M399" s="18" t="str">
        <f>_xlfn.XLOOKUP(tblMaster[[#This Row],[Customer_ID]],tblCustomers[Customer_ID],tblCustomers[Gender],"Not Found",0)</f>
        <v>Male</v>
      </c>
      <c r="N399" s="18" t="str">
        <f>_xlfn.XLOOKUP(tblMaster[[#This Row],[Product_ID]],tblProducts[Product_ID],tblProducts[Product_Name],"Not Found",0)</f>
        <v>Occaecati Gift</v>
      </c>
      <c r="O399" s="18" t="str">
        <f>_xlfn.XLOOKUP(tblMaster[[#This Row],[Product_ID]],tblProducts[Product_ID],tblProducts[Category],"Not Found",0)</f>
        <v>Cake</v>
      </c>
      <c r="P399" s="18" t="str">
        <f>_xlfn.XLOOKUP(tblMaster[[#This Row],[Product_ID]],tblProducts[Product_ID],tblProducts[Occasion],"Not Found",0)</f>
        <v>Anniversary</v>
      </c>
      <c r="Q399" s="18">
        <f>_xlfn.XLOOKUP(tblMaster[[#This Row],[Product_ID]],tblProducts[Product_ID],tblProducts[Price (INR)],"Not Found",0)</f>
        <v>1236</v>
      </c>
      <c r="R399" s="19">
        <f>tblMaster[[#This Row],[Price]]*tblMaster[[#This Row],[Quantity]]</f>
        <v>1236</v>
      </c>
      <c r="S399" s="19">
        <f>tblMaster[[#This Row],[Price]]*0.7*tblMaster[[#This Row],[Quantity]]</f>
        <v>865.19999999999993</v>
      </c>
      <c r="T399" s="19">
        <f>tblMaster[[#This Row],[Revenue]]-tblMaster[[#This Row],[Estimated Cost (at 70%) ]]</f>
        <v>370.80000000000007</v>
      </c>
      <c r="U399" s="19">
        <f>tblMaster[[#This Row],[Profit]]/tblMaster[[#This Row],[Revenue]]</f>
        <v>0.30000000000000004</v>
      </c>
      <c r="V399" s="19">
        <f>tblMaster[[#This Row],[Delivery_Date]]-tblMaster[[#This Row],[Order_Date]]</f>
        <v>10</v>
      </c>
      <c r="W399" s="19" t="str">
        <f>TEXT(tblMaster[[#This Row],[Order_Date]],"mmmm")</f>
        <v>May</v>
      </c>
      <c r="X399" s="19">
        <f>MONTH(tblMaster[[#This Row],[Order_Date]])</f>
        <v>5</v>
      </c>
      <c r="Y399" s="19" t="str">
        <f>"Q"&amp;ROUNDUP(tblMaster[[#This Row],[Month Number]]/3,0)</f>
        <v>Q2</v>
      </c>
      <c r="Z399" s="19">
        <f>YEAR(tblMaster[[#This Row],[Order_Date]])</f>
        <v>2023</v>
      </c>
      <c r="AA399" s="19" t="str">
        <f>TEXT(DAY(tblMaster[[#This Row],[Order_Date]]),"dddd")</f>
        <v>Thursday</v>
      </c>
      <c r="AB399" s="19" t="str">
        <f>IF(tblMaster[[#This Row],[Revenue]]&gt;=5000,"High",IF(tblMaster[[#This Row],[Revenue]]&lt;2000,"Low","Medium"))</f>
        <v>Low</v>
      </c>
    </row>
    <row r="400" spans="1:28" x14ac:dyDescent="0.25">
      <c r="A400" s="7">
        <v>399</v>
      </c>
      <c r="B400" s="7" t="s">
        <v>289</v>
      </c>
      <c r="C400" s="4">
        <v>68</v>
      </c>
      <c r="D400" s="4">
        <v>1</v>
      </c>
      <c r="E400" s="8">
        <v>44965</v>
      </c>
      <c r="F400" s="9">
        <v>0.26512731481481483</v>
      </c>
      <c r="G400" s="8">
        <v>44972</v>
      </c>
      <c r="H400" s="9">
        <v>0.29738425925925926</v>
      </c>
      <c r="I400" s="7" t="s">
        <v>399</v>
      </c>
      <c r="J400" s="7" t="s">
        <v>12</v>
      </c>
      <c r="K400" s="18" t="str">
        <f>_xlfn.XLOOKUP(tblMaster[[#This Row],[Customer_ID]],tblCustomers[Customer_ID],tblCustomers[City],"Not Found",0)</f>
        <v>Chinsurah</v>
      </c>
      <c r="L400" s="18" t="str">
        <f>_xlfn.XLOOKUP(tblMaster[[#This Row],[Customer_ID]],tblCustomers[Customer_ID],tblCustomers[Name],"Not Found",0)</f>
        <v>Veer Ray</v>
      </c>
      <c r="M400" s="18" t="str">
        <f>_xlfn.XLOOKUP(tblMaster[[#This Row],[Customer_ID]],tblCustomers[Customer_ID],tblCustomers[Gender],"Not Found",0)</f>
        <v>Female</v>
      </c>
      <c r="N400" s="18" t="str">
        <f>_xlfn.XLOOKUP(tblMaster[[#This Row],[Product_ID]],tblProducts[Product_ID],tblProducts[Product_Name],"Not Found",0)</f>
        <v>Quas Gift</v>
      </c>
      <c r="O400" s="18" t="str">
        <f>_xlfn.XLOOKUP(tblMaster[[#This Row],[Product_ID]],tblProducts[Product_ID],tblProducts[Category],"Not Found",0)</f>
        <v>Soft Toys</v>
      </c>
      <c r="P400" s="18" t="str">
        <f>_xlfn.XLOOKUP(tblMaster[[#This Row],[Product_ID]],tblProducts[Product_ID],tblProducts[Occasion],"Not Found",0)</f>
        <v>Valentine's Day</v>
      </c>
      <c r="Q400" s="18">
        <f>_xlfn.XLOOKUP(tblMaster[[#This Row],[Product_ID]],tblProducts[Product_ID],tblProducts[Price (INR)],"Not Found",0)</f>
        <v>597</v>
      </c>
      <c r="R400" s="19">
        <f>tblMaster[[#This Row],[Price]]*tblMaster[[#This Row],[Quantity]]</f>
        <v>597</v>
      </c>
      <c r="S400" s="19">
        <f>tblMaster[[#This Row],[Price]]*0.7*tblMaster[[#This Row],[Quantity]]</f>
        <v>417.9</v>
      </c>
      <c r="T400" s="19">
        <f>tblMaster[[#This Row],[Revenue]]-tblMaster[[#This Row],[Estimated Cost (at 70%) ]]</f>
        <v>179.10000000000002</v>
      </c>
      <c r="U400" s="19">
        <f>tblMaster[[#This Row],[Profit]]/tblMaster[[#This Row],[Revenue]]</f>
        <v>0.30000000000000004</v>
      </c>
      <c r="V400" s="19">
        <f>tblMaster[[#This Row],[Delivery_Date]]-tblMaster[[#This Row],[Order_Date]]</f>
        <v>7</v>
      </c>
      <c r="W400" s="19" t="str">
        <f>TEXT(tblMaster[[#This Row],[Order_Date]],"mmmm")</f>
        <v>February</v>
      </c>
      <c r="X400" s="19">
        <f>MONTH(tblMaster[[#This Row],[Order_Date]])</f>
        <v>2</v>
      </c>
      <c r="Y400" s="19" t="str">
        <f>"Q"&amp;ROUNDUP(tblMaster[[#This Row],[Month Number]]/3,0)</f>
        <v>Q1</v>
      </c>
      <c r="Z400" s="19">
        <f>YEAR(tblMaster[[#This Row],[Order_Date]])</f>
        <v>2023</v>
      </c>
      <c r="AA400" s="19" t="str">
        <f>TEXT(DAY(tblMaster[[#This Row],[Order_Date]]),"dddd")</f>
        <v>Sunday</v>
      </c>
      <c r="AB400" s="19" t="str">
        <f>IF(tblMaster[[#This Row],[Revenue]]&gt;=5000,"High",IF(tblMaster[[#This Row],[Revenue]]&lt;2000,"Low","Medium"))</f>
        <v>Low</v>
      </c>
    </row>
    <row r="401" spans="1:28" x14ac:dyDescent="0.25">
      <c r="A401" s="10">
        <v>400</v>
      </c>
      <c r="B401" s="10" t="s">
        <v>333</v>
      </c>
      <c r="C401" s="5">
        <v>45</v>
      </c>
      <c r="D401" s="5">
        <v>3</v>
      </c>
      <c r="E401" s="11">
        <v>45053</v>
      </c>
      <c r="F401" s="12">
        <v>0.58681712962962962</v>
      </c>
      <c r="G401" s="11">
        <v>45061</v>
      </c>
      <c r="H401" s="12">
        <v>0.75755787037037037</v>
      </c>
      <c r="I401" s="10" t="s">
        <v>356</v>
      </c>
      <c r="J401" s="10" t="s">
        <v>36</v>
      </c>
      <c r="K401" s="18" t="str">
        <f>_xlfn.XLOOKUP(tblMaster[[#This Row],[Customer_ID]],tblCustomers[Customer_ID],tblCustomers[City],"Not Found",0)</f>
        <v>Raurkela Industrial Township</v>
      </c>
      <c r="L401" s="18" t="str">
        <f>_xlfn.XLOOKUP(tblMaster[[#This Row],[Customer_ID]],tblCustomers[Customer_ID],tblCustomers[Name],"Not Found",0)</f>
        <v>Aaryahi Sodhi</v>
      </c>
      <c r="M401" s="18" t="str">
        <f>_xlfn.XLOOKUP(tblMaster[[#This Row],[Customer_ID]],tblCustomers[Customer_ID],tblCustomers[Gender],"Not Found",0)</f>
        <v>Male</v>
      </c>
      <c r="N401" s="18" t="str">
        <f>_xlfn.XLOOKUP(tblMaster[[#This Row],[Product_ID]],tblProducts[Product_ID],tblProducts[Product_Name],"Not Found",0)</f>
        <v>Iusto Set</v>
      </c>
      <c r="O401" s="18" t="str">
        <f>_xlfn.XLOOKUP(tblMaster[[#This Row],[Product_ID]],tblProducts[Product_ID],tblProducts[Category],"Not Found",0)</f>
        <v>Raksha Bandhan</v>
      </c>
      <c r="P401" s="18" t="str">
        <f>_xlfn.XLOOKUP(tblMaster[[#This Row],[Product_ID]],tblProducts[Product_ID],tblProducts[Occasion],"Not Found",0)</f>
        <v>Birthday</v>
      </c>
      <c r="Q401" s="18">
        <f>_xlfn.XLOOKUP(tblMaster[[#This Row],[Product_ID]],tblProducts[Product_ID],tblProducts[Price (INR)],"Not Found",0)</f>
        <v>722</v>
      </c>
      <c r="R401" s="19">
        <f>tblMaster[[#This Row],[Price]]*tblMaster[[#This Row],[Quantity]]</f>
        <v>2166</v>
      </c>
      <c r="S401" s="19">
        <f>tblMaster[[#This Row],[Price]]*0.7*tblMaster[[#This Row],[Quantity]]</f>
        <v>1516.1999999999998</v>
      </c>
      <c r="T401" s="19">
        <f>tblMaster[[#This Row],[Revenue]]-tblMaster[[#This Row],[Estimated Cost (at 70%) ]]</f>
        <v>649.80000000000018</v>
      </c>
      <c r="U401" s="19">
        <f>tblMaster[[#This Row],[Profit]]/tblMaster[[#This Row],[Revenue]]</f>
        <v>0.3000000000000001</v>
      </c>
      <c r="V401" s="19">
        <f>tblMaster[[#This Row],[Delivery_Date]]-tblMaster[[#This Row],[Order_Date]]</f>
        <v>8</v>
      </c>
      <c r="W401" s="19" t="str">
        <f>TEXT(tblMaster[[#This Row],[Order_Date]],"mmmm")</f>
        <v>May</v>
      </c>
      <c r="X401" s="19">
        <f>MONTH(tblMaster[[#This Row],[Order_Date]])</f>
        <v>5</v>
      </c>
      <c r="Y401" s="19" t="str">
        <f>"Q"&amp;ROUNDUP(tblMaster[[#This Row],[Month Number]]/3,0)</f>
        <v>Q2</v>
      </c>
      <c r="Z401" s="19">
        <f>YEAR(tblMaster[[#This Row],[Order_Date]])</f>
        <v>2023</v>
      </c>
      <c r="AA401" s="19" t="str">
        <f>TEXT(DAY(tblMaster[[#This Row],[Order_Date]]),"dddd")</f>
        <v>Saturday</v>
      </c>
      <c r="AB401" s="19" t="str">
        <f>IF(tblMaster[[#This Row],[Revenue]]&gt;=5000,"High",IF(tblMaster[[#This Row],[Revenue]]&lt;2000,"Low","Medium"))</f>
        <v>Medium</v>
      </c>
    </row>
    <row r="402" spans="1:28" x14ac:dyDescent="0.25">
      <c r="A402" s="7">
        <v>401</v>
      </c>
      <c r="B402" s="7" t="s">
        <v>402</v>
      </c>
      <c r="C402" s="4">
        <v>9</v>
      </c>
      <c r="D402" s="4">
        <v>5</v>
      </c>
      <c r="E402" s="8">
        <v>45167</v>
      </c>
      <c r="F402" s="9">
        <v>0.82885416666666667</v>
      </c>
      <c r="G402" s="8">
        <v>45173</v>
      </c>
      <c r="H402" s="9">
        <v>0.30494212962962963</v>
      </c>
      <c r="I402" s="7" t="s">
        <v>352</v>
      </c>
      <c r="J402" s="7" t="s">
        <v>33</v>
      </c>
      <c r="K402" s="18" t="str">
        <f>_xlfn.XLOOKUP(tblMaster[[#This Row],[Customer_ID]],tblCustomers[Customer_ID],tblCustomers[City],"Not Found",0)</f>
        <v>Nellore</v>
      </c>
      <c r="L402" s="18" t="str">
        <f>_xlfn.XLOOKUP(tblMaster[[#This Row],[Customer_ID]],tblCustomers[Customer_ID],tblCustomers[Name],"Not Found",0)</f>
        <v>Oorja Dey</v>
      </c>
      <c r="M402" s="18" t="str">
        <f>_xlfn.XLOOKUP(tblMaster[[#This Row],[Customer_ID]],tblCustomers[Customer_ID],tblCustomers[Gender],"Not Found",0)</f>
        <v>Female</v>
      </c>
      <c r="N402" s="18" t="str">
        <f>_xlfn.XLOOKUP(tblMaster[[#This Row],[Product_ID]],tblProducts[Product_ID],tblProducts[Product_Name],"Not Found",0)</f>
        <v>Aperiam Box</v>
      </c>
      <c r="O402" s="18" t="str">
        <f>_xlfn.XLOOKUP(tblMaster[[#This Row],[Product_ID]],tblProducts[Product_ID],tblProducts[Category],"Not Found",0)</f>
        <v>Colors</v>
      </c>
      <c r="P402" s="18" t="str">
        <f>_xlfn.XLOOKUP(tblMaster[[#This Row],[Product_ID]],tblProducts[Product_ID],tblProducts[Occasion],"Not Found",0)</f>
        <v>Raksha Bandhan</v>
      </c>
      <c r="Q402" s="18">
        <f>_xlfn.XLOOKUP(tblMaster[[#This Row],[Product_ID]],tblProducts[Product_ID],tblProducts[Price (INR)],"Not Found",0)</f>
        <v>1605</v>
      </c>
      <c r="R402" s="19">
        <f>tblMaster[[#This Row],[Price]]*tblMaster[[#This Row],[Quantity]]</f>
        <v>8025</v>
      </c>
      <c r="S402" s="19">
        <f>tblMaster[[#This Row],[Price]]*0.7*tblMaster[[#This Row],[Quantity]]</f>
        <v>5617.5</v>
      </c>
      <c r="T402" s="19">
        <f>tblMaster[[#This Row],[Revenue]]-tblMaster[[#This Row],[Estimated Cost (at 70%) ]]</f>
        <v>2407.5</v>
      </c>
      <c r="U402" s="19">
        <f>tblMaster[[#This Row],[Profit]]/tblMaster[[#This Row],[Revenue]]</f>
        <v>0.3</v>
      </c>
      <c r="V402" s="19">
        <f>tblMaster[[#This Row],[Delivery_Date]]-tblMaster[[#This Row],[Order_Date]]</f>
        <v>6</v>
      </c>
      <c r="W402" s="19" t="str">
        <f>TEXT(tblMaster[[#This Row],[Order_Date]],"mmmm")</f>
        <v>August</v>
      </c>
      <c r="X402" s="19">
        <f>MONTH(tblMaster[[#This Row],[Order_Date]])</f>
        <v>8</v>
      </c>
      <c r="Y402" s="19" t="str">
        <f>"Q"&amp;ROUNDUP(tblMaster[[#This Row],[Month Number]]/3,0)</f>
        <v>Q3</v>
      </c>
      <c r="Z402" s="19">
        <f>YEAR(tblMaster[[#This Row],[Order_Date]])</f>
        <v>2023</v>
      </c>
      <c r="AA402" s="19" t="str">
        <f>TEXT(DAY(tblMaster[[#This Row],[Order_Date]]),"dddd")</f>
        <v>Sunday</v>
      </c>
      <c r="AB402" s="19" t="str">
        <f>IF(tblMaster[[#This Row],[Revenue]]&gt;=5000,"High",IF(tblMaster[[#This Row],[Revenue]]&lt;2000,"Low","Medium"))</f>
        <v>High</v>
      </c>
    </row>
    <row r="403" spans="1:28" x14ac:dyDescent="0.25">
      <c r="A403" s="10">
        <v>402</v>
      </c>
      <c r="B403" s="10" t="s">
        <v>166</v>
      </c>
      <c r="C403" s="5">
        <v>29</v>
      </c>
      <c r="D403" s="5">
        <v>1</v>
      </c>
      <c r="E403" s="11">
        <v>44990</v>
      </c>
      <c r="F403" s="12">
        <v>0.69616898148148143</v>
      </c>
      <c r="G403" s="11">
        <v>44993</v>
      </c>
      <c r="H403" s="12">
        <v>0.5644675925925926</v>
      </c>
      <c r="I403" s="10" t="s">
        <v>275</v>
      </c>
      <c r="J403" s="10" t="s">
        <v>25</v>
      </c>
      <c r="K403" s="18" t="str">
        <f>_xlfn.XLOOKUP(tblMaster[[#This Row],[Customer_ID]],tblCustomers[Customer_ID],tblCustomers[City],"Not Found",0)</f>
        <v>Davanagere</v>
      </c>
      <c r="L403" s="18" t="str">
        <f>_xlfn.XLOOKUP(tblMaster[[#This Row],[Customer_ID]],tblCustomers[Customer_ID],tblCustomers[Name],"Not Found",0)</f>
        <v>Aradhya Kumar</v>
      </c>
      <c r="M403" s="18" t="str">
        <f>_xlfn.XLOOKUP(tblMaster[[#This Row],[Customer_ID]],tblCustomers[Customer_ID],tblCustomers[Gender],"Not Found",0)</f>
        <v>Male</v>
      </c>
      <c r="N403" s="18" t="str">
        <f>_xlfn.XLOOKUP(tblMaster[[#This Row],[Product_ID]],tblProducts[Product_ID],tblProducts[Product_Name],"Not Found",0)</f>
        <v>In Set</v>
      </c>
      <c r="O403" s="18" t="str">
        <f>_xlfn.XLOOKUP(tblMaster[[#This Row],[Product_ID]],tblProducts[Product_ID],tblProducts[Category],"Not Found",0)</f>
        <v>Colors</v>
      </c>
      <c r="P403" s="18" t="str">
        <f>_xlfn.XLOOKUP(tblMaster[[#This Row],[Product_ID]],tblProducts[Product_ID],tblProducts[Occasion],"Not Found",0)</f>
        <v>Holi</v>
      </c>
      <c r="Q403" s="18">
        <f>_xlfn.XLOOKUP(tblMaster[[#This Row],[Product_ID]],tblProducts[Product_ID],tblProducts[Price (INR)],"Not Found",0)</f>
        <v>1252</v>
      </c>
      <c r="R403" s="19">
        <f>tblMaster[[#This Row],[Price]]*tblMaster[[#This Row],[Quantity]]</f>
        <v>1252</v>
      </c>
      <c r="S403" s="19">
        <f>tblMaster[[#This Row],[Price]]*0.7*tblMaster[[#This Row],[Quantity]]</f>
        <v>876.4</v>
      </c>
      <c r="T403" s="19">
        <f>tblMaster[[#This Row],[Revenue]]-tblMaster[[#This Row],[Estimated Cost (at 70%) ]]</f>
        <v>375.6</v>
      </c>
      <c r="U403" s="19">
        <f>tblMaster[[#This Row],[Profit]]/tblMaster[[#This Row],[Revenue]]</f>
        <v>0.30000000000000004</v>
      </c>
      <c r="V403" s="19">
        <f>tblMaster[[#This Row],[Delivery_Date]]-tblMaster[[#This Row],[Order_Date]]</f>
        <v>3</v>
      </c>
      <c r="W403" s="19" t="str">
        <f>TEXT(tblMaster[[#This Row],[Order_Date]],"mmmm")</f>
        <v>March</v>
      </c>
      <c r="X403" s="19">
        <f>MONTH(tblMaster[[#This Row],[Order_Date]])</f>
        <v>3</v>
      </c>
      <c r="Y403" s="19" t="str">
        <f>"Q"&amp;ROUNDUP(tblMaster[[#This Row],[Month Number]]/3,0)</f>
        <v>Q1</v>
      </c>
      <c r="Z403" s="19">
        <f>YEAR(tblMaster[[#This Row],[Order_Date]])</f>
        <v>2023</v>
      </c>
      <c r="AA403" s="19" t="str">
        <f>TEXT(DAY(tblMaster[[#This Row],[Order_Date]]),"dddd")</f>
        <v>Thursday</v>
      </c>
      <c r="AB403" s="19" t="str">
        <f>IF(tblMaster[[#This Row],[Revenue]]&gt;=5000,"High",IF(tblMaster[[#This Row],[Revenue]]&lt;2000,"Low","Medium"))</f>
        <v>Low</v>
      </c>
    </row>
    <row r="404" spans="1:28" x14ac:dyDescent="0.25">
      <c r="A404" s="7">
        <v>403</v>
      </c>
      <c r="B404" s="7" t="s">
        <v>321</v>
      </c>
      <c r="C404" s="4">
        <v>57</v>
      </c>
      <c r="D404" s="4">
        <v>1</v>
      </c>
      <c r="E404" s="8">
        <v>44932</v>
      </c>
      <c r="F404" s="9">
        <v>0.4899074074074074</v>
      </c>
      <c r="G404" s="8">
        <v>44942</v>
      </c>
      <c r="H404" s="9">
        <v>0.84266203703703701</v>
      </c>
      <c r="I404" s="7" t="s">
        <v>491</v>
      </c>
      <c r="J404" s="7" t="s">
        <v>36</v>
      </c>
      <c r="K404" s="18" t="str">
        <f>_xlfn.XLOOKUP(tblMaster[[#This Row],[Customer_ID]],tblCustomers[Customer_ID],tblCustomers[City],"Not Found",0)</f>
        <v>Aligarh</v>
      </c>
      <c r="L404" s="18" t="str">
        <f>_xlfn.XLOOKUP(tblMaster[[#This Row],[Customer_ID]],tblCustomers[Customer_ID],tblCustomers[Name],"Not Found",0)</f>
        <v>Yashvi Bansal</v>
      </c>
      <c r="M404" s="18" t="str">
        <f>_xlfn.XLOOKUP(tblMaster[[#This Row],[Customer_ID]],tblCustomers[Customer_ID],tblCustomers[Gender],"Not Found",0)</f>
        <v>Female</v>
      </c>
      <c r="N404" s="18" t="str">
        <f>_xlfn.XLOOKUP(tblMaster[[#This Row],[Product_ID]],tblProducts[Product_ID],tblProducts[Product_Name],"Not Found",0)</f>
        <v>Voluptatem Box</v>
      </c>
      <c r="O404" s="18" t="str">
        <f>_xlfn.XLOOKUP(tblMaster[[#This Row],[Product_ID]],tblProducts[Product_ID],tblProducts[Category],"Not Found",0)</f>
        <v>Colors</v>
      </c>
      <c r="P404" s="18" t="str">
        <f>_xlfn.XLOOKUP(tblMaster[[#This Row],[Product_ID]],tblProducts[Product_ID],tblProducts[Occasion],"Not Found",0)</f>
        <v>Birthday</v>
      </c>
      <c r="Q404" s="18">
        <f>_xlfn.XLOOKUP(tblMaster[[#This Row],[Product_ID]],tblProducts[Product_ID],tblProducts[Price (INR)],"Not Found",0)</f>
        <v>1582</v>
      </c>
      <c r="R404" s="19">
        <f>tblMaster[[#This Row],[Price]]*tblMaster[[#This Row],[Quantity]]</f>
        <v>1582</v>
      </c>
      <c r="S404" s="19">
        <f>tblMaster[[#This Row],[Price]]*0.7*tblMaster[[#This Row],[Quantity]]</f>
        <v>1107.3999999999999</v>
      </c>
      <c r="T404" s="19">
        <f>tblMaster[[#This Row],[Revenue]]-tblMaster[[#This Row],[Estimated Cost (at 70%) ]]</f>
        <v>474.60000000000014</v>
      </c>
      <c r="U404" s="19">
        <f>tblMaster[[#This Row],[Profit]]/tblMaster[[#This Row],[Revenue]]</f>
        <v>0.3000000000000001</v>
      </c>
      <c r="V404" s="19">
        <f>tblMaster[[#This Row],[Delivery_Date]]-tblMaster[[#This Row],[Order_Date]]</f>
        <v>10</v>
      </c>
      <c r="W404" s="19" t="str">
        <f>TEXT(tblMaster[[#This Row],[Order_Date]],"mmmm")</f>
        <v>January</v>
      </c>
      <c r="X404" s="19">
        <f>MONTH(tblMaster[[#This Row],[Order_Date]])</f>
        <v>1</v>
      </c>
      <c r="Y404" s="19" t="str">
        <f>"Q"&amp;ROUNDUP(tblMaster[[#This Row],[Month Number]]/3,0)</f>
        <v>Q1</v>
      </c>
      <c r="Z404" s="19">
        <f>YEAR(tblMaster[[#This Row],[Order_Date]])</f>
        <v>2023</v>
      </c>
      <c r="AA404" s="19" t="str">
        <f>TEXT(DAY(tblMaster[[#This Row],[Order_Date]]),"dddd")</f>
        <v>Friday</v>
      </c>
      <c r="AB404" s="19" t="str">
        <f>IF(tblMaster[[#This Row],[Revenue]]&gt;=5000,"High",IF(tblMaster[[#This Row],[Revenue]]&lt;2000,"Low","Medium"))</f>
        <v>Low</v>
      </c>
    </row>
    <row r="405" spans="1:28" x14ac:dyDescent="0.25">
      <c r="A405" s="10">
        <v>404</v>
      </c>
      <c r="B405" s="10" t="s">
        <v>224</v>
      </c>
      <c r="C405" s="5">
        <v>21</v>
      </c>
      <c r="D405" s="5">
        <v>5</v>
      </c>
      <c r="E405" s="11">
        <v>45160</v>
      </c>
      <c r="F405" s="12">
        <v>0.3300925925925926</v>
      </c>
      <c r="G405" s="11">
        <v>45162</v>
      </c>
      <c r="H405" s="12">
        <v>0.93563657407407408</v>
      </c>
      <c r="I405" s="10" t="s">
        <v>476</v>
      </c>
      <c r="J405" s="10" t="s">
        <v>33</v>
      </c>
      <c r="K405" s="18" t="str">
        <f>_xlfn.XLOOKUP(tblMaster[[#This Row],[Customer_ID]],tblCustomers[Customer_ID],tblCustomers[City],"Not Found",0)</f>
        <v>Imphal</v>
      </c>
      <c r="L405" s="18" t="str">
        <f>_xlfn.XLOOKUP(tblMaster[[#This Row],[Customer_ID]],tblCustomers[Customer_ID],tblCustomers[Name],"Not Found",0)</f>
        <v>Umang Luthra</v>
      </c>
      <c r="M405" s="18" t="str">
        <f>_xlfn.XLOOKUP(tblMaster[[#This Row],[Customer_ID]],tblCustomers[Customer_ID],tblCustomers[Gender],"Not Found",0)</f>
        <v>Male</v>
      </c>
      <c r="N405" s="18" t="str">
        <f>_xlfn.XLOOKUP(tblMaster[[#This Row],[Product_ID]],tblProducts[Product_ID],tblProducts[Product_Name],"Not Found",0)</f>
        <v>Quia Gift</v>
      </c>
      <c r="O405" s="18" t="str">
        <f>_xlfn.XLOOKUP(tblMaster[[#This Row],[Product_ID]],tblProducts[Product_ID],tblProducts[Category],"Not Found",0)</f>
        <v>Colors</v>
      </c>
      <c r="P405" s="18" t="str">
        <f>_xlfn.XLOOKUP(tblMaster[[#This Row],[Product_ID]],tblProducts[Product_ID],tblProducts[Occasion],"Not Found",0)</f>
        <v>Raksha Bandhan</v>
      </c>
      <c r="Q405" s="18">
        <f>_xlfn.XLOOKUP(tblMaster[[#This Row],[Product_ID]],tblProducts[Product_ID],tblProducts[Price (INR)],"Not Found",0)</f>
        <v>1561</v>
      </c>
      <c r="R405" s="19">
        <f>tblMaster[[#This Row],[Price]]*tblMaster[[#This Row],[Quantity]]</f>
        <v>7805</v>
      </c>
      <c r="S405" s="19">
        <f>tblMaster[[#This Row],[Price]]*0.7*tblMaster[[#This Row],[Quantity]]</f>
        <v>5463.4999999999991</v>
      </c>
      <c r="T405" s="19">
        <f>tblMaster[[#This Row],[Revenue]]-tblMaster[[#This Row],[Estimated Cost (at 70%) ]]</f>
        <v>2341.5000000000009</v>
      </c>
      <c r="U405" s="19">
        <f>tblMaster[[#This Row],[Profit]]/tblMaster[[#This Row],[Revenue]]</f>
        <v>0.3000000000000001</v>
      </c>
      <c r="V405" s="19">
        <f>tblMaster[[#This Row],[Delivery_Date]]-tblMaster[[#This Row],[Order_Date]]</f>
        <v>2</v>
      </c>
      <c r="W405" s="19" t="str">
        <f>TEXT(tblMaster[[#This Row],[Order_Date]],"mmmm")</f>
        <v>August</v>
      </c>
      <c r="X405" s="19">
        <f>MONTH(tblMaster[[#This Row],[Order_Date]])</f>
        <v>8</v>
      </c>
      <c r="Y405" s="19" t="str">
        <f>"Q"&amp;ROUNDUP(tblMaster[[#This Row],[Month Number]]/3,0)</f>
        <v>Q3</v>
      </c>
      <c r="Z405" s="19">
        <f>YEAR(tblMaster[[#This Row],[Order_Date]])</f>
        <v>2023</v>
      </c>
      <c r="AA405" s="19" t="str">
        <f>TEXT(DAY(tblMaster[[#This Row],[Order_Date]]),"dddd")</f>
        <v>Sunday</v>
      </c>
      <c r="AB405" s="19" t="str">
        <f>IF(tblMaster[[#This Row],[Revenue]]&gt;=5000,"High",IF(tblMaster[[#This Row],[Revenue]]&lt;2000,"Low","Medium"))</f>
        <v>High</v>
      </c>
    </row>
    <row r="406" spans="1:28" x14ac:dyDescent="0.25">
      <c r="A406" s="7">
        <v>405</v>
      </c>
      <c r="B406" s="7" t="s">
        <v>272</v>
      </c>
      <c r="C406" s="4">
        <v>49</v>
      </c>
      <c r="D406" s="4">
        <v>1</v>
      </c>
      <c r="E406" s="8">
        <v>44967</v>
      </c>
      <c r="F406" s="9">
        <v>0.96196759259259257</v>
      </c>
      <c r="G406" s="8">
        <v>44975</v>
      </c>
      <c r="H406" s="9">
        <v>0.61641203703703706</v>
      </c>
      <c r="I406" s="7" t="s">
        <v>173</v>
      </c>
      <c r="J406" s="7" t="s">
        <v>12</v>
      </c>
      <c r="K406" s="18" t="str">
        <f>_xlfn.XLOOKUP(tblMaster[[#This Row],[Customer_ID]],tblCustomers[Customer_ID],tblCustomers[City],"Not Found",0)</f>
        <v>Indore</v>
      </c>
      <c r="L406" s="18" t="str">
        <f>_xlfn.XLOOKUP(tblMaster[[#This Row],[Customer_ID]],tblCustomers[Customer_ID],tblCustomers[Name],"Not Found",0)</f>
        <v>Suhana Kurian</v>
      </c>
      <c r="M406" s="18" t="str">
        <f>_xlfn.XLOOKUP(tblMaster[[#This Row],[Customer_ID]],tblCustomers[Customer_ID],tblCustomers[Gender],"Not Found",0)</f>
        <v>Female</v>
      </c>
      <c r="N406" s="18" t="str">
        <f>_xlfn.XLOOKUP(tblMaster[[#This Row],[Product_ID]],tblProducts[Product_ID],tblProducts[Product_Name],"Not Found",0)</f>
        <v>Voluptate Pack</v>
      </c>
      <c r="O406" s="18" t="str">
        <f>_xlfn.XLOOKUP(tblMaster[[#This Row],[Product_ID]],tblProducts[Product_ID],tblProducts[Category],"Not Found",0)</f>
        <v>Colors</v>
      </c>
      <c r="P406" s="18" t="str">
        <f>_xlfn.XLOOKUP(tblMaster[[#This Row],[Product_ID]],tblProducts[Product_ID],tblProducts[Occasion],"Not Found",0)</f>
        <v>Valentine's Day</v>
      </c>
      <c r="Q406" s="18">
        <f>_xlfn.XLOOKUP(tblMaster[[#This Row],[Product_ID]],tblProducts[Product_ID],tblProducts[Price (INR)],"Not Found",0)</f>
        <v>903</v>
      </c>
      <c r="R406" s="19">
        <f>tblMaster[[#This Row],[Price]]*tblMaster[[#This Row],[Quantity]]</f>
        <v>903</v>
      </c>
      <c r="S406" s="19">
        <f>tblMaster[[#This Row],[Price]]*0.7*tblMaster[[#This Row],[Quantity]]</f>
        <v>632.09999999999991</v>
      </c>
      <c r="T406" s="19">
        <f>tblMaster[[#This Row],[Revenue]]-tblMaster[[#This Row],[Estimated Cost (at 70%) ]]</f>
        <v>270.90000000000009</v>
      </c>
      <c r="U406" s="19">
        <f>tblMaster[[#This Row],[Profit]]/tblMaster[[#This Row],[Revenue]]</f>
        <v>0.3000000000000001</v>
      </c>
      <c r="V406" s="19">
        <f>tblMaster[[#This Row],[Delivery_Date]]-tblMaster[[#This Row],[Order_Date]]</f>
        <v>8</v>
      </c>
      <c r="W406" s="19" t="str">
        <f>TEXT(tblMaster[[#This Row],[Order_Date]],"mmmm")</f>
        <v>February</v>
      </c>
      <c r="X406" s="19">
        <f>MONTH(tblMaster[[#This Row],[Order_Date]])</f>
        <v>2</v>
      </c>
      <c r="Y406" s="19" t="str">
        <f>"Q"&amp;ROUNDUP(tblMaster[[#This Row],[Month Number]]/3,0)</f>
        <v>Q1</v>
      </c>
      <c r="Z406" s="19">
        <f>YEAR(tblMaster[[#This Row],[Order_Date]])</f>
        <v>2023</v>
      </c>
      <c r="AA406" s="19" t="str">
        <f>TEXT(DAY(tblMaster[[#This Row],[Order_Date]]),"dddd")</f>
        <v>Tuesday</v>
      </c>
      <c r="AB406" s="19" t="str">
        <f>IF(tblMaster[[#This Row],[Revenue]]&gt;=5000,"High",IF(tblMaster[[#This Row],[Revenue]]&lt;2000,"Low","Medium"))</f>
        <v>Low</v>
      </c>
    </row>
    <row r="407" spans="1:28" x14ac:dyDescent="0.25">
      <c r="A407" s="10">
        <v>406</v>
      </c>
      <c r="B407" s="10" t="s">
        <v>367</v>
      </c>
      <c r="C407" s="5">
        <v>55</v>
      </c>
      <c r="D407" s="5">
        <v>4</v>
      </c>
      <c r="E407" s="11">
        <v>45163</v>
      </c>
      <c r="F407" s="12">
        <v>0.66616898148148151</v>
      </c>
      <c r="G407" s="11">
        <v>45171</v>
      </c>
      <c r="H407" s="12">
        <v>0.26658564814814817</v>
      </c>
      <c r="I407" s="10" t="s">
        <v>393</v>
      </c>
      <c r="J407" s="10" t="s">
        <v>33</v>
      </c>
      <c r="K407" s="18" t="str">
        <f>_xlfn.XLOOKUP(tblMaster[[#This Row],[Customer_ID]],tblCustomers[Customer_ID],tblCustomers[City],"Not Found",0)</f>
        <v>Imphal</v>
      </c>
      <c r="L407" s="18" t="str">
        <f>_xlfn.XLOOKUP(tblMaster[[#This Row],[Customer_ID]],tblCustomers[Customer_ID],tblCustomers[Name],"Not Found",0)</f>
        <v>Aarush Balasubramanian</v>
      </c>
      <c r="M407" s="18" t="str">
        <f>_xlfn.XLOOKUP(tblMaster[[#This Row],[Customer_ID]],tblCustomers[Customer_ID],tblCustomers[Gender],"Not Found",0)</f>
        <v>Female</v>
      </c>
      <c r="N407" s="18" t="str">
        <f>_xlfn.XLOOKUP(tblMaster[[#This Row],[Product_ID]],tblProducts[Product_ID],tblProducts[Product_Name],"Not Found",0)</f>
        <v>Dolores Gift</v>
      </c>
      <c r="O407" s="18" t="str">
        <f>_xlfn.XLOOKUP(tblMaster[[#This Row],[Product_ID]],tblProducts[Product_ID],tblProducts[Category],"Not Found",0)</f>
        <v>Soft Toys</v>
      </c>
      <c r="P407" s="18" t="str">
        <f>_xlfn.XLOOKUP(tblMaster[[#This Row],[Product_ID]],tblProducts[Product_ID],tblProducts[Occasion],"Not Found",0)</f>
        <v>Raksha Bandhan</v>
      </c>
      <c r="Q407" s="18">
        <f>_xlfn.XLOOKUP(tblMaster[[#This Row],[Product_ID]],tblProducts[Product_ID],tblProducts[Price (INR)],"Not Found",0)</f>
        <v>1904</v>
      </c>
      <c r="R407" s="19">
        <f>tblMaster[[#This Row],[Price]]*tblMaster[[#This Row],[Quantity]]</f>
        <v>7616</v>
      </c>
      <c r="S407" s="19">
        <f>tblMaster[[#This Row],[Price]]*0.7*tblMaster[[#This Row],[Quantity]]</f>
        <v>5331.2</v>
      </c>
      <c r="T407" s="19">
        <f>tblMaster[[#This Row],[Revenue]]-tblMaster[[#This Row],[Estimated Cost (at 70%) ]]</f>
        <v>2284.8000000000002</v>
      </c>
      <c r="U407" s="19">
        <f>tblMaster[[#This Row],[Profit]]/tblMaster[[#This Row],[Revenue]]</f>
        <v>0.30000000000000004</v>
      </c>
      <c r="V407" s="19">
        <f>tblMaster[[#This Row],[Delivery_Date]]-tblMaster[[#This Row],[Order_Date]]</f>
        <v>8</v>
      </c>
      <c r="W407" s="19" t="str">
        <f>TEXT(tblMaster[[#This Row],[Order_Date]],"mmmm")</f>
        <v>August</v>
      </c>
      <c r="X407" s="19">
        <f>MONTH(tblMaster[[#This Row],[Order_Date]])</f>
        <v>8</v>
      </c>
      <c r="Y407" s="19" t="str">
        <f>"Q"&amp;ROUNDUP(tblMaster[[#This Row],[Month Number]]/3,0)</f>
        <v>Q3</v>
      </c>
      <c r="Z407" s="19">
        <f>YEAR(tblMaster[[#This Row],[Order_Date]])</f>
        <v>2023</v>
      </c>
      <c r="AA407" s="19" t="str">
        <f>TEXT(DAY(tblMaster[[#This Row],[Order_Date]]),"dddd")</f>
        <v>Wednesday</v>
      </c>
      <c r="AB407" s="19" t="str">
        <f>IF(tblMaster[[#This Row],[Revenue]]&gt;=5000,"High",IF(tblMaster[[#This Row],[Revenue]]&lt;2000,"Low","Medium"))</f>
        <v>High</v>
      </c>
    </row>
    <row r="408" spans="1:28" x14ac:dyDescent="0.25">
      <c r="A408" s="7">
        <v>407</v>
      </c>
      <c r="B408" s="7" t="s">
        <v>267</v>
      </c>
      <c r="C408" s="4">
        <v>69</v>
      </c>
      <c r="D408" s="4">
        <v>3</v>
      </c>
      <c r="E408" s="8">
        <v>44983</v>
      </c>
      <c r="F408" s="9">
        <v>0.36957175925925928</v>
      </c>
      <c r="G408" s="8">
        <v>44985</v>
      </c>
      <c r="H408" s="9">
        <v>0.17342592592592593</v>
      </c>
      <c r="I408" s="7" t="s">
        <v>249</v>
      </c>
      <c r="J408" s="7" t="s">
        <v>25</v>
      </c>
      <c r="K408" s="18" t="str">
        <f>_xlfn.XLOOKUP(tblMaster[[#This Row],[Customer_ID]],tblCustomers[Customer_ID],tblCustomers[City],"Not Found",0)</f>
        <v>Sultan Pur Majra</v>
      </c>
      <c r="L408" s="18" t="str">
        <f>_xlfn.XLOOKUP(tblMaster[[#This Row],[Customer_ID]],tblCustomers[Customer_ID],tblCustomers[Name],"Not Found",0)</f>
        <v>Vanya Apte</v>
      </c>
      <c r="M408" s="18" t="str">
        <f>_xlfn.XLOOKUP(tblMaster[[#This Row],[Customer_ID]],tblCustomers[Customer_ID],tblCustomers[Gender],"Not Found",0)</f>
        <v>Female</v>
      </c>
      <c r="N408" s="18" t="str">
        <f>_xlfn.XLOOKUP(tblMaster[[#This Row],[Product_ID]],tblProducts[Product_ID],tblProducts[Product_Name],"Not Found",0)</f>
        <v>Id Box</v>
      </c>
      <c r="O408" s="18" t="str">
        <f>_xlfn.XLOOKUP(tblMaster[[#This Row],[Product_ID]],tblProducts[Product_ID],tblProducts[Category],"Not Found",0)</f>
        <v>Cake</v>
      </c>
      <c r="P408" s="18" t="str">
        <f>_xlfn.XLOOKUP(tblMaster[[#This Row],[Product_ID]],tblProducts[Product_ID],tblProducts[Occasion],"Not Found",0)</f>
        <v>Holi</v>
      </c>
      <c r="Q408" s="18">
        <f>_xlfn.XLOOKUP(tblMaster[[#This Row],[Product_ID]],tblProducts[Product_ID],tblProducts[Price (INR)],"Not Found",0)</f>
        <v>998</v>
      </c>
      <c r="R408" s="19">
        <f>tblMaster[[#This Row],[Price]]*tblMaster[[#This Row],[Quantity]]</f>
        <v>2994</v>
      </c>
      <c r="S408" s="19">
        <f>tblMaster[[#This Row],[Price]]*0.7*tblMaster[[#This Row],[Quantity]]</f>
        <v>2095.7999999999997</v>
      </c>
      <c r="T408" s="19">
        <f>tblMaster[[#This Row],[Revenue]]-tblMaster[[#This Row],[Estimated Cost (at 70%) ]]</f>
        <v>898.20000000000027</v>
      </c>
      <c r="U408" s="19">
        <f>tblMaster[[#This Row],[Profit]]/tblMaster[[#This Row],[Revenue]]</f>
        <v>0.3000000000000001</v>
      </c>
      <c r="V408" s="19">
        <f>tblMaster[[#This Row],[Delivery_Date]]-tblMaster[[#This Row],[Order_Date]]</f>
        <v>2</v>
      </c>
      <c r="W408" s="19" t="str">
        <f>TEXT(tblMaster[[#This Row],[Order_Date]],"mmmm")</f>
        <v>February</v>
      </c>
      <c r="X408" s="19">
        <f>MONTH(tblMaster[[#This Row],[Order_Date]])</f>
        <v>2</v>
      </c>
      <c r="Y408" s="19" t="str">
        <f>"Q"&amp;ROUNDUP(tblMaster[[#This Row],[Month Number]]/3,0)</f>
        <v>Q1</v>
      </c>
      <c r="Z408" s="19">
        <f>YEAR(tblMaster[[#This Row],[Order_Date]])</f>
        <v>2023</v>
      </c>
      <c r="AA408" s="19" t="str">
        <f>TEXT(DAY(tblMaster[[#This Row],[Order_Date]]),"dddd")</f>
        <v>Thursday</v>
      </c>
      <c r="AB408" s="19" t="str">
        <f>IF(tblMaster[[#This Row],[Revenue]]&gt;=5000,"High",IF(tblMaster[[#This Row],[Revenue]]&lt;2000,"Low","Medium"))</f>
        <v>Medium</v>
      </c>
    </row>
    <row r="409" spans="1:28" x14ac:dyDescent="0.25">
      <c r="A409" s="10">
        <v>408</v>
      </c>
      <c r="B409" s="10" t="s">
        <v>213</v>
      </c>
      <c r="C409" s="5">
        <v>31</v>
      </c>
      <c r="D409" s="5">
        <v>2</v>
      </c>
      <c r="E409" s="11">
        <v>44990</v>
      </c>
      <c r="F409" s="12">
        <v>0.51349537037037041</v>
      </c>
      <c r="G409" s="11">
        <v>44996</v>
      </c>
      <c r="H409" s="12">
        <v>0.1955787037037037</v>
      </c>
      <c r="I409" s="10" t="s">
        <v>241</v>
      </c>
      <c r="J409" s="10" t="s">
        <v>8</v>
      </c>
      <c r="K409" s="18" t="str">
        <f>_xlfn.XLOOKUP(tblMaster[[#This Row],[Customer_ID]],tblCustomers[Customer_ID],tblCustomers[City],"Not Found",0)</f>
        <v>Jamnagar</v>
      </c>
      <c r="L409" s="18" t="str">
        <f>_xlfn.XLOOKUP(tblMaster[[#This Row],[Customer_ID]],tblCustomers[Customer_ID],tblCustomers[Name],"Not Found",0)</f>
        <v>Arhaan Ahluwalia</v>
      </c>
      <c r="M409" s="18" t="str">
        <f>_xlfn.XLOOKUP(tblMaster[[#This Row],[Customer_ID]],tblCustomers[Customer_ID],tblCustomers[Gender],"Not Found",0)</f>
        <v>Male</v>
      </c>
      <c r="N409" s="18" t="str">
        <f>_xlfn.XLOOKUP(tblMaster[[#This Row],[Product_ID]],tblProducts[Product_ID],tblProducts[Product_Name],"Not Found",0)</f>
        <v>Nihil Box</v>
      </c>
      <c r="O409" s="18" t="str">
        <f>_xlfn.XLOOKUP(tblMaster[[#This Row],[Product_ID]],tblProducts[Product_ID],tblProducts[Category],"Not Found",0)</f>
        <v>Colors</v>
      </c>
      <c r="P409" s="18" t="str">
        <f>_xlfn.XLOOKUP(tblMaster[[#This Row],[Product_ID]],tblProducts[Product_ID],tblProducts[Occasion],"Not Found",0)</f>
        <v>All Occasions</v>
      </c>
      <c r="Q409" s="18">
        <f>_xlfn.XLOOKUP(tblMaster[[#This Row],[Product_ID]],tblProducts[Product_ID],tblProducts[Price (INR)],"Not Found",0)</f>
        <v>1804</v>
      </c>
      <c r="R409" s="19">
        <f>tblMaster[[#This Row],[Price]]*tblMaster[[#This Row],[Quantity]]</f>
        <v>3608</v>
      </c>
      <c r="S409" s="19">
        <f>tblMaster[[#This Row],[Price]]*0.7*tblMaster[[#This Row],[Quantity]]</f>
        <v>2525.6</v>
      </c>
      <c r="T409" s="19">
        <f>tblMaster[[#This Row],[Revenue]]-tblMaster[[#This Row],[Estimated Cost (at 70%) ]]</f>
        <v>1082.4000000000001</v>
      </c>
      <c r="U409" s="19">
        <f>tblMaster[[#This Row],[Profit]]/tblMaster[[#This Row],[Revenue]]</f>
        <v>0.30000000000000004</v>
      </c>
      <c r="V409" s="19">
        <f>tblMaster[[#This Row],[Delivery_Date]]-tblMaster[[#This Row],[Order_Date]]</f>
        <v>6</v>
      </c>
      <c r="W409" s="19" t="str">
        <f>TEXT(tblMaster[[#This Row],[Order_Date]],"mmmm")</f>
        <v>March</v>
      </c>
      <c r="X409" s="19">
        <f>MONTH(tblMaster[[#This Row],[Order_Date]])</f>
        <v>3</v>
      </c>
      <c r="Y409" s="19" t="str">
        <f>"Q"&amp;ROUNDUP(tblMaster[[#This Row],[Month Number]]/3,0)</f>
        <v>Q1</v>
      </c>
      <c r="Z409" s="19">
        <f>YEAR(tblMaster[[#This Row],[Order_Date]])</f>
        <v>2023</v>
      </c>
      <c r="AA409" s="19" t="str">
        <f>TEXT(DAY(tblMaster[[#This Row],[Order_Date]]),"dddd")</f>
        <v>Thursday</v>
      </c>
      <c r="AB409" s="19" t="str">
        <f>IF(tblMaster[[#This Row],[Revenue]]&gt;=5000,"High",IF(tblMaster[[#This Row],[Revenue]]&lt;2000,"Low","Medium"))</f>
        <v>Medium</v>
      </c>
    </row>
    <row r="410" spans="1:28" x14ac:dyDescent="0.25">
      <c r="A410" s="7">
        <v>409</v>
      </c>
      <c r="B410" s="7" t="s">
        <v>367</v>
      </c>
      <c r="C410" s="4">
        <v>50</v>
      </c>
      <c r="D410" s="4">
        <v>4</v>
      </c>
      <c r="E410" s="8">
        <v>44983</v>
      </c>
      <c r="F410" s="9">
        <v>0.73887731481481478</v>
      </c>
      <c r="G410" s="8">
        <v>44985</v>
      </c>
      <c r="H410" s="9">
        <v>0.8228819444444444</v>
      </c>
      <c r="I410" s="7" t="s">
        <v>194</v>
      </c>
      <c r="J410" s="7" t="s">
        <v>25</v>
      </c>
      <c r="K410" s="18" t="str">
        <f>_xlfn.XLOOKUP(tblMaster[[#This Row],[Customer_ID]],tblCustomers[Customer_ID],tblCustomers[City],"Not Found",0)</f>
        <v>Imphal</v>
      </c>
      <c r="L410" s="18" t="str">
        <f>_xlfn.XLOOKUP(tblMaster[[#This Row],[Customer_ID]],tblCustomers[Customer_ID],tblCustomers[Name],"Not Found",0)</f>
        <v>Aarush Balasubramanian</v>
      </c>
      <c r="M410" s="18" t="str">
        <f>_xlfn.XLOOKUP(tblMaster[[#This Row],[Customer_ID]],tblCustomers[Customer_ID],tblCustomers[Gender],"Not Found",0)</f>
        <v>Female</v>
      </c>
      <c r="N410" s="18" t="str">
        <f>_xlfn.XLOOKUP(tblMaster[[#This Row],[Product_ID]],tblProducts[Product_ID],tblProducts[Product_Name],"Not Found",0)</f>
        <v>Eligendi Set</v>
      </c>
      <c r="O410" s="18" t="str">
        <f>_xlfn.XLOOKUP(tblMaster[[#This Row],[Product_ID]],tblProducts[Product_ID],tblProducts[Category],"Not Found",0)</f>
        <v>Plants</v>
      </c>
      <c r="P410" s="18" t="str">
        <f>_xlfn.XLOOKUP(tblMaster[[#This Row],[Product_ID]],tblProducts[Product_ID],tblProducts[Occasion],"Not Found",0)</f>
        <v>Holi</v>
      </c>
      <c r="Q410" s="18">
        <f>_xlfn.XLOOKUP(tblMaster[[#This Row],[Product_ID]],tblProducts[Product_ID],tblProducts[Price (INR)],"Not Found",0)</f>
        <v>422</v>
      </c>
      <c r="R410" s="19">
        <f>tblMaster[[#This Row],[Price]]*tblMaster[[#This Row],[Quantity]]</f>
        <v>1688</v>
      </c>
      <c r="S410" s="19">
        <f>tblMaster[[#This Row],[Price]]*0.7*tblMaster[[#This Row],[Quantity]]</f>
        <v>1181.5999999999999</v>
      </c>
      <c r="T410" s="19">
        <f>tblMaster[[#This Row],[Revenue]]-tblMaster[[#This Row],[Estimated Cost (at 70%) ]]</f>
        <v>506.40000000000009</v>
      </c>
      <c r="U410" s="19">
        <f>tblMaster[[#This Row],[Profit]]/tblMaster[[#This Row],[Revenue]]</f>
        <v>0.30000000000000004</v>
      </c>
      <c r="V410" s="19">
        <f>tblMaster[[#This Row],[Delivery_Date]]-tblMaster[[#This Row],[Order_Date]]</f>
        <v>2</v>
      </c>
      <c r="W410" s="19" t="str">
        <f>TEXT(tblMaster[[#This Row],[Order_Date]],"mmmm")</f>
        <v>February</v>
      </c>
      <c r="X410" s="19">
        <f>MONTH(tblMaster[[#This Row],[Order_Date]])</f>
        <v>2</v>
      </c>
      <c r="Y410" s="19" t="str">
        <f>"Q"&amp;ROUNDUP(tblMaster[[#This Row],[Month Number]]/3,0)</f>
        <v>Q1</v>
      </c>
      <c r="Z410" s="19">
        <f>YEAR(tblMaster[[#This Row],[Order_Date]])</f>
        <v>2023</v>
      </c>
      <c r="AA410" s="19" t="str">
        <f>TEXT(DAY(tblMaster[[#This Row],[Order_Date]]),"dddd")</f>
        <v>Thursday</v>
      </c>
      <c r="AB410" s="19" t="str">
        <f>IF(tblMaster[[#This Row],[Revenue]]&gt;=5000,"High",IF(tblMaster[[#This Row],[Revenue]]&lt;2000,"Low","Medium"))</f>
        <v>Low</v>
      </c>
    </row>
    <row r="411" spans="1:28" x14ac:dyDescent="0.25">
      <c r="A411" s="10">
        <v>410</v>
      </c>
      <c r="B411" s="10" t="s">
        <v>492</v>
      </c>
      <c r="C411" s="5">
        <v>24</v>
      </c>
      <c r="D411" s="5">
        <v>1</v>
      </c>
      <c r="E411" s="11">
        <v>44927</v>
      </c>
      <c r="F411" s="12">
        <v>0.84778935185185189</v>
      </c>
      <c r="G411" s="11">
        <v>44928</v>
      </c>
      <c r="H411" s="12">
        <v>0.2479861111111111</v>
      </c>
      <c r="I411" s="10" t="s">
        <v>493</v>
      </c>
      <c r="J411" s="10" t="s">
        <v>36</v>
      </c>
      <c r="K411" s="18" t="str">
        <f>_xlfn.XLOOKUP(tblMaster[[#This Row],[Customer_ID]],tblCustomers[Customer_ID],tblCustomers[City],"Not Found",0)</f>
        <v>Singrauli</v>
      </c>
      <c r="L411" s="18" t="str">
        <f>_xlfn.XLOOKUP(tblMaster[[#This Row],[Customer_ID]],tblCustomers[Customer_ID],tblCustomers[Name],"Not Found",0)</f>
        <v>Ira Bava</v>
      </c>
      <c r="M411" s="18" t="str">
        <f>_xlfn.XLOOKUP(tblMaster[[#This Row],[Customer_ID]],tblCustomers[Customer_ID],tblCustomers[Gender],"Not Found",0)</f>
        <v>Female</v>
      </c>
      <c r="N411" s="18" t="str">
        <f>_xlfn.XLOOKUP(tblMaster[[#This Row],[Product_ID]],tblProducts[Product_ID],tblProducts[Product_Name],"Not Found",0)</f>
        <v>Ad Box</v>
      </c>
      <c r="O411" s="18" t="str">
        <f>_xlfn.XLOOKUP(tblMaster[[#This Row],[Product_ID]],tblProducts[Product_ID],tblProducts[Category],"Not Found",0)</f>
        <v>Mugs</v>
      </c>
      <c r="P411" s="18" t="str">
        <f>_xlfn.XLOOKUP(tblMaster[[#This Row],[Product_ID]],tblProducts[Product_ID],tblProducts[Occasion],"Not Found",0)</f>
        <v>Birthday</v>
      </c>
      <c r="Q411" s="18">
        <f>_xlfn.XLOOKUP(tblMaster[[#This Row],[Product_ID]],tblProducts[Product_ID],tblProducts[Price (INR)],"Not Found",0)</f>
        <v>535</v>
      </c>
      <c r="R411" s="19">
        <f>tblMaster[[#This Row],[Price]]*tblMaster[[#This Row],[Quantity]]</f>
        <v>535</v>
      </c>
      <c r="S411" s="19">
        <f>tblMaster[[#This Row],[Price]]*0.7*tblMaster[[#This Row],[Quantity]]</f>
        <v>374.5</v>
      </c>
      <c r="T411" s="19">
        <f>tblMaster[[#This Row],[Revenue]]-tblMaster[[#This Row],[Estimated Cost (at 70%) ]]</f>
        <v>160.5</v>
      </c>
      <c r="U411" s="19">
        <f>tblMaster[[#This Row],[Profit]]/tblMaster[[#This Row],[Revenue]]</f>
        <v>0.3</v>
      </c>
      <c r="V411" s="19">
        <f>tblMaster[[#This Row],[Delivery_Date]]-tblMaster[[#This Row],[Order_Date]]</f>
        <v>1</v>
      </c>
      <c r="W411" s="19" t="str">
        <f>TEXT(tblMaster[[#This Row],[Order_Date]],"mmmm")</f>
        <v>January</v>
      </c>
      <c r="X411" s="19">
        <f>MONTH(tblMaster[[#This Row],[Order_Date]])</f>
        <v>1</v>
      </c>
      <c r="Y411" s="19" t="str">
        <f>"Q"&amp;ROUNDUP(tblMaster[[#This Row],[Month Number]]/3,0)</f>
        <v>Q1</v>
      </c>
      <c r="Z411" s="19">
        <f>YEAR(tblMaster[[#This Row],[Order_Date]])</f>
        <v>2023</v>
      </c>
      <c r="AA411" s="19" t="str">
        <f>TEXT(DAY(tblMaster[[#This Row],[Order_Date]]),"dddd")</f>
        <v>Sunday</v>
      </c>
      <c r="AB411" s="19" t="str">
        <f>IF(tblMaster[[#This Row],[Revenue]]&gt;=5000,"High",IF(tblMaster[[#This Row],[Revenue]]&lt;2000,"Low","Medium"))</f>
        <v>Low</v>
      </c>
    </row>
    <row r="412" spans="1:28" x14ac:dyDescent="0.25">
      <c r="A412" s="7">
        <v>411</v>
      </c>
      <c r="B412" s="7" t="s">
        <v>239</v>
      </c>
      <c r="C412" s="4">
        <v>48</v>
      </c>
      <c r="D412" s="4">
        <v>1</v>
      </c>
      <c r="E412" s="8">
        <v>45235</v>
      </c>
      <c r="F412" s="9">
        <v>0.68858796296296299</v>
      </c>
      <c r="G412" s="8">
        <v>45238</v>
      </c>
      <c r="H412" s="9">
        <v>0.30655092592592592</v>
      </c>
      <c r="I412" s="7" t="s">
        <v>428</v>
      </c>
      <c r="J412" s="7" t="s">
        <v>19</v>
      </c>
      <c r="K412" s="18" t="str">
        <f>_xlfn.XLOOKUP(tblMaster[[#This Row],[Customer_ID]],tblCustomers[Customer_ID],tblCustomers[City],"Not Found",0)</f>
        <v>Karimnagar</v>
      </c>
      <c r="L412" s="18" t="str">
        <f>_xlfn.XLOOKUP(tblMaster[[#This Row],[Customer_ID]],tblCustomers[Customer_ID],tblCustomers[Name],"Not Found",0)</f>
        <v>Rania Mann</v>
      </c>
      <c r="M412" s="18" t="str">
        <f>_xlfn.XLOOKUP(tblMaster[[#This Row],[Customer_ID]],tblCustomers[Customer_ID],tblCustomers[Gender],"Not Found",0)</f>
        <v>Female</v>
      </c>
      <c r="N412" s="18" t="str">
        <f>_xlfn.XLOOKUP(tblMaster[[#This Row],[Product_ID]],tblProducts[Product_ID],tblProducts[Product_Name],"Not Found",0)</f>
        <v>Maiores Gift</v>
      </c>
      <c r="O412" s="18" t="str">
        <f>_xlfn.XLOOKUP(tblMaster[[#This Row],[Product_ID]],tblProducts[Product_ID],tblProducts[Category],"Not Found",0)</f>
        <v>Colors</v>
      </c>
      <c r="P412" s="18" t="str">
        <f>_xlfn.XLOOKUP(tblMaster[[#This Row],[Product_ID]],tblProducts[Product_ID],tblProducts[Occasion],"Not Found",0)</f>
        <v>Diwali</v>
      </c>
      <c r="Q412" s="18">
        <f>_xlfn.XLOOKUP(tblMaster[[#This Row],[Product_ID]],tblProducts[Product_ID],tblProducts[Price (INR)],"Not Found",0)</f>
        <v>433</v>
      </c>
      <c r="R412" s="19">
        <f>tblMaster[[#This Row],[Price]]*tblMaster[[#This Row],[Quantity]]</f>
        <v>433</v>
      </c>
      <c r="S412" s="19">
        <f>tblMaster[[#This Row],[Price]]*0.7*tblMaster[[#This Row],[Quantity]]</f>
        <v>303.09999999999997</v>
      </c>
      <c r="T412" s="19">
        <f>tblMaster[[#This Row],[Revenue]]-tblMaster[[#This Row],[Estimated Cost (at 70%) ]]</f>
        <v>129.90000000000003</v>
      </c>
      <c r="U412" s="19">
        <f>tblMaster[[#This Row],[Profit]]/tblMaster[[#This Row],[Revenue]]</f>
        <v>0.3000000000000001</v>
      </c>
      <c r="V412" s="19">
        <f>tblMaster[[#This Row],[Delivery_Date]]-tblMaster[[#This Row],[Order_Date]]</f>
        <v>3</v>
      </c>
      <c r="W412" s="19" t="str">
        <f>TEXT(tblMaster[[#This Row],[Order_Date]],"mmmm")</f>
        <v>November</v>
      </c>
      <c r="X412" s="19">
        <f>MONTH(tblMaster[[#This Row],[Order_Date]])</f>
        <v>11</v>
      </c>
      <c r="Y412" s="19" t="str">
        <f>"Q"&amp;ROUNDUP(tblMaster[[#This Row],[Month Number]]/3,0)</f>
        <v>Q4</v>
      </c>
      <c r="Z412" s="19">
        <f>YEAR(tblMaster[[#This Row],[Order_Date]])</f>
        <v>2023</v>
      </c>
      <c r="AA412" s="19" t="str">
        <f>TEXT(DAY(tblMaster[[#This Row],[Order_Date]]),"dddd")</f>
        <v>Thursday</v>
      </c>
      <c r="AB412" s="19" t="str">
        <f>IF(tblMaster[[#This Row],[Revenue]]&gt;=5000,"High",IF(tblMaster[[#This Row],[Revenue]]&lt;2000,"Low","Medium"))</f>
        <v>Low</v>
      </c>
    </row>
    <row r="413" spans="1:28" x14ac:dyDescent="0.25">
      <c r="A413" s="10">
        <v>412</v>
      </c>
      <c r="B413" s="10" t="s">
        <v>313</v>
      </c>
      <c r="C413" s="5">
        <v>67</v>
      </c>
      <c r="D413" s="5">
        <v>2</v>
      </c>
      <c r="E413" s="11">
        <v>45227</v>
      </c>
      <c r="F413" s="12">
        <v>0.3947222222222222</v>
      </c>
      <c r="G413" s="11">
        <v>45230</v>
      </c>
      <c r="H413" s="12">
        <v>0.96836805555555561</v>
      </c>
      <c r="I413" s="10" t="s">
        <v>474</v>
      </c>
      <c r="J413" s="10" t="s">
        <v>30</v>
      </c>
      <c r="K413" s="18" t="str">
        <f>_xlfn.XLOOKUP(tblMaster[[#This Row],[Customer_ID]],tblCustomers[Customer_ID],tblCustomers[City],"Not Found",0)</f>
        <v>Ratlam</v>
      </c>
      <c r="L413" s="18" t="str">
        <f>_xlfn.XLOOKUP(tblMaster[[#This Row],[Customer_ID]],tblCustomers[Customer_ID],tblCustomers[Name],"Not Found",0)</f>
        <v>Kaira Ramachandran</v>
      </c>
      <c r="M413" s="18" t="str">
        <f>_xlfn.XLOOKUP(tblMaster[[#This Row],[Customer_ID]],tblCustomers[Customer_ID],tblCustomers[Gender],"Not Found",0)</f>
        <v>Male</v>
      </c>
      <c r="N413" s="18" t="str">
        <f>_xlfn.XLOOKUP(tblMaster[[#This Row],[Product_ID]],tblProducts[Product_ID],tblProducts[Product_Name],"Not Found",0)</f>
        <v>Maiores Box</v>
      </c>
      <c r="O413" s="18" t="str">
        <f>_xlfn.XLOOKUP(tblMaster[[#This Row],[Product_ID]],tblProducts[Product_ID],tblProducts[Category],"Not Found",0)</f>
        <v>Raksha Bandhan</v>
      </c>
      <c r="P413" s="18" t="str">
        <f>_xlfn.XLOOKUP(tblMaster[[#This Row],[Product_ID]],tblProducts[Product_ID],tblProducts[Occasion],"Not Found",0)</f>
        <v>Anniversary</v>
      </c>
      <c r="Q413" s="18">
        <f>_xlfn.XLOOKUP(tblMaster[[#This Row],[Product_ID]],tblProducts[Product_ID],tblProducts[Price (INR)],"Not Found",0)</f>
        <v>1374</v>
      </c>
      <c r="R413" s="19">
        <f>tblMaster[[#This Row],[Price]]*tblMaster[[#This Row],[Quantity]]</f>
        <v>2748</v>
      </c>
      <c r="S413" s="19">
        <f>tblMaster[[#This Row],[Price]]*0.7*tblMaster[[#This Row],[Quantity]]</f>
        <v>1923.6</v>
      </c>
      <c r="T413" s="19">
        <f>tblMaster[[#This Row],[Revenue]]-tblMaster[[#This Row],[Estimated Cost (at 70%) ]]</f>
        <v>824.40000000000009</v>
      </c>
      <c r="U413" s="19">
        <f>tblMaster[[#This Row],[Profit]]/tblMaster[[#This Row],[Revenue]]</f>
        <v>0.30000000000000004</v>
      </c>
      <c r="V413" s="19">
        <f>tblMaster[[#This Row],[Delivery_Date]]-tblMaster[[#This Row],[Order_Date]]</f>
        <v>3</v>
      </c>
      <c r="W413" s="19" t="str">
        <f>TEXT(tblMaster[[#This Row],[Order_Date]],"mmmm")</f>
        <v>October</v>
      </c>
      <c r="X413" s="19">
        <f>MONTH(tblMaster[[#This Row],[Order_Date]])</f>
        <v>10</v>
      </c>
      <c r="Y413" s="19" t="str">
        <f>"Q"&amp;ROUNDUP(tblMaster[[#This Row],[Month Number]]/3,0)</f>
        <v>Q4</v>
      </c>
      <c r="Z413" s="19">
        <f>YEAR(tblMaster[[#This Row],[Order_Date]])</f>
        <v>2023</v>
      </c>
      <c r="AA413" s="19" t="str">
        <f>TEXT(DAY(tblMaster[[#This Row],[Order_Date]]),"dddd")</f>
        <v>Saturday</v>
      </c>
      <c r="AB413" s="19" t="str">
        <f>IF(tblMaster[[#This Row],[Revenue]]&gt;=5000,"High",IF(tblMaster[[#This Row],[Revenue]]&lt;2000,"Low","Medium"))</f>
        <v>Medium</v>
      </c>
    </row>
    <row r="414" spans="1:28" x14ac:dyDescent="0.25">
      <c r="A414" s="7">
        <v>413</v>
      </c>
      <c r="B414" s="7" t="s">
        <v>276</v>
      </c>
      <c r="C414" s="4">
        <v>59</v>
      </c>
      <c r="D414" s="4">
        <v>5</v>
      </c>
      <c r="E414" s="8">
        <v>45160</v>
      </c>
      <c r="F414" s="9">
        <v>0.23075231481481481</v>
      </c>
      <c r="G414" s="8">
        <v>45168</v>
      </c>
      <c r="H414" s="9">
        <v>0.84804398148148152</v>
      </c>
      <c r="I414" s="7" t="s">
        <v>351</v>
      </c>
      <c r="J414" s="7" t="s">
        <v>33</v>
      </c>
      <c r="K414" s="18" t="str">
        <f>_xlfn.XLOOKUP(tblMaster[[#This Row],[Customer_ID]],tblCustomers[Customer_ID],tblCustomers[City],"Not Found",0)</f>
        <v>Imphal</v>
      </c>
      <c r="L414" s="18" t="str">
        <f>_xlfn.XLOOKUP(tblMaster[[#This Row],[Customer_ID]],tblCustomers[Customer_ID],tblCustomers[Name],"Not Found",0)</f>
        <v>Chirag Srinivas</v>
      </c>
      <c r="M414" s="18" t="str">
        <f>_xlfn.XLOOKUP(tblMaster[[#This Row],[Customer_ID]],tblCustomers[Customer_ID],tblCustomers[Gender],"Not Found",0)</f>
        <v>Female</v>
      </c>
      <c r="N414" s="18" t="str">
        <f>_xlfn.XLOOKUP(tblMaster[[#This Row],[Product_ID]],tblProducts[Product_ID],tblProducts[Product_Name],"Not Found",0)</f>
        <v>Pariatur Box</v>
      </c>
      <c r="O414" s="18" t="str">
        <f>_xlfn.XLOOKUP(tblMaster[[#This Row],[Product_ID]],tblProducts[Product_ID],tblProducts[Category],"Not Found",0)</f>
        <v>Cake</v>
      </c>
      <c r="P414" s="18" t="str">
        <f>_xlfn.XLOOKUP(tblMaster[[#This Row],[Product_ID]],tblProducts[Product_ID],tblProducts[Occasion],"Not Found",0)</f>
        <v>Raksha Bandhan</v>
      </c>
      <c r="Q414" s="18">
        <f>_xlfn.XLOOKUP(tblMaster[[#This Row],[Product_ID]],tblProducts[Product_ID],tblProducts[Price (INR)],"Not Found",0)</f>
        <v>811</v>
      </c>
      <c r="R414" s="19">
        <f>tblMaster[[#This Row],[Price]]*tblMaster[[#This Row],[Quantity]]</f>
        <v>4055</v>
      </c>
      <c r="S414" s="19">
        <f>tblMaster[[#This Row],[Price]]*0.7*tblMaster[[#This Row],[Quantity]]</f>
        <v>2838.4999999999995</v>
      </c>
      <c r="T414" s="19">
        <f>tblMaster[[#This Row],[Revenue]]-tblMaster[[#This Row],[Estimated Cost (at 70%) ]]</f>
        <v>1216.5000000000005</v>
      </c>
      <c r="U414" s="19">
        <f>tblMaster[[#This Row],[Profit]]/tblMaster[[#This Row],[Revenue]]</f>
        <v>0.3000000000000001</v>
      </c>
      <c r="V414" s="19">
        <f>tblMaster[[#This Row],[Delivery_Date]]-tblMaster[[#This Row],[Order_Date]]</f>
        <v>8</v>
      </c>
      <c r="W414" s="19" t="str">
        <f>TEXT(tblMaster[[#This Row],[Order_Date]],"mmmm")</f>
        <v>August</v>
      </c>
      <c r="X414" s="19">
        <f>MONTH(tblMaster[[#This Row],[Order_Date]])</f>
        <v>8</v>
      </c>
      <c r="Y414" s="19" t="str">
        <f>"Q"&amp;ROUNDUP(tblMaster[[#This Row],[Month Number]]/3,0)</f>
        <v>Q3</v>
      </c>
      <c r="Z414" s="19">
        <f>YEAR(tblMaster[[#This Row],[Order_Date]])</f>
        <v>2023</v>
      </c>
      <c r="AA414" s="19" t="str">
        <f>TEXT(DAY(tblMaster[[#This Row],[Order_Date]]),"dddd")</f>
        <v>Sunday</v>
      </c>
      <c r="AB414" s="19" t="str">
        <f>IF(tblMaster[[#This Row],[Revenue]]&gt;=5000,"High",IF(tblMaster[[#This Row],[Revenue]]&lt;2000,"Low","Medium"))</f>
        <v>Medium</v>
      </c>
    </row>
    <row r="415" spans="1:28" x14ac:dyDescent="0.25">
      <c r="A415" s="10">
        <v>414</v>
      </c>
      <c r="B415" s="10" t="s">
        <v>480</v>
      </c>
      <c r="C415" s="5">
        <v>7</v>
      </c>
      <c r="D415" s="5">
        <v>4</v>
      </c>
      <c r="E415" s="11">
        <v>44985</v>
      </c>
      <c r="F415" s="12">
        <v>0.88762731481481483</v>
      </c>
      <c r="G415" s="11">
        <v>44992</v>
      </c>
      <c r="H415" s="12">
        <v>4.6886574074074074E-2</v>
      </c>
      <c r="I415" s="10" t="s">
        <v>389</v>
      </c>
      <c r="J415" s="10" t="s">
        <v>25</v>
      </c>
      <c r="K415" s="18" t="str">
        <f>_xlfn.XLOOKUP(tblMaster[[#This Row],[Customer_ID]],tblCustomers[Customer_ID],tblCustomers[City],"Not Found",0)</f>
        <v>Bhatpara</v>
      </c>
      <c r="L415" s="18" t="str">
        <f>_xlfn.XLOOKUP(tblMaster[[#This Row],[Customer_ID]],tblCustomers[Customer_ID],tblCustomers[Name],"Not Found",0)</f>
        <v>Hridaan Sood</v>
      </c>
      <c r="M415" s="18" t="str">
        <f>_xlfn.XLOOKUP(tblMaster[[#This Row],[Customer_ID]],tblCustomers[Customer_ID],tblCustomers[Gender],"Not Found",0)</f>
        <v>Male</v>
      </c>
      <c r="N415" s="18" t="str">
        <f>_xlfn.XLOOKUP(tblMaster[[#This Row],[Product_ID]],tblProducts[Product_ID],tblProducts[Product_Name],"Not Found",0)</f>
        <v>Quos Set</v>
      </c>
      <c r="O415" s="18" t="str">
        <f>_xlfn.XLOOKUP(tblMaster[[#This Row],[Product_ID]],tblProducts[Product_ID],tblProducts[Category],"Not Found",0)</f>
        <v>Soft Toys</v>
      </c>
      <c r="P415" s="18" t="str">
        <f>_xlfn.XLOOKUP(tblMaster[[#This Row],[Product_ID]],tblProducts[Product_ID],tblProducts[Occasion],"Not Found",0)</f>
        <v>Holi</v>
      </c>
      <c r="Q415" s="18">
        <f>_xlfn.XLOOKUP(tblMaster[[#This Row],[Product_ID]],tblProducts[Product_ID],tblProducts[Price (INR)],"Not Found",0)</f>
        <v>409</v>
      </c>
      <c r="R415" s="19">
        <f>tblMaster[[#This Row],[Price]]*tblMaster[[#This Row],[Quantity]]</f>
        <v>1636</v>
      </c>
      <c r="S415" s="19">
        <f>tblMaster[[#This Row],[Price]]*0.7*tblMaster[[#This Row],[Quantity]]</f>
        <v>1145.1999999999998</v>
      </c>
      <c r="T415" s="19">
        <f>tblMaster[[#This Row],[Revenue]]-tblMaster[[#This Row],[Estimated Cost (at 70%) ]]</f>
        <v>490.80000000000018</v>
      </c>
      <c r="U415" s="19">
        <f>tblMaster[[#This Row],[Profit]]/tblMaster[[#This Row],[Revenue]]</f>
        <v>0.3000000000000001</v>
      </c>
      <c r="V415" s="19">
        <f>tblMaster[[#This Row],[Delivery_Date]]-tblMaster[[#This Row],[Order_Date]]</f>
        <v>7</v>
      </c>
      <c r="W415" s="19" t="str">
        <f>TEXT(tblMaster[[#This Row],[Order_Date]],"mmmm")</f>
        <v>February</v>
      </c>
      <c r="X415" s="19">
        <f>MONTH(tblMaster[[#This Row],[Order_Date]])</f>
        <v>2</v>
      </c>
      <c r="Y415" s="19" t="str">
        <f>"Q"&amp;ROUNDUP(tblMaster[[#This Row],[Month Number]]/3,0)</f>
        <v>Q1</v>
      </c>
      <c r="Z415" s="19">
        <f>YEAR(tblMaster[[#This Row],[Order_Date]])</f>
        <v>2023</v>
      </c>
      <c r="AA415" s="19" t="str">
        <f>TEXT(DAY(tblMaster[[#This Row],[Order_Date]]),"dddd")</f>
        <v>Saturday</v>
      </c>
      <c r="AB415" s="19" t="str">
        <f>IF(tblMaster[[#This Row],[Revenue]]&gt;=5000,"High",IF(tblMaster[[#This Row],[Revenue]]&lt;2000,"Low","Medium"))</f>
        <v>Low</v>
      </c>
    </row>
    <row r="416" spans="1:28" x14ac:dyDescent="0.25">
      <c r="A416" s="7">
        <v>415</v>
      </c>
      <c r="B416" s="7" t="s">
        <v>185</v>
      </c>
      <c r="C416" s="4">
        <v>14</v>
      </c>
      <c r="D416" s="4">
        <v>4</v>
      </c>
      <c r="E416" s="8">
        <v>45085</v>
      </c>
      <c r="F416" s="9">
        <v>0.83923611111111107</v>
      </c>
      <c r="G416" s="8">
        <v>45087</v>
      </c>
      <c r="H416" s="9">
        <v>5.6203703703703707E-2</v>
      </c>
      <c r="I416" s="7" t="s">
        <v>407</v>
      </c>
      <c r="J416" s="7" t="s">
        <v>36</v>
      </c>
      <c r="K416" s="18" t="str">
        <f>_xlfn.XLOOKUP(tblMaster[[#This Row],[Customer_ID]],tblCustomers[Customer_ID],tblCustomers[City],"Not Found",0)</f>
        <v>North Dumdum</v>
      </c>
      <c r="L416" s="18" t="str">
        <f>_xlfn.XLOOKUP(tblMaster[[#This Row],[Customer_ID]],tblCustomers[Customer_ID],tblCustomers[Name],"Not Found",0)</f>
        <v>Badal Vora</v>
      </c>
      <c r="M416" s="18" t="str">
        <f>_xlfn.XLOOKUP(tblMaster[[#This Row],[Customer_ID]],tblCustomers[Customer_ID],tblCustomers[Gender],"Not Found",0)</f>
        <v>Male</v>
      </c>
      <c r="N416" s="18" t="str">
        <f>_xlfn.XLOOKUP(tblMaster[[#This Row],[Product_ID]],tblProducts[Product_ID],tblProducts[Product_Name],"Not Found",0)</f>
        <v>Deserunt Box</v>
      </c>
      <c r="O416" s="18" t="str">
        <f>_xlfn.XLOOKUP(tblMaster[[#This Row],[Product_ID]],tblProducts[Product_ID],tblProducts[Category],"Not Found",0)</f>
        <v>Colors</v>
      </c>
      <c r="P416" s="18" t="str">
        <f>_xlfn.XLOOKUP(tblMaster[[#This Row],[Product_ID]],tblProducts[Product_ID],tblProducts[Occasion],"Not Found",0)</f>
        <v>Birthday</v>
      </c>
      <c r="Q416" s="18">
        <f>_xlfn.XLOOKUP(tblMaster[[#This Row],[Product_ID]],tblProducts[Product_ID],tblProducts[Price (INR)],"Not Found",0)</f>
        <v>1915</v>
      </c>
      <c r="R416" s="19">
        <f>tblMaster[[#This Row],[Price]]*tblMaster[[#This Row],[Quantity]]</f>
        <v>7660</v>
      </c>
      <c r="S416" s="19">
        <f>tblMaster[[#This Row],[Price]]*0.7*tblMaster[[#This Row],[Quantity]]</f>
        <v>5362</v>
      </c>
      <c r="T416" s="19">
        <f>tblMaster[[#This Row],[Revenue]]-tblMaster[[#This Row],[Estimated Cost (at 70%) ]]</f>
        <v>2298</v>
      </c>
      <c r="U416" s="19">
        <f>tblMaster[[#This Row],[Profit]]/tblMaster[[#This Row],[Revenue]]</f>
        <v>0.3</v>
      </c>
      <c r="V416" s="19">
        <f>tblMaster[[#This Row],[Delivery_Date]]-tblMaster[[#This Row],[Order_Date]]</f>
        <v>2</v>
      </c>
      <c r="W416" s="19" t="str">
        <f>TEXT(tblMaster[[#This Row],[Order_Date]],"mmmm")</f>
        <v>June</v>
      </c>
      <c r="X416" s="19">
        <f>MONTH(tblMaster[[#This Row],[Order_Date]])</f>
        <v>6</v>
      </c>
      <c r="Y416" s="19" t="str">
        <f>"Q"&amp;ROUNDUP(tblMaster[[#This Row],[Month Number]]/3,0)</f>
        <v>Q2</v>
      </c>
      <c r="Z416" s="19">
        <f>YEAR(tblMaster[[#This Row],[Order_Date]])</f>
        <v>2023</v>
      </c>
      <c r="AA416" s="19" t="str">
        <f>TEXT(DAY(tblMaster[[#This Row],[Order_Date]]),"dddd")</f>
        <v>Sunday</v>
      </c>
      <c r="AB416" s="19" t="str">
        <f>IF(tblMaster[[#This Row],[Revenue]]&gt;=5000,"High",IF(tblMaster[[#This Row],[Revenue]]&lt;2000,"Low","Medium"))</f>
        <v>High</v>
      </c>
    </row>
    <row r="417" spans="1:28" x14ac:dyDescent="0.25">
      <c r="A417" s="10">
        <v>416</v>
      </c>
      <c r="B417" s="10" t="s">
        <v>239</v>
      </c>
      <c r="C417" s="5">
        <v>58</v>
      </c>
      <c r="D417" s="5">
        <v>5</v>
      </c>
      <c r="E417" s="11">
        <v>44969</v>
      </c>
      <c r="F417" s="12">
        <v>0.69516203703703705</v>
      </c>
      <c r="G417" s="11">
        <v>44974</v>
      </c>
      <c r="H417" s="12">
        <v>0.4007060185185185</v>
      </c>
      <c r="I417" s="10" t="s">
        <v>494</v>
      </c>
      <c r="J417" s="10" t="s">
        <v>12</v>
      </c>
      <c r="K417" s="18" t="str">
        <f>_xlfn.XLOOKUP(tblMaster[[#This Row],[Customer_ID]],tblCustomers[Customer_ID],tblCustomers[City],"Not Found",0)</f>
        <v>Karimnagar</v>
      </c>
      <c r="L417" s="18" t="str">
        <f>_xlfn.XLOOKUP(tblMaster[[#This Row],[Customer_ID]],tblCustomers[Customer_ID],tblCustomers[Name],"Not Found",0)</f>
        <v>Rania Mann</v>
      </c>
      <c r="M417" s="18" t="str">
        <f>_xlfn.XLOOKUP(tblMaster[[#This Row],[Customer_ID]],tblCustomers[Customer_ID],tblCustomers[Gender],"Not Found",0)</f>
        <v>Female</v>
      </c>
      <c r="N417" s="18" t="str">
        <f>_xlfn.XLOOKUP(tblMaster[[#This Row],[Product_ID]],tblProducts[Product_ID],tblProducts[Product_Name],"Not Found",0)</f>
        <v>Sed Pack</v>
      </c>
      <c r="O417" s="18" t="str">
        <f>_xlfn.XLOOKUP(tblMaster[[#This Row],[Product_ID]],tblProducts[Product_ID],tblProducts[Category],"Not Found",0)</f>
        <v>Cake</v>
      </c>
      <c r="P417" s="18" t="str">
        <f>_xlfn.XLOOKUP(tblMaster[[#This Row],[Product_ID]],tblProducts[Product_ID],tblProducts[Occasion],"Not Found",0)</f>
        <v>Valentine's Day</v>
      </c>
      <c r="Q417" s="18">
        <f>_xlfn.XLOOKUP(tblMaster[[#This Row],[Product_ID]],tblProducts[Product_ID],tblProducts[Price (INR)],"Not Found",0)</f>
        <v>1492</v>
      </c>
      <c r="R417" s="19">
        <f>tblMaster[[#This Row],[Price]]*tblMaster[[#This Row],[Quantity]]</f>
        <v>7460</v>
      </c>
      <c r="S417" s="19">
        <f>tblMaster[[#This Row],[Price]]*0.7*tblMaster[[#This Row],[Quantity]]</f>
        <v>5221.9999999999991</v>
      </c>
      <c r="T417" s="19">
        <f>tblMaster[[#This Row],[Revenue]]-tblMaster[[#This Row],[Estimated Cost (at 70%) ]]</f>
        <v>2238.0000000000009</v>
      </c>
      <c r="U417" s="19">
        <f>tblMaster[[#This Row],[Profit]]/tblMaster[[#This Row],[Revenue]]</f>
        <v>0.3000000000000001</v>
      </c>
      <c r="V417" s="19">
        <f>tblMaster[[#This Row],[Delivery_Date]]-tblMaster[[#This Row],[Order_Date]]</f>
        <v>5</v>
      </c>
      <c r="W417" s="19" t="str">
        <f>TEXT(tblMaster[[#This Row],[Order_Date]],"mmmm")</f>
        <v>February</v>
      </c>
      <c r="X417" s="19">
        <f>MONTH(tblMaster[[#This Row],[Order_Date]])</f>
        <v>2</v>
      </c>
      <c r="Y417" s="19" t="str">
        <f>"Q"&amp;ROUNDUP(tblMaster[[#This Row],[Month Number]]/3,0)</f>
        <v>Q1</v>
      </c>
      <c r="Z417" s="19">
        <f>YEAR(tblMaster[[#This Row],[Order_Date]])</f>
        <v>2023</v>
      </c>
      <c r="AA417" s="19" t="str">
        <f>TEXT(DAY(tblMaster[[#This Row],[Order_Date]]),"dddd")</f>
        <v>Thursday</v>
      </c>
      <c r="AB417" s="19" t="str">
        <f>IF(tblMaster[[#This Row],[Revenue]]&gt;=5000,"High",IF(tblMaster[[#This Row],[Revenue]]&lt;2000,"Low","Medium"))</f>
        <v>High</v>
      </c>
    </row>
    <row r="418" spans="1:28" x14ac:dyDescent="0.25">
      <c r="A418" s="7">
        <v>417</v>
      </c>
      <c r="B418" s="7" t="s">
        <v>400</v>
      </c>
      <c r="C418" s="4">
        <v>62</v>
      </c>
      <c r="D418" s="4">
        <v>4</v>
      </c>
      <c r="E418" s="8">
        <v>44992</v>
      </c>
      <c r="F418" s="9">
        <v>0.94490740740740742</v>
      </c>
      <c r="G418" s="8">
        <v>44996</v>
      </c>
      <c r="H418" s="9">
        <v>0.24760416666666665</v>
      </c>
      <c r="I418" s="7" t="s">
        <v>194</v>
      </c>
      <c r="J418" s="7" t="s">
        <v>25</v>
      </c>
      <c r="K418" s="18" t="str">
        <f>_xlfn.XLOOKUP(tblMaster[[#This Row],[Customer_ID]],tblCustomers[Customer_ID],tblCustomers[City],"Not Found",0)</f>
        <v>Miryalaguda</v>
      </c>
      <c r="L418" s="18" t="str">
        <f>_xlfn.XLOOKUP(tblMaster[[#This Row],[Customer_ID]],tblCustomers[Customer_ID],tblCustomers[Name],"Not Found",0)</f>
        <v>Tarini Bava</v>
      </c>
      <c r="M418" s="18" t="str">
        <f>_xlfn.XLOOKUP(tblMaster[[#This Row],[Customer_ID]],tblCustomers[Customer_ID],tblCustomers[Gender],"Not Found",0)</f>
        <v>Male</v>
      </c>
      <c r="N418" s="18" t="str">
        <f>_xlfn.XLOOKUP(tblMaster[[#This Row],[Product_ID]],tblProducts[Product_ID],tblProducts[Product_Name],"Not Found",0)</f>
        <v>Sed Set</v>
      </c>
      <c r="O418" s="18" t="str">
        <f>_xlfn.XLOOKUP(tblMaster[[#This Row],[Product_ID]],tblProducts[Product_ID],tblProducts[Category],"Not Found",0)</f>
        <v>Colors</v>
      </c>
      <c r="P418" s="18" t="str">
        <f>_xlfn.XLOOKUP(tblMaster[[#This Row],[Product_ID]],tblProducts[Product_ID],tblProducts[Occasion],"Not Found",0)</f>
        <v>Holi</v>
      </c>
      <c r="Q418" s="18">
        <f>_xlfn.XLOOKUP(tblMaster[[#This Row],[Product_ID]],tblProducts[Product_ID],tblProducts[Price (INR)],"Not Found",0)</f>
        <v>1356</v>
      </c>
      <c r="R418" s="19">
        <f>tblMaster[[#This Row],[Price]]*tblMaster[[#This Row],[Quantity]]</f>
        <v>5424</v>
      </c>
      <c r="S418" s="19">
        <f>tblMaster[[#This Row],[Price]]*0.7*tblMaster[[#This Row],[Quantity]]</f>
        <v>3796.7999999999997</v>
      </c>
      <c r="T418" s="19">
        <f>tblMaster[[#This Row],[Revenue]]-tblMaster[[#This Row],[Estimated Cost (at 70%) ]]</f>
        <v>1627.2000000000003</v>
      </c>
      <c r="U418" s="19">
        <f>tblMaster[[#This Row],[Profit]]/tblMaster[[#This Row],[Revenue]]</f>
        <v>0.30000000000000004</v>
      </c>
      <c r="V418" s="19">
        <f>tblMaster[[#This Row],[Delivery_Date]]-tblMaster[[#This Row],[Order_Date]]</f>
        <v>4</v>
      </c>
      <c r="W418" s="19" t="str">
        <f>TEXT(tblMaster[[#This Row],[Order_Date]],"mmmm")</f>
        <v>March</v>
      </c>
      <c r="X418" s="19">
        <f>MONTH(tblMaster[[#This Row],[Order_Date]])</f>
        <v>3</v>
      </c>
      <c r="Y418" s="19" t="str">
        <f>"Q"&amp;ROUNDUP(tblMaster[[#This Row],[Month Number]]/3,0)</f>
        <v>Q1</v>
      </c>
      <c r="Z418" s="19">
        <f>YEAR(tblMaster[[#This Row],[Order_Date]])</f>
        <v>2023</v>
      </c>
      <c r="AA418" s="19" t="str">
        <f>TEXT(DAY(tblMaster[[#This Row],[Order_Date]]),"dddd")</f>
        <v>Saturday</v>
      </c>
      <c r="AB418" s="19" t="str">
        <f>IF(tblMaster[[#This Row],[Revenue]]&gt;=5000,"High",IF(tblMaster[[#This Row],[Revenue]]&lt;2000,"Low","Medium"))</f>
        <v>High</v>
      </c>
    </row>
    <row r="419" spans="1:28" x14ac:dyDescent="0.25">
      <c r="A419" s="10">
        <v>418</v>
      </c>
      <c r="B419" s="10" t="s">
        <v>191</v>
      </c>
      <c r="C419" s="5">
        <v>64</v>
      </c>
      <c r="D419" s="5">
        <v>3</v>
      </c>
      <c r="E419" s="11">
        <v>45162</v>
      </c>
      <c r="F419" s="12">
        <v>0.55372685185185189</v>
      </c>
      <c r="G419" s="11">
        <v>45170</v>
      </c>
      <c r="H419" s="12">
        <v>0.4841435185185185</v>
      </c>
      <c r="I419" s="10" t="s">
        <v>495</v>
      </c>
      <c r="J419" s="10" t="s">
        <v>33</v>
      </c>
      <c r="K419" s="18" t="str">
        <f>_xlfn.XLOOKUP(tblMaster[[#This Row],[Customer_ID]],tblCustomers[Customer_ID],tblCustomers[City],"Not Found",0)</f>
        <v>Madhyamgram</v>
      </c>
      <c r="L419" s="18" t="str">
        <f>_xlfn.XLOOKUP(tblMaster[[#This Row],[Customer_ID]],tblCustomers[Customer_ID],tblCustomers[Name],"Not Found",0)</f>
        <v>Hunar Tripathi</v>
      </c>
      <c r="M419" s="18" t="str">
        <f>_xlfn.XLOOKUP(tblMaster[[#This Row],[Customer_ID]],tblCustomers[Customer_ID],tblCustomers[Gender],"Not Found",0)</f>
        <v>Female</v>
      </c>
      <c r="N419" s="18" t="str">
        <f>_xlfn.XLOOKUP(tblMaster[[#This Row],[Product_ID]],tblProducts[Product_ID],tblProducts[Product_Name],"Not Found",0)</f>
        <v>Nostrum Box</v>
      </c>
      <c r="O419" s="18" t="str">
        <f>_xlfn.XLOOKUP(tblMaster[[#This Row],[Product_ID]],tblProducts[Product_ID],tblProducts[Category],"Not Found",0)</f>
        <v>Soft Toys</v>
      </c>
      <c r="P419" s="18" t="str">
        <f>_xlfn.XLOOKUP(tblMaster[[#This Row],[Product_ID]],tblProducts[Product_ID],tblProducts[Occasion],"Not Found",0)</f>
        <v>Raksha Bandhan</v>
      </c>
      <c r="Q419" s="18">
        <f>_xlfn.XLOOKUP(tblMaster[[#This Row],[Product_ID]],tblProducts[Product_ID],tblProducts[Price (INR)],"Not Found",0)</f>
        <v>1878</v>
      </c>
      <c r="R419" s="19">
        <f>tblMaster[[#This Row],[Price]]*tblMaster[[#This Row],[Quantity]]</f>
        <v>5634</v>
      </c>
      <c r="S419" s="19">
        <f>tblMaster[[#This Row],[Price]]*0.7*tblMaster[[#This Row],[Quantity]]</f>
        <v>3943.7999999999997</v>
      </c>
      <c r="T419" s="19">
        <f>tblMaster[[#This Row],[Revenue]]-tblMaster[[#This Row],[Estimated Cost (at 70%) ]]</f>
        <v>1690.2000000000003</v>
      </c>
      <c r="U419" s="19">
        <f>tblMaster[[#This Row],[Profit]]/tblMaster[[#This Row],[Revenue]]</f>
        <v>0.30000000000000004</v>
      </c>
      <c r="V419" s="19">
        <f>tblMaster[[#This Row],[Delivery_Date]]-tblMaster[[#This Row],[Order_Date]]</f>
        <v>8</v>
      </c>
      <c r="W419" s="19" t="str">
        <f>TEXT(tblMaster[[#This Row],[Order_Date]],"mmmm")</f>
        <v>August</v>
      </c>
      <c r="X419" s="19">
        <f>MONTH(tblMaster[[#This Row],[Order_Date]])</f>
        <v>8</v>
      </c>
      <c r="Y419" s="19" t="str">
        <f>"Q"&amp;ROUNDUP(tblMaster[[#This Row],[Month Number]]/3,0)</f>
        <v>Q3</v>
      </c>
      <c r="Z419" s="19">
        <f>YEAR(tblMaster[[#This Row],[Order_Date]])</f>
        <v>2023</v>
      </c>
      <c r="AA419" s="19" t="str">
        <f>TEXT(DAY(tblMaster[[#This Row],[Order_Date]]),"dddd")</f>
        <v>Tuesday</v>
      </c>
      <c r="AB419" s="19" t="str">
        <f>IF(tblMaster[[#This Row],[Revenue]]&gt;=5000,"High",IF(tblMaster[[#This Row],[Revenue]]&lt;2000,"Low","Medium"))</f>
        <v>High</v>
      </c>
    </row>
    <row r="420" spans="1:28" x14ac:dyDescent="0.25">
      <c r="A420" s="7">
        <v>419</v>
      </c>
      <c r="B420" s="7" t="s">
        <v>185</v>
      </c>
      <c r="C420" s="4">
        <v>47</v>
      </c>
      <c r="D420" s="4">
        <v>3</v>
      </c>
      <c r="E420" s="8">
        <v>44990</v>
      </c>
      <c r="F420" s="9">
        <v>0.72142361111111108</v>
      </c>
      <c r="G420" s="8">
        <v>44996</v>
      </c>
      <c r="H420" s="9">
        <v>0.5788888888888889</v>
      </c>
      <c r="I420" s="7" t="s">
        <v>251</v>
      </c>
      <c r="J420" s="7" t="s">
        <v>25</v>
      </c>
      <c r="K420" s="18" t="str">
        <f>_xlfn.XLOOKUP(tblMaster[[#This Row],[Customer_ID]],tblCustomers[Customer_ID],tblCustomers[City],"Not Found",0)</f>
        <v>North Dumdum</v>
      </c>
      <c r="L420" s="18" t="str">
        <f>_xlfn.XLOOKUP(tblMaster[[#This Row],[Customer_ID]],tblCustomers[Customer_ID],tblCustomers[Name],"Not Found",0)</f>
        <v>Badal Vora</v>
      </c>
      <c r="M420" s="18" t="str">
        <f>_xlfn.XLOOKUP(tblMaster[[#This Row],[Customer_ID]],tblCustomers[Customer_ID],tblCustomers[Gender],"Not Found",0)</f>
        <v>Male</v>
      </c>
      <c r="N420" s="18" t="str">
        <f>_xlfn.XLOOKUP(tblMaster[[#This Row],[Product_ID]],tblProducts[Product_ID],tblProducts[Product_Name],"Not Found",0)</f>
        <v>Harum Pack</v>
      </c>
      <c r="O420" s="18" t="str">
        <f>_xlfn.XLOOKUP(tblMaster[[#This Row],[Product_ID]],tblProducts[Product_ID],tblProducts[Category],"Not Found",0)</f>
        <v>Colors</v>
      </c>
      <c r="P420" s="18" t="str">
        <f>_xlfn.XLOOKUP(tblMaster[[#This Row],[Product_ID]],tblProducts[Product_ID],tblProducts[Occasion],"Not Found",0)</f>
        <v>Holi</v>
      </c>
      <c r="Q420" s="18">
        <f>_xlfn.XLOOKUP(tblMaster[[#This Row],[Product_ID]],tblProducts[Product_ID],tblProducts[Price (INR)],"Not Found",0)</f>
        <v>1638</v>
      </c>
      <c r="R420" s="19">
        <f>tblMaster[[#This Row],[Price]]*tblMaster[[#This Row],[Quantity]]</f>
        <v>4914</v>
      </c>
      <c r="S420" s="19">
        <f>tblMaster[[#This Row],[Price]]*0.7*tblMaster[[#This Row],[Quantity]]</f>
        <v>3439.7999999999997</v>
      </c>
      <c r="T420" s="19">
        <f>tblMaster[[#This Row],[Revenue]]-tblMaster[[#This Row],[Estimated Cost (at 70%) ]]</f>
        <v>1474.2000000000003</v>
      </c>
      <c r="U420" s="19">
        <f>tblMaster[[#This Row],[Profit]]/tblMaster[[#This Row],[Revenue]]</f>
        <v>0.30000000000000004</v>
      </c>
      <c r="V420" s="19">
        <f>tblMaster[[#This Row],[Delivery_Date]]-tblMaster[[#This Row],[Order_Date]]</f>
        <v>6</v>
      </c>
      <c r="W420" s="19" t="str">
        <f>TEXT(tblMaster[[#This Row],[Order_Date]],"mmmm")</f>
        <v>March</v>
      </c>
      <c r="X420" s="19">
        <f>MONTH(tblMaster[[#This Row],[Order_Date]])</f>
        <v>3</v>
      </c>
      <c r="Y420" s="19" t="str">
        <f>"Q"&amp;ROUNDUP(tblMaster[[#This Row],[Month Number]]/3,0)</f>
        <v>Q1</v>
      </c>
      <c r="Z420" s="19">
        <f>YEAR(tblMaster[[#This Row],[Order_Date]])</f>
        <v>2023</v>
      </c>
      <c r="AA420" s="19" t="str">
        <f>TEXT(DAY(tblMaster[[#This Row],[Order_Date]]),"dddd")</f>
        <v>Thursday</v>
      </c>
      <c r="AB420" s="19" t="str">
        <f>IF(tblMaster[[#This Row],[Revenue]]&gt;=5000,"High",IF(tblMaster[[#This Row],[Revenue]]&lt;2000,"Low","Medium"))</f>
        <v>Medium</v>
      </c>
    </row>
    <row r="421" spans="1:28" x14ac:dyDescent="0.25">
      <c r="A421" s="10">
        <v>420</v>
      </c>
      <c r="B421" s="10" t="s">
        <v>308</v>
      </c>
      <c r="C421" s="5">
        <v>6</v>
      </c>
      <c r="D421" s="5">
        <v>3</v>
      </c>
      <c r="E421" s="11">
        <v>44984</v>
      </c>
      <c r="F421" s="12">
        <v>0.35856481481481484</v>
      </c>
      <c r="G421" s="11">
        <v>44985</v>
      </c>
      <c r="H421" s="12">
        <v>5.1967592592592595E-3</v>
      </c>
      <c r="I421" s="10" t="s">
        <v>196</v>
      </c>
      <c r="J421" s="10" t="s">
        <v>25</v>
      </c>
      <c r="K421" s="18" t="str">
        <f>_xlfn.XLOOKUP(tblMaster[[#This Row],[Customer_ID]],tblCustomers[Customer_ID],tblCustomers[City],"Not Found",0)</f>
        <v>Kamarhati</v>
      </c>
      <c r="L421" s="18" t="str">
        <f>_xlfn.XLOOKUP(tblMaster[[#This Row],[Customer_ID]],tblCustomers[Customer_ID],tblCustomers[Name],"Not Found",0)</f>
        <v>Kaira Bahl</v>
      </c>
      <c r="M421" s="18" t="str">
        <f>_xlfn.XLOOKUP(tblMaster[[#This Row],[Customer_ID]],tblCustomers[Customer_ID],tblCustomers[Gender],"Not Found",0)</f>
        <v>Male</v>
      </c>
      <c r="N421" s="18" t="str">
        <f>_xlfn.XLOOKUP(tblMaster[[#This Row],[Product_ID]],tblProducts[Product_ID],tblProducts[Product_Name],"Not Found",0)</f>
        <v>Quos Box</v>
      </c>
      <c r="O421" s="18" t="str">
        <f>_xlfn.XLOOKUP(tblMaster[[#This Row],[Product_ID]],tblProducts[Product_ID],tblProducts[Category],"Not Found",0)</f>
        <v>Cake</v>
      </c>
      <c r="P421" s="18" t="str">
        <f>_xlfn.XLOOKUP(tblMaster[[#This Row],[Product_ID]],tblProducts[Product_ID],tblProducts[Occasion],"Not Found",0)</f>
        <v>Holi</v>
      </c>
      <c r="Q421" s="18">
        <f>_xlfn.XLOOKUP(tblMaster[[#This Row],[Product_ID]],tblProducts[Product_ID],tblProducts[Price (INR)],"Not Found",0)</f>
        <v>1112</v>
      </c>
      <c r="R421" s="19">
        <f>tblMaster[[#This Row],[Price]]*tblMaster[[#This Row],[Quantity]]</f>
        <v>3336</v>
      </c>
      <c r="S421" s="19">
        <f>tblMaster[[#This Row],[Price]]*0.7*tblMaster[[#This Row],[Quantity]]</f>
        <v>2335.1999999999998</v>
      </c>
      <c r="T421" s="19">
        <f>tblMaster[[#This Row],[Revenue]]-tblMaster[[#This Row],[Estimated Cost (at 70%) ]]</f>
        <v>1000.8000000000002</v>
      </c>
      <c r="U421" s="19">
        <f>tblMaster[[#This Row],[Profit]]/tblMaster[[#This Row],[Revenue]]</f>
        <v>0.30000000000000004</v>
      </c>
      <c r="V421" s="19">
        <f>tblMaster[[#This Row],[Delivery_Date]]-tblMaster[[#This Row],[Order_Date]]</f>
        <v>1</v>
      </c>
      <c r="W421" s="19" t="str">
        <f>TEXT(tblMaster[[#This Row],[Order_Date]],"mmmm")</f>
        <v>February</v>
      </c>
      <c r="X421" s="19">
        <f>MONTH(tblMaster[[#This Row],[Order_Date]])</f>
        <v>2</v>
      </c>
      <c r="Y421" s="19" t="str">
        <f>"Q"&amp;ROUNDUP(tblMaster[[#This Row],[Month Number]]/3,0)</f>
        <v>Q1</v>
      </c>
      <c r="Z421" s="19">
        <f>YEAR(tblMaster[[#This Row],[Order_Date]])</f>
        <v>2023</v>
      </c>
      <c r="AA421" s="19" t="str">
        <f>TEXT(DAY(tblMaster[[#This Row],[Order_Date]]),"dddd")</f>
        <v>Friday</v>
      </c>
      <c r="AB421" s="19" t="str">
        <f>IF(tblMaster[[#This Row],[Revenue]]&gt;=5000,"High",IF(tblMaster[[#This Row],[Revenue]]&lt;2000,"Low","Medium"))</f>
        <v>Medium</v>
      </c>
    </row>
    <row r="422" spans="1:28" x14ac:dyDescent="0.25">
      <c r="A422" s="7">
        <v>421</v>
      </c>
      <c r="B422" s="7" t="s">
        <v>232</v>
      </c>
      <c r="C422" s="4">
        <v>38</v>
      </c>
      <c r="D422" s="4">
        <v>4</v>
      </c>
      <c r="E422" s="8">
        <v>45146</v>
      </c>
      <c r="F422" s="9">
        <v>0.84479166666666672</v>
      </c>
      <c r="G422" s="8">
        <v>45150</v>
      </c>
      <c r="H422" s="9">
        <v>0.7944444444444444</v>
      </c>
      <c r="I422" s="7" t="s">
        <v>391</v>
      </c>
      <c r="J422" s="7" t="s">
        <v>36</v>
      </c>
      <c r="K422" s="18" t="str">
        <f>_xlfn.XLOOKUP(tblMaster[[#This Row],[Customer_ID]],tblCustomers[Customer_ID],tblCustomers[City],"Not Found",0)</f>
        <v>Malegaon</v>
      </c>
      <c r="L422" s="18" t="str">
        <f>_xlfn.XLOOKUP(tblMaster[[#This Row],[Customer_ID]],tblCustomers[Customer_ID],tblCustomers[Name],"Not Found",0)</f>
        <v>Eshani Buch</v>
      </c>
      <c r="M422" s="18" t="str">
        <f>_xlfn.XLOOKUP(tblMaster[[#This Row],[Customer_ID]],tblCustomers[Customer_ID],tblCustomers[Gender],"Not Found",0)</f>
        <v>Female</v>
      </c>
      <c r="N422" s="18" t="str">
        <f>_xlfn.XLOOKUP(tblMaster[[#This Row],[Product_ID]],tblProducts[Product_ID],tblProducts[Product_Name],"Not Found",0)</f>
        <v>Mollitia Set</v>
      </c>
      <c r="O422" s="18" t="str">
        <f>_xlfn.XLOOKUP(tblMaster[[#This Row],[Product_ID]],tblProducts[Product_ID],tblProducts[Category],"Not Found",0)</f>
        <v>Cake</v>
      </c>
      <c r="P422" s="18" t="str">
        <f>_xlfn.XLOOKUP(tblMaster[[#This Row],[Product_ID]],tblProducts[Product_ID],tblProducts[Occasion],"Not Found",0)</f>
        <v>Birthday</v>
      </c>
      <c r="Q422" s="18">
        <f>_xlfn.XLOOKUP(tblMaster[[#This Row],[Product_ID]],tblProducts[Product_ID],tblProducts[Price (INR)],"Not Found",0)</f>
        <v>562</v>
      </c>
      <c r="R422" s="19">
        <f>tblMaster[[#This Row],[Price]]*tblMaster[[#This Row],[Quantity]]</f>
        <v>2248</v>
      </c>
      <c r="S422" s="19">
        <f>tblMaster[[#This Row],[Price]]*0.7*tblMaster[[#This Row],[Quantity]]</f>
        <v>1573.6</v>
      </c>
      <c r="T422" s="19">
        <f>tblMaster[[#This Row],[Revenue]]-tblMaster[[#This Row],[Estimated Cost (at 70%) ]]</f>
        <v>674.40000000000009</v>
      </c>
      <c r="U422" s="19">
        <f>tblMaster[[#This Row],[Profit]]/tblMaster[[#This Row],[Revenue]]</f>
        <v>0.30000000000000004</v>
      </c>
      <c r="V422" s="19">
        <f>tblMaster[[#This Row],[Delivery_Date]]-tblMaster[[#This Row],[Order_Date]]</f>
        <v>4</v>
      </c>
      <c r="W422" s="19" t="str">
        <f>TEXT(tblMaster[[#This Row],[Order_Date]],"mmmm")</f>
        <v>August</v>
      </c>
      <c r="X422" s="19">
        <f>MONTH(tblMaster[[#This Row],[Order_Date]])</f>
        <v>8</v>
      </c>
      <c r="Y422" s="19" t="str">
        <f>"Q"&amp;ROUNDUP(tblMaster[[#This Row],[Month Number]]/3,0)</f>
        <v>Q3</v>
      </c>
      <c r="Z422" s="19">
        <f>YEAR(tblMaster[[#This Row],[Order_Date]])</f>
        <v>2023</v>
      </c>
      <c r="AA422" s="19" t="str">
        <f>TEXT(DAY(tblMaster[[#This Row],[Order_Date]]),"dddd")</f>
        <v>Sunday</v>
      </c>
      <c r="AB422" s="19" t="str">
        <f>IF(tblMaster[[#This Row],[Revenue]]&gt;=5000,"High",IF(tblMaster[[#This Row],[Revenue]]&lt;2000,"Low","Medium"))</f>
        <v>Medium</v>
      </c>
    </row>
    <row r="423" spans="1:28" x14ac:dyDescent="0.25">
      <c r="A423" s="10">
        <v>422</v>
      </c>
      <c r="B423" s="10" t="s">
        <v>182</v>
      </c>
      <c r="C423" s="5">
        <v>53</v>
      </c>
      <c r="D423" s="5">
        <v>2</v>
      </c>
      <c r="E423" s="11">
        <v>45158</v>
      </c>
      <c r="F423" s="12">
        <v>0.12775462962962963</v>
      </c>
      <c r="G423" s="11">
        <v>45167</v>
      </c>
      <c r="H423" s="12">
        <v>0.17059027777777777</v>
      </c>
      <c r="I423" s="10" t="s">
        <v>496</v>
      </c>
      <c r="J423" s="10" t="s">
        <v>33</v>
      </c>
      <c r="K423" s="18" t="str">
        <f>_xlfn.XLOOKUP(tblMaster[[#This Row],[Customer_ID]],tblCustomers[Customer_ID],tblCustomers[City],"Not Found",0)</f>
        <v>Agra</v>
      </c>
      <c r="L423" s="18" t="str">
        <f>_xlfn.XLOOKUP(tblMaster[[#This Row],[Customer_ID]],tblCustomers[Customer_ID],tblCustomers[Name],"Not Found",0)</f>
        <v>Seher Mann</v>
      </c>
      <c r="M423" s="18" t="str">
        <f>_xlfn.XLOOKUP(tblMaster[[#This Row],[Customer_ID]],tblCustomers[Customer_ID],tblCustomers[Gender],"Not Found",0)</f>
        <v>Male</v>
      </c>
      <c r="N423" s="18" t="str">
        <f>_xlfn.XLOOKUP(tblMaster[[#This Row],[Product_ID]],tblProducts[Product_ID],tblProducts[Product_Name],"Not Found",0)</f>
        <v>Ipsam Set</v>
      </c>
      <c r="O423" s="18" t="str">
        <f>_xlfn.XLOOKUP(tblMaster[[#This Row],[Product_ID]],tblProducts[Product_ID],tblProducts[Category],"Not Found",0)</f>
        <v>Sweets</v>
      </c>
      <c r="P423" s="18" t="str">
        <f>_xlfn.XLOOKUP(tblMaster[[#This Row],[Product_ID]],tblProducts[Product_ID],tblProducts[Occasion],"Not Found",0)</f>
        <v>Raksha Bandhan</v>
      </c>
      <c r="Q423" s="18">
        <f>_xlfn.XLOOKUP(tblMaster[[#This Row],[Product_ID]],tblProducts[Product_ID],tblProducts[Price (INR)],"Not Found",0)</f>
        <v>1672</v>
      </c>
      <c r="R423" s="19">
        <f>tblMaster[[#This Row],[Price]]*tblMaster[[#This Row],[Quantity]]</f>
        <v>3344</v>
      </c>
      <c r="S423" s="19">
        <f>tblMaster[[#This Row],[Price]]*0.7*tblMaster[[#This Row],[Quantity]]</f>
        <v>2340.7999999999997</v>
      </c>
      <c r="T423" s="19">
        <f>tblMaster[[#This Row],[Revenue]]-tblMaster[[#This Row],[Estimated Cost (at 70%) ]]</f>
        <v>1003.2000000000003</v>
      </c>
      <c r="U423" s="19">
        <f>tblMaster[[#This Row],[Profit]]/tblMaster[[#This Row],[Revenue]]</f>
        <v>0.3000000000000001</v>
      </c>
      <c r="V423" s="19">
        <f>tblMaster[[#This Row],[Delivery_Date]]-tblMaster[[#This Row],[Order_Date]]</f>
        <v>9</v>
      </c>
      <c r="W423" s="19" t="str">
        <f>TEXT(tblMaster[[#This Row],[Order_Date]],"mmmm")</f>
        <v>August</v>
      </c>
      <c r="X423" s="19">
        <f>MONTH(tblMaster[[#This Row],[Order_Date]])</f>
        <v>8</v>
      </c>
      <c r="Y423" s="19" t="str">
        <f>"Q"&amp;ROUNDUP(tblMaster[[#This Row],[Month Number]]/3,0)</f>
        <v>Q3</v>
      </c>
      <c r="Z423" s="19">
        <f>YEAR(tblMaster[[#This Row],[Order_Date]])</f>
        <v>2023</v>
      </c>
      <c r="AA423" s="19" t="str">
        <f>TEXT(DAY(tblMaster[[#This Row],[Order_Date]]),"dddd")</f>
        <v>Friday</v>
      </c>
      <c r="AB423" s="19" t="str">
        <f>IF(tblMaster[[#This Row],[Revenue]]&gt;=5000,"High",IF(tblMaster[[#This Row],[Revenue]]&lt;2000,"Low","Medium"))</f>
        <v>Medium</v>
      </c>
    </row>
    <row r="424" spans="1:28" x14ac:dyDescent="0.25">
      <c r="A424" s="7">
        <v>423</v>
      </c>
      <c r="B424" s="7" t="s">
        <v>229</v>
      </c>
      <c r="C424" s="4">
        <v>19</v>
      </c>
      <c r="D424" s="4">
        <v>1</v>
      </c>
      <c r="E424" s="8">
        <v>44968</v>
      </c>
      <c r="F424" s="9">
        <v>0.69928240740740744</v>
      </c>
      <c r="G424" s="8">
        <v>44974</v>
      </c>
      <c r="H424" s="9">
        <v>7.0023148148148145E-3</v>
      </c>
      <c r="I424" s="7" t="s">
        <v>497</v>
      </c>
      <c r="J424" s="7" t="s">
        <v>12</v>
      </c>
      <c r="K424" s="18" t="str">
        <f>_xlfn.XLOOKUP(tblMaster[[#This Row],[Customer_ID]],tblCustomers[Customer_ID],tblCustomers[City],"Not Found",0)</f>
        <v>Anand</v>
      </c>
      <c r="L424" s="18" t="str">
        <f>_xlfn.XLOOKUP(tblMaster[[#This Row],[Customer_ID]],tblCustomers[Customer_ID],tblCustomers[Name],"Not Found",0)</f>
        <v>Eva Sankaran</v>
      </c>
      <c r="M424" s="18" t="str">
        <f>_xlfn.XLOOKUP(tblMaster[[#This Row],[Customer_ID]],tblCustomers[Customer_ID],tblCustomers[Gender],"Not Found",0)</f>
        <v>Male</v>
      </c>
      <c r="N424" s="18" t="str">
        <f>_xlfn.XLOOKUP(tblMaster[[#This Row],[Product_ID]],tblProducts[Product_ID],tblProducts[Product_Name],"Not Found",0)</f>
        <v>Iure Gift</v>
      </c>
      <c r="O424" s="18" t="str">
        <f>_xlfn.XLOOKUP(tblMaster[[#This Row],[Product_ID]],tblProducts[Product_ID],tblProducts[Category],"Not Found",0)</f>
        <v>Mugs</v>
      </c>
      <c r="P424" s="18" t="str">
        <f>_xlfn.XLOOKUP(tblMaster[[#This Row],[Product_ID]],tblProducts[Product_ID],tblProducts[Occasion],"Not Found",0)</f>
        <v>Valentine's Day</v>
      </c>
      <c r="Q424" s="18">
        <f>_xlfn.XLOOKUP(tblMaster[[#This Row],[Product_ID]],tblProducts[Product_ID],tblProducts[Price (INR)],"Not Found",0)</f>
        <v>1234</v>
      </c>
      <c r="R424" s="19">
        <f>tblMaster[[#This Row],[Price]]*tblMaster[[#This Row],[Quantity]]</f>
        <v>1234</v>
      </c>
      <c r="S424" s="19">
        <f>tblMaster[[#This Row],[Price]]*0.7*tblMaster[[#This Row],[Quantity]]</f>
        <v>863.8</v>
      </c>
      <c r="T424" s="19">
        <f>tblMaster[[#This Row],[Revenue]]-tblMaster[[#This Row],[Estimated Cost (at 70%) ]]</f>
        <v>370.20000000000005</v>
      </c>
      <c r="U424" s="19">
        <f>tblMaster[[#This Row],[Profit]]/tblMaster[[#This Row],[Revenue]]</f>
        <v>0.30000000000000004</v>
      </c>
      <c r="V424" s="19">
        <f>tblMaster[[#This Row],[Delivery_Date]]-tblMaster[[#This Row],[Order_Date]]</f>
        <v>6</v>
      </c>
      <c r="W424" s="19" t="str">
        <f>TEXT(tblMaster[[#This Row],[Order_Date]],"mmmm")</f>
        <v>February</v>
      </c>
      <c r="X424" s="19">
        <f>MONTH(tblMaster[[#This Row],[Order_Date]])</f>
        <v>2</v>
      </c>
      <c r="Y424" s="19" t="str">
        <f>"Q"&amp;ROUNDUP(tblMaster[[#This Row],[Month Number]]/3,0)</f>
        <v>Q1</v>
      </c>
      <c r="Z424" s="19">
        <f>YEAR(tblMaster[[#This Row],[Order_Date]])</f>
        <v>2023</v>
      </c>
      <c r="AA424" s="19" t="str">
        <f>TEXT(DAY(tblMaster[[#This Row],[Order_Date]]),"dddd")</f>
        <v>Wednesday</v>
      </c>
      <c r="AB424" s="19" t="str">
        <f>IF(tblMaster[[#This Row],[Revenue]]&gt;=5000,"High",IF(tblMaster[[#This Row],[Revenue]]&lt;2000,"Low","Medium"))</f>
        <v>Low</v>
      </c>
    </row>
    <row r="425" spans="1:28" x14ac:dyDescent="0.25">
      <c r="A425" s="10">
        <v>424</v>
      </c>
      <c r="B425" s="10" t="s">
        <v>197</v>
      </c>
      <c r="C425" s="5">
        <v>7</v>
      </c>
      <c r="D425" s="5">
        <v>4</v>
      </c>
      <c r="E425" s="11">
        <v>44986</v>
      </c>
      <c r="F425" s="12">
        <v>0.12842592592592592</v>
      </c>
      <c r="G425" s="11">
        <v>44994</v>
      </c>
      <c r="H425" s="12">
        <v>0.4354513888888889</v>
      </c>
      <c r="I425" s="10" t="s">
        <v>322</v>
      </c>
      <c r="J425" s="10" t="s">
        <v>25</v>
      </c>
      <c r="K425" s="18" t="str">
        <f>_xlfn.XLOOKUP(tblMaster[[#This Row],[Customer_ID]],tblCustomers[Customer_ID],tblCustomers[City],"Not Found",0)</f>
        <v>Hyderabad</v>
      </c>
      <c r="L425" s="18" t="str">
        <f>_xlfn.XLOOKUP(tblMaster[[#This Row],[Customer_ID]],tblCustomers[Customer_ID],tblCustomers[Name],"Not Found",0)</f>
        <v>Charvi Karnik</v>
      </c>
      <c r="M425" s="18" t="str">
        <f>_xlfn.XLOOKUP(tblMaster[[#This Row],[Customer_ID]],tblCustomers[Customer_ID],tblCustomers[Gender],"Not Found",0)</f>
        <v>Male</v>
      </c>
      <c r="N425" s="18" t="str">
        <f>_xlfn.XLOOKUP(tblMaster[[#This Row],[Product_ID]],tblProducts[Product_ID],tblProducts[Product_Name],"Not Found",0)</f>
        <v>Quos Set</v>
      </c>
      <c r="O425" s="18" t="str">
        <f>_xlfn.XLOOKUP(tblMaster[[#This Row],[Product_ID]],tblProducts[Product_ID],tblProducts[Category],"Not Found",0)</f>
        <v>Soft Toys</v>
      </c>
      <c r="P425" s="18" t="str">
        <f>_xlfn.XLOOKUP(tblMaster[[#This Row],[Product_ID]],tblProducts[Product_ID],tblProducts[Occasion],"Not Found",0)</f>
        <v>Holi</v>
      </c>
      <c r="Q425" s="18">
        <f>_xlfn.XLOOKUP(tblMaster[[#This Row],[Product_ID]],tblProducts[Product_ID],tblProducts[Price (INR)],"Not Found",0)</f>
        <v>409</v>
      </c>
      <c r="R425" s="19">
        <f>tblMaster[[#This Row],[Price]]*tblMaster[[#This Row],[Quantity]]</f>
        <v>1636</v>
      </c>
      <c r="S425" s="19">
        <f>tblMaster[[#This Row],[Price]]*0.7*tblMaster[[#This Row],[Quantity]]</f>
        <v>1145.1999999999998</v>
      </c>
      <c r="T425" s="19">
        <f>tblMaster[[#This Row],[Revenue]]-tblMaster[[#This Row],[Estimated Cost (at 70%) ]]</f>
        <v>490.80000000000018</v>
      </c>
      <c r="U425" s="19">
        <f>tblMaster[[#This Row],[Profit]]/tblMaster[[#This Row],[Revenue]]</f>
        <v>0.3000000000000001</v>
      </c>
      <c r="V425" s="19">
        <f>tblMaster[[#This Row],[Delivery_Date]]-tblMaster[[#This Row],[Order_Date]]</f>
        <v>8</v>
      </c>
      <c r="W425" s="19" t="str">
        <f>TEXT(tblMaster[[#This Row],[Order_Date]],"mmmm")</f>
        <v>March</v>
      </c>
      <c r="X425" s="19">
        <f>MONTH(tblMaster[[#This Row],[Order_Date]])</f>
        <v>3</v>
      </c>
      <c r="Y425" s="19" t="str">
        <f>"Q"&amp;ROUNDUP(tblMaster[[#This Row],[Month Number]]/3,0)</f>
        <v>Q1</v>
      </c>
      <c r="Z425" s="19">
        <f>YEAR(tblMaster[[#This Row],[Order_Date]])</f>
        <v>2023</v>
      </c>
      <c r="AA425" s="19" t="str">
        <f>TEXT(DAY(tblMaster[[#This Row],[Order_Date]]),"dddd")</f>
        <v>Sunday</v>
      </c>
      <c r="AB425" s="19" t="str">
        <f>IF(tblMaster[[#This Row],[Revenue]]&gt;=5000,"High",IF(tblMaster[[#This Row],[Revenue]]&lt;2000,"Low","Medium"))</f>
        <v>Low</v>
      </c>
    </row>
    <row r="426" spans="1:28" x14ac:dyDescent="0.25">
      <c r="A426" s="7">
        <v>425</v>
      </c>
      <c r="B426" s="7" t="s">
        <v>222</v>
      </c>
      <c r="C426" s="4">
        <v>56</v>
      </c>
      <c r="D426" s="4">
        <v>1</v>
      </c>
      <c r="E426" s="8">
        <v>45199</v>
      </c>
      <c r="F426" s="9">
        <v>1.4583333333333334E-3</v>
      </c>
      <c r="G426" s="8">
        <v>45208</v>
      </c>
      <c r="H426" s="9">
        <v>0.95796296296296302</v>
      </c>
      <c r="I426" s="7" t="s">
        <v>472</v>
      </c>
      <c r="J426" s="7" t="s">
        <v>30</v>
      </c>
      <c r="K426" s="18" t="str">
        <f>_xlfn.XLOOKUP(tblMaster[[#This Row],[Customer_ID]],tblCustomers[Customer_ID],tblCustomers[City],"Not Found",0)</f>
        <v>Tiruppur</v>
      </c>
      <c r="L426" s="18" t="str">
        <f>_xlfn.XLOOKUP(tblMaster[[#This Row],[Customer_ID]],tblCustomers[Customer_ID],tblCustomers[Name],"Not Found",0)</f>
        <v>Purab Sheth</v>
      </c>
      <c r="M426" s="18" t="str">
        <f>_xlfn.XLOOKUP(tblMaster[[#This Row],[Customer_ID]],tblCustomers[Customer_ID],tblCustomers[Gender],"Not Found",0)</f>
        <v>Male</v>
      </c>
      <c r="N426" s="18" t="str">
        <f>_xlfn.XLOOKUP(tblMaster[[#This Row],[Product_ID]],tblProducts[Product_ID],tblProducts[Product_Name],"Not Found",0)</f>
        <v>Quia Gift</v>
      </c>
      <c r="O426" s="18" t="str">
        <f>_xlfn.XLOOKUP(tblMaster[[#This Row],[Product_ID]],tblProducts[Product_ID],tblProducts[Category],"Not Found",0)</f>
        <v>Raksha Bandhan</v>
      </c>
      <c r="P426" s="18" t="str">
        <f>_xlfn.XLOOKUP(tblMaster[[#This Row],[Product_ID]],tblProducts[Product_ID],tblProducts[Occasion],"Not Found",0)</f>
        <v>Anniversary</v>
      </c>
      <c r="Q426" s="18">
        <f>_xlfn.XLOOKUP(tblMaster[[#This Row],[Product_ID]],tblProducts[Product_ID],tblProducts[Price (INR)],"Not Found",0)</f>
        <v>1272</v>
      </c>
      <c r="R426" s="19">
        <f>tblMaster[[#This Row],[Price]]*tblMaster[[#This Row],[Quantity]]</f>
        <v>1272</v>
      </c>
      <c r="S426" s="19">
        <f>tblMaster[[#This Row],[Price]]*0.7*tblMaster[[#This Row],[Quantity]]</f>
        <v>890.4</v>
      </c>
      <c r="T426" s="19">
        <f>tblMaster[[#This Row],[Revenue]]-tblMaster[[#This Row],[Estimated Cost (at 70%) ]]</f>
        <v>381.6</v>
      </c>
      <c r="U426" s="19">
        <f>tblMaster[[#This Row],[Profit]]/tblMaster[[#This Row],[Revenue]]</f>
        <v>0.30000000000000004</v>
      </c>
      <c r="V426" s="19">
        <f>tblMaster[[#This Row],[Delivery_Date]]-tblMaster[[#This Row],[Order_Date]]</f>
        <v>9</v>
      </c>
      <c r="W426" s="19" t="str">
        <f>TEXT(tblMaster[[#This Row],[Order_Date]],"mmmm")</f>
        <v>September</v>
      </c>
      <c r="X426" s="19">
        <f>MONTH(tblMaster[[#This Row],[Order_Date]])</f>
        <v>9</v>
      </c>
      <c r="Y426" s="19" t="str">
        <f>"Q"&amp;ROUNDUP(tblMaster[[#This Row],[Month Number]]/3,0)</f>
        <v>Q3</v>
      </c>
      <c r="Z426" s="19">
        <f>YEAR(tblMaster[[#This Row],[Order_Date]])</f>
        <v>2023</v>
      </c>
      <c r="AA426" s="19" t="str">
        <f>TEXT(DAY(tblMaster[[#This Row],[Order_Date]]),"dddd")</f>
        <v>Monday</v>
      </c>
      <c r="AB426" s="19" t="str">
        <f>IF(tblMaster[[#This Row],[Revenue]]&gt;=5000,"High",IF(tblMaster[[#This Row],[Revenue]]&lt;2000,"Low","Medium"))</f>
        <v>Low</v>
      </c>
    </row>
    <row r="427" spans="1:28" x14ac:dyDescent="0.25">
      <c r="A427" s="10">
        <v>426</v>
      </c>
      <c r="B427" s="10" t="s">
        <v>471</v>
      </c>
      <c r="C427" s="5">
        <v>2</v>
      </c>
      <c r="D427" s="5">
        <v>2</v>
      </c>
      <c r="E427" s="11">
        <v>44970</v>
      </c>
      <c r="F427" s="12">
        <v>0.95826388888888892</v>
      </c>
      <c r="G427" s="11">
        <v>44974</v>
      </c>
      <c r="H427" s="12">
        <v>0.57708333333333328</v>
      </c>
      <c r="I427" s="10" t="s">
        <v>498</v>
      </c>
      <c r="J427" s="10" t="s">
        <v>12</v>
      </c>
      <c r="K427" s="18" t="str">
        <f>_xlfn.XLOOKUP(tblMaster[[#This Row],[Customer_ID]],tblCustomers[Customer_ID],tblCustomers[City],"Not Found",0)</f>
        <v>Parbhani</v>
      </c>
      <c r="L427" s="18" t="str">
        <f>_xlfn.XLOOKUP(tblMaster[[#This Row],[Customer_ID]],tblCustomers[Customer_ID],tblCustomers[Name],"Not Found",0)</f>
        <v>Zeeshan Tailor</v>
      </c>
      <c r="M427" s="18" t="str">
        <f>_xlfn.XLOOKUP(tblMaster[[#This Row],[Customer_ID]],tblCustomers[Customer_ID],tblCustomers[Gender],"Not Found",0)</f>
        <v>Male</v>
      </c>
      <c r="N427" s="18" t="str">
        <f>_xlfn.XLOOKUP(tblMaster[[#This Row],[Product_ID]],tblProducts[Product_ID],tblProducts[Product_Name],"Not Found",0)</f>
        <v>Voluptas Box</v>
      </c>
      <c r="O427" s="18" t="str">
        <f>_xlfn.XLOOKUP(tblMaster[[#This Row],[Product_ID]],tblProducts[Product_ID],tblProducts[Category],"Not Found",0)</f>
        <v>Plants</v>
      </c>
      <c r="P427" s="18" t="str">
        <f>_xlfn.XLOOKUP(tblMaster[[#This Row],[Product_ID]],tblProducts[Product_ID],tblProducts[Occasion],"Not Found",0)</f>
        <v>Valentine's Day</v>
      </c>
      <c r="Q427" s="18">
        <f>_xlfn.XLOOKUP(tblMaster[[#This Row],[Product_ID]],tblProducts[Product_ID],tblProducts[Price (INR)],"Not Found",0)</f>
        <v>441</v>
      </c>
      <c r="R427" s="19">
        <f>tblMaster[[#This Row],[Price]]*tblMaster[[#This Row],[Quantity]]</f>
        <v>882</v>
      </c>
      <c r="S427" s="19">
        <f>tblMaster[[#This Row],[Price]]*0.7*tblMaster[[#This Row],[Quantity]]</f>
        <v>617.4</v>
      </c>
      <c r="T427" s="19">
        <f>tblMaster[[#This Row],[Revenue]]-tblMaster[[#This Row],[Estimated Cost (at 70%) ]]</f>
        <v>264.60000000000002</v>
      </c>
      <c r="U427" s="19">
        <f>tblMaster[[#This Row],[Profit]]/tblMaster[[#This Row],[Revenue]]</f>
        <v>0.30000000000000004</v>
      </c>
      <c r="V427" s="19">
        <f>tblMaster[[#This Row],[Delivery_Date]]-tblMaster[[#This Row],[Order_Date]]</f>
        <v>4</v>
      </c>
      <c r="W427" s="19" t="str">
        <f>TEXT(tblMaster[[#This Row],[Order_Date]],"mmmm")</f>
        <v>February</v>
      </c>
      <c r="X427" s="19">
        <f>MONTH(tblMaster[[#This Row],[Order_Date]])</f>
        <v>2</v>
      </c>
      <c r="Y427" s="19" t="str">
        <f>"Q"&amp;ROUNDUP(tblMaster[[#This Row],[Month Number]]/3,0)</f>
        <v>Q1</v>
      </c>
      <c r="Z427" s="19">
        <f>YEAR(tblMaster[[#This Row],[Order_Date]])</f>
        <v>2023</v>
      </c>
      <c r="AA427" s="19" t="str">
        <f>TEXT(DAY(tblMaster[[#This Row],[Order_Date]]),"dddd")</f>
        <v>Friday</v>
      </c>
      <c r="AB427" s="19" t="str">
        <f>IF(tblMaster[[#This Row],[Revenue]]&gt;=5000,"High",IF(tblMaster[[#This Row],[Revenue]]&lt;2000,"Low","Medium"))</f>
        <v>Low</v>
      </c>
    </row>
    <row r="428" spans="1:28" x14ac:dyDescent="0.25">
      <c r="A428" s="7">
        <v>427</v>
      </c>
      <c r="B428" s="7" t="s">
        <v>190</v>
      </c>
      <c r="C428" s="4">
        <v>48</v>
      </c>
      <c r="D428" s="4">
        <v>5</v>
      </c>
      <c r="E428" s="8">
        <v>45233</v>
      </c>
      <c r="F428" s="9">
        <v>0.3309259259259259</v>
      </c>
      <c r="G428" s="8">
        <v>45243</v>
      </c>
      <c r="H428" s="9">
        <v>0.94874999999999998</v>
      </c>
      <c r="I428" s="7" t="s">
        <v>438</v>
      </c>
      <c r="J428" s="7" t="s">
        <v>19</v>
      </c>
      <c r="K428" s="18" t="str">
        <f>_xlfn.XLOOKUP(tblMaster[[#This Row],[Customer_ID]],tblCustomers[Customer_ID],tblCustomers[City],"Not Found",0)</f>
        <v>Ajmer</v>
      </c>
      <c r="L428" s="18" t="str">
        <f>_xlfn.XLOOKUP(tblMaster[[#This Row],[Customer_ID]],tblCustomers[Customer_ID],tblCustomers[Name],"Not Found",0)</f>
        <v>Eshani Sharma</v>
      </c>
      <c r="M428" s="18" t="str">
        <f>_xlfn.XLOOKUP(tblMaster[[#This Row],[Customer_ID]],tblCustomers[Customer_ID],tblCustomers[Gender],"Not Found",0)</f>
        <v>Male</v>
      </c>
      <c r="N428" s="18" t="str">
        <f>_xlfn.XLOOKUP(tblMaster[[#This Row],[Product_ID]],tblProducts[Product_ID],tblProducts[Product_Name],"Not Found",0)</f>
        <v>Maiores Gift</v>
      </c>
      <c r="O428" s="18" t="str">
        <f>_xlfn.XLOOKUP(tblMaster[[#This Row],[Product_ID]],tblProducts[Product_ID],tblProducts[Category],"Not Found",0)</f>
        <v>Colors</v>
      </c>
      <c r="P428" s="18" t="str">
        <f>_xlfn.XLOOKUP(tblMaster[[#This Row],[Product_ID]],tblProducts[Product_ID],tblProducts[Occasion],"Not Found",0)</f>
        <v>Diwali</v>
      </c>
      <c r="Q428" s="18">
        <f>_xlfn.XLOOKUP(tblMaster[[#This Row],[Product_ID]],tblProducts[Product_ID],tblProducts[Price (INR)],"Not Found",0)</f>
        <v>433</v>
      </c>
      <c r="R428" s="19">
        <f>tblMaster[[#This Row],[Price]]*tblMaster[[#This Row],[Quantity]]</f>
        <v>2165</v>
      </c>
      <c r="S428" s="19">
        <f>tblMaster[[#This Row],[Price]]*0.7*tblMaster[[#This Row],[Quantity]]</f>
        <v>1515.4999999999998</v>
      </c>
      <c r="T428" s="19">
        <f>tblMaster[[#This Row],[Revenue]]-tblMaster[[#This Row],[Estimated Cost (at 70%) ]]</f>
        <v>649.50000000000023</v>
      </c>
      <c r="U428" s="19">
        <f>tblMaster[[#This Row],[Profit]]/tblMaster[[#This Row],[Revenue]]</f>
        <v>0.3000000000000001</v>
      </c>
      <c r="V428" s="19">
        <f>tblMaster[[#This Row],[Delivery_Date]]-tblMaster[[#This Row],[Order_Date]]</f>
        <v>10</v>
      </c>
      <c r="W428" s="19" t="str">
        <f>TEXT(tblMaster[[#This Row],[Order_Date]],"mmmm")</f>
        <v>November</v>
      </c>
      <c r="X428" s="19">
        <f>MONTH(tblMaster[[#This Row],[Order_Date]])</f>
        <v>11</v>
      </c>
      <c r="Y428" s="19" t="str">
        <f>"Q"&amp;ROUNDUP(tblMaster[[#This Row],[Month Number]]/3,0)</f>
        <v>Q4</v>
      </c>
      <c r="Z428" s="19">
        <f>YEAR(tblMaster[[#This Row],[Order_Date]])</f>
        <v>2023</v>
      </c>
      <c r="AA428" s="19" t="str">
        <f>TEXT(DAY(tblMaster[[#This Row],[Order_Date]]),"dddd")</f>
        <v>Tuesday</v>
      </c>
      <c r="AB428" s="19" t="str">
        <f>IF(tblMaster[[#This Row],[Revenue]]&gt;=5000,"High",IF(tblMaster[[#This Row],[Revenue]]&lt;2000,"Low","Medium"))</f>
        <v>Medium</v>
      </c>
    </row>
    <row r="429" spans="1:28" x14ac:dyDescent="0.25">
      <c r="A429" s="10">
        <v>428</v>
      </c>
      <c r="B429" s="10" t="s">
        <v>293</v>
      </c>
      <c r="C429" s="5">
        <v>10</v>
      </c>
      <c r="D429" s="5">
        <v>2</v>
      </c>
      <c r="E429" s="11">
        <v>45266</v>
      </c>
      <c r="F429" s="12">
        <v>0.14766203703703704</v>
      </c>
      <c r="G429" s="11">
        <v>45272</v>
      </c>
      <c r="H429" s="12">
        <v>0.81737268518518513</v>
      </c>
      <c r="I429" s="10" t="s">
        <v>443</v>
      </c>
      <c r="J429" s="10" t="s">
        <v>36</v>
      </c>
      <c r="K429" s="18" t="str">
        <f>_xlfn.XLOOKUP(tblMaster[[#This Row],[Customer_ID]],tblCustomers[Customer_ID],tblCustomers[City],"Not Found",0)</f>
        <v>Aizawl</v>
      </c>
      <c r="L429" s="18" t="str">
        <f>_xlfn.XLOOKUP(tblMaster[[#This Row],[Customer_ID]],tblCustomers[Customer_ID],tblCustomers[Name],"Not Found",0)</f>
        <v>Yakshit Shah</v>
      </c>
      <c r="M429" s="18" t="str">
        <f>_xlfn.XLOOKUP(tblMaster[[#This Row],[Customer_ID]],tblCustomers[Customer_ID],tblCustomers[Gender],"Not Found",0)</f>
        <v>Female</v>
      </c>
      <c r="N429" s="18" t="str">
        <f>_xlfn.XLOOKUP(tblMaster[[#This Row],[Product_ID]],tblProducts[Product_ID],tblProducts[Product_Name],"Not Found",0)</f>
        <v>Accusantium Gift</v>
      </c>
      <c r="O429" s="18" t="str">
        <f>_xlfn.XLOOKUP(tblMaster[[#This Row],[Product_ID]],tblProducts[Product_ID],tblProducts[Category],"Not Found",0)</f>
        <v>Cake</v>
      </c>
      <c r="P429" s="18" t="str">
        <f>_xlfn.XLOOKUP(tblMaster[[#This Row],[Product_ID]],tblProducts[Product_ID],tblProducts[Occasion],"Not Found",0)</f>
        <v>Birthday</v>
      </c>
      <c r="Q429" s="18">
        <f>_xlfn.XLOOKUP(tblMaster[[#This Row],[Product_ID]],tblProducts[Product_ID],tblProducts[Price (INR)],"Not Found",0)</f>
        <v>259</v>
      </c>
      <c r="R429" s="19">
        <f>tblMaster[[#This Row],[Price]]*tblMaster[[#This Row],[Quantity]]</f>
        <v>518</v>
      </c>
      <c r="S429" s="19">
        <f>tblMaster[[#This Row],[Price]]*0.7*tblMaster[[#This Row],[Quantity]]</f>
        <v>362.59999999999997</v>
      </c>
      <c r="T429" s="19">
        <f>tblMaster[[#This Row],[Revenue]]-tblMaster[[#This Row],[Estimated Cost (at 70%) ]]</f>
        <v>155.40000000000003</v>
      </c>
      <c r="U429" s="19">
        <f>tblMaster[[#This Row],[Profit]]/tblMaster[[#This Row],[Revenue]]</f>
        <v>0.30000000000000004</v>
      </c>
      <c r="V429" s="19">
        <f>tblMaster[[#This Row],[Delivery_Date]]-tblMaster[[#This Row],[Order_Date]]</f>
        <v>6</v>
      </c>
      <c r="W429" s="19" t="str">
        <f>TEXT(tblMaster[[#This Row],[Order_Date]],"mmmm")</f>
        <v>December</v>
      </c>
      <c r="X429" s="19">
        <f>MONTH(tblMaster[[#This Row],[Order_Date]])</f>
        <v>12</v>
      </c>
      <c r="Y429" s="19" t="str">
        <f>"Q"&amp;ROUNDUP(tblMaster[[#This Row],[Month Number]]/3,0)</f>
        <v>Q4</v>
      </c>
      <c r="Z429" s="19">
        <f>YEAR(tblMaster[[#This Row],[Order_Date]])</f>
        <v>2023</v>
      </c>
      <c r="AA429" s="19" t="str">
        <f>TEXT(DAY(tblMaster[[#This Row],[Order_Date]]),"dddd")</f>
        <v>Friday</v>
      </c>
      <c r="AB429" s="19" t="str">
        <f>IF(tblMaster[[#This Row],[Revenue]]&gt;=5000,"High",IF(tblMaster[[#This Row],[Revenue]]&lt;2000,"Low","Medium"))</f>
        <v>Low</v>
      </c>
    </row>
    <row r="430" spans="1:28" x14ac:dyDescent="0.25">
      <c r="A430" s="7">
        <v>429</v>
      </c>
      <c r="B430" s="7" t="s">
        <v>369</v>
      </c>
      <c r="C430" s="4">
        <v>9</v>
      </c>
      <c r="D430" s="4">
        <v>5</v>
      </c>
      <c r="E430" s="8">
        <v>45160</v>
      </c>
      <c r="F430" s="9">
        <v>0.94927083333333329</v>
      </c>
      <c r="G430" s="8">
        <v>45169</v>
      </c>
      <c r="H430" s="9">
        <v>0.53046296296296291</v>
      </c>
      <c r="I430" s="7" t="s">
        <v>386</v>
      </c>
      <c r="J430" s="7" t="s">
        <v>33</v>
      </c>
      <c r="K430" s="18" t="str">
        <f>_xlfn.XLOOKUP(tblMaster[[#This Row],[Customer_ID]],tblCustomers[Customer_ID],tblCustomers[City],"Not Found",0)</f>
        <v>Berhampore</v>
      </c>
      <c r="L430" s="18" t="str">
        <f>_xlfn.XLOOKUP(tblMaster[[#This Row],[Customer_ID]],tblCustomers[Customer_ID],tblCustomers[Name],"Not Found",0)</f>
        <v>Jayant Kamdar</v>
      </c>
      <c r="M430" s="18" t="str">
        <f>_xlfn.XLOOKUP(tblMaster[[#This Row],[Customer_ID]],tblCustomers[Customer_ID],tblCustomers[Gender],"Not Found",0)</f>
        <v>Male</v>
      </c>
      <c r="N430" s="18" t="str">
        <f>_xlfn.XLOOKUP(tblMaster[[#This Row],[Product_ID]],tblProducts[Product_ID],tblProducts[Product_Name],"Not Found",0)</f>
        <v>Aperiam Box</v>
      </c>
      <c r="O430" s="18" t="str">
        <f>_xlfn.XLOOKUP(tblMaster[[#This Row],[Product_ID]],tblProducts[Product_ID],tblProducts[Category],"Not Found",0)</f>
        <v>Colors</v>
      </c>
      <c r="P430" s="18" t="str">
        <f>_xlfn.XLOOKUP(tblMaster[[#This Row],[Product_ID]],tblProducts[Product_ID],tblProducts[Occasion],"Not Found",0)</f>
        <v>Raksha Bandhan</v>
      </c>
      <c r="Q430" s="18">
        <f>_xlfn.XLOOKUP(tblMaster[[#This Row],[Product_ID]],tblProducts[Product_ID],tblProducts[Price (INR)],"Not Found",0)</f>
        <v>1605</v>
      </c>
      <c r="R430" s="19">
        <f>tblMaster[[#This Row],[Price]]*tblMaster[[#This Row],[Quantity]]</f>
        <v>8025</v>
      </c>
      <c r="S430" s="19">
        <f>tblMaster[[#This Row],[Price]]*0.7*tblMaster[[#This Row],[Quantity]]</f>
        <v>5617.5</v>
      </c>
      <c r="T430" s="19">
        <f>tblMaster[[#This Row],[Revenue]]-tblMaster[[#This Row],[Estimated Cost (at 70%) ]]</f>
        <v>2407.5</v>
      </c>
      <c r="U430" s="19">
        <f>tblMaster[[#This Row],[Profit]]/tblMaster[[#This Row],[Revenue]]</f>
        <v>0.3</v>
      </c>
      <c r="V430" s="19">
        <f>tblMaster[[#This Row],[Delivery_Date]]-tblMaster[[#This Row],[Order_Date]]</f>
        <v>9</v>
      </c>
      <c r="W430" s="19" t="str">
        <f>TEXT(tblMaster[[#This Row],[Order_Date]],"mmmm")</f>
        <v>August</v>
      </c>
      <c r="X430" s="19">
        <f>MONTH(tblMaster[[#This Row],[Order_Date]])</f>
        <v>8</v>
      </c>
      <c r="Y430" s="19" t="str">
        <f>"Q"&amp;ROUNDUP(tblMaster[[#This Row],[Month Number]]/3,0)</f>
        <v>Q3</v>
      </c>
      <c r="Z430" s="19">
        <f>YEAR(tblMaster[[#This Row],[Order_Date]])</f>
        <v>2023</v>
      </c>
      <c r="AA430" s="19" t="str">
        <f>TEXT(DAY(tblMaster[[#This Row],[Order_Date]]),"dddd")</f>
        <v>Sunday</v>
      </c>
      <c r="AB430" s="19" t="str">
        <f>IF(tblMaster[[#This Row],[Revenue]]&gt;=5000,"High",IF(tblMaster[[#This Row],[Revenue]]&lt;2000,"Low","Medium"))</f>
        <v>High</v>
      </c>
    </row>
    <row r="431" spans="1:28" x14ac:dyDescent="0.25">
      <c r="A431" s="10">
        <v>430</v>
      </c>
      <c r="B431" s="10" t="s">
        <v>254</v>
      </c>
      <c r="C431" s="5">
        <v>27</v>
      </c>
      <c r="D431" s="5">
        <v>2</v>
      </c>
      <c r="E431" s="11">
        <v>45165</v>
      </c>
      <c r="F431" s="12">
        <v>0.3059027777777778</v>
      </c>
      <c r="G431" s="11">
        <v>45169</v>
      </c>
      <c r="H431" s="12">
        <v>0.41912037037037037</v>
      </c>
      <c r="I431" s="10" t="s">
        <v>499</v>
      </c>
      <c r="J431" s="10" t="s">
        <v>33</v>
      </c>
      <c r="K431" s="18" t="str">
        <f>_xlfn.XLOOKUP(tblMaster[[#This Row],[Customer_ID]],tblCustomers[Customer_ID],tblCustomers[City],"Not Found",0)</f>
        <v>Maheshtala</v>
      </c>
      <c r="L431" s="18" t="str">
        <f>_xlfn.XLOOKUP(tblMaster[[#This Row],[Customer_ID]],tblCustomers[Customer_ID],tblCustomers[Name],"Not Found",0)</f>
        <v>Divit Mahajan</v>
      </c>
      <c r="M431" s="18" t="str">
        <f>_xlfn.XLOOKUP(tblMaster[[#This Row],[Customer_ID]],tblCustomers[Customer_ID],tblCustomers[Gender],"Not Found",0)</f>
        <v>Female</v>
      </c>
      <c r="N431" s="18" t="str">
        <f>_xlfn.XLOOKUP(tblMaster[[#This Row],[Product_ID]],tblProducts[Product_ID],tblProducts[Product_Name],"Not Found",0)</f>
        <v>Architecto Gift</v>
      </c>
      <c r="O431" s="18" t="str">
        <f>_xlfn.XLOOKUP(tblMaster[[#This Row],[Product_ID]],tblProducts[Product_ID],tblProducts[Category],"Not Found",0)</f>
        <v>Cake</v>
      </c>
      <c r="P431" s="18" t="str">
        <f>_xlfn.XLOOKUP(tblMaster[[#This Row],[Product_ID]],tblProducts[Product_ID],tblProducts[Occasion],"Not Found",0)</f>
        <v>Raksha Bandhan</v>
      </c>
      <c r="Q431" s="18">
        <f>_xlfn.XLOOKUP(tblMaster[[#This Row],[Product_ID]],tblProducts[Product_ID],tblProducts[Price (INR)],"Not Found",0)</f>
        <v>548</v>
      </c>
      <c r="R431" s="19">
        <f>tblMaster[[#This Row],[Price]]*tblMaster[[#This Row],[Quantity]]</f>
        <v>1096</v>
      </c>
      <c r="S431" s="19">
        <f>tblMaster[[#This Row],[Price]]*0.7*tblMaster[[#This Row],[Quantity]]</f>
        <v>767.19999999999993</v>
      </c>
      <c r="T431" s="19">
        <f>tblMaster[[#This Row],[Revenue]]-tblMaster[[#This Row],[Estimated Cost (at 70%) ]]</f>
        <v>328.80000000000007</v>
      </c>
      <c r="U431" s="19">
        <f>tblMaster[[#This Row],[Profit]]/tblMaster[[#This Row],[Revenue]]</f>
        <v>0.30000000000000004</v>
      </c>
      <c r="V431" s="19">
        <f>tblMaster[[#This Row],[Delivery_Date]]-tblMaster[[#This Row],[Order_Date]]</f>
        <v>4</v>
      </c>
      <c r="W431" s="19" t="str">
        <f>TEXT(tblMaster[[#This Row],[Order_Date]],"mmmm")</f>
        <v>August</v>
      </c>
      <c r="X431" s="19">
        <f>MONTH(tblMaster[[#This Row],[Order_Date]])</f>
        <v>8</v>
      </c>
      <c r="Y431" s="19" t="str">
        <f>"Q"&amp;ROUNDUP(tblMaster[[#This Row],[Month Number]]/3,0)</f>
        <v>Q3</v>
      </c>
      <c r="Z431" s="19">
        <f>YEAR(tblMaster[[#This Row],[Order_Date]])</f>
        <v>2023</v>
      </c>
      <c r="AA431" s="19" t="str">
        <f>TEXT(DAY(tblMaster[[#This Row],[Order_Date]]),"dddd")</f>
        <v>Friday</v>
      </c>
      <c r="AB431" s="19" t="str">
        <f>IF(tblMaster[[#This Row],[Revenue]]&gt;=5000,"High",IF(tblMaster[[#This Row],[Revenue]]&lt;2000,"Low","Medium"))</f>
        <v>Low</v>
      </c>
    </row>
    <row r="432" spans="1:28" x14ac:dyDescent="0.25">
      <c r="A432" s="7">
        <v>431</v>
      </c>
      <c r="B432" s="7" t="s">
        <v>279</v>
      </c>
      <c r="C432" s="4">
        <v>1</v>
      </c>
      <c r="D432" s="4">
        <v>4</v>
      </c>
      <c r="E432" s="8">
        <v>45273</v>
      </c>
      <c r="F432" s="9">
        <v>0.8011921296296296</v>
      </c>
      <c r="G432" s="8">
        <v>45279</v>
      </c>
      <c r="H432" s="9">
        <v>0.87666666666666671</v>
      </c>
      <c r="I432" s="7" t="s">
        <v>288</v>
      </c>
      <c r="J432" s="7" t="s">
        <v>8</v>
      </c>
      <c r="K432" s="18" t="str">
        <f>_xlfn.XLOOKUP(tblMaster[[#This Row],[Customer_ID]],tblCustomers[Customer_ID],tblCustomers[City],"Not Found",0)</f>
        <v>Delhi</v>
      </c>
      <c r="L432" s="18" t="str">
        <f>_xlfn.XLOOKUP(tblMaster[[#This Row],[Customer_ID]],tblCustomers[Customer_ID],tblCustomers[Name],"Not Found",0)</f>
        <v>Zain Hegde</v>
      </c>
      <c r="M432" s="18" t="str">
        <f>_xlfn.XLOOKUP(tblMaster[[#This Row],[Customer_ID]],tblCustomers[Customer_ID],tblCustomers[Gender],"Not Found",0)</f>
        <v>Female</v>
      </c>
      <c r="N432" s="18" t="str">
        <f>_xlfn.XLOOKUP(tblMaster[[#This Row],[Product_ID]],tblProducts[Product_ID],tblProducts[Product_Name],"Not Found",0)</f>
        <v>Magnam Set</v>
      </c>
      <c r="O432" s="18" t="str">
        <f>_xlfn.XLOOKUP(tblMaster[[#This Row],[Product_ID]],tblProducts[Product_ID],tblProducts[Category],"Not Found",0)</f>
        <v>Soft Toys</v>
      </c>
      <c r="P432" s="18" t="str">
        <f>_xlfn.XLOOKUP(tblMaster[[#This Row],[Product_ID]],tblProducts[Product_ID],tblProducts[Occasion],"Not Found",0)</f>
        <v>All Occasions</v>
      </c>
      <c r="Q432" s="18">
        <f>_xlfn.XLOOKUP(tblMaster[[#This Row],[Product_ID]],tblProducts[Product_ID],tblProducts[Price (INR)],"Not Found",0)</f>
        <v>1935</v>
      </c>
      <c r="R432" s="19">
        <f>tblMaster[[#This Row],[Price]]*tblMaster[[#This Row],[Quantity]]</f>
        <v>7740</v>
      </c>
      <c r="S432" s="19">
        <f>tblMaster[[#This Row],[Price]]*0.7*tblMaster[[#This Row],[Quantity]]</f>
        <v>5418</v>
      </c>
      <c r="T432" s="19">
        <f>tblMaster[[#This Row],[Revenue]]-tblMaster[[#This Row],[Estimated Cost (at 70%) ]]</f>
        <v>2322</v>
      </c>
      <c r="U432" s="19">
        <f>tblMaster[[#This Row],[Profit]]/tblMaster[[#This Row],[Revenue]]</f>
        <v>0.3</v>
      </c>
      <c r="V432" s="19">
        <f>tblMaster[[#This Row],[Delivery_Date]]-tblMaster[[#This Row],[Order_Date]]</f>
        <v>6</v>
      </c>
      <c r="W432" s="19" t="str">
        <f>TEXT(tblMaster[[#This Row],[Order_Date]],"mmmm")</f>
        <v>December</v>
      </c>
      <c r="X432" s="19">
        <f>MONTH(tblMaster[[#This Row],[Order_Date]])</f>
        <v>12</v>
      </c>
      <c r="Y432" s="19" t="str">
        <f>"Q"&amp;ROUNDUP(tblMaster[[#This Row],[Month Number]]/3,0)</f>
        <v>Q4</v>
      </c>
      <c r="Z432" s="19">
        <f>YEAR(tblMaster[[#This Row],[Order_Date]])</f>
        <v>2023</v>
      </c>
      <c r="AA432" s="19" t="str">
        <f>TEXT(DAY(tblMaster[[#This Row],[Order_Date]]),"dddd")</f>
        <v>Friday</v>
      </c>
      <c r="AB432" s="19" t="str">
        <f>IF(tblMaster[[#This Row],[Revenue]]&gt;=5000,"High",IF(tblMaster[[#This Row],[Revenue]]&lt;2000,"Low","Medium"))</f>
        <v>High</v>
      </c>
    </row>
    <row r="433" spans="1:28" x14ac:dyDescent="0.25">
      <c r="A433" s="10">
        <v>432</v>
      </c>
      <c r="B433" s="10" t="s">
        <v>361</v>
      </c>
      <c r="C433" s="5">
        <v>12</v>
      </c>
      <c r="D433" s="5">
        <v>4</v>
      </c>
      <c r="E433" s="11">
        <v>44931</v>
      </c>
      <c r="F433" s="12">
        <v>0.50656250000000003</v>
      </c>
      <c r="G433" s="11">
        <v>44939</v>
      </c>
      <c r="H433" s="12">
        <v>0.81988425925925923</v>
      </c>
      <c r="I433" s="10" t="s">
        <v>452</v>
      </c>
      <c r="J433" s="10" t="s">
        <v>30</v>
      </c>
      <c r="K433" s="18" t="str">
        <f>_xlfn.XLOOKUP(tblMaster[[#This Row],[Customer_ID]],tblCustomers[Customer_ID],tblCustomers[City],"Not Found",0)</f>
        <v>Dibrugarh</v>
      </c>
      <c r="L433" s="18" t="str">
        <f>_xlfn.XLOOKUP(tblMaster[[#This Row],[Customer_ID]],tblCustomers[Customer_ID],tblCustomers[Name],"Not Found",0)</f>
        <v>Zoya Mani</v>
      </c>
      <c r="M433" s="18" t="str">
        <f>_xlfn.XLOOKUP(tblMaster[[#This Row],[Customer_ID]],tblCustomers[Customer_ID],tblCustomers[Gender],"Not Found",0)</f>
        <v>Male</v>
      </c>
      <c r="N433" s="18" t="str">
        <f>_xlfn.XLOOKUP(tblMaster[[#This Row],[Product_ID]],tblProducts[Product_ID],tblProducts[Product_Name],"Not Found",0)</f>
        <v>Non Set</v>
      </c>
      <c r="O433" s="18" t="str">
        <f>_xlfn.XLOOKUP(tblMaster[[#This Row],[Product_ID]],tblProducts[Product_ID],tblProducts[Category],"Not Found",0)</f>
        <v>Plants</v>
      </c>
      <c r="P433" s="18" t="str">
        <f>_xlfn.XLOOKUP(tblMaster[[#This Row],[Product_ID]],tblProducts[Product_ID],tblProducts[Occasion],"Not Found",0)</f>
        <v>Anniversary</v>
      </c>
      <c r="Q433" s="18">
        <f>_xlfn.XLOOKUP(tblMaster[[#This Row],[Product_ID]],tblProducts[Product_ID],tblProducts[Price (INR)],"Not Found",0)</f>
        <v>672</v>
      </c>
      <c r="R433" s="19">
        <f>tblMaster[[#This Row],[Price]]*tblMaster[[#This Row],[Quantity]]</f>
        <v>2688</v>
      </c>
      <c r="S433" s="19">
        <f>tblMaster[[#This Row],[Price]]*0.7*tblMaster[[#This Row],[Quantity]]</f>
        <v>1881.6</v>
      </c>
      <c r="T433" s="19">
        <f>tblMaster[[#This Row],[Revenue]]-tblMaster[[#This Row],[Estimated Cost (at 70%) ]]</f>
        <v>806.40000000000009</v>
      </c>
      <c r="U433" s="19">
        <f>tblMaster[[#This Row],[Profit]]/tblMaster[[#This Row],[Revenue]]</f>
        <v>0.30000000000000004</v>
      </c>
      <c r="V433" s="19">
        <f>tblMaster[[#This Row],[Delivery_Date]]-tblMaster[[#This Row],[Order_Date]]</f>
        <v>8</v>
      </c>
      <c r="W433" s="19" t="str">
        <f>TEXT(tblMaster[[#This Row],[Order_Date]],"mmmm")</f>
        <v>January</v>
      </c>
      <c r="X433" s="19">
        <f>MONTH(tblMaster[[#This Row],[Order_Date]])</f>
        <v>1</v>
      </c>
      <c r="Y433" s="19" t="str">
        <f>"Q"&amp;ROUNDUP(tblMaster[[#This Row],[Month Number]]/3,0)</f>
        <v>Q1</v>
      </c>
      <c r="Z433" s="19">
        <f>YEAR(tblMaster[[#This Row],[Order_Date]])</f>
        <v>2023</v>
      </c>
      <c r="AA433" s="19" t="str">
        <f>TEXT(DAY(tblMaster[[#This Row],[Order_Date]]),"dddd")</f>
        <v>Thursday</v>
      </c>
      <c r="AB433" s="19" t="str">
        <f>IF(tblMaster[[#This Row],[Revenue]]&gt;=5000,"High",IF(tblMaster[[#This Row],[Revenue]]&lt;2000,"Low","Medium"))</f>
        <v>Medium</v>
      </c>
    </row>
    <row r="434" spans="1:28" x14ac:dyDescent="0.25">
      <c r="A434" s="7">
        <v>433</v>
      </c>
      <c r="B434" s="7" t="s">
        <v>388</v>
      </c>
      <c r="C434" s="4">
        <v>7</v>
      </c>
      <c r="D434" s="4">
        <v>5</v>
      </c>
      <c r="E434" s="8">
        <v>44983</v>
      </c>
      <c r="F434" s="9">
        <v>0.98184027777777783</v>
      </c>
      <c r="G434" s="8">
        <v>44987</v>
      </c>
      <c r="H434" s="9">
        <v>0.18050925925925926</v>
      </c>
      <c r="I434" s="7" t="s">
        <v>262</v>
      </c>
      <c r="J434" s="7" t="s">
        <v>25</v>
      </c>
      <c r="K434" s="18" t="str">
        <f>_xlfn.XLOOKUP(tblMaster[[#This Row],[Customer_ID]],tblCustomers[Customer_ID],tblCustomers[City],"Not Found",0)</f>
        <v>Kalyan-Dombivli</v>
      </c>
      <c r="L434" s="18" t="str">
        <f>_xlfn.XLOOKUP(tblMaster[[#This Row],[Customer_ID]],tblCustomers[Customer_ID],tblCustomers[Name],"Not Found",0)</f>
        <v>Ritvik Garde</v>
      </c>
      <c r="M434" s="18" t="str">
        <f>_xlfn.XLOOKUP(tblMaster[[#This Row],[Customer_ID]],tblCustomers[Customer_ID],tblCustomers[Gender],"Not Found",0)</f>
        <v>Male</v>
      </c>
      <c r="N434" s="18" t="str">
        <f>_xlfn.XLOOKUP(tblMaster[[#This Row],[Product_ID]],tblProducts[Product_ID],tblProducts[Product_Name],"Not Found",0)</f>
        <v>Quos Set</v>
      </c>
      <c r="O434" s="18" t="str">
        <f>_xlfn.XLOOKUP(tblMaster[[#This Row],[Product_ID]],tblProducts[Product_ID],tblProducts[Category],"Not Found",0)</f>
        <v>Soft Toys</v>
      </c>
      <c r="P434" s="18" t="str">
        <f>_xlfn.XLOOKUP(tblMaster[[#This Row],[Product_ID]],tblProducts[Product_ID],tblProducts[Occasion],"Not Found",0)</f>
        <v>Holi</v>
      </c>
      <c r="Q434" s="18">
        <f>_xlfn.XLOOKUP(tblMaster[[#This Row],[Product_ID]],tblProducts[Product_ID],tblProducts[Price (INR)],"Not Found",0)</f>
        <v>409</v>
      </c>
      <c r="R434" s="19">
        <f>tblMaster[[#This Row],[Price]]*tblMaster[[#This Row],[Quantity]]</f>
        <v>2045</v>
      </c>
      <c r="S434" s="19">
        <f>tblMaster[[#This Row],[Price]]*0.7*tblMaster[[#This Row],[Quantity]]</f>
        <v>1431.4999999999998</v>
      </c>
      <c r="T434" s="19">
        <f>tblMaster[[#This Row],[Revenue]]-tblMaster[[#This Row],[Estimated Cost (at 70%) ]]</f>
        <v>613.50000000000023</v>
      </c>
      <c r="U434" s="19">
        <f>tblMaster[[#This Row],[Profit]]/tblMaster[[#This Row],[Revenue]]</f>
        <v>0.3000000000000001</v>
      </c>
      <c r="V434" s="19">
        <f>tblMaster[[#This Row],[Delivery_Date]]-tblMaster[[#This Row],[Order_Date]]</f>
        <v>4</v>
      </c>
      <c r="W434" s="19" t="str">
        <f>TEXT(tblMaster[[#This Row],[Order_Date]],"mmmm")</f>
        <v>February</v>
      </c>
      <c r="X434" s="19">
        <f>MONTH(tblMaster[[#This Row],[Order_Date]])</f>
        <v>2</v>
      </c>
      <c r="Y434" s="19" t="str">
        <f>"Q"&amp;ROUNDUP(tblMaster[[#This Row],[Month Number]]/3,0)</f>
        <v>Q1</v>
      </c>
      <c r="Z434" s="19">
        <f>YEAR(tblMaster[[#This Row],[Order_Date]])</f>
        <v>2023</v>
      </c>
      <c r="AA434" s="19" t="str">
        <f>TEXT(DAY(tblMaster[[#This Row],[Order_Date]]),"dddd")</f>
        <v>Thursday</v>
      </c>
      <c r="AB434" s="19" t="str">
        <f>IF(tblMaster[[#This Row],[Revenue]]&gt;=5000,"High",IF(tblMaster[[#This Row],[Revenue]]&lt;2000,"Low","Medium"))</f>
        <v>Medium</v>
      </c>
    </row>
    <row r="435" spans="1:28" x14ac:dyDescent="0.25">
      <c r="A435" s="10">
        <v>434</v>
      </c>
      <c r="B435" s="10" t="s">
        <v>246</v>
      </c>
      <c r="C435" s="5">
        <v>51</v>
      </c>
      <c r="D435" s="5">
        <v>4</v>
      </c>
      <c r="E435" s="11">
        <v>45258</v>
      </c>
      <c r="F435" s="12">
        <v>0.30770833333333331</v>
      </c>
      <c r="G435" s="11">
        <v>45259</v>
      </c>
      <c r="H435" s="12">
        <v>0.8218981481481481</v>
      </c>
      <c r="I435" s="10" t="s">
        <v>325</v>
      </c>
      <c r="J435" s="10" t="s">
        <v>8</v>
      </c>
      <c r="K435" s="18" t="str">
        <f>_xlfn.XLOOKUP(tblMaster[[#This Row],[Customer_ID]],tblCustomers[Customer_ID],tblCustomers[City],"Not Found",0)</f>
        <v>Machilipatnam</v>
      </c>
      <c r="L435" s="18" t="str">
        <f>_xlfn.XLOOKUP(tblMaster[[#This Row],[Customer_ID]],tblCustomers[Customer_ID],tblCustomers[Name],"Not Found",0)</f>
        <v>Samaira Ganesh</v>
      </c>
      <c r="M435" s="18" t="str">
        <f>_xlfn.XLOOKUP(tblMaster[[#This Row],[Customer_ID]],tblCustomers[Customer_ID],tblCustomers[Gender],"Not Found",0)</f>
        <v>Male</v>
      </c>
      <c r="N435" s="18" t="str">
        <f>_xlfn.XLOOKUP(tblMaster[[#This Row],[Product_ID]],tblProducts[Product_ID],tblProducts[Product_Name],"Not Found",0)</f>
        <v>Fugit Set</v>
      </c>
      <c r="O435" s="18" t="str">
        <f>_xlfn.XLOOKUP(tblMaster[[#This Row],[Product_ID]],tblProducts[Product_ID],tblProducts[Category],"Not Found",0)</f>
        <v>Soft Toys</v>
      </c>
      <c r="P435" s="18" t="str">
        <f>_xlfn.XLOOKUP(tblMaster[[#This Row],[Product_ID]],tblProducts[Product_ID],tblProducts[Occasion],"Not Found",0)</f>
        <v>All Occasions</v>
      </c>
      <c r="Q435" s="18">
        <f>_xlfn.XLOOKUP(tblMaster[[#This Row],[Product_ID]],tblProducts[Product_ID],tblProducts[Price (INR)],"Not Found",0)</f>
        <v>1084</v>
      </c>
      <c r="R435" s="19">
        <f>tblMaster[[#This Row],[Price]]*tblMaster[[#This Row],[Quantity]]</f>
        <v>4336</v>
      </c>
      <c r="S435" s="19">
        <f>tblMaster[[#This Row],[Price]]*0.7*tblMaster[[#This Row],[Quantity]]</f>
        <v>3035.2</v>
      </c>
      <c r="T435" s="19">
        <f>tblMaster[[#This Row],[Revenue]]-tblMaster[[#This Row],[Estimated Cost (at 70%) ]]</f>
        <v>1300.8000000000002</v>
      </c>
      <c r="U435" s="19">
        <f>tblMaster[[#This Row],[Profit]]/tblMaster[[#This Row],[Revenue]]</f>
        <v>0.30000000000000004</v>
      </c>
      <c r="V435" s="19">
        <f>tblMaster[[#This Row],[Delivery_Date]]-tblMaster[[#This Row],[Order_Date]]</f>
        <v>1</v>
      </c>
      <c r="W435" s="19" t="str">
        <f>TEXT(tblMaster[[#This Row],[Order_Date]],"mmmm")</f>
        <v>November</v>
      </c>
      <c r="X435" s="19">
        <f>MONTH(tblMaster[[#This Row],[Order_Date]])</f>
        <v>11</v>
      </c>
      <c r="Y435" s="19" t="str">
        <f>"Q"&amp;ROUNDUP(tblMaster[[#This Row],[Month Number]]/3,0)</f>
        <v>Q4</v>
      </c>
      <c r="Z435" s="19">
        <f>YEAR(tblMaster[[#This Row],[Order_Date]])</f>
        <v>2023</v>
      </c>
      <c r="AA435" s="19" t="str">
        <f>TEXT(DAY(tblMaster[[#This Row],[Order_Date]]),"dddd")</f>
        <v>Saturday</v>
      </c>
      <c r="AB435" s="19" t="str">
        <f>IF(tblMaster[[#This Row],[Revenue]]&gt;=5000,"High",IF(tblMaster[[#This Row],[Revenue]]&lt;2000,"Low","Medium"))</f>
        <v>Medium</v>
      </c>
    </row>
    <row r="436" spans="1:28" x14ac:dyDescent="0.25">
      <c r="A436" s="7">
        <v>435</v>
      </c>
      <c r="B436" s="7" t="s">
        <v>274</v>
      </c>
      <c r="C436" s="4">
        <v>53</v>
      </c>
      <c r="D436" s="4">
        <v>4</v>
      </c>
      <c r="E436" s="8">
        <v>45160</v>
      </c>
      <c r="F436" s="9">
        <v>0.72743055555555558</v>
      </c>
      <c r="G436" s="8">
        <v>45165</v>
      </c>
      <c r="H436" s="9">
        <v>0.52446759259259257</v>
      </c>
      <c r="I436" s="7" t="s">
        <v>500</v>
      </c>
      <c r="J436" s="7" t="s">
        <v>33</v>
      </c>
      <c r="K436" s="18" t="str">
        <f>_xlfn.XLOOKUP(tblMaster[[#This Row],[Customer_ID]],tblCustomers[Customer_ID],tblCustomers[City],"Not Found",0)</f>
        <v>Gangtok</v>
      </c>
      <c r="L436" s="18" t="str">
        <f>_xlfn.XLOOKUP(tblMaster[[#This Row],[Customer_ID]],tblCustomers[Customer_ID],tblCustomers[Name],"Not Found",0)</f>
        <v>Advika Dhar</v>
      </c>
      <c r="M436" s="18" t="str">
        <f>_xlfn.XLOOKUP(tblMaster[[#This Row],[Customer_ID]],tblCustomers[Customer_ID],tblCustomers[Gender],"Not Found",0)</f>
        <v>Male</v>
      </c>
      <c r="N436" s="18" t="str">
        <f>_xlfn.XLOOKUP(tblMaster[[#This Row],[Product_ID]],tblProducts[Product_ID],tblProducts[Product_Name],"Not Found",0)</f>
        <v>Ipsam Set</v>
      </c>
      <c r="O436" s="18" t="str">
        <f>_xlfn.XLOOKUP(tblMaster[[#This Row],[Product_ID]],tblProducts[Product_ID],tblProducts[Category],"Not Found",0)</f>
        <v>Sweets</v>
      </c>
      <c r="P436" s="18" t="str">
        <f>_xlfn.XLOOKUP(tblMaster[[#This Row],[Product_ID]],tblProducts[Product_ID],tblProducts[Occasion],"Not Found",0)</f>
        <v>Raksha Bandhan</v>
      </c>
      <c r="Q436" s="18">
        <f>_xlfn.XLOOKUP(tblMaster[[#This Row],[Product_ID]],tblProducts[Product_ID],tblProducts[Price (INR)],"Not Found",0)</f>
        <v>1672</v>
      </c>
      <c r="R436" s="19">
        <f>tblMaster[[#This Row],[Price]]*tblMaster[[#This Row],[Quantity]]</f>
        <v>6688</v>
      </c>
      <c r="S436" s="19">
        <f>tblMaster[[#This Row],[Price]]*0.7*tblMaster[[#This Row],[Quantity]]</f>
        <v>4681.5999999999995</v>
      </c>
      <c r="T436" s="19">
        <f>tblMaster[[#This Row],[Revenue]]-tblMaster[[#This Row],[Estimated Cost (at 70%) ]]</f>
        <v>2006.4000000000005</v>
      </c>
      <c r="U436" s="19">
        <f>tblMaster[[#This Row],[Profit]]/tblMaster[[#This Row],[Revenue]]</f>
        <v>0.3000000000000001</v>
      </c>
      <c r="V436" s="19">
        <f>tblMaster[[#This Row],[Delivery_Date]]-tblMaster[[#This Row],[Order_Date]]</f>
        <v>5</v>
      </c>
      <c r="W436" s="19" t="str">
        <f>TEXT(tblMaster[[#This Row],[Order_Date]],"mmmm")</f>
        <v>August</v>
      </c>
      <c r="X436" s="19">
        <f>MONTH(tblMaster[[#This Row],[Order_Date]])</f>
        <v>8</v>
      </c>
      <c r="Y436" s="19" t="str">
        <f>"Q"&amp;ROUNDUP(tblMaster[[#This Row],[Month Number]]/3,0)</f>
        <v>Q3</v>
      </c>
      <c r="Z436" s="19">
        <f>YEAR(tblMaster[[#This Row],[Order_Date]])</f>
        <v>2023</v>
      </c>
      <c r="AA436" s="19" t="str">
        <f>TEXT(DAY(tblMaster[[#This Row],[Order_Date]]),"dddd")</f>
        <v>Sunday</v>
      </c>
      <c r="AB436" s="19" t="str">
        <f>IF(tblMaster[[#This Row],[Revenue]]&gt;=5000,"High",IF(tblMaster[[#This Row],[Revenue]]&lt;2000,"Low","Medium"))</f>
        <v>High</v>
      </c>
    </row>
    <row r="437" spans="1:28" x14ac:dyDescent="0.25">
      <c r="A437" s="10">
        <v>436</v>
      </c>
      <c r="B437" s="10" t="s">
        <v>265</v>
      </c>
      <c r="C437" s="5">
        <v>8</v>
      </c>
      <c r="D437" s="5">
        <v>1</v>
      </c>
      <c r="E437" s="11">
        <v>44953</v>
      </c>
      <c r="F437" s="12">
        <v>0.25555555555555554</v>
      </c>
      <c r="G437" s="11">
        <v>44960</v>
      </c>
      <c r="H437" s="12">
        <v>0.34431712962962963</v>
      </c>
      <c r="I437" s="10" t="s">
        <v>290</v>
      </c>
      <c r="J437" s="10" t="s">
        <v>30</v>
      </c>
      <c r="K437" s="18" t="str">
        <f>_xlfn.XLOOKUP(tblMaster[[#This Row],[Customer_ID]],tblCustomers[Customer_ID],tblCustomers[City],"Not Found",0)</f>
        <v>Guntakal</v>
      </c>
      <c r="L437" s="18" t="str">
        <f>_xlfn.XLOOKUP(tblMaster[[#This Row],[Customer_ID]],tblCustomers[Customer_ID],tblCustomers[Name],"Not Found",0)</f>
        <v>Charvi Kanda</v>
      </c>
      <c r="M437" s="18" t="str">
        <f>_xlfn.XLOOKUP(tblMaster[[#This Row],[Customer_ID]],tblCustomers[Customer_ID],tblCustomers[Gender],"Not Found",0)</f>
        <v>Male</v>
      </c>
      <c r="N437" s="18" t="str">
        <f>_xlfn.XLOOKUP(tblMaster[[#This Row],[Product_ID]],tblProducts[Product_ID],tblProducts[Product_Name],"Not Found",0)</f>
        <v>Qui Box</v>
      </c>
      <c r="O437" s="18" t="str">
        <f>_xlfn.XLOOKUP(tblMaster[[#This Row],[Product_ID]],tblProducts[Product_ID],tblProducts[Category],"Not Found",0)</f>
        <v>Sweets</v>
      </c>
      <c r="P437" s="18" t="str">
        <f>_xlfn.XLOOKUP(tblMaster[[#This Row],[Product_ID]],tblProducts[Product_ID],tblProducts[Occasion],"Not Found",0)</f>
        <v>Anniversary</v>
      </c>
      <c r="Q437" s="18">
        <f>_xlfn.XLOOKUP(tblMaster[[#This Row],[Product_ID]],tblProducts[Product_ID],tblProducts[Price (INR)],"Not Found",0)</f>
        <v>252</v>
      </c>
      <c r="R437" s="19">
        <f>tblMaster[[#This Row],[Price]]*tblMaster[[#This Row],[Quantity]]</f>
        <v>252</v>
      </c>
      <c r="S437" s="19">
        <f>tblMaster[[#This Row],[Price]]*0.7*tblMaster[[#This Row],[Quantity]]</f>
        <v>176.39999999999998</v>
      </c>
      <c r="T437" s="19">
        <f>tblMaster[[#This Row],[Revenue]]-tblMaster[[#This Row],[Estimated Cost (at 70%) ]]</f>
        <v>75.600000000000023</v>
      </c>
      <c r="U437" s="19">
        <f>tblMaster[[#This Row],[Profit]]/tblMaster[[#This Row],[Revenue]]</f>
        <v>0.3000000000000001</v>
      </c>
      <c r="V437" s="19">
        <f>tblMaster[[#This Row],[Delivery_Date]]-tblMaster[[#This Row],[Order_Date]]</f>
        <v>7</v>
      </c>
      <c r="W437" s="19" t="str">
        <f>TEXT(tblMaster[[#This Row],[Order_Date]],"mmmm")</f>
        <v>January</v>
      </c>
      <c r="X437" s="19">
        <f>MONTH(tblMaster[[#This Row],[Order_Date]])</f>
        <v>1</v>
      </c>
      <c r="Y437" s="19" t="str">
        <f>"Q"&amp;ROUNDUP(tblMaster[[#This Row],[Month Number]]/3,0)</f>
        <v>Q1</v>
      </c>
      <c r="Z437" s="19">
        <f>YEAR(tblMaster[[#This Row],[Order_Date]])</f>
        <v>2023</v>
      </c>
      <c r="AA437" s="19" t="str">
        <f>TEXT(DAY(tblMaster[[#This Row],[Order_Date]]),"dddd")</f>
        <v>Friday</v>
      </c>
      <c r="AB437" s="19" t="str">
        <f>IF(tblMaster[[#This Row],[Revenue]]&gt;=5000,"High",IF(tblMaster[[#This Row],[Revenue]]&lt;2000,"Low","Medium"))</f>
        <v>Low</v>
      </c>
    </row>
    <row r="438" spans="1:28" x14ac:dyDescent="0.25">
      <c r="A438" s="7">
        <v>437</v>
      </c>
      <c r="B438" s="7" t="s">
        <v>287</v>
      </c>
      <c r="C438" s="4">
        <v>55</v>
      </c>
      <c r="D438" s="4">
        <v>1</v>
      </c>
      <c r="E438" s="8">
        <v>45162</v>
      </c>
      <c r="F438" s="9">
        <v>0.27137731481481481</v>
      </c>
      <c r="G438" s="8">
        <v>45165</v>
      </c>
      <c r="H438" s="9">
        <v>0.95599537037037041</v>
      </c>
      <c r="I438" s="7" t="s">
        <v>501</v>
      </c>
      <c r="J438" s="7" t="s">
        <v>33</v>
      </c>
      <c r="K438" s="18" t="str">
        <f>_xlfn.XLOOKUP(tblMaster[[#This Row],[Customer_ID]],tblCustomers[Customer_ID],tblCustomers[City],"Not Found",0)</f>
        <v>Kanpur</v>
      </c>
      <c r="L438" s="18" t="str">
        <f>_xlfn.XLOOKUP(tblMaster[[#This Row],[Customer_ID]],tblCustomers[Customer_ID],tblCustomers[Name],"Not Found",0)</f>
        <v>Darshit Dave</v>
      </c>
      <c r="M438" s="18" t="str">
        <f>_xlfn.XLOOKUP(tblMaster[[#This Row],[Customer_ID]],tblCustomers[Customer_ID],tblCustomers[Gender],"Not Found",0)</f>
        <v>Male</v>
      </c>
      <c r="N438" s="18" t="str">
        <f>_xlfn.XLOOKUP(tblMaster[[#This Row],[Product_ID]],tblProducts[Product_ID],tblProducts[Product_Name],"Not Found",0)</f>
        <v>Dolores Gift</v>
      </c>
      <c r="O438" s="18" t="str">
        <f>_xlfn.XLOOKUP(tblMaster[[#This Row],[Product_ID]],tblProducts[Product_ID],tblProducts[Category],"Not Found",0)</f>
        <v>Soft Toys</v>
      </c>
      <c r="P438" s="18" t="str">
        <f>_xlfn.XLOOKUP(tblMaster[[#This Row],[Product_ID]],tblProducts[Product_ID],tblProducts[Occasion],"Not Found",0)</f>
        <v>Raksha Bandhan</v>
      </c>
      <c r="Q438" s="18">
        <f>_xlfn.XLOOKUP(tblMaster[[#This Row],[Product_ID]],tblProducts[Product_ID],tblProducts[Price (INR)],"Not Found",0)</f>
        <v>1904</v>
      </c>
      <c r="R438" s="19">
        <f>tblMaster[[#This Row],[Price]]*tblMaster[[#This Row],[Quantity]]</f>
        <v>1904</v>
      </c>
      <c r="S438" s="19">
        <f>tblMaster[[#This Row],[Price]]*0.7*tblMaster[[#This Row],[Quantity]]</f>
        <v>1332.8</v>
      </c>
      <c r="T438" s="19">
        <f>tblMaster[[#This Row],[Revenue]]-tblMaster[[#This Row],[Estimated Cost (at 70%) ]]</f>
        <v>571.20000000000005</v>
      </c>
      <c r="U438" s="19">
        <f>tblMaster[[#This Row],[Profit]]/tblMaster[[#This Row],[Revenue]]</f>
        <v>0.30000000000000004</v>
      </c>
      <c r="V438" s="19">
        <f>tblMaster[[#This Row],[Delivery_Date]]-tblMaster[[#This Row],[Order_Date]]</f>
        <v>3</v>
      </c>
      <c r="W438" s="19" t="str">
        <f>TEXT(tblMaster[[#This Row],[Order_Date]],"mmmm")</f>
        <v>August</v>
      </c>
      <c r="X438" s="19">
        <f>MONTH(tblMaster[[#This Row],[Order_Date]])</f>
        <v>8</v>
      </c>
      <c r="Y438" s="19" t="str">
        <f>"Q"&amp;ROUNDUP(tblMaster[[#This Row],[Month Number]]/3,0)</f>
        <v>Q3</v>
      </c>
      <c r="Z438" s="19">
        <f>YEAR(tblMaster[[#This Row],[Order_Date]])</f>
        <v>2023</v>
      </c>
      <c r="AA438" s="19" t="str">
        <f>TEXT(DAY(tblMaster[[#This Row],[Order_Date]]),"dddd")</f>
        <v>Tuesday</v>
      </c>
      <c r="AB438" s="19" t="str">
        <f>IF(tblMaster[[#This Row],[Revenue]]&gt;=5000,"High",IF(tblMaster[[#This Row],[Revenue]]&lt;2000,"Low","Medium"))</f>
        <v>Low</v>
      </c>
    </row>
    <row r="439" spans="1:28" x14ac:dyDescent="0.25">
      <c r="A439" s="10">
        <v>438</v>
      </c>
      <c r="B439" s="10" t="s">
        <v>166</v>
      </c>
      <c r="C439" s="5">
        <v>34</v>
      </c>
      <c r="D439" s="5">
        <v>2</v>
      </c>
      <c r="E439" s="11">
        <v>45164</v>
      </c>
      <c r="F439" s="12">
        <v>0.39394675925925926</v>
      </c>
      <c r="G439" s="11">
        <v>45165</v>
      </c>
      <c r="H439" s="12">
        <v>0.1378587962962963</v>
      </c>
      <c r="I439" s="10" t="s">
        <v>459</v>
      </c>
      <c r="J439" s="10" t="s">
        <v>33</v>
      </c>
      <c r="K439" s="18" t="str">
        <f>_xlfn.XLOOKUP(tblMaster[[#This Row],[Customer_ID]],tblCustomers[Customer_ID],tblCustomers[City],"Not Found",0)</f>
        <v>Davanagere</v>
      </c>
      <c r="L439" s="18" t="str">
        <f>_xlfn.XLOOKUP(tblMaster[[#This Row],[Customer_ID]],tblCustomers[Customer_ID],tblCustomers[Name],"Not Found",0)</f>
        <v>Aradhya Kumar</v>
      </c>
      <c r="M439" s="18" t="str">
        <f>_xlfn.XLOOKUP(tblMaster[[#This Row],[Customer_ID]],tblCustomers[Customer_ID],tblCustomers[Gender],"Not Found",0)</f>
        <v>Male</v>
      </c>
      <c r="N439" s="18" t="str">
        <f>_xlfn.XLOOKUP(tblMaster[[#This Row],[Product_ID]],tblProducts[Product_ID],tblProducts[Product_Name],"Not Found",0)</f>
        <v>Placeat Pack</v>
      </c>
      <c r="O439" s="18" t="str">
        <f>_xlfn.XLOOKUP(tblMaster[[#This Row],[Product_ID]],tblProducts[Product_ID],tblProducts[Category],"Not Found",0)</f>
        <v>Soft Toys</v>
      </c>
      <c r="P439" s="18" t="str">
        <f>_xlfn.XLOOKUP(tblMaster[[#This Row],[Product_ID]],tblProducts[Product_ID],tblProducts[Occasion],"Not Found",0)</f>
        <v>Raksha Bandhan</v>
      </c>
      <c r="Q439" s="18">
        <f>_xlfn.XLOOKUP(tblMaster[[#This Row],[Product_ID]],tblProducts[Product_ID],tblProducts[Price (INR)],"Not Found",0)</f>
        <v>1335</v>
      </c>
      <c r="R439" s="19">
        <f>tblMaster[[#This Row],[Price]]*tblMaster[[#This Row],[Quantity]]</f>
        <v>2670</v>
      </c>
      <c r="S439" s="19">
        <f>tblMaster[[#This Row],[Price]]*0.7*tblMaster[[#This Row],[Quantity]]</f>
        <v>1868.9999999999998</v>
      </c>
      <c r="T439" s="19">
        <f>tblMaster[[#This Row],[Revenue]]-tblMaster[[#This Row],[Estimated Cost (at 70%) ]]</f>
        <v>801.00000000000023</v>
      </c>
      <c r="U439" s="19">
        <f>tblMaster[[#This Row],[Profit]]/tblMaster[[#This Row],[Revenue]]</f>
        <v>0.3000000000000001</v>
      </c>
      <c r="V439" s="19">
        <f>tblMaster[[#This Row],[Delivery_Date]]-tblMaster[[#This Row],[Order_Date]]</f>
        <v>1</v>
      </c>
      <c r="W439" s="19" t="str">
        <f>TEXT(tblMaster[[#This Row],[Order_Date]],"mmmm")</f>
        <v>August</v>
      </c>
      <c r="X439" s="19">
        <f>MONTH(tblMaster[[#This Row],[Order_Date]])</f>
        <v>8</v>
      </c>
      <c r="Y439" s="19" t="str">
        <f>"Q"&amp;ROUNDUP(tblMaster[[#This Row],[Month Number]]/3,0)</f>
        <v>Q3</v>
      </c>
      <c r="Z439" s="19">
        <f>YEAR(tblMaster[[#This Row],[Order_Date]])</f>
        <v>2023</v>
      </c>
      <c r="AA439" s="19" t="str">
        <f>TEXT(DAY(tblMaster[[#This Row],[Order_Date]]),"dddd")</f>
        <v>Thursday</v>
      </c>
      <c r="AB439" s="19" t="str">
        <f>IF(tblMaster[[#This Row],[Revenue]]&gt;=5000,"High",IF(tblMaster[[#This Row],[Revenue]]&lt;2000,"Low","Medium"))</f>
        <v>Medium</v>
      </c>
    </row>
    <row r="440" spans="1:28" x14ac:dyDescent="0.25">
      <c r="A440" s="7">
        <v>439</v>
      </c>
      <c r="B440" s="7" t="s">
        <v>166</v>
      </c>
      <c r="C440" s="4">
        <v>12</v>
      </c>
      <c r="D440" s="4">
        <v>3</v>
      </c>
      <c r="E440" s="8">
        <v>45273</v>
      </c>
      <c r="F440" s="9">
        <v>0.37234953703703705</v>
      </c>
      <c r="G440" s="8">
        <v>45282</v>
      </c>
      <c r="H440" s="9">
        <v>0.53548611111111111</v>
      </c>
      <c r="I440" s="7" t="s">
        <v>277</v>
      </c>
      <c r="J440" s="7" t="s">
        <v>30</v>
      </c>
      <c r="K440" s="18" t="str">
        <f>_xlfn.XLOOKUP(tblMaster[[#This Row],[Customer_ID]],tblCustomers[Customer_ID],tblCustomers[City],"Not Found",0)</f>
        <v>Davanagere</v>
      </c>
      <c r="L440" s="18" t="str">
        <f>_xlfn.XLOOKUP(tblMaster[[#This Row],[Customer_ID]],tblCustomers[Customer_ID],tblCustomers[Name],"Not Found",0)</f>
        <v>Aradhya Kumar</v>
      </c>
      <c r="M440" s="18" t="str">
        <f>_xlfn.XLOOKUP(tblMaster[[#This Row],[Customer_ID]],tblCustomers[Customer_ID],tblCustomers[Gender],"Not Found",0)</f>
        <v>Male</v>
      </c>
      <c r="N440" s="18" t="str">
        <f>_xlfn.XLOOKUP(tblMaster[[#This Row],[Product_ID]],tblProducts[Product_ID],tblProducts[Product_Name],"Not Found",0)</f>
        <v>Non Set</v>
      </c>
      <c r="O440" s="18" t="str">
        <f>_xlfn.XLOOKUP(tblMaster[[#This Row],[Product_ID]],tblProducts[Product_ID],tblProducts[Category],"Not Found",0)</f>
        <v>Plants</v>
      </c>
      <c r="P440" s="18" t="str">
        <f>_xlfn.XLOOKUP(tblMaster[[#This Row],[Product_ID]],tblProducts[Product_ID],tblProducts[Occasion],"Not Found",0)</f>
        <v>Anniversary</v>
      </c>
      <c r="Q440" s="18">
        <f>_xlfn.XLOOKUP(tblMaster[[#This Row],[Product_ID]],tblProducts[Product_ID],tblProducts[Price (INR)],"Not Found",0)</f>
        <v>672</v>
      </c>
      <c r="R440" s="19">
        <f>tblMaster[[#This Row],[Price]]*tblMaster[[#This Row],[Quantity]]</f>
        <v>2016</v>
      </c>
      <c r="S440" s="19">
        <f>tblMaster[[#This Row],[Price]]*0.7*tblMaster[[#This Row],[Quantity]]</f>
        <v>1411.1999999999998</v>
      </c>
      <c r="T440" s="19">
        <f>tblMaster[[#This Row],[Revenue]]-tblMaster[[#This Row],[Estimated Cost (at 70%) ]]</f>
        <v>604.80000000000018</v>
      </c>
      <c r="U440" s="19">
        <f>tblMaster[[#This Row],[Profit]]/tblMaster[[#This Row],[Revenue]]</f>
        <v>0.3000000000000001</v>
      </c>
      <c r="V440" s="19">
        <f>tblMaster[[#This Row],[Delivery_Date]]-tblMaster[[#This Row],[Order_Date]]</f>
        <v>9</v>
      </c>
      <c r="W440" s="19" t="str">
        <f>TEXT(tblMaster[[#This Row],[Order_Date]],"mmmm")</f>
        <v>December</v>
      </c>
      <c r="X440" s="19">
        <f>MONTH(tblMaster[[#This Row],[Order_Date]])</f>
        <v>12</v>
      </c>
      <c r="Y440" s="19" t="str">
        <f>"Q"&amp;ROUNDUP(tblMaster[[#This Row],[Month Number]]/3,0)</f>
        <v>Q4</v>
      </c>
      <c r="Z440" s="19">
        <f>YEAR(tblMaster[[#This Row],[Order_Date]])</f>
        <v>2023</v>
      </c>
      <c r="AA440" s="19" t="str">
        <f>TEXT(DAY(tblMaster[[#This Row],[Order_Date]]),"dddd")</f>
        <v>Friday</v>
      </c>
      <c r="AB440" s="19" t="str">
        <f>IF(tblMaster[[#This Row],[Revenue]]&gt;=5000,"High",IF(tblMaster[[#This Row],[Revenue]]&lt;2000,"Low","Medium"))</f>
        <v>Medium</v>
      </c>
    </row>
    <row r="441" spans="1:28" x14ac:dyDescent="0.25">
      <c r="A441" s="10">
        <v>440</v>
      </c>
      <c r="B441" s="10" t="s">
        <v>208</v>
      </c>
      <c r="C441" s="5">
        <v>13</v>
      </c>
      <c r="D441" s="5">
        <v>4</v>
      </c>
      <c r="E441" s="11">
        <v>44992</v>
      </c>
      <c r="F441" s="12">
        <v>0.39827546296296296</v>
      </c>
      <c r="G441" s="11">
        <v>44994</v>
      </c>
      <c r="H441" s="12">
        <v>5.6585648148148149E-2</v>
      </c>
      <c r="I441" s="10" t="s">
        <v>438</v>
      </c>
      <c r="J441" s="10" t="s">
        <v>25</v>
      </c>
      <c r="K441" s="18" t="str">
        <f>_xlfn.XLOOKUP(tblMaster[[#This Row],[Customer_ID]],tblCustomers[Customer_ID],tblCustomers[City],"Not Found",0)</f>
        <v>Nizamabad</v>
      </c>
      <c r="L441" s="18" t="str">
        <f>_xlfn.XLOOKUP(tblMaster[[#This Row],[Customer_ID]],tblCustomers[Customer_ID],tblCustomers[Name],"Not Found",0)</f>
        <v>Eva Vaidya</v>
      </c>
      <c r="M441" s="18" t="str">
        <f>_xlfn.XLOOKUP(tblMaster[[#This Row],[Customer_ID]],tblCustomers[Customer_ID],tblCustomers[Gender],"Not Found",0)</f>
        <v>Male</v>
      </c>
      <c r="N441" s="18" t="str">
        <f>_xlfn.XLOOKUP(tblMaster[[#This Row],[Product_ID]],tblProducts[Product_ID],tblProducts[Product_Name],"Not Found",0)</f>
        <v>Et Set</v>
      </c>
      <c r="O441" s="18" t="str">
        <f>_xlfn.XLOOKUP(tblMaster[[#This Row],[Product_ID]],tblProducts[Product_ID],tblProducts[Category],"Not Found",0)</f>
        <v>Mugs</v>
      </c>
      <c r="P441" s="18" t="str">
        <f>_xlfn.XLOOKUP(tblMaster[[#This Row],[Product_ID]],tblProducts[Product_ID],tblProducts[Occasion],"Not Found",0)</f>
        <v>Holi</v>
      </c>
      <c r="Q441" s="18">
        <f>_xlfn.XLOOKUP(tblMaster[[#This Row],[Product_ID]],tblProducts[Product_ID],tblProducts[Price (INR)],"Not Found",0)</f>
        <v>1141</v>
      </c>
      <c r="R441" s="19">
        <f>tblMaster[[#This Row],[Price]]*tblMaster[[#This Row],[Quantity]]</f>
        <v>4564</v>
      </c>
      <c r="S441" s="19">
        <f>tblMaster[[#This Row],[Price]]*0.7*tblMaster[[#This Row],[Quantity]]</f>
        <v>3194.7999999999997</v>
      </c>
      <c r="T441" s="19">
        <f>tblMaster[[#This Row],[Revenue]]-tblMaster[[#This Row],[Estimated Cost (at 70%) ]]</f>
        <v>1369.2000000000003</v>
      </c>
      <c r="U441" s="19">
        <f>tblMaster[[#This Row],[Profit]]/tblMaster[[#This Row],[Revenue]]</f>
        <v>0.30000000000000004</v>
      </c>
      <c r="V441" s="19">
        <f>tblMaster[[#This Row],[Delivery_Date]]-tblMaster[[#This Row],[Order_Date]]</f>
        <v>2</v>
      </c>
      <c r="W441" s="19" t="str">
        <f>TEXT(tblMaster[[#This Row],[Order_Date]],"mmmm")</f>
        <v>March</v>
      </c>
      <c r="X441" s="19">
        <f>MONTH(tblMaster[[#This Row],[Order_Date]])</f>
        <v>3</v>
      </c>
      <c r="Y441" s="19" t="str">
        <f>"Q"&amp;ROUNDUP(tblMaster[[#This Row],[Month Number]]/3,0)</f>
        <v>Q1</v>
      </c>
      <c r="Z441" s="19">
        <f>YEAR(tblMaster[[#This Row],[Order_Date]])</f>
        <v>2023</v>
      </c>
      <c r="AA441" s="19" t="str">
        <f>TEXT(DAY(tblMaster[[#This Row],[Order_Date]]),"dddd")</f>
        <v>Saturday</v>
      </c>
      <c r="AB441" s="19" t="str">
        <f>IF(tblMaster[[#This Row],[Revenue]]&gt;=5000,"High",IF(tblMaster[[#This Row],[Revenue]]&lt;2000,"Low","Medium"))</f>
        <v>Medium</v>
      </c>
    </row>
    <row r="442" spans="1:28" x14ac:dyDescent="0.25">
      <c r="A442" s="7">
        <v>441</v>
      </c>
      <c r="B442" s="7" t="s">
        <v>437</v>
      </c>
      <c r="C442" s="4">
        <v>26</v>
      </c>
      <c r="D442" s="4">
        <v>2</v>
      </c>
      <c r="E442" s="8">
        <v>44983</v>
      </c>
      <c r="F442" s="9">
        <v>0.47495370370370371</v>
      </c>
      <c r="G442" s="8">
        <v>44991</v>
      </c>
      <c r="H442" s="9">
        <v>0.69363425925925926</v>
      </c>
      <c r="I442" s="7" t="s">
        <v>502</v>
      </c>
      <c r="J442" s="7" t="s">
        <v>25</v>
      </c>
      <c r="K442" s="18" t="str">
        <f>_xlfn.XLOOKUP(tblMaster[[#This Row],[Customer_ID]],tblCustomers[Customer_ID],tblCustomers[City],"Not Found",0)</f>
        <v>Dhanbad</v>
      </c>
      <c r="L442" s="18" t="str">
        <f>_xlfn.XLOOKUP(tblMaster[[#This Row],[Customer_ID]],tblCustomers[Customer_ID],tblCustomers[Name],"Not Found",0)</f>
        <v>Vardaniya Apte</v>
      </c>
      <c r="M442" s="18" t="str">
        <f>_xlfn.XLOOKUP(tblMaster[[#This Row],[Customer_ID]],tblCustomers[Customer_ID],tblCustomers[Gender],"Not Found",0)</f>
        <v>Male</v>
      </c>
      <c r="N442" s="18" t="str">
        <f>_xlfn.XLOOKUP(tblMaster[[#This Row],[Product_ID]],tblProducts[Product_ID],tblProducts[Product_Name],"Not Found",0)</f>
        <v>Aliquam Box</v>
      </c>
      <c r="O442" s="18" t="str">
        <f>_xlfn.XLOOKUP(tblMaster[[#This Row],[Product_ID]],tblProducts[Product_ID],tblProducts[Category],"Not Found",0)</f>
        <v>Colors</v>
      </c>
      <c r="P442" s="18" t="str">
        <f>_xlfn.XLOOKUP(tblMaster[[#This Row],[Product_ID]],tblProducts[Product_ID],tblProducts[Occasion],"Not Found",0)</f>
        <v>Holi</v>
      </c>
      <c r="Q442" s="18">
        <f>_xlfn.XLOOKUP(tblMaster[[#This Row],[Product_ID]],tblProducts[Product_ID],tblProducts[Price (INR)],"Not Found",0)</f>
        <v>289</v>
      </c>
      <c r="R442" s="19">
        <f>tblMaster[[#This Row],[Price]]*tblMaster[[#This Row],[Quantity]]</f>
        <v>578</v>
      </c>
      <c r="S442" s="19">
        <f>tblMaster[[#This Row],[Price]]*0.7*tblMaster[[#This Row],[Quantity]]</f>
        <v>404.59999999999997</v>
      </c>
      <c r="T442" s="19">
        <f>tblMaster[[#This Row],[Revenue]]-tblMaster[[#This Row],[Estimated Cost (at 70%) ]]</f>
        <v>173.40000000000003</v>
      </c>
      <c r="U442" s="19">
        <f>tblMaster[[#This Row],[Profit]]/tblMaster[[#This Row],[Revenue]]</f>
        <v>0.30000000000000004</v>
      </c>
      <c r="V442" s="19">
        <f>tblMaster[[#This Row],[Delivery_Date]]-tblMaster[[#This Row],[Order_Date]]</f>
        <v>8</v>
      </c>
      <c r="W442" s="19" t="str">
        <f>TEXT(tblMaster[[#This Row],[Order_Date]],"mmmm")</f>
        <v>February</v>
      </c>
      <c r="X442" s="19">
        <f>MONTH(tblMaster[[#This Row],[Order_Date]])</f>
        <v>2</v>
      </c>
      <c r="Y442" s="19" t="str">
        <f>"Q"&amp;ROUNDUP(tblMaster[[#This Row],[Month Number]]/3,0)</f>
        <v>Q1</v>
      </c>
      <c r="Z442" s="19">
        <f>YEAR(tblMaster[[#This Row],[Order_Date]])</f>
        <v>2023</v>
      </c>
      <c r="AA442" s="19" t="str">
        <f>TEXT(DAY(tblMaster[[#This Row],[Order_Date]]),"dddd")</f>
        <v>Thursday</v>
      </c>
      <c r="AB442" s="19" t="str">
        <f>IF(tblMaster[[#This Row],[Revenue]]&gt;=5000,"High",IF(tblMaster[[#This Row],[Revenue]]&lt;2000,"Low","Medium"))</f>
        <v>Low</v>
      </c>
    </row>
    <row r="443" spans="1:28" x14ac:dyDescent="0.25">
      <c r="A443" s="10">
        <v>442</v>
      </c>
      <c r="B443" s="10" t="s">
        <v>252</v>
      </c>
      <c r="C443" s="5">
        <v>3</v>
      </c>
      <c r="D443" s="5">
        <v>3</v>
      </c>
      <c r="E443" s="11">
        <v>44965</v>
      </c>
      <c r="F443" s="12">
        <v>0.75231481481481477</v>
      </c>
      <c r="G443" s="11">
        <v>44972</v>
      </c>
      <c r="H443" s="12">
        <v>0.33725694444444443</v>
      </c>
      <c r="I443" s="10" t="s">
        <v>430</v>
      </c>
      <c r="J443" s="10" t="s">
        <v>12</v>
      </c>
      <c r="K443" s="18" t="str">
        <f>_xlfn.XLOOKUP(tblMaster[[#This Row],[Customer_ID]],tblCustomers[Customer_ID],tblCustomers[City],"Not Found",0)</f>
        <v>Bidhannagar</v>
      </c>
      <c r="L443" s="18" t="str">
        <f>_xlfn.XLOOKUP(tblMaster[[#This Row],[Customer_ID]],tblCustomers[Customer_ID],tblCustomers[Name],"Not Found",0)</f>
        <v>Abram Sandhu</v>
      </c>
      <c r="M443" s="18" t="str">
        <f>_xlfn.XLOOKUP(tblMaster[[#This Row],[Customer_ID]],tblCustomers[Customer_ID],tblCustomers[Gender],"Not Found",0)</f>
        <v>Male</v>
      </c>
      <c r="N443" s="18" t="str">
        <f>_xlfn.XLOOKUP(tblMaster[[#This Row],[Product_ID]],tblProducts[Product_ID],tblProducts[Product_Name],"Not Found",0)</f>
        <v>Eius Gift</v>
      </c>
      <c r="O443" s="18" t="str">
        <f>_xlfn.XLOOKUP(tblMaster[[#This Row],[Product_ID]],tblProducts[Product_ID],tblProducts[Category],"Not Found",0)</f>
        <v>Colors</v>
      </c>
      <c r="P443" s="18" t="str">
        <f>_xlfn.XLOOKUP(tblMaster[[#This Row],[Product_ID]],tblProducts[Product_ID],tblProducts[Occasion],"Not Found",0)</f>
        <v>Valentine's Day</v>
      </c>
      <c r="Q443" s="18">
        <f>_xlfn.XLOOKUP(tblMaster[[#This Row],[Product_ID]],tblProducts[Product_ID],tblProducts[Price (INR)],"Not Found",0)</f>
        <v>1534</v>
      </c>
      <c r="R443" s="19">
        <f>tblMaster[[#This Row],[Price]]*tblMaster[[#This Row],[Quantity]]</f>
        <v>4602</v>
      </c>
      <c r="S443" s="19">
        <f>tblMaster[[#This Row],[Price]]*0.7*tblMaster[[#This Row],[Quantity]]</f>
        <v>3221.3999999999996</v>
      </c>
      <c r="T443" s="19">
        <f>tblMaster[[#This Row],[Revenue]]-tblMaster[[#This Row],[Estimated Cost (at 70%) ]]</f>
        <v>1380.6000000000004</v>
      </c>
      <c r="U443" s="19">
        <f>tblMaster[[#This Row],[Profit]]/tblMaster[[#This Row],[Revenue]]</f>
        <v>0.3000000000000001</v>
      </c>
      <c r="V443" s="19">
        <f>tblMaster[[#This Row],[Delivery_Date]]-tblMaster[[#This Row],[Order_Date]]</f>
        <v>7</v>
      </c>
      <c r="W443" s="19" t="str">
        <f>TEXT(tblMaster[[#This Row],[Order_Date]],"mmmm")</f>
        <v>February</v>
      </c>
      <c r="X443" s="19">
        <f>MONTH(tblMaster[[#This Row],[Order_Date]])</f>
        <v>2</v>
      </c>
      <c r="Y443" s="19" t="str">
        <f>"Q"&amp;ROUNDUP(tblMaster[[#This Row],[Month Number]]/3,0)</f>
        <v>Q1</v>
      </c>
      <c r="Z443" s="19">
        <f>YEAR(tblMaster[[#This Row],[Order_Date]])</f>
        <v>2023</v>
      </c>
      <c r="AA443" s="19" t="str">
        <f>TEXT(DAY(tblMaster[[#This Row],[Order_Date]]),"dddd")</f>
        <v>Sunday</v>
      </c>
      <c r="AB443" s="19" t="str">
        <f>IF(tblMaster[[#This Row],[Revenue]]&gt;=5000,"High",IF(tblMaster[[#This Row],[Revenue]]&lt;2000,"Low","Medium"))</f>
        <v>Medium</v>
      </c>
    </row>
    <row r="444" spans="1:28" x14ac:dyDescent="0.25">
      <c r="A444" s="7">
        <v>443</v>
      </c>
      <c r="B444" s="7" t="s">
        <v>237</v>
      </c>
      <c r="C444" s="4">
        <v>49</v>
      </c>
      <c r="D444" s="4">
        <v>3</v>
      </c>
      <c r="E444" s="8">
        <v>44961</v>
      </c>
      <c r="F444" s="9">
        <v>0.93216435185185187</v>
      </c>
      <c r="G444" s="8">
        <v>44970</v>
      </c>
      <c r="H444" s="9">
        <v>9.4444444444444442E-2</v>
      </c>
      <c r="I444" s="7" t="s">
        <v>483</v>
      </c>
      <c r="J444" s="7" t="s">
        <v>12</v>
      </c>
      <c r="K444" s="18" t="str">
        <f>_xlfn.XLOOKUP(tblMaster[[#This Row],[Customer_ID]],tblCustomers[Customer_ID],tblCustomers[City],"Not Found",0)</f>
        <v>Guna</v>
      </c>
      <c r="L444" s="18" t="str">
        <f>_xlfn.XLOOKUP(tblMaster[[#This Row],[Customer_ID]],tblCustomers[Customer_ID],tblCustomers[Name],"Not Found",0)</f>
        <v>Tara Kannan</v>
      </c>
      <c r="M444" s="18" t="str">
        <f>_xlfn.XLOOKUP(tblMaster[[#This Row],[Customer_ID]],tblCustomers[Customer_ID],tblCustomers[Gender],"Not Found",0)</f>
        <v>Male</v>
      </c>
      <c r="N444" s="18" t="str">
        <f>_xlfn.XLOOKUP(tblMaster[[#This Row],[Product_ID]],tblProducts[Product_ID],tblProducts[Product_Name],"Not Found",0)</f>
        <v>Voluptate Pack</v>
      </c>
      <c r="O444" s="18" t="str">
        <f>_xlfn.XLOOKUP(tblMaster[[#This Row],[Product_ID]],tblProducts[Product_ID],tblProducts[Category],"Not Found",0)</f>
        <v>Colors</v>
      </c>
      <c r="P444" s="18" t="str">
        <f>_xlfn.XLOOKUP(tblMaster[[#This Row],[Product_ID]],tblProducts[Product_ID],tblProducts[Occasion],"Not Found",0)</f>
        <v>Valentine's Day</v>
      </c>
      <c r="Q444" s="18">
        <f>_xlfn.XLOOKUP(tblMaster[[#This Row],[Product_ID]],tblProducts[Product_ID],tblProducts[Price (INR)],"Not Found",0)</f>
        <v>903</v>
      </c>
      <c r="R444" s="19">
        <f>tblMaster[[#This Row],[Price]]*tblMaster[[#This Row],[Quantity]]</f>
        <v>2709</v>
      </c>
      <c r="S444" s="19">
        <f>tblMaster[[#This Row],[Price]]*0.7*tblMaster[[#This Row],[Quantity]]</f>
        <v>1896.2999999999997</v>
      </c>
      <c r="T444" s="19">
        <f>tblMaster[[#This Row],[Revenue]]-tblMaster[[#This Row],[Estimated Cost (at 70%) ]]</f>
        <v>812.70000000000027</v>
      </c>
      <c r="U444" s="19">
        <f>tblMaster[[#This Row],[Profit]]/tblMaster[[#This Row],[Revenue]]</f>
        <v>0.3000000000000001</v>
      </c>
      <c r="V444" s="19">
        <f>tblMaster[[#This Row],[Delivery_Date]]-tblMaster[[#This Row],[Order_Date]]</f>
        <v>9</v>
      </c>
      <c r="W444" s="19" t="str">
        <f>TEXT(tblMaster[[#This Row],[Order_Date]],"mmmm")</f>
        <v>February</v>
      </c>
      <c r="X444" s="19">
        <f>MONTH(tblMaster[[#This Row],[Order_Date]])</f>
        <v>2</v>
      </c>
      <c r="Y444" s="19" t="str">
        <f>"Q"&amp;ROUNDUP(tblMaster[[#This Row],[Month Number]]/3,0)</f>
        <v>Q1</v>
      </c>
      <c r="Z444" s="19">
        <f>YEAR(tblMaster[[#This Row],[Order_Date]])</f>
        <v>2023</v>
      </c>
      <c r="AA444" s="19" t="str">
        <f>TEXT(DAY(tblMaster[[#This Row],[Order_Date]]),"dddd")</f>
        <v>Wednesday</v>
      </c>
      <c r="AB444" s="19" t="str">
        <f>IF(tblMaster[[#This Row],[Revenue]]&gt;=5000,"High",IF(tblMaster[[#This Row],[Revenue]]&lt;2000,"Low","Medium"))</f>
        <v>Medium</v>
      </c>
    </row>
    <row r="445" spans="1:28" x14ac:dyDescent="0.25">
      <c r="A445" s="10">
        <v>444</v>
      </c>
      <c r="B445" s="10" t="s">
        <v>503</v>
      </c>
      <c r="C445" s="5">
        <v>60</v>
      </c>
      <c r="D445" s="5">
        <v>3</v>
      </c>
      <c r="E445" s="11">
        <v>45232</v>
      </c>
      <c r="F445" s="12">
        <v>4.2511574074074077E-2</v>
      </c>
      <c r="G445" s="11">
        <v>45239</v>
      </c>
      <c r="H445" s="12">
        <v>0.41273148148148148</v>
      </c>
      <c r="I445" s="10" t="s">
        <v>363</v>
      </c>
      <c r="J445" s="10" t="s">
        <v>19</v>
      </c>
      <c r="K445" s="18" t="str">
        <f>_xlfn.XLOOKUP(tblMaster[[#This Row],[Customer_ID]],tblCustomers[Customer_ID],tblCustomers[City],"Not Found",0)</f>
        <v>Mehsana</v>
      </c>
      <c r="L445" s="18" t="str">
        <f>_xlfn.XLOOKUP(tblMaster[[#This Row],[Customer_ID]],tblCustomers[Customer_ID],tblCustomers[Name],"Not Found",0)</f>
        <v>Siya Talwar</v>
      </c>
      <c r="M445" s="18" t="str">
        <f>_xlfn.XLOOKUP(tblMaster[[#This Row],[Customer_ID]],tblCustomers[Customer_ID],tblCustomers[Gender],"Not Found",0)</f>
        <v>Male</v>
      </c>
      <c r="N445" s="18" t="str">
        <f>_xlfn.XLOOKUP(tblMaster[[#This Row],[Product_ID]],tblProducts[Product_ID],tblProducts[Product_Name],"Not Found",0)</f>
        <v>Ea Set</v>
      </c>
      <c r="O445" s="18" t="str">
        <f>_xlfn.XLOOKUP(tblMaster[[#This Row],[Product_ID]],tblProducts[Product_ID],tblProducts[Category],"Not Found",0)</f>
        <v>Sweets</v>
      </c>
      <c r="P445" s="18" t="str">
        <f>_xlfn.XLOOKUP(tblMaster[[#This Row],[Product_ID]],tblProducts[Product_ID],tblProducts[Occasion],"Not Found",0)</f>
        <v>Diwali</v>
      </c>
      <c r="Q445" s="18">
        <f>_xlfn.XLOOKUP(tblMaster[[#This Row],[Product_ID]],tblProducts[Product_ID],tblProducts[Price (INR)],"Not Found",0)</f>
        <v>827</v>
      </c>
      <c r="R445" s="19">
        <f>tblMaster[[#This Row],[Price]]*tblMaster[[#This Row],[Quantity]]</f>
        <v>2481</v>
      </c>
      <c r="S445" s="19">
        <f>tblMaster[[#This Row],[Price]]*0.7*tblMaster[[#This Row],[Quantity]]</f>
        <v>1736.6999999999998</v>
      </c>
      <c r="T445" s="19">
        <f>tblMaster[[#This Row],[Revenue]]-tblMaster[[#This Row],[Estimated Cost (at 70%) ]]</f>
        <v>744.30000000000018</v>
      </c>
      <c r="U445" s="19">
        <f>tblMaster[[#This Row],[Profit]]/tblMaster[[#This Row],[Revenue]]</f>
        <v>0.3000000000000001</v>
      </c>
      <c r="V445" s="19">
        <f>tblMaster[[#This Row],[Delivery_Date]]-tblMaster[[#This Row],[Order_Date]]</f>
        <v>7</v>
      </c>
      <c r="W445" s="19" t="str">
        <f>TEXT(tblMaster[[#This Row],[Order_Date]],"mmmm")</f>
        <v>November</v>
      </c>
      <c r="X445" s="19">
        <f>MONTH(tblMaster[[#This Row],[Order_Date]])</f>
        <v>11</v>
      </c>
      <c r="Y445" s="19" t="str">
        <f>"Q"&amp;ROUNDUP(tblMaster[[#This Row],[Month Number]]/3,0)</f>
        <v>Q4</v>
      </c>
      <c r="Z445" s="19">
        <f>YEAR(tblMaster[[#This Row],[Order_Date]])</f>
        <v>2023</v>
      </c>
      <c r="AA445" s="19" t="str">
        <f>TEXT(DAY(tblMaster[[#This Row],[Order_Date]]),"dddd")</f>
        <v>Monday</v>
      </c>
      <c r="AB445" s="19" t="str">
        <f>IF(tblMaster[[#This Row],[Revenue]]&gt;=5000,"High",IF(tblMaster[[#This Row],[Revenue]]&lt;2000,"Low","Medium"))</f>
        <v>Medium</v>
      </c>
    </row>
    <row r="446" spans="1:28" x14ac:dyDescent="0.25">
      <c r="A446" s="7">
        <v>445</v>
      </c>
      <c r="B446" s="7" t="s">
        <v>221</v>
      </c>
      <c r="C446" s="4">
        <v>30</v>
      </c>
      <c r="D446" s="4">
        <v>5</v>
      </c>
      <c r="E446" s="8">
        <v>45091</v>
      </c>
      <c r="F446" s="9">
        <v>0.83937499999999998</v>
      </c>
      <c r="G446" s="8">
        <v>45092</v>
      </c>
      <c r="H446" s="9">
        <v>0.59892361111111114</v>
      </c>
      <c r="I446" s="7" t="s">
        <v>187</v>
      </c>
      <c r="J446" s="7" t="s">
        <v>30</v>
      </c>
      <c r="K446" s="18" t="str">
        <f>_xlfn.XLOOKUP(tblMaster[[#This Row],[Customer_ID]],tblCustomers[Customer_ID],tblCustomers[City],"Not Found",0)</f>
        <v>Jorhat</v>
      </c>
      <c r="L446" s="18" t="str">
        <f>_xlfn.XLOOKUP(tblMaster[[#This Row],[Customer_ID]],tblCustomers[Customer_ID],tblCustomers[Name],"Not Found",0)</f>
        <v>Bhamini Ravi</v>
      </c>
      <c r="M446" s="18" t="str">
        <f>_xlfn.XLOOKUP(tblMaster[[#This Row],[Customer_ID]],tblCustomers[Customer_ID],tblCustomers[Gender],"Not Found",0)</f>
        <v>Male</v>
      </c>
      <c r="N446" s="18" t="str">
        <f>_xlfn.XLOOKUP(tblMaster[[#This Row],[Product_ID]],tblProducts[Product_ID],tblProducts[Product_Name],"Not Found",0)</f>
        <v>Recusandae Pack</v>
      </c>
      <c r="O446" s="18" t="str">
        <f>_xlfn.XLOOKUP(tblMaster[[#This Row],[Product_ID]],tblProducts[Product_ID],tblProducts[Category],"Not Found",0)</f>
        <v>Colors</v>
      </c>
      <c r="P446" s="18" t="str">
        <f>_xlfn.XLOOKUP(tblMaster[[#This Row],[Product_ID]],tblProducts[Product_ID],tblProducts[Occasion],"Not Found",0)</f>
        <v>Anniversary</v>
      </c>
      <c r="Q446" s="18">
        <f>_xlfn.XLOOKUP(tblMaster[[#This Row],[Product_ID]],tblProducts[Product_ID],tblProducts[Price (INR)],"Not Found",0)</f>
        <v>751</v>
      </c>
      <c r="R446" s="19">
        <f>tblMaster[[#This Row],[Price]]*tblMaster[[#This Row],[Quantity]]</f>
        <v>3755</v>
      </c>
      <c r="S446" s="19">
        <f>tblMaster[[#This Row],[Price]]*0.7*tblMaster[[#This Row],[Quantity]]</f>
        <v>2628.4999999999995</v>
      </c>
      <c r="T446" s="19">
        <f>tblMaster[[#This Row],[Revenue]]-tblMaster[[#This Row],[Estimated Cost (at 70%) ]]</f>
        <v>1126.5000000000005</v>
      </c>
      <c r="U446" s="19">
        <f>tblMaster[[#This Row],[Profit]]/tblMaster[[#This Row],[Revenue]]</f>
        <v>0.3000000000000001</v>
      </c>
      <c r="V446" s="19">
        <f>tblMaster[[#This Row],[Delivery_Date]]-tblMaster[[#This Row],[Order_Date]]</f>
        <v>1</v>
      </c>
      <c r="W446" s="19" t="str">
        <f>TEXT(tblMaster[[#This Row],[Order_Date]],"mmmm")</f>
        <v>June</v>
      </c>
      <c r="X446" s="19">
        <f>MONTH(tblMaster[[#This Row],[Order_Date]])</f>
        <v>6</v>
      </c>
      <c r="Y446" s="19" t="str">
        <f>"Q"&amp;ROUNDUP(tblMaster[[#This Row],[Month Number]]/3,0)</f>
        <v>Q2</v>
      </c>
      <c r="Z446" s="19">
        <f>YEAR(tblMaster[[#This Row],[Order_Date]])</f>
        <v>2023</v>
      </c>
      <c r="AA446" s="19" t="str">
        <f>TEXT(DAY(tblMaster[[#This Row],[Order_Date]]),"dddd")</f>
        <v>Saturday</v>
      </c>
      <c r="AB446" s="19" t="str">
        <f>IF(tblMaster[[#This Row],[Revenue]]&gt;=5000,"High",IF(tblMaster[[#This Row],[Revenue]]&lt;2000,"Low","Medium"))</f>
        <v>Medium</v>
      </c>
    </row>
    <row r="447" spans="1:28" x14ac:dyDescent="0.25">
      <c r="A447" s="10">
        <v>446</v>
      </c>
      <c r="B447" s="10" t="s">
        <v>424</v>
      </c>
      <c r="C447" s="5">
        <v>33</v>
      </c>
      <c r="D447" s="5">
        <v>5</v>
      </c>
      <c r="E447" s="11">
        <v>44969</v>
      </c>
      <c r="F447" s="12">
        <v>0.12087962962962963</v>
      </c>
      <c r="G447" s="11">
        <v>44972</v>
      </c>
      <c r="H447" s="12">
        <v>0.46074074074074073</v>
      </c>
      <c r="I447" s="10" t="s">
        <v>348</v>
      </c>
      <c r="J447" s="10" t="s">
        <v>12</v>
      </c>
      <c r="K447" s="18" t="str">
        <f>_xlfn.XLOOKUP(tblMaster[[#This Row],[Customer_ID]],tblCustomers[Customer_ID],tblCustomers[City],"Not Found",0)</f>
        <v>Bhilai</v>
      </c>
      <c r="L447" s="18" t="str">
        <f>_xlfn.XLOOKUP(tblMaster[[#This Row],[Customer_ID]],tblCustomers[Customer_ID],tblCustomers[Name],"Not Found",0)</f>
        <v>Vedika Sankaran</v>
      </c>
      <c r="M447" s="18" t="str">
        <f>_xlfn.XLOOKUP(tblMaster[[#This Row],[Customer_ID]],tblCustomers[Customer_ID],tblCustomers[Gender],"Not Found",0)</f>
        <v>Female</v>
      </c>
      <c r="N447" s="18" t="str">
        <f>_xlfn.XLOOKUP(tblMaster[[#This Row],[Product_ID]],tblProducts[Product_ID],tblProducts[Product_Name],"Not Found",0)</f>
        <v>Earum Set</v>
      </c>
      <c r="O447" s="18" t="str">
        <f>_xlfn.XLOOKUP(tblMaster[[#This Row],[Product_ID]],tblProducts[Product_ID],tblProducts[Category],"Not Found",0)</f>
        <v>Colors</v>
      </c>
      <c r="P447" s="18" t="str">
        <f>_xlfn.XLOOKUP(tblMaster[[#This Row],[Product_ID]],tblProducts[Product_ID],tblProducts[Occasion],"Not Found",0)</f>
        <v>Valentine's Day</v>
      </c>
      <c r="Q447" s="18">
        <f>_xlfn.XLOOKUP(tblMaster[[#This Row],[Product_ID]],tblProducts[Product_ID],tblProducts[Price (INR)],"Not Found",0)</f>
        <v>314</v>
      </c>
      <c r="R447" s="19">
        <f>tblMaster[[#This Row],[Price]]*tblMaster[[#This Row],[Quantity]]</f>
        <v>1570</v>
      </c>
      <c r="S447" s="19">
        <f>tblMaster[[#This Row],[Price]]*0.7*tblMaster[[#This Row],[Quantity]]</f>
        <v>1099</v>
      </c>
      <c r="T447" s="19">
        <f>tblMaster[[#This Row],[Revenue]]-tblMaster[[#This Row],[Estimated Cost (at 70%) ]]</f>
        <v>471</v>
      </c>
      <c r="U447" s="19">
        <f>tblMaster[[#This Row],[Profit]]/tblMaster[[#This Row],[Revenue]]</f>
        <v>0.3</v>
      </c>
      <c r="V447" s="19">
        <f>tblMaster[[#This Row],[Delivery_Date]]-tblMaster[[#This Row],[Order_Date]]</f>
        <v>3</v>
      </c>
      <c r="W447" s="19" t="str">
        <f>TEXT(tblMaster[[#This Row],[Order_Date]],"mmmm")</f>
        <v>February</v>
      </c>
      <c r="X447" s="19">
        <f>MONTH(tblMaster[[#This Row],[Order_Date]])</f>
        <v>2</v>
      </c>
      <c r="Y447" s="19" t="str">
        <f>"Q"&amp;ROUNDUP(tblMaster[[#This Row],[Month Number]]/3,0)</f>
        <v>Q1</v>
      </c>
      <c r="Z447" s="19">
        <f>YEAR(tblMaster[[#This Row],[Order_Date]])</f>
        <v>2023</v>
      </c>
      <c r="AA447" s="19" t="str">
        <f>TEXT(DAY(tblMaster[[#This Row],[Order_Date]]),"dddd")</f>
        <v>Thursday</v>
      </c>
      <c r="AB447" s="19" t="str">
        <f>IF(tblMaster[[#This Row],[Revenue]]&gt;=5000,"High",IF(tblMaster[[#This Row],[Revenue]]&lt;2000,"Low","Medium"))</f>
        <v>Low</v>
      </c>
    </row>
    <row r="448" spans="1:28" x14ac:dyDescent="0.25">
      <c r="A448" s="7">
        <v>447</v>
      </c>
      <c r="B448" s="7" t="s">
        <v>295</v>
      </c>
      <c r="C448" s="4">
        <v>47</v>
      </c>
      <c r="D448" s="4">
        <v>4</v>
      </c>
      <c r="E448" s="8">
        <v>44984</v>
      </c>
      <c r="F448" s="9">
        <v>0.11497685185185186</v>
      </c>
      <c r="G448" s="8">
        <v>44989</v>
      </c>
      <c r="H448" s="9">
        <v>0.62842592592592594</v>
      </c>
      <c r="I448" s="7" t="s">
        <v>338</v>
      </c>
      <c r="J448" s="7" t="s">
        <v>25</v>
      </c>
      <c r="K448" s="18" t="str">
        <f>_xlfn.XLOOKUP(tblMaster[[#This Row],[Customer_ID]],tblCustomers[Customer_ID],tblCustomers[City],"Not Found",0)</f>
        <v>Surat</v>
      </c>
      <c r="L448" s="18" t="str">
        <f>_xlfn.XLOOKUP(tblMaster[[#This Row],[Customer_ID]],tblCustomers[Customer_ID],tblCustomers[Name],"Not Found",0)</f>
        <v>Mannat Anand</v>
      </c>
      <c r="M448" s="18" t="str">
        <f>_xlfn.XLOOKUP(tblMaster[[#This Row],[Customer_ID]],tblCustomers[Customer_ID],tblCustomers[Gender],"Not Found",0)</f>
        <v>Male</v>
      </c>
      <c r="N448" s="18" t="str">
        <f>_xlfn.XLOOKUP(tblMaster[[#This Row],[Product_ID]],tblProducts[Product_ID],tblProducts[Product_Name],"Not Found",0)</f>
        <v>Harum Pack</v>
      </c>
      <c r="O448" s="18" t="str">
        <f>_xlfn.XLOOKUP(tblMaster[[#This Row],[Product_ID]],tblProducts[Product_ID],tblProducts[Category],"Not Found",0)</f>
        <v>Colors</v>
      </c>
      <c r="P448" s="18" t="str">
        <f>_xlfn.XLOOKUP(tblMaster[[#This Row],[Product_ID]],tblProducts[Product_ID],tblProducts[Occasion],"Not Found",0)</f>
        <v>Holi</v>
      </c>
      <c r="Q448" s="18">
        <f>_xlfn.XLOOKUP(tblMaster[[#This Row],[Product_ID]],tblProducts[Product_ID],tblProducts[Price (INR)],"Not Found",0)</f>
        <v>1638</v>
      </c>
      <c r="R448" s="19">
        <f>tblMaster[[#This Row],[Price]]*tblMaster[[#This Row],[Quantity]]</f>
        <v>6552</v>
      </c>
      <c r="S448" s="19">
        <f>tblMaster[[#This Row],[Price]]*0.7*tblMaster[[#This Row],[Quantity]]</f>
        <v>4586.3999999999996</v>
      </c>
      <c r="T448" s="19">
        <f>tblMaster[[#This Row],[Revenue]]-tblMaster[[#This Row],[Estimated Cost (at 70%) ]]</f>
        <v>1965.6000000000004</v>
      </c>
      <c r="U448" s="19">
        <f>tblMaster[[#This Row],[Profit]]/tblMaster[[#This Row],[Revenue]]</f>
        <v>0.30000000000000004</v>
      </c>
      <c r="V448" s="19">
        <f>tblMaster[[#This Row],[Delivery_Date]]-tblMaster[[#This Row],[Order_Date]]</f>
        <v>5</v>
      </c>
      <c r="W448" s="19" t="str">
        <f>TEXT(tblMaster[[#This Row],[Order_Date]],"mmmm")</f>
        <v>February</v>
      </c>
      <c r="X448" s="19">
        <f>MONTH(tblMaster[[#This Row],[Order_Date]])</f>
        <v>2</v>
      </c>
      <c r="Y448" s="19" t="str">
        <f>"Q"&amp;ROUNDUP(tblMaster[[#This Row],[Month Number]]/3,0)</f>
        <v>Q1</v>
      </c>
      <c r="Z448" s="19">
        <f>YEAR(tblMaster[[#This Row],[Order_Date]])</f>
        <v>2023</v>
      </c>
      <c r="AA448" s="19" t="str">
        <f>TEXT(DAY(tblMaster[[#This Row],[Order_Date]]),"dddd")</f>
        <v>Friday</v>
      </c>
      <c r="AB448" s="19" t="str">
        <f>IF(tblMaster[[#This Row],[Revenue]]&gt;=5000,"High",IF(tblMaster[[#This Row],[Revenue]]&lt;2000,"Low","Medium"))</f>
        <v>High</v>
      </c>
    </row>
    <row r="449" spans="1:28" x14ac:dyDescent="0.25">
      <c r="A449" s="10">
        <v>448</v>
      </c>
      <c r="B449" s="10" t="s">
        <v>441</v>
      </c>
      <c r="C449" s="5">
        <v>16</v>
      </c>
      <c r="D449" s="5">
        <v>1</v>
      </c>
      <c r="E449" s="11">
        <v>44987</v>
      </c>
      <c r="F449" s="12">
        <v>0.113125</v>
      </c>
      <c r="G449" s="11">
        <v>44988</v>
      </c>
      <c r="H449" s="12">
        <v>0.57111111111111112</v>
      </c>
      <c r="I449" s="10" t="s">
        <v>218</v>
      </c>
      <c r="J449" s="10" t="s">
        <v>25</v>
      </c>
      <c r="K449" s="18" t="str">
        <f>_xlfn.XLOOKUP(tblMaster[[#This Row],[Customer_ID]],tblCustomers[Customer_ID],tblCustomers[City],"Not Found",0)</f>
        <v>Purnia</v>
      </c>
      <c r="L449" s="18" t="str">
        <f>_xlfn.XLOOKUP(tblMaster[[#This Row],[Customer_ID]],tblCustomers[Customer_ID],tblCustomers[Name],"Not Found",0)</f>
        <v>Ivana Amble</v>
      </c>
      <c r="M449" s="18" t="str">
        <f>_xlfn.XLOOKUP(tblMaster[[#This Row],[Customer_ID]],tblCustomers[Customer_ID],tblCustomers[Gender],"Not Found",0)</f>
        <v>Female</v>
      </c>
      <c r="N449" s="18" t="str">
        <f>_xlfn.XLOOKUP(tblMaster[[#This Row],[Product_ID]],tblProducts[Product_ID],tblProducts[Product_Name],"Not Found",0)</f>
        <v>Ut Pack</v>
      </c>
      <c r="O449" s="18" t="str">
        <f>_xlfn.XLOOKUP(tblMaster[[#This Row],[Product_ID]],tblProducts[Product_ID],tblProducts[Category],"Not Found",0)</f>
        <v>Sweets</v>
      </c>
      <c r="P449" s="18" t="str">
        <f>_xlfn.XLOOKUP(tblMaster[[#This Row],[Product_ID]],tblProducts[Product_ID],tblProducts[Occasion],"Not Found",0)</f>
        <v>Holi</v>
      </c>
      <c r="Q449" s="18">
        <f>_xlfn.XLOOKUP(tblMaster[[#This Row],[Product_ID]],tblProducts[Product_ID],tblProducts[Price (INR)],"Not Found",0)</f>
        <v>1721</v>
      </c>
      <c r="R449" s="19">
        <f>tblMaster[[#This Row],[Price]]*tblMaster[[#This Row],[Quantity]]</f>
        <v>1721</v>
      </c>
      <c r="S449" s="19">
        <f>tblMaster[[#This Row],[Price]]*0.7*tblMaster[[#This Row],[Quantity]]</f>
        <v>1204.6999999999998</v>
      </c>
      <c r="T449" s="19">
        <f>tblMaster[[#This Row],[Revenue]]-tblMaster[[#This Row],[Estimated Cost (at 70%) ]]</f>
        <v>516.30000000000018</v>
      </c>
      <c r="U449" s="19">
        <f>tblMaster[[#This Row],[Profit]]/tblMaster[[#This Row],[Revenue]]</f>
        <v>0.3000000000000001</v>
      </c>
      <c r="V449" s="19">
        <f>tblMaster[[#This Row],[Delivery_Date]]-tblMaster[[#This Row],[Order_Date]]</f>
        <v>1</v>
      </c>
      <c r="W449" s="19" t="str">
        <f>TEXT(tblMaster[[#This Row],[Order_Date]],"mmmm")</f>
        <v>March</v>
      </c>
      <c r="X449" s="19">
        <f>MONTH(tblMaster[[#This Row],[Order_Date]])</f>
        <v>3</v>
      </c>
      <c r="Y449" s="19" t="str">
        <f>"Q"&amp;ROUNDUP(tblMaster[[#This Row],[Month Number]]/3,0)</f>
        <v>Q1</v>
      </c>
      <c r="Z449" s="19">
        <f>YEAR(tblMaster[[#This Row],[Order_Date]])</f>
        <v>2023</v>
      </c>
      <c r="AA449" s="19" t="str">
        <f>TEXT(DAY(tblMaster[[#This Row],[Order_Date]]),"dddd")</f>
        <v>Monday</v>
      </c>
      <c r="AB449" s="19" t="str">
        <f>IF(tblMaster[[#This Row],[Revenue]]&gt;=5000,"High",IF(tblMaster[[#This Row],[Revenue]]&lt;2000,"Low","Medium"))</f>
        <v>Low</v>
      </c>
    </row>
    <row r="450" spans="1:28" x14ac:dyDescent="0.25">
      <c r="A450" s="7">
        <v>449</v>
      </c>
      <c r="B450" s="7" t="s">
        <v>254</v>
      </c>
      <c r="C450" s="4">
        <v>49</v>
      </c>
      <c r="D450" s="4">
        <v>4</v>
      </c>
      <c r="E450" s="8">
        <v>44970</v>
      </c>
      <c r="F450" s="9">
        <v>0.13780092592592594</v>
      </c>
      <c r="G450" s="8">
        <v>44973</v>
      </c>
      <c r="H450" s="9">
        <v>0.4233912037037037</v>
      </c>
      <c r="I450" s="7" t="s">
        <v>315</v>
      </c>
      <c r="J450" s="7" t="s">
        <v>12</v>
      </c>
      <c r="K450" s="18" t="str">
        <f>_xlfn.XLOOKUP(tblMaster[[#This Row],[Customer_ID]],tblCustomers[Customer_ID],tblCustomers[City],"Not Found",0)</f>
        <v>Maheshtala</v>
      </c>
      <c r="L450" s="18" t="str">
        <f>_xlfn.XLOOKUP(tblMaster[[#This Row],[Customer_ID]],tblCustomers[Customer_ID],tblCustomers[Name],"Not Found",0)</f>
        <v>Divit Mahajan</v>
      </c>
      <c r="M450" s="18" t="str">
        <f>_xlfn.XLOOKUP(tblMaster[[#This Row],[Customer_ID]],tblCustomers[Customer_ID],tblCustomers[Gender],"Not Found",0)</f>
        <v>Female</v>
      </c>
      <c r="N450" s="18" t="str">
        <f>_xlfn.XLOOKUP(tblMaster[[#This Row],[Product_ID]],tblProducts[Product_ID],tblProducts[Product_Name],"Not Found",0)</f>
        <v>Voluptate Pack</v>
      </c>
      <c r="O450" s="18" t="str">
        <f>_xlfn.XLOOKUP(tblMaster[[#This Row],[Product_ID]],tblProducts[Product_ID],tblProducts[Category],"Not Found",0)</f>
        <v>Colors</v>
      </c>
      <c r="P450" s="18" t="str">
        <f>_xlfn.XLOOKUP(tblMaster[[#This Row],[Product_ID]],tblProducts[Product_ID],tblProducts[Occasion],"Not Found",0)</f>
        <v>Valentine's Day</v>
      </c>
      <c r="Q450" s="18">
        <f>_xlfn.XLOOKUP(tblMaster[[#This Row],[Product_ID]],tblProducts[Product_ID],tblProducts[Price (INR)],"Not Found",0)</f>
        <v>903</v>
      </c>
      <c r="R450" s="19">
        <f>tblMaster[[#This Row],[Price]]*tblMaster[[#This Row],[Quantity]]</f>
        <v>3612</v>
      </c>
      <c r="S450" s="19">
        <f>tblMaster[[#This Row],[Price]]*0.7*tblMaster[[#This Row],[Quantity]]</f>
        <v>2528.3999999999996</v>
      </c>
      <c r="T450" s="19">
        <f>tblMaster[[#This Row],[Revenue]]-tblMaster[[#This Row],[Estimated Cost (at 70%) ]]</f>
        <v>1083.6000000000004</v>
      </c>
      <c r="U450" s="19">
        <f>tblMaster[[#This Row],[Profit]]/tblMaster[[#This Row],[Revenue]]</f>
        <v>0.3000000000000001</v>
      </c>
      <c r="V450" s="19">
        <f>tblMaster[[#This Row],[Delivery_Date]]-tblMaster[[#This Row],[Order_Date]]</f>
        <v>3</v>
      </c>
      <c r="W450" s="19" t="str">
        <f>TEXT(tblMaster[[#This Row],[Order_Date]],"mmmm")</f>
        <v>February</v>
      </c>
      <c r="X450" s="19">
        <f>MONTH(tblMaster[[#This Row],[Order_Date]])</f>
        <v>2</v>
      </c>
      <c r="Y450" s="19" t="str">
        <f>"Q"&amp;ROUNDUP(tblMaster[[#This Row],[Month Number]]/3,0)</f>
        <v>Q1</v>
      </c>
      <c r="Z450" s="19">
        <f>YEAR(tblMaster[[#This Row],[Order_Date]])</f>
        <v>2023</v>
      </c>
      <c r="AA450" s="19" t="str">
        <f>TEXT(DAY(tblMaster[[#This Row],[Order_Date]]),"dddd")</f>
        <v>Friday</v>
      </c>
      <c r="AB450" s="19" t="str">
        <f>IF(tblMaster[[#This Row],[Revenue]]&gt;=5000,"High",IF(tblMaster[[#This Row],[Revenue]]&lt;2000,"Low","Medium"))</f>
        <v>Medium</v>
      </c>
    </row>
    <row r="451" spans="1:28" x14ac:dyDescent="0.25">
      <c r="A451" s="10">
        <v>450</v>
      </c>
      <c r="B451" s="10" t="s">
        <v>227</v>
      </c>
      <c r="C451" s="5">
        <v>39</v>
      </c>
      <c r="D451" s="5">
        <v>5</v>
      </c>
      <c r="E451" s="11">
        <v>45262</v>
      </c>
      <c r="F451" s="12">
        <v>0.33200231481481479</v>
      </c>
      <c r="G451" s="11">
        <v>45272</v>
      </c>
      <c r="H451" s="12">
        <v>0.42358796296296297</v>
      </c>
      <c r="I451" s="10" t="s">
        <v>477</v>
      </c>
      <c r="J451" s="10" t="s">
        <v>8</v>
      </c>
      <c r="K451" s="18" t="str">
        <f>_xlfn.XLOOKUP(tblMaster[[#This Row],[Customer_ID]],tblCustomers[Customer_ID],tblCustomers[City],"Not Found",0)</f>
        <v>Medininagar</v>
      </c>
      <c r="L451" s="18" t="str">
        <f>_xlfn.XLOOKUP(tblMaster[[#This Row],[Customer_ID]],tblCustomers[Customer_ID],tblCustomers[Name],"Not Found",0)</f>
        <v>Kavya Reddy</v>
      </c>
      <c r="M451" s="18" t="str">
        <f>_xlfn.XLOOKUP(tblMaster[[#This Row],[Customer_ID]],tblCustomers[Customer_ID],tblCustomers[Gender],"Not Found",0)</f>
        <v>Male</v>
      </c>
      <c r="N451" s="18" t="str">
        <f>_xlfn.XLOOKUP(tblMaster[[#This Row],[Product_ID]],tblProducts[Product_ID],tblProducts[Product_Name],"Not Found",0)</f>
        <v>Voluptate Set</v>
      </c>
      <c r="O451" s="18" t="str">
        <f>_xlfn.XLOOKUP(tblMaster[[#This Row],[Product_ID]],tblProducts[Product_ID],tblProducts[Category],"Not Found",0)</f>
        <v>Mugs</v>
      </c>
      <c r="P451" s="18" t="str">
        <f>_xlfn.XLOOKUP(tblMaster[[#This Row],[Product_ID]],tblProducts[Product_ID],tblProducts[Occasion],"Not Found",0)</f>
        <v>All Occasions</v>
      </c>
      <c r="Q451" s="18">
        <f>_xlfn.XLOOKUP(tblMaster[[#This Row],[Product_ID]],tblProducts[Product_ID],tblProducts[Price (INR)],"Not Found",0)</f>
        <v>387</v>
      </c>
      <c r="R451" s="19">
        <f>tblMaster[[#This Row],[Price]]*tblMaster[[#This Row],[Quantity]]</f>
        <v>1935</v>
      </c>
      <c r="S451" s="19">
        <f>tblMaster[[#This Row],[Price]]*0.7*tblMaster[[#This Row],[Quantity]]</f>
        <v>1354.5</v>
      </c>
      <c r="T451" s="19">
        <f>tblMaster[[#This Row],[Revenue]]-tblMaster[[#This Row],[Estimated Cost (at 70%) ]]</f>
        <v>580.5</v>
      </c>
      <c r="U451" s="19">
        <f>tblMaster[[#This Row],[Profit]]/tblMaster[[#This Row],[Revenue]]</f>
        <v>0.3</v>
      </c>
      <c r="V451" s="19">
        <f>tblMaster[[#This Row],[Delivery_Date]]-tblMaster[[#This Row],[Order_Date]]</f>
        <v>10</v>
      </c>
      <c r="W451" s="19" t="str">
        <f>TEXT(tblMaster[[#This Row],[Order_Date]],"mmmm")</f>
        <v>December</v>
      </c>
      <c r="X451" s="19">
        <f>MONTH(tblMaster[[#This Row],[Order_Date]])</f>
        <v>12</v>
      </c>
      <c r="Y451" s="19" t="str">
        <f>"Q"&amp;ROUNDUP(tblMaster[[#This Row],[Month Number]]/3,0)</f>
        <v>Q4</v>
      </c>
      <c r="Z451" s="19">
        <f>YEAR(tblMaster[[#This Row],[Order_Date]])</f>
        <v>2023</v>
      </c>
      <c r="AA451" s="19" t="str">
        <f>TEXT(DAY(tblMaster[[#This Row],[Order_Date]]),"dddd")</f>
        <v>Monday</v>
      </c>
      <c r="AB451" s="19" t="str">
        <f>IF(tblMaster[[#This Row],[Revenue]]&gt;=5000,"High",IF(tblMaster[[#This Row],[Revenue]]&lt;2000,"Low","Medium"))</f>
        <v>Low</v>
      </c>
    </row>
    <row r="452" spans="1:28" x14ac:dyDescent="0.25">
      <c r="A452" s="7">
        <v>451</v>
      </c>
      <c r="B452" s="7" t="s">
        <v>424</v>
      </c>
      <c r="C452" s="4">
        <v>33</v>
      </c>
      <c r="D452" s="4">
        <v>5</v>
      </c>
      <c r="E452" s="8">
        <v>44964</v>
      </c>
      <c r="F452" s="9">
        <v>1.1712962962962963E-2</v>
      </c>
      <c r="G452" s="8">
        <v>44970</v>
      </c>
      <c r="H452" s="9">
        <v>0.88260416666666663</v>
      </c>
      <c r="I452" s="7" t="s">
        <v>374</v>
      </c>
      <c r="J452" s="7" t="s">
        <v>12</v>
      </c>
      <c r="K452" s="18" t="str">
        <f>_xlfn.XLOOKUP(tblMaster[[#This Row],[Customer_ID]],tblCustomers[Customer_ID],tblCustomers[City],"Not Found",0)</f>
        <v>Bhilai</v>
      </c>
      <c r="L452" s="18" t="str">
        <f>_xlfn.XLOOKUP(tblMaster[[#This Row],[Customer_ID]],tblCustomers[Customer_ID],tblCustomers[Name],"Not Found",0)</f>
        <v>Vedika Sankaran</v>
      </c>
      <c r="M452" s="18" t="str">
        <f>_xlfn.XLOOKUP(tblMaster[[#This Row],[Customer_ID]],tblCustomers[Customer_ID],tblCustomers[Gender],"Not Found",0)</f>
        <v>Female</v>
      </c>
      <c r="N452" s="18" t="str">
        <f>_xlfn.XLOOKUP(tblMaster[[#This Row],[Product_ID]],tblProducts[Product_ID],tblProducts[Product_Name],"Not Found",0)</f>
        <v>Earum Set</v>
      </c>
      <c r="O452" s="18" t="str">
        <f>_xlfn.XLOOKUP(tblMaster[[#This Row],[Product_ID]],tblProducts[Product_ID],tblProducts[Category],"Not Found",0)</f>
        <v>Colors</v>
      </c>
      <c r="P452" s="18" t="str">
        <f>_xlfn.XLOOKUP(tblMaster[[#This Row],[Product_ID]],tblProducts[Product_ID],tblProducts[Occasion],"Not Found",0)</f>
        <v>Valentine's Day</v>
      </c>
      <c r="Q452" s="18">
        <f>_xlfn.XLOOKUP(tblMaster[[#This Row],[Product_ID]],tblProducts[Product_ID],tblProducts[Price (INR)],"Not Found",0)</f>
        <v>314</v>
      </c>
      <c r="R452" s="19">
        <f>tblMaster[[#This Row],[Price]]*tblMaster[[#This Row],[Quantity]]</f>
        <v>1570</v>
      </c>
      <c r="S452" s="19">
        <f>tblMaster[[#This Row],[Price]]*0.7*tblMaster[[#This Row],[Quantity]]</f>
        <v>1099</v>
      </c>
      <c r="T452" s="19">
        <f>tblMaster[[#This Row],[Revenue]]-tblMaster[[#This Row],[Estimated Cost (at 70%) ]]</f>
        <v>471</v>
      </c>
      <c r="U452" s="19">
        <f>tblMaster[[#This Row],[Profit]]/tblMaster[[#This Row],[Revenue]]</f>
        <v>0.3</v>
      </c>
      <c r="V452" s="19">
        <f>tblMaster[[#This Row],[Delivery_Date]]-tblMaster[[#This Row],[Order_Date]]</f>
        <v>6</v>
      </c>
      <c r="W452" s="19" t="str">
        <f>TEXT(tblMaster[[#This Row],[Order_Date]],"mmmm")</f>
        <v>February</v>
      </c>
      <c r="X452" s="19">
        <f>MONTH(tblMaster[[#This Row],[Order_Date]])</f>
        <v>2</v>
      </c>
      <c r="Y452" s="19" t="str">
        <f>"Q"&amp;ROUNDUP(tblMaster[[#This Row],[Month Number]]/3,0)</f>
        <v>Q1</v>
      </c>
      <c r="Z452" s="19">
        <f>YEAR(tblMaster[[#This Row],[Order_Date]])</f>
        <v>2023</v>
      </c>
      <c r="AA452" s="19" t="str">
        <f>TEXT(DAY(tblMaster[[#This Row],[Order_Date]]),"dddd")</f>
        <v>Saturday</v>
      </c>
      <c r="AB452" s="19" t="str">
        <f>IF(tblMaster[[#This Row],[Revenue]]&gt;=5000,"High",IF(tblMaster[[#This Row],[Revenue]]&lt;2000,"Low","Medium"))</f>
        <v>Low</v>
      </c>
    </row>
    <row r="453" spans="1:28" x14ac:dyDescent="0.25">
      <c r="A453" s="10">
        <v>452</v>
      </c>
      <c r="B453" s="10" t="s">
        <v>254</v>
      </c>
      <c r="C453" s="5">
        <v>70</v>
      </c>
      <c r="D453" s="5">
        <v>3</v>
      </c>
      <c r="E453" s="11">
        <v>45116</v>
      </c>
      <c r="F453" s="12">
        <v>0.83158564814814817</v>
      </c>
      <c r="G453" s="11">
        <v>45124</v>
      </c>
      <c r="H453" s="12">
        <v>0.48770833333333335</v>
      </c>
      <c r="I453" s="10" t="s">
        <v>303</v>
      </c>
      <c r="J453" s="10" t="s">
        <v>36</v>
      </c>
      <c r="K453" s="18" t="str">
        <f>_xlfn.XLOOKUP(tblMaster[[#This Row],[Customer_ID]],tblCustomers[Customer_ID],tblCustomers[City],"Not Found",0)</f>
        <v>Maheshtala</v>
      </c>
      <c r="L453" s="18" t="str">
        <f>_xlfn.XLOOKUP(tblMaster[[#This Row],[Customer_ID]],tblCustomers[Customer_ID],tblCustomers[Name],"Not Found",0)</f>
        <v>Divit Mahajan</v>
      </c>
      <c r="M453" s="18" t="str">
        <f>_xlfn.XLOOKUP(tblMaster[[#This Row],[Customer_ID]],tblCustomers[Customer_ID],tblCustomers[Gender],"Not Found",0)</f>
        <v>Female</v>
      </c>
      <c r="N453" s="18" t="str">
        <f>_xlfn.XLOOKUP(tblMaster[[#This Row],[Product_ID]],tblProducts[Product_ID],tblProducts[Product_Name],"Not Found",0)</f>
        <v>Error Gift</v>
      </c>
      <c r="O453" s="18" t="str">
        <f>_xlfn.XLOOKUP(tblMaster[[#This Row],[Product_ID]],tblProducts[Product_ID],tblProducts[Category],"Not Found",0)</f>
        <v>Sweets</v>
      </c>
      <c r="P453" s="18" t="str">
        <f>_xlfn.XLOOKUP(tblMaster[[#This Row],[Product_ID]],tblProducts[Product_ID],tblProducts[Occasion],"Not Found",0)</f>
        <v>Birthday</v>
      </c>
      <c r="Q453" s="18">
        <f>_xlfn.XLOOKUP(tblMaster[[#This Row],[Product_ID]],tblProducts[Product_ID],tblProducts[Price (INR)],"Not Found",0)</f>
        <v>866</v>
      </c>
      <c r="R453" s="19">
        <f>tblMaster[[#This Row],[Price]]*tblMaster[[#This Row],[Quantity]]</f>
        <v>2598</v>
      </c>
      <c r="S453" s="19">
        <f>tblMaster[[#This Row],[Price]]*0.7*tblMaster[[#This Row],[Quantity]]</f>
        <v>1818.6</v>
      </c>
      <c r="T453" s="19">
        <f>tblMaster[[#This Row],[Revenue]]-tblMaster[[#This Row],[Estimated Cost (at 70%) ]]</f>
        <v>779.40000000000009</v>
      </c>
      <c r="U453" s="19">
        <f>tblMaster[[#This Row],[Profit]]/tblMaster[[#This Row],[Revenue]]</f>
        <v>0.30000000000000004</v>
      </c>
      <c r="V453" s="19">
        <f>tblMaster[[#This Row],[Delivery_Date]]-tblMaster[[#This Row],[Order_Date]]</f>
        <v>8</v>
      </c>
      <c r="W453" s="19" t="str">
        <f>TEXT(tblMaster[[#This Row],[Order_Date]],"mmmm")</f>
        <v>July</v>
      </c>
      <c r="X453" s="19">
        <f>MONTH(tblMaster[[#This Row],[Order_Date]])</f>
        <v>7</v>
      </c>
      <c r="Y453" s="19" t="str">
        <f>"Q"&amp;ROUNDUP(tblMaster[[#This Row],[Month Number]]/3,0)</f>
        <v>Q3</v>
      </c>
      <c r="Z453" s="19">
        <f>YEAR(tblMaster[[#This Row],[Order_Date]])</f>
        <v>2023</v>
      </c>
      <c r="AA453" s="19" t="str">
        <f>TEXT(DAY(tblMaster[[#This Row],[Order_Date]]),"dddd")</f>
        <v>Monday</v>
      </c>
      <c r="AB453" s="19" t="str">
        <f>IF(tblMaster[[#This Row],[Revenue]]&gt;=5000,"High",IF(tblMaster[[#This Row],[Revenue]]&lt;2000,"Low","Medium"))</f>
        <v>Medium</v>
      </c>
    </row>
    <row r="454" spans="1:28" x14ac:dyDescent="0.25">
      <c r="A454" s="7">
        <v>453</v>
      </c>
      <c r="B454" s="7" t="s">
        <v>295</v>
      </c>
      <c r="C454" s="4">
        <v>27</v>
      </c>
      <c r="D454" s="4">
        <v>2</v>
      </c>
      <c r="E454" s="8">
        <v>45159</v>
      </c>
      <c r="F454" s="9">
        <v>0.42475694444444445</v>
      </c>
      <c r="G454" s="8">
        <v>45169</v>
      </c>
      <c r="H454" s="9">
        <v>0.51968749999999997</v>
      </c>
      <c r="I454" s="7" t="s">
        <v>288</v>
      </c>
      <c r="J454" s="7" t="s">
        <v>33</v>
      </c>
      <c r="K454" s="18" t="str">
        <f>_xlfn.XLOOKUP(tblMaster[[#This Row],[Customer_ID]],tblCustomers[Customer_ID],tblCustomers[City],"Not Found",0)</f>
        <v>Surat</v>
      </c>
      <c r="L454" s="18" t="str">
        <f>_xlfn.XLOOKUP(tblMaster[[#This Row],[Customer_ID]],tblCustomers[Customer_ID],tblCustomers[Name],"Not Found",0)</f>
        <v>Mannat Anand</v>
      </c>
      <c r="M454" s="18" t="str">
        <f>_xlfn.XLOOKUP(tblMaster[[#This Row],[Customer_ID]],tblCustomers[Customer_ID],tblCustomers[Gender],"Not Found",0)</f>
        <v>Male</v>
      </c>
      <c r="N454" s="18" t="str">
        <f>_xlfn.XLOOKUP(tblMaster[[#This Row],[Product_ID]],tblProducts[Product_ID],tblProducts[Product_Name],"Not Found",0)</f>
        <v>Architecto Gift</v>
      </c>
      <c r="O454" s="18" t="str">
        <f>_xlfn.XLOOKUP(tblMaster[[#This Row],[Product_ID]],tblProducts[Product_ID],tblProducts[Category],"Not Found",0)</f>
        <v>Cake</v>
      </c>
      <c r="P454" s="18" t="str">
        <f>_xlfn.XLOOKUP(tblMaster[[#This Row],[Product_ID]],tblProducts[Product_ID],tblProducts[Occasion],"Not Found",0)</f>
        <v>Raksha Bandhan</v>
      </c>
      <c r="Q454" s="18">
        <f>_xlfn.XLOOKUP(tblMaster[[#This Row],[Product_ID]],tblProducts[Product_ID],tblProducts[Price (INR)],"Not Found",0)</f>
        <v>548</v>
      </c>
      <c r="R454" s="19">
        <f>tblMaster[[#This Row],[Price]]*tblMaster[[#This Row],[Quantity]]</f>
        <v>1096</v>
      </c>
      <c r="S454" s="19">
        <f>tblMaster[[#This Row],[Price]]*0.7*tblMaster[[#This Row],[Quantity]]</f>
        <v>767.19999999999993</v>
      </c>
      <c r="T454" s="19">
        <f>tblMaster[[#This Row],[Revenue]]-tblMaster[[#This Row],[Estimated Cost (at 70%) ]]</f>
        <v>328.80000000000007</v>
      </c>
      <c r="U454" s="19">
        <f>tblMaster[[#This Row],[Profit]]/tblMaster[[#This Row],[Revenue]]</f>
        <v>0.30000000000000004</v>
      </c>
      <c r="V454" s="19">
        <f>tblMaster[[#This Row],[Delivery_Date]]-tblMaster[[#This Row],[Order_Date]]</f>
        <v>10</v>
      </c>
      <c r="W454" s="19" t="str">
        <f>TEXT(tblMaster[[#This Row],[Order_Date]],"mmmm")</f>
        <v>August</v>
      </c>
      <c r="X454" s="19">
        <f>MONTH(tblMaster[[#This Row],[Order_Date]])</f>
        <v>8</v>
      </c>
      <c r="Y454" s="19" t="str">
        <f>"Q"&amp;ROUNDUP(tblMaster[[#This Row],[Month Number]]/3,0)</f>
        <v>Q3</v>
      </c>
      <c r="Z454" s="19">
        <f>YEAR(tblMaster[[#This Row],[Order_Date]])</f>
        <v>2023</v>
      </c>
      <c r="AA454" s="19" t="str">
        <f>TEXT(DAY(tblMaster[[#This Row],[Order_Date]]),"dddd")</f>
        <v>Saturday</v>
      </c>
      <c r="AB454" s="19" t="str">
        <f>IF(tblMaster[[#This Row],[Revenue]]&gt;=5000,"High",IF(tblMaster[[#This Row],[Revenue]]&lt;2000,"Low","Medium"))</f>
        <v>Low</v>
      </c>
    </row>
    <row r="455" spans="1:28" x14ac:dyDescent="0.25">
      <c r="A455" s="10">
        <v>454</v>
      </c>
      <c r="B455" s="10" t="s">
        <v>215</v>
      </c>
      <c r="C455" s="5">
        <v>3</v>
      </c>
      <c r="D455" s="5">
        <v>2</v>
      </c>
      <c r="E455" s="11">
        <v>44964</v>
      </c>
      <c r="F455" s="12">
        <v>0.97695601851851854</v>
      </c>
      <c r="G455" s="11">
        <v>44966</v>
      </c>
      <c r="H455" s="12">
        <v>5.6898148148148149E-2</v>
      </c>
      <c r="I455" s="10" t="s">
        <v>420</v>
      </c>
      <c r="J455" s="10" t="s">
        <v>12</v>
      </c>
      <c r="K455" s="18" t="str">
        <f>_xlfn.XLOOKUP(tblMaster[[#This Row],[Customer_ID]],tblCustomers[Customer_ID],tblCustomers[City],"Not Found",0)</f>
        <v xml:space="preserve">Khora </v>
      </c>
      <c r="L455" s="18" t="str">
        <f>_xlfn.XLOOKUP(tblMaster[[#This Row],[Customer_ID]],tblCustomers[Customer_ID],tblCustomers[Name],"Not Found",0)</f>
        <v>Shalv Kulkarni</v>
      </c>
      <c r="M455" s="18" t="str">
        <f>_xlfn.XLOOKUP(tblMaster[[#This Row],[Customer_ID]],tblCustomers[Customer_ID],tblCustomers[Gender],"Not Found",0)</f>
        <v>Female</v>
      </c>
      <c r="N455" s="18" t="str">
        <f>_xlfn.XLOOKUP(tblMaster[[#This Row],[Product_ID]],tblProducts[Product_ID],tblProducts[Product_Name],"Not Found",0)</f>
        <v>Eius Gift</v>
      </c>
      <c r="O455" s="18" t="str">
        <f>_xlfn.XLOOKUP(tblMaster[[#This Row],[Product_ID]],tblProducts[Product_ID],tblProducts[Category],"Not Found",0)</f>
        <v>Colors</v>
      </c>
      <c r="P455" s="18" t="str">
        <f>_xlfn.XLOOKUP(tblMaster[[#This Row],[Product_ID]],tblProducts[Product_ID],tblProducts[Occasion],"Not Found",0)</f>
        <v>Valentine's Day</v>
      </c>
      <c r="Q455" s="18">
        <f>_xlfn.XLOOKUP(tblMaster[[#This Row],[Product_ID]],tblProducts[Product_ID],tblProducts[Price (INR)],"Not Found",0)</f>
        <v>1534</v>
      </c>
      <c r="R455" s="19">
        <f>tblMaster[[#This Row],[Price]]*tblMaster[[#This Row],[Quantity]]</f>
        <v>3068</v>
      </c>
      <c r="S455" s="19">
        <f>tblMaster[[#This Row],[Price]]*0.7*tblMaster[[#This Row],[Quantity]]</f>
        <v>2147.6</v>
      </c>
      <c r="T455" s="19">
        <f>tblMaster[[#This Row],[Revenue]]-tblMaster[[#This Row],[Estimated Cost (at 70%) ]]</f>
        <v>920.40000000000009</v>
      </c>
      <c r="U455" s="19">
        <f>tblMaster[[#This Row],[Profit]]/tblMaster[[#This Row],[Revenue]]</f>
        <v>0.30000000000000004</v>
      </c>
      <c r="V455" s="19">
        <f>tblMaster[[#This Row],[Delivery_Date]]-tblMaster[[#This Row],[Order_Date]]</f>
        <v>2</v>
      </c>
      <c r="W455" s="19" t="str">
        <f>TEXT(tblMaster[[#This Row],[Order_Date]],"mmmm")</f>
        <v>February</v>
      </c>
      <c r="X455" s="19">
        <f>MONTH(tblMaster[[#This Row],[Order_Date]])</f>
        <v>2</v>
      </c>
      <c r="Y455" s="19" t="str">
        <f>"Q"&amp;ROUNDUP(tblMaster[[#This Row],[Month Number]]/3,0)</f>
        <v>Q1</v>
      </c>
      <c r="Z455" s="19">
        <f>YEAR(tblMaster[[#This Row],[Order_Date]])</f>
        <v>2023</v>
      </c>
      <c r="AA455" s="19" t="str">
        <f>TEXT(DAY(tblMaster[[#This Row],[Order_Date]]),"dddd")</f>
        <v>Saturday</v>
      </c>
      <c r="AB455" s="19" t="str">
        <f>IF(tblMaster[[#This Row],[Revenue]]&gt;=5000,"High",IF(tblMaster[[#This Row],[Revenue]]&lt;2000,"Low","Medium"))</f>
        <v>Medium</v>
      </c>
    </row>
    <row r="456" spans="1:28" x14ac:dyDescent="0.25">
      <c r="A456" s="7">
        <v>455</v>
      </c>
      <c r="B456" s="7" t="s">
        <v>197</v>
      </c>
      <c r="C456" s="4">
        <v>1</v>
      </c>
      <c r="D456" s="4">
        <v>2</v>
      </c>
      <c r="E456" s="8">
        <v>45219</v>
      </c>
      <c r="F456" s="9">
        <v>0.94016203703703705</v>
      </c>
      <c r="G456" s="8">
        <v>45224</v>
      </c>
      <c r="H456" s="9">
        <v>0.75300925925925921</v>
      </c>
      <c r="I456" s="7" t="s">
        <v>496</v>
      </c>
      <c r="J456" s="7" t="s">
        <v>8</v>
      </c>
      <c r="K456" s="18" t="str">
        <f>_xlfn.XLOOKUP(tblMaster[[#This Row],[Customer_ID]],tblCustomers[Customer_ID],tblCustomers[City],"Not Found",0)</f>
        <v>Hyderabad</v>
      </c>
      <c r="L456" s="18" t="str">
        <f>_xlfn.XLOOKUP(tblMaster[[#This Row],[Customer_ID]],tblCustomers[Customer_ID],tblCustomers[Name],"Not Found",0)</f>
        <v>Charvi Karnik</v>
      </c>
      <c r="M456" s="18" t="str">
        <f>_xlfn.XLOOKUP(tblMaster[[#This Row],[Customer_ID]],tblCustomers[Customer_ID],tblCustomers[Gender],"Not Found",0)</f>
        <v>Male</v>
      </c>
      <c r="N456" s="18" t="str">
        <f>_xlfn.XLOOKUP(tblMaster[[#This Row],[Product_ID]],tblProducts[Product_ID],tblProducts[Product_Name],"Not Found",0)</f>
        <v>Magnam Set</v>
      </c>
      <c r="O456" s="18" t="str">
        <f>_xlfn.XLOOKUP(tblMaster[[#This Row],[Product_ID]],tblProducts[Product_ID],tblProducts[Category],"Not Found",0)</f>
        <v>Soft Toys</v>
      </c>
      <c r="P456" s="18" t="str">
        <f>_xlfn.XLOOKUP(tblMaster[[#This Row],[Product_ID]],tblProducts[Product_ID],tblProducts[Occasion],"Not Found",0)</f>
        <v>All Occasions</v>
      </c>
      <c r="Q456" s="18">
        <f>_xlfn.XLOOKUP(tblMaster[[#This Row],[Product_ID]],tblProducts[Product_ID],tblProducts[Price (INR)],"Not Found",0)</f>
        <v>1935</v>
      </c>
      <c r="R456" s="19">
        <f>tblMaster[[#This Row],[Price]]*tblMaster[[#This Row],[Quantity]]</f>
        <v>3870</v>
      </c>
      <c r="S456" s="19">
        <f>tblMaster[[#This Row],[Price]]*0.7*tblMaster[[#This Row],[Quantity]]</f>
        <v>2709</v>
      </c>
      <c r="T456" s="19">
        <f>tblMaster[[#This Row],[Revenue]]-tblMaster[[#This Row],[Estimated Cost (at 70%) ]]</f>
        <v>1161</v>
      </c>
      <c r="U456" s="19">
        <f>tblMaster[[#This Row],[Profit]]/tblMaster[[#This Row],[Revenue]]</f>
        <v>0.3</v>
      </c>
      <c r="V456" s="19">
        <f>tblMaster[[#This Row],[Delivery_Date]]-tblMaster[[#This Row],[Order_Date]]</f>
        <v>5</v>
      </c>
      <c r="W456" s="19" t="str">
        <f>TEXT(tblMaster[[#This Row],[Order_Date]],"mmmm")</f>
        <v>October</v>
      </c>
      <c r="X456" s="19">
        <f>MONTH(tblMaster[[#This Row],[Order_Date]])</f>
        <v>10</v>
      </c>
      <c r="Y456" s="19" t="str">
        <f>"Q"&amp;ROUNDUP(tblMaster[[#This Row],[Month Number]]/3,0)</f>
        <v>Q4</v>
      </c>
      <c r="Z456" s="19">
        <f>YEAR(tblMaster[[#This Row],[Order_Date]])</f>
        <v>2023</v>
      </c>
      <c r="AA456" s="19" t="str">
        <f>TEXT(DAY(tblMaster[[#This Row],[Order_Date]]),"dddd")</f>
        <v>Friday</v>
      </c>
      <c r="AB456" s="19" t="str">
        <f>IF(tblMaster[[#This Row],[Revenue]]&gt;=5000,"High",IF(tblMaster[[#This Row],[Revenue]]&lt;2000,"Low","Medium"))</f>
        <v>Medium</v>
      </c>
    </row>
    <row r="457" spans="1:28" x14ac:dyDescent="0.25">
      <c r="A457" s="10">
        <v>456</v>
      </c>
      <c r="B457" s="10" t="s">
        <v>222</v>
      </c>
      <c r="C457" s="5">
        <v>33</v>
      </c>
      <c r="D457" s="5">
        <v>2</v>
      </c>
      <c r="E457" s="11">
        <v>44969</v>
      </c>
      <c r="F457" s="12">
        <v>0.95253472222222224</v>
      </c>
      <c r="G457" s="11">
        <v>44972</v>
      </c>
      <c r="H457" s="12">
        <v>0.92645833333333338</v>
      </c>
      <c r="I457" s="10" t="s">
        <v>247</v>
      </c>
      <c r="J457" s="10" t="s">
        <v>12</v>
      </c>
      <c r="K457" s="18" t="str">
        <f>_xlfn.XLOOKUP(tblMaster[[#This Row],[Customer_ID]],tblCustomers[Customer_ID],tblCustomers[City],"Not Found",0)</f>
        <v>Tiruppur</v>
      </c>
      <c r="L457" s="18" t="str">
        <f>_xlfn.XLOOKUP(tblMaster[[#This Row],[Customer_ID]],tblCustomers[Customer_ID],tblCustomers[Name],"Not Found",0)</f>
        <v>Purab Sheth</v>
      </c>
      <c r="M457" s="18" t="str">
        <f>_xlfn.XLOOKUP(tblMaster[[#This Row],[Customer_ID]],tblCustomers[Customer_ID],tblCustomers[Gender],"Not Found",0)</f>
        <v>Male</v>
      </c>
      <c r="N457" s="18" t="str">
        <f>_xlfn.XLOOKUP(tblMaster[[#This Row],[Product_ID]],tblProducts[Product_ID],tblProducts[Product_Name],"Not Found",0)</f>
        <v>Earum Set</v>
      </c>
      <c r="O457" s="18" t="str">
        <f>_xlfn.XLOOKUP(tblMaster[[#This Row],[Product_ID]],tblProducts[Product_ID],tblProducts[Category],"Not Found",0)</f>
        <v>Colors</v>
      </c>
      <c r="P457" s="18" t="str">
        <f>_xlfn.XLOOKUP(tblMaster[[#This Row],[Product_ID]],tblProducts[Product_ID],tblProducts[Occasion],"Not Found",0)</f>
        <v>Valentine's Day</v>
      </c>
      <c r="Q457" s="18">
        <f>_xlfn.XLOOKUP(tblMaster[[#This Row],[Product_ID]],tblProducts[Product_ID],tblProducts[Price (INR)],"Not Found",0)</f>
        <v>314</v>
      </c>
      <c r="R457" s="19">
        <f>tblMaster[[#This Row],[Price]]*tblMaster[[#This Row],[Quantity]]</f>
        <v>628</v>
      </c>
      <c r="S457" s="19">
        <f>tblMaster[[#This Row],[Price]]*0.7*tblMaster[[#This Row],[Quantity]]</f>
        <v>439.59999999999997</v>
      </c>
      <c r="T457" s="19">
        <f>tblMaster[[#This Row],[Revenue]]-tblMaster[[#This Row],[Estimated Cost (at 70%) ]]</f>
        <v>188.40000000000003</v>
      </c>
      <c r="U457" s="19">
        <f>tblMaster[[#This Row],[Profit]]/tblMaster[[#This Row],[Revenue]]</f>
        <v>0.30000000000000004</v>
      </c>
      <c r="V457" s="19">
        <f>tblMaster[[#This Row],[Delivery_Date]]-tblMaster[[#This Row],[Order_Date]]</f>
        <v>3</v>
      </c>
      <c r="W457" s="19" t="str">
        <f>TEXT(tblMaster[[#This Row],[Order_Date]],"mmmm")</f>
        <v>February</v>
      </c>
      <c r="X457" s="19">
        <f>MONTH(tblMaster[[#This Row],[Order_Date]])</f>
        <v>2</v>
      </c>
      <c r="Y457" s="19" t="str">
        <f>"Q"&amp;ROUNDUP(tblMaster[[#This Row],[Month Number]]/3,0)</f>
        <v>Q1</v>
      </c>
      <c r="Z457" s="19">
        <f>YEAR(tblMaster[[#This Row],[Order_Date]])</f>
        <v>2023</v>
      </c>
      <c r="AA457" s="19" t="str">
        <f>TEXT(DAY(tblMaster[[#This Row],[Order_Date]]),"dddd")</f>
        <v>Thursday</v>
      </c>
      <c r="AB457" s="19" t="str">
        <f>IF(tblMaster[[#This Row],[Revenue]]&gt;=5000,"High",IF(tblMaster[[#This Row],[Revenue]]&lt;2000,"Low","Medium"))</f>
        <v>Low</v>
      </c>
    </row>
    <row r="458" spans="1:28" x14ac:dyDescent="0.25">
      <c r="A458" s="7">
        <v>457</v>
      </c>
      <c r="B458" s="7" t="s">
        <v>250</v>
      </c>
      <c r="C458" s="4">
        <v>22</v>
      </c>
      <c r="D458" s="4">
        <v>5</v>
      </c>
      <c r="E458" s="8">
        <v>45073</v>
      </c>
      <c r="F458" s="9">
        <v>0.58031250000000001</v>
      </c>
      <c r="G458" s="8">
        <v>45075</v>
      </c>
      <c r="H458" s="9">
        <v>0.6933449074074074</v>
      </c>
      <c r="I458" s="7" t="s">
        <v>504</v>
      </c>
      <c r="J458" s="7" t="s">
        <v>8</v>
      </c>
      <c r="K458" s="18" t="str">
        <f>_xlfn.XLOOKUP(tblMaster[[#This Row],[Customer_ID]],tblCustomers[Customer_ID],tblCustomers[City],"Not Found",0)</f>
        <v>Dibrugarh</v>
      </c>
      <c r="L458" s="18" t="str">
        <f>_xlfn.XLOOKUP(tblMaster[[#This Row],[Customer_ID]],tblCustomers[Customer_ID],tblCustomers[Name],"Not Found",0)</f>
        <v>Biju Bajwa</v>
      </c>
      <c r="M458" s="18" t="str">
        <f>_xlfn.XLOOKUP(tblMaster[[#This Row],[Customer_ID]],tblCustomers[Customer_ID],tblCustomers[Gender],"Not Found",0)</f>
        <v>Female</v>
      </c>
      <c r="N458" s="18" t="str">
        <f>_xlfn.XLOOKUP(tblMaster[[#This Row],[Product_ID]],tblProducts[Product_ID],tblProducts[Product_Name],"Not Found",0)</f>
        <v>Exercitationem Pack</v>
      </c>
      <c r="O458" s="18" t="str">
        <f>_xlfn.XLOOKUP(tblMaster[[#This Row],[Product_ID]],tblProducts[Product_ID],tblProducts[Category],"Not Found",0)</f>
        <v>Soft Toys</v>
      </c>
      <c r="P458" s="18" t="str">
        <f>_xlfn.XLOOKUP(tblMaster[[#This Row],[Product_ID]],tblProducts[Product_ID],tblProducts[Occasion],"Not Found",0)</f>
        <v>All Occasions</v>
      </c>
      <c r="Q458" s="18">
        <f>_xlfn.XLOOKUP(tblMaster[[#This Row],[Product_ID]],tblProducts[Product_ID],tblProducts[Price (INR)],"Not Found",0)</f>
        <v>1639</v>
      </c>
      <c r="R458" s="19">
        <f>tblMaster[[#This Row],[Price]]*tblMaster[[#This Row],[Quantity]]</f>
        <v>8195</v>
      </c>
      <c r="S458" s="19">
        <f>tblMaster[[#This Row],[Price]]*0.7*tblMaster[[#This Row],[Quantity]]</f>
        <v>5736.5</v>
      </c>
      <c r="T458" s="19">
        <f>tblMaster[[#This Row],[Revenue]]-tblMaster[[#This Row],[Estimated Cost (at 70%) ]]</f>
        <v>2458.5</v>
      </c>
      <c r="U458" s="19">
        <f>tblMaster[[#This Row],[Profit]]/tblMaster[[#This Row],[Revenue]]</f>
        <v>0.3</v>
      </c>
      <c r="V458" s="19">
        <f>tblMaster[[#This Row],[Delivery_Date]]-tblMaster[[#This Row],[Order_Date]]</f>
        <v>2</v>
      </c>
      <c r="W458" s="19" t="str">
        <f>TEXT(tblMaster[[#This Row],[Order_Date]],"mmmm")</f>
        <v>May</v>
      </c>
      <c r="X458" s="19">
        <f>MONTH(tblMaster[[#This Row],[Order_Date]])</f>
        <v>5</v>
      </c>
      <c r="Y458" s="19" t="str">
        <f>"Q"&amp;ROUNDUP(tblMaster[[#This Row],[Month Number]]/3,0)</f>
        <v>Q2</v>
      </c>
      <c r="Z458" s="19">
        <f>YEAR(tblMaster[[#This Row],[Order_Date]])</f>
        <v>2023</v>
      </c>
      <c r="AA458" s="19" t="str">
        <f>TEXT(DAY(tblMaster[[#This Row],[Order_Date]]),"dddd")</f>
        <v>Friday</v>
      </c>
      <c r="AB458" s="19" t="str">
        <f>IF(tblMaster[[#This Row],[Revenue]]&gt;=5000,"High",IF(tblMaster[[#This Row],[Revenue]]&lt;2000,"Low","Medium"))</f>
        <v>High</v>
      </c>
    </row>
    <row r="459" spans="1:28" x14ac:dyDescent="0.25">
      <c r="A459" s="10">
        <v>458</v>
      </c>
      <c r="B459" s="10" t="s">
        <v>204</v>
      </c>
      <c r="C459" s="5">
        <v>32</v>
      </c>
      <c r="D459" s="5">
        <v>2</v>
      </c>
      <c r="E459" s="11">
        <v>45126</v>
      </c>
      <c r="F459" s="12">
        <v>0.72326388888888893</v>
      </c>
      <c r="G459" s="11">
        <v>45131</v>
      </c>
      <c r="H459" s="12">
        <v>0.85606481481481478</v>
      </c>
      <c r="I459" s="10" t="s">
        <v>323</v>
      </c>
      <c r="J459" s="10" t="s">
        <v>36</v>
      </c>
      <c r="K459" s="18" t="str">
        <f>_xlfn.XLOOKUP(tblMaster[[#This Row],[Customer_ID]],tblCustomers[Customer_ID],tblCustomers[City],"Not Found",0)</f>
        <v>Bidhannagar</v>
      </c>
      <c r="L459" s="18" t="str">
        <f>_xlfn.XLOOKUP(tblMaster[[#This Row],[Customer_ID]],tblCustomers[Customer_ID],tblCustomers[Name],"Not Found",0)</f>
        <v>Umang Ahuja</v>
      </c>
      <c r="M459" s="18" t="str">
        <f>_xlfn.XLOOKUP(tblMaster[[#This Row],[Customer_ID]],tblCustomers[Customer_ID],tblCustomers[Gender],"Not Found",0)</f>
        <v>Female</v>
      </c>
      <c r="N459" s="18" t="str">
        <f>_xlfn.XLOOKUP(tblMaster[[#This Row],[Product_ID]],tblProducts[Product_ID],tblProducts[Product_Name],"Not Found",0)</f>
        <v>Fuga Set</v>
      </c>
      <c r="O459" s="18" t="str">
        <f>_xlfn.XLOOKUP(tblMaster[[#This Row],[Product_ID]],tblProducts[Product_ID],tblProducts[Category],"Not Found",0)</f>
        <v>Soft Toys</v>
      </c>
      <c r="P459" s="18" t="str">
        <f>_xlfn.XLOOKUP(tblMaster[[#This Row],[Product_ID]],tblProducts[Product_ID],tblProducts[Occasion],"Not Found",0)</f>
        <v>Birthday</v>
      </c>
      <c r="Q459" s="18">
        <f>_xlfn.XLOOKUP(tblMaster[[#This Row],[Product_ID]],tblProducts[Product_ID],tblProducts[Price (INR)],"Not Found",0)</f>
        <v>1792</v>
      </c>
      <c r="R459" s="19">
        <f>tblMaster[[#This Row],[Price]]*tblMaster[[#This Row],[Quantity]]</f>
        <v>3584</v>
      </c>
      <c r="S459" s="19">
        <f>tblMaster[[#This Row],[Price]]*0.7*tblMaster[[#This Row],[Quantity]]</f>
        <v>2508.7999999999997</v>
      </c>
      <c r="T459" s="19">
        <f>tblMaster[[#This Row],[Revenue]]-tblMaster[[#This Row],[Estimated Cost (at 70%) ]]</f>
        <v>1075.2000000000003</v>
      </c>
      <c r="U459" s="19">
        <f>tblMaster[[#This Row],[Profit]]/tblMaster[[#This Row],[Revenue]]</f>
        <v>0.3000000000000001</v>
      </c>
      <c r="V459" s="19">
        <f>tblMaster[[#This Row],[Delivery_Date]]-tblMaster[[#This Row],[Order_Date]]</f>
        <v>5</v>
      </c>
      <c r="W459" s="19" t="str">
        <f>TEXT(tblMaster[[#This Row],[Order_Date]],"mmmm")</f>
        <v>July</v>
      </c>
      <c r="X459" s="19">
        <f>MONTH(tblMaster[[#This Row],[Order_Date]])</f>
        <v>7</v>
      </c>
      <c r="Y459" s="19" t="str">
        <f>"Q"&amp;ROUNDUP(tblMaster[[#This Row],[Month Number]]/3,0)</f>
        <v>Q3</v>
      </c>
      <c r="Z459" s="19">
        <f>YEAR(tblMaster[[#This Row],[Order_Date]])</f>
        <v>2023</v>
      </c>
      <c r="AA459" s="19" t="str">
        <f>TEXT(DAY(tblMaster[[#This Row],[Order_Date]]),"dddd")</f>
        <v>Thursday</v>
      </c>
      <c r="AB459" s="19" t="str">
        <f>IF(tblMaster[[#This Row],[Revenue]]&gt;=5000,"High",IF(tblMaster[[#This Row],[Revenue]]&lt;2000,"Low","Medium"))</f>
        <v>Medium</v>
      </c>
    </row>
    <row r="460" spans="1:28" x14ac:dyDescent="0.25">
      <c r="A460" s="7">
        <v>459</v>
      </c>
      <c r="B460" s="7" t="s">
        <v>398</v>
      </c>
      <c r="C460" s="4">
        <v>12</v>
      </c>
      <c r="D460" s="4">
        <v>2</v>
      </c>
      <c r="E460" s="8">
        <v>45014</v>
      </c>
      <c r="F460" s="9">
        <v>0.30896990740740743</v>
      </c>
      <c r="G460" s="8">
        <v>45015</v>
      </c>
      <c r="H460" s="9">
        <v>0.31563657407407408</v>
      </c>
      <c r="I460" s="7" t="s">
        <v>450</v>
      </c>
      <c r="J460" s="7" t="s">
        <v>30</v>
      </c>
      <c r="K460" s="18" t="str">
        <f>_xlfn.XLOOKUP(tblMaster[[#This Row],[Customer_ID]],tblCustomers[Customer_ID],tblCustomers[City],"Not Found",0)</f>
        <v>Tumkur</v>
      </c>
      <c r="L460" s="18" t="str">
        <f>_xlfn.XLOOKUP(tblMaster[[#This Row],[Customer_ID]],tblCustomers[Customer_ID],tblCustomers[Name],"Not Found",0)</f>
        <v>Mamooty Bawa</v>
      </c>
      <c r="M460" s="18" t="str">
        <f>_xlfn.XLOOKUP(tblMaster[[#This Row],[Customer_ID]],tblCustomers[Customer_ID],tblCustomers[Gender],"Not Found",0)</f>
        <v>Male</v>
      </c>
      <c r="N460" s="18" t="str">
        <f>_xlfn.XLOOKUP(tblMaster[[#This Row],[Product_ID]],tblProducts[Product_ID],tblProducts[Product_Name],"Not Found",0)</f>
        <v>Non Set</v>
      </c>
      <c r="O460" s="18" t="str">
        <f>_xlfn.XLOOKUP(tblMaster[[#This Row],[Product_ID]],tblProducts[Product_ID],tblProducts[Category],"Not Found",0)</f>
        <v>Plants</v>
      </c>
      <c r="P460" s="18" t="str">
        <f>_xlfn.XLOOKUP(tblMaster[[#This Row],[Product_ID]],tblProducts[Product_ID],tblProducts[Occasion],"Not Found",0)</f>
        <v>Anniversary</v>
      </c>
      <c r="Q460" s="18">
        <f>_xlfn.XLOOKUP(tblMaster[[#This Row],[Product_ID]],tblProducts[Product_ID],tblProducts[Price (INR)],"Not Found",0)</f>
        <v>672</v>
      </c>
      <c r="R460" s="19">
        <f>tblMaster[[#This Row],[Price]]*tblMaster[[#This Row],[Quantity]]</f>
        <v>1344</v>
      </c>
      <c r="S460" s="19">
        <f>tblMaster[[#This Row],[Price]]*0.7*tblMaster[[#This Row],[Quantity]]</f>
        <v>940.8</v>
      </c>
      <c r="T460" s="19">
        <f>tblMaster[[#This Row],[Revenue]]-tblMaster[[#This Row],[Estimated Cost (at 70%) ]]</f>
        <v>403.20000000000005</v>
      </c>
      <c r="U460" s="19">
        <f>tblMaster[[#This Row],[Profit]]/tblMaster[[#This Row],[Revenue]]</f>
        <v>0.30000000000000004</v>
      </c>
      <c r="V460" s="19">
        <f>tblMaster[[#This Row],[Delivery_Date]]-tblMaster[[#This Row],[Order_Date]]</f>
        <v>1</v>
      </c>
      <c r="W460" s="19" t="str">
        <f>TEXT(tblMaster[[#This Row],[Order_Date]],"mmmm")</f>
        <v>March</v>
      </c>
      <c r="X460" s="19">
        <f>MONTH(tblMaster[[#This Row],[Order_Date]])</f>
        <v>3</v>
      </c>
      <c r="Y460" s="19" t="str">
        <f>"Q"&amp;ROUNDUP(tblMaster[[#This Row],[Month Number]]/3,0)</f>
        <v>Q1</v>
      </c>
      <c r="Z460" s="19">
        <f>YEAR(tblMaster[[#This Row],[Order_Date]])</f>
        <v>2023</v>
      </c>
      <c r="AA460" s="19" t="str">
        <f>TEXT(DAY(tblMaster[[#This Row],[Order_Date]]),"dddd")</f>
        <v>Sunday</v>
      </c>
      <c r="AB460" s="19" t="str">
        <f>IF(tblMaster[[#This Row],[Revenue]]&gt;=5000,"High",IF(tblMaster[[#This Row],[Revenue]]&lt;2000,"Low","Medium"))</f>
        <v>Low</v>
      </c>
    </row>
    <row r="461" spans="1:28" x14ac:dyDescent="0.25">
      <c r="A461" s="10">
        <v>460</v>
      </c>
      <c r="B461" s="10" t="s">
        <v>369</v>
      </c>
      <c r="C461" s="5">
        <v>29</v>
      </c>
      <c r="D461" s="5">
        <v>2</v>
      </c>
      <c r="E461" s="11">
        <v>44989</v>
      </c>
      <c r="F461" s="12">
        <v>0.33232638888888888</v>
      </c>
      <c r="G461" s="11">
        <v>44991</v>
      </c>
      <c r="H461" s="12">
        <v>5.162037037037037E-3</v>
      </c>
      <c r="I461" s="10" t="s">
        <v>505</v>
      </c>
      <c r="J461" s="10" t="s">
        <v>25</v>
      </c>
      <c r="K461" s="18" t="str">
        <f>_xlfn.XLOOKUP(tblMaster[[#This Row],[Customer_ID]],tblCustomers[Customer_ID],tblCustomers[City],"Not Found",0)</f>
        <v>Berhampore</v>
      </c>
      <c r="L461" s="18" t="str">
        <f>_xlfn.XLOOKUP(tblMaster[[#This Row],[Customer_ID]],tblCustomers[Customer_ID],tblCustomers[Name],"Not Found",0)</f>
        <v>Jayant Kamdar</v>
      </c>
      <c r="M461" s="18" t="str">
        <f>_xlfn.XLOOKUP(tblMaster[[#This Row],[Customer_ID]],tblCustomers[Customer_ID],tblCustomers[Gender],"Not Found",0)</f>
        <v>Male</v>
      </c>
      <c r="N461" s="18" t="str">
        <f>_xlfn.XLOOKUP(tblMaster[[#This Row],[Product_ID]],tblProducts[Product_ID],tblProducts[Product_Name],"Not Found",0)</f>
        <v>In Set</v>
      </c>
      <c r="O461" s="18" t="str">
        <f>_xlfn.XLOOKUP(tblMaster[[#This Row],[Product_ID]],tblProducts[Product_ID],tblProducts[Category],"Not Found",0)</f>
        <v>Colors</v>
      </c>
      <c r="P461" s="18" t="str">
        <f>_xlfn.XLOOKUP(tblMaster[[#This Row],[Product_ID]],tblProducts[Product_ID],tblProducts[Occasion],"Not Found",0)</f>
        <v>Holi</v>
      </c>
      <c r="Q461" s="18">
        <f>_xlfn.XLOOKUP(tblMaster[[#This Row],[Product_ID]],tblProducts[Product_ID],tblProducts[Price (INR)],"Not Found",0)</f>
        <v>1252</v>
      </c>
      <c r="R461" s="19">
        <f>tblMaster[[#This Row],[Price]]*tblMaster[[#This Row],[Quantity]]</f>
        <v>2504</v>
      </c>
      <c r="S461" s="19">
        <f>tblMaster[[#This Row],[Price]]*0.7*tblMaster[[#This Row],[Quantity]]</f>
        <v>1752.8</v>
      </c>
      <c r="T461" s="19">
        <f>tblMaster[[#This Row],[Revenue]]-tblMaster[[#This Row],[Estimated Cost (at 70%) ]]</f>
        <v>751.2</v>
      </c>
      <c r="U461" s="19">
        <f>tblMaster[[#This Row],[Profit]]/tblMaster[[#This Row],[Revenue]]</f>
        <v>0.30000000000000004</v>
      </c>
      <c r="V461" s="19">
        <f>tblMaster[[#This Row],[Delivery_Date]]-tblMaster[[#This Row],[Order_Date]]</f>
        <v>2</v>
      </c>
      <c r="W461" s="19" t="str">
        <f>TEXT(tblMaster[[#This Row],[Order_Date]],"mmmm")</f>
        <v>March</v>
      </c>
      <c r="X461" s="19">
        <f>MONTH(tblMaster[[#This Row],[Order_Date]])</f>
        <v>3</v>
      </c>
      <c r="Y461" s="19" t="str">
        <f>"Q"&amp;ROUNDUP(tblMaster[[#This Row],[Month Number]]/3,0)</f>
        <v>Q1</v>
      </c>
      <c r="Z461" s="19">
        <f>YEAR(tblMaster[[#This Row],[Order_Date]])</f>
        <v>2023</v>
      </c>
      <c r="AA461" s="19" t="str">
        <f>TEXT(DAY(tblMaster[[#This Row],[Order_Date]]),"dddd")</f>
        <v>Wednesday</v>
      </c>
      <c r="AB461" s="19" t="str">
        <f>IF(tblMaster[[#This Row],[Revenue]]&gt;=5000,"High",IF(tblMaster[[#This Row],[Revenue]]&lt;2000,"Low","Medium"))</f>
        <v>Medium</v>
      </c>
    </row>
    <row r="462" spans="1:28" x14ac:dyDescent="0.25">
      <c r="A462" s="7">
        <v>461</v>
      </c>
      <c r="B462" s="7" t="s">
        <v>333</v>
      </c>
      <c r="C462" s="4">
        <v>12</v>
      </c>
      <c r="D462" s="4">
        <v>4</v>
      </c>
      <c r="E462" s="8">
        <v>45099</v>
      </c>
      <c r="F462" s="9">
        <v>0.34209490740740739</v>
      </c>
      <c r="G462" s="8">
        <v>45104</v>
      </c>
      <c r="H462" s="9">
        <v>0.62009259259259264</v>
      </c>
      <c r="I462" s="7" t="s">
        <v>355</v>
      </c>
      <c r="J462" s="7" t="s">
        <v>30</v>
      </c>
      <c r="K462" s="18" t="str">
        <f>_xlfn.XLOOKUP(tblMaster[[#This Row],[Customer_ID]],tblCustomers[Customer_ID],tblCustomers[City],"Not Found",0)</f>
        <v>Raurkela Industrial Township</v>
      </c>
      <c r="L462" s="18" t="str">
        <f>_xlfn.XLOOKUP(tblMaster[[#This Row],[Customer_ID]],tblCustomers[Customer_ID],tblCustomers[Name],"Not Found",0)</f>
        <v>Aaryahi Sodhi</v>
      </c>
      <c r="M462" s="18" t="str">
        <f>_xlfn.XLOOKUP(tblMaster[[#This Row],[Customer_ID]],tblCustomers[Customer_ID],tblCustomers[Gender],"Not Found",0)</f>
        <v>Male</v>
      </c>
      <c r="N462" s="18" t="str">
        <f>_xlfn.XLOOKUP(tblMaster[[#This Row],[Product_ID]],tblProducts[Product_ID],tblProducts[Product_Name],"Not Found",0)</f>
        <v>Non Set</v>
      </c>
      <c r="O462" s="18" t="str">
        <f>_xlfn.XLOOKUP(tblMaster[[#This Row],[Product_ID]],tblProducts[Product_ID],tblProducts[Category],"Not Found",0)</f>
        <v>Plants</v>
      </c>
      <c r="P462" s="18" t="str">
        <f>_xlfn.XLOOKUP(tblMaster[[#This Row],[Product_ID]],tblProducts[Product_ID],tblProducts[Occasion],"Not Found",0)</f>
        <v>Anniversary</v>
      </c>
      <c r="Q462" s="18">
        <f>_xlfn.XLOOKUP(tblMaster[[#This Row],[Product_ID]],tblProducts[Product_ID],tblProducts[Price (INR)],"Not Found",0)</f>
        <v>672</v>
      </c>
      <c r="R462" s="19">
        <f>tblMaster[[#This Row],[Price]]*tblMaster[[#This Row],[Quantity]]</f>
        <v>2688</v>
      </c>
      <c r="S462" s="19">
        <f>tblMaster[[#This Row],[Price]]*0.7*tblMaster[[#This Row],[Quantity]]</f>
        <v>1881.6</v>
      </c>
      <c r="T462" s="19">
        <f>tblMaster[[#This Row],[Revenue]]-tblMaster[[#This Row],[Estimated Cost (at 70%) ]]</f>
        <v>806.40000000000009</v>
      </c>
      <c r="U462" s="19">
        <f>tblMaster[[#This Row],[Profit]]/tblMaster[[#This Row],[Revenue]]</f>
        <v>0.30000000000000004</v>
      </c>
      <c r="V462" s="19">
        <f>tblMaster[[#This Row],[Delivery_Date]]-tblMaster[[#This Row],[Order_Date]]</f>
        <v>5</v>
      </c>
      <c r="W462" s="19" t="str">
        <f>TEXT(tblMaster[[#This Row],[Order_Date]],"mmmm")</f>
        <v>June</v>
      </c>
      <c r="X462" s="19">
        <f>MONTH(tblMaster[[#This Row],[Order_Date]])</f>
        <v>6</v>
      </c>
      <c r="Y462" s="19" t="str">
        <f>"Q"&amp;ROUNDUP(tblMaster[[#This Row],[Month Number]]/3,0)</f>
        <v>Q2</v>
      </c>
      <c r="Z462" s="19">
        <f>YEAR(tblMaster[[#This Row],[Order_Date]])</f>
        <v>2023</v>
      </c>
      <c r="AA462" s="19" t="str">
        <f>TEXT(DAY(tblMaster[[#This Row],[Order_Date]]),"dddd")</f>
        <v>Sunday</v>
      </c>
      <c r="AB462" s="19" t="str">
        <f>IF(tblMaster[[#This Row],[Revenue]]&gt;=5000,"High",IF(tblMaster[[#This Row],[Revenue]]&lt;2000,"Low","Medium"))</f>
        <v>Medium</v>
      </c>
    </row>
    <row r="463" spans="1:28" x14ac:dyDescent="0.25">
      <c r="A463" s="10">
        <v>462</v>
      </c>
      <c r="B463" s="10" t="s">
        <v>191</v>
      </c>
      <c r="C463" s="5">
        <v>60</v>
      </c>
      <c r="D463" s="5">
        <v>5</v>
      </c>
      <c r="E463" s="11">
        <v>45234</v>
      </c>
      <c r="F463" s="12">
        <v>0.75701388888888888</v>
      </c>
      <c r="G463" s="11">
        <v>45243</v>
      </c>
      <c r="H463" s="12">
        <v>0.59738425925925931</v>
      </c>
      <c r="I463" s="10" t="s">
        <v>325</v>
      </c>
      <c r="J463" s="10" t="s">
        <v>19</v>
      </c>
      <c r="K463" s="18" t="str">
        <f>_xlfn.XLOOKUP(tblMaster[[#This Row],[Customer_ID]],tblCustomers[Customer_ID],tblCustomers[City],"Not Found",0)</f>
        <v>Madhyamgram</v>
      </c>
      <c r="L463" s="18" t="str">
        <f>_xlfn.XLOOKUP(tblMaster[[#This Row],[Customer_ID]],tblCustomers[Customer_ID],tblCustomers[Name],"Not Found",0)</f>
        <v>Hunar Tripathi</v>
      </c>
      <c r="M463" s="18" t="str">
        <f>_xlfn.XLOOKUP(tblMaster[[#This Row],[Customer_ID]],tblCustomers[Customer_ID],tblCustomers[Gender],"Not Found",0)</f>
        <v>Female</v>
      </c>
      <c r="N463" s="18" t="str">
        <f>_xlfn.XLOOKUP(tblMaster[[#This Row],[Product_ID]],tblProducts[Product_ID],tblProducts[Product_Name],"Not Found",0)</f>
        <v>Ea Set</v>
      </c>
      <c r="O463" s="18" t="str">
        <f>_xlfn.XLOOKUP(tblMaster[[#This Row],[Product_ID]],tblProducts[Product_ID],tblProducts[Category],"Not Found",0)</f>
        <v>Sweets</v>
      </c>
      <c r="P463" s="18" t="str">
        <f>_xlfn.XLOOKUP(tblMaster[[#This Row],[Product_ID]],tblProducts[Product_ID],tblProducts[Occasion],"Not Found",0)</f>
        <v>Diwali</v>
      </c>
      <c r="Q463" s="18">
        <f>_xlfn.XLOOKUP(tblMaster[[#This Row],[Product_ID]],tblProducts[Product_ID],tblProducts[Price (INR)],"Not Found",0)</f>
        <v>827</v>
      </c>
      <c r="R463" s="19">
        <f>tblMaster[[#This Row],[Price]]*tblMaster[[#This Row],[Quantity]]</f>
        <v>4135</v>
      </c>
      <c r="S463" s="19">
        <f>tblMaster[[#This Row],[Price]]*0.7*tblMaster[[#This Row],[Quantity]]</f>
        <v>2894.5</v>
      </c>
      <c r="T463" s="19">
        <f>tblMaster[[#This Row],[Revenue]]-tblMaster[[#This Row],[Estimated Cost (at 70%) ]]</f>
        <v>1240.5</v>
      </c>
      <c r="U463" s="19">
        <f>tblMaster[[#This Row],[Profit]]/tblMaster[[#This Row],[Revenue]]</f>
        <v>0.3</v>
      </c>
      <c r="V463" s="19">
        <f>tblMaster[[#This Row],[Delivery_Date]]-tblMaster[[#This Row],[Order_Date]]</f>
        <v>9</v>
      </c>
      <c r="W463" s="19" t="str">
        <f>TEXT(tblMaster[[#This Row],[Order_Date]],"mmmm")</f>
        <v>November</v>
      </c>
      <c r="X463" s="19">
        <f>MONTH(tblMaster[[#This Row],[Order_Date]])</f>
        <v>11</v>
      </c>
      <c r="Y463" s="19" t="str">
        <f>"Q"&amp;ROUNDUP(tblMaster[[#This Row],[Month Number]]/3,0)</f>
        <v>Q4</v>
      </c>
      <c r="Z463" s="19">
        <f>YEAR(tblMaster[[#This Row],[Order_Date]])</f>
        <v>2023</v>
      </c>
      <c r="AA463" s="19" t="str">
        <f>TEXT(DAY(tblMaster[[#This Row],[Order_Date]]),"dddd")</f>
        <v>Wednesday</v>
      </c>
      <c r="AB463" s="19" t="str">
        <f>IF(tblMaster[[#This Row],[Revenue]]&gt;=5000,"High",IF(tblMaster[[#This Row],[Revenue]]&lt;2000,"Low","Medium"))</f>
        <v>Medium</v>
      </c>
    </row>
    <row r="464" spans="1:28" x14ac:dyDescent="0.25">
      <c r="A464" s="7">
        <v>463</v>
      </c>
      <c r="B464" s="7" t="s">
        <v>174</v>
      </c>
      <c r="C464" s="4">
        <v>18</v>
      </c>
      <c r="D464" s="4">
        <v>3</v>
      </c>
      <c r="E464" s="8">
        <v>45193</v>
      </c>
      <c r="F464" s="9">
        <v>0.9331828703703704</v>
      </c>
      <c r="G464" s="8">
        <v>45199</v>
      </c>
      <c r="H464" s="9">
        <v>3.6145833333333335E-2</v>
      </c>
      <c r="I464" s="7" t="s">
        <v>506</v>
      </c>
      <c r="J464" s="7" t="s">
        <v>36</v>
      </c>
      <c r="K464" s="18" t="str">
        <f>_xlfn.XLOOKUP(tblMaster[[#This Row],[Customer_ID]],tblCustomers[Customer_ID],tblCustomers[City],"Not Found",0)</f>
        <v>Bhubaneswar</v>
      </c>
      <c r="L464" s="18" t="str">
        <f>_xlfn.XLOOKUP(tblMaster[[#This Row],[Customer_ID]],tblCustomers[Customer_ID],tblCustomers[Name],"Not Found",0)</f>
        <v>Jivika Rajan</v>
      </c>
      <c r="M464" s="18" t="str">
        <f>_xlfn.XLOOKUP(tblMaster[[#This Row],[Customer_ID]],tblCustomers[Customer_ID],tblCustomers[Gender],"Not Found",0)</f>
        <v>Female</v>
      </c>
      <c r="N464" s="18" t="str">
        <f>_xlfn.XLOOKUP(tblMaster[[#This Row],[Product_ID]],tblProducts[Product_ID],tblProducts[Product_Name],"Not Found",0)</f>
        <v>Nemo Set</v>
      </c>
      <c r="O464" s="18" t="str">
        <f>_xlfn.XLOOKUP(tblMaster[[#This Row],[Product_ID]],tblProducts[Product_ID],tblProducts[Category],"Not Found",0)</f>
        <v>Plants</v>
      </c>
      <c r="P464" s="18" t="str">
        <f>_xlfn.XLOOKUP(tblMaster[[#This Row],[Product_ID]],tblProducts[Product_ID],tblProducts[Occasion],"Not Found",0)</f>
        <v>Birthday</v>
      </c>
      <c r="Q464" s="18">
        <f>_xlfn.XLOOKUP(tblMaster[[#This Row],[Product_ID]],tblProducts[Product_ID],tblProducts[Price (INR)],"Not Found",0)</f>
        <v>781</v>
      </c>
      <c r="R464" s="19">
        <f>tblMaster[[#This Row],[Price]]*tblMaster[[#This Row],[Quantity]]</f>
        <v>2343</v>
      </c>
      <c r="S464" s="19">
        <f>tblMaster[[#This Row],[Price]]*0.7*tblMaster[[#This Row],[Quantity]]</f>
        <v>1640.1</v>
      </c>
      <c r="T464" s="19">
        <f>tblMaster[[#This Row],[Revenue]]-tblMaster[[#This Row],[Estimated Cost (at 70%) ]]</f>
        <v>702.90000000000009</v>
      </c>
      <c r="U464" s="19">
        <f>tblMaster[[#This Row],[Profit]]/tblMaster[[#This Row],[Revenue]]</f>
        <v>0.30000000000000004</v>
      </c>
      <c r="V464" s="19">
        <f>tblMaster[[#This Row],[Delivery_Date]]-tblMaster[[#This Row],[Order_Date]]</f>
        <v>6</v>
      </c>
      <c r="W464" s="19" t="str">
        <f>TEXT(tblMaster[[#This Row],[Order_Date]],"mmmm")</f>
        <v>September</v>
      </c>
      <c r="X464" s="19">
        <f>MONTH(tblMaster[[#This Row],[Order_Date]])</f>
        <v>9</v>
      </c>
      <c r="Y464" s="19" t="str">
        <f>"Q"&amp;ROUNDUP(tblMaster[[#This Row],[Month Number]]/3,0)</f>
        <v>Q3</v>
      </c>
      <c r="Z464" s="19">
        <f>YEAR(tblMaster[[#This Row],[Order_Date]])</f>
        <v>2023</v>
      </c>
      <c r="AA464" s="19" t="str">
        <f>TEXT(DAY(tblMaster[[#This Row],[Order_Date]]),"dddd")</f>
        <v>Tuesday</v>
      </c>
      <c r="AB464" s="19" t="str">
        <f>IF(tblMaster[[#This Row],[Revenue]]&gt;=5000,"High",IF(tblMaster[[#This Row],[Revenue]]&lt;2000,"Low","Medium"))</f>
        <v>Medium</v>
      </c>
    </row>
    <row r="465" spans="1:28" x14ac:dyDescent="0.25">
      <c r="A465" s="10">
        <v>464</v>
      </c>
      <c r="B465" s="10" t="s">
        <v>248</v>
      </c>
      <c r="C465" s="5">
        <v>18</v>
      </c>
      <c r="D465" s="5">
        <v>3</v>
      </c>
      <c r="E465" s="11">
        <v>45112</v>
      </c>
      <c r="F465" s="12">
        <v>0.12806712962962963</v>
      </c>
      <c r="G465" s="11">
        <v>45115</v>
      </c>
      <c r="H465" s="12">
        <v>0.56857638888888884</v>
      </c>
      <c r="I465" s="10" t="s">
        <v>507</v>
      </c>
      <c r="J465" s="10" t="s">
        <v>36</v>
      </c>
      <c r="K465" s="18" t="str">
        <f>_xlfn.XLOOKUP(tblMaster[[#This Row],[Customer_ID]],tblCustomers[Customer_ID],tblCustomers[City],"Not Found",0)</f>
        <v>Panvel</v>
      </c>
      <c r="L465" s="18" t="str">
        <f>_xlfn.XLOOKUP(tblMaster[[#This Row],[Customer_ID]],tblCustomers[Customer_ID],tblCustomers[Name],"Not Found",0)</f>
        <v>Indrans Shukla</v>
      </c>
      <c r="M465" s="18" t="str">
        <f>_xlfn.XLOOKUP(tblMaster[[#This Row],[Customer_ID]],tblCustomers[Customer_ID],tblCustomers[Gender],"Not Found",0)</f>
        <v>Female</v>
      </c>
      <c r="N465" s="18" t="str">
        <f>_xlfn.XLOOKUP(tblMaster[[#This Row],[Product_ID]],tblProducts[Product_ID],tblProducts[Product_Name],"Not Found",0)</f>
        <v>Nemo Set</v>
      </c>
      <c r="O465" s="18" t="str">
        <f>_xlfn.XLOOKUP(tblMaster[[#This Row],[Product_ID]],tblProducts[Product_ID],tblProducts[Category],"Not Found",0)</f>
        <v>Plants</v>
      </c>
      <c r="P465" s="18" t="str">
        <f>_xlfn.XLOOKUP(tblMaster[[#This Row],[Product_ID]],tblProducts[Product_ID],tblProducts[Occasion],"Not Found",0)</f>
        <v>Birthday</v>
      </c>
      <c r="Q465" s="18">
        <f>_xlfn.XLOOKUP(tblMaster[[#This Row],[Product_ID]],tblProducts[Product_ID],tblProducts[Price (INR)],"Not Found",0)</f>
        <v>781</v>
      </c>
      <c r="R465" s="19">
        <f>tblMaster[[#This Row],[Price]]*tblMaster[[#This Row],[Quantity]]</f>
        <v>2343</v>
      </c>
      <c r="S465" s="19">
        <f>tblMaster[[#This Row],[Price]]*0.7*tblMaster[[#This Row],[Quantity]]</f>
        <v>1640.1</v>
      </c>
      <c r="T465" s="19">
        <f>tblMaster[[#This Row],[Revenue]]-tblMaster[[#This Row],[Estimated Cost (at 70%) ]]</f>
        <v>702.90000000000009</v>
      </c>
      <c r="U465" s="19">
        <f>tblMaster[[#This Row],[Profit]]/tblMaster[[#This Row],[Revenue]]</f>
        <v>0.30000000000000004</v>
      </c>
      <c r="V465" s="19">
        <f>tblMaster[[#This Row],[Delivery_Date]]-tblMaster[[#This Row],[Order_Date]]</f>
        <v>3</v>
      </c>
      <c r="W465" s="19" t="str">
        <f>TEXT(tblMaster[[#This Row],[Order_Date]],"mmmm")</f>
        <v>July</v>
      </c>
      <c r="X465" s="19">
        <f>MONTH(tblMaster[[#This Row],[Order_Date]])</f>
        <v>7</v>
      </c>
      <c r="Y465" s="19" t="str">
        <f>"Q"&amp;ROUNDUP(tblMaster[[#This Row],[Month Number]]/3,0)</f>
        <v>Q3</v>
      </c>
      <c r="Z465" s="19">
        <f>YEAR(tblMaster[[#This Row],[Order_Date]])</f>
        <v>2023</v>
      </c>
      <c r="AA465" s="19" t="str">
        <f>TEXT(DAY(tblMaster[[#This Row],[Order_Date]]),"dddd")</f>
        <v>Thursday</v>
      </c>
      <c r="AB465" s="19" t="str">
        <f>IF(tblMaster[[#This Row],[Revenue]]&gt;=5000,"High",IF(tblMaster[[#This Row],[Revenue]]&lt;2000,"Low","Medium"))</f>
        <v>Medium</v>
      </c>
    </row>
    <row r="466" spans="1:28" x14ac:dyDescent="0.25">
      <c r="A466" s="7">
        <v>465</v>
      </c>
      <c r="B466" s="7" t="s">
        <v>170</v>
      </c>
      <c r="C466" s="4">
        <v>55</v>
      </c>
      <c r="D466" s="4">
        <v>5</v>
      </c>
      <c r="E466" s="8">
        <v>45161</v>
      </c>
      <c r="F466" s="9">
        <v>0.99041666666666661</v>
      </c>
      <c r="G466" s="8">
        <v>45164</v>
      </c>
      <c r="H466" s="9">
        <v>0.56193287037037032</v>
      </c>
      <c r="I466" s="7" t="s">
        <v>201</v>
      </c>
      <c r="J466" s="7" t="s">
        <v>33</v>
      </c>
      <c r="K466" s="18" t="str">
        <f>_xlfn.XLOOKUP(tblMaster[[#This Row],[Customer_ID]],tblCustomers[Customer_ID],tblCustomers[City],"Not Found",0)</f>
        <v>Haridwar</v>
      </c>
      <c r="L466" s="18" t="str">
        <f>_xlfn.XLOOKUP(tblMaster[[#This Row],[Customer_ID]],tblCustomers[Customer_ID],tblCustomers[Name],"Not Found",0)</f>
        <v>Badal Sathe</v>
      </c>
      <c r="M466" s="18" t="str">
        <f>_xlfn.XLOOKUP(tblMaster[[#This Row],[Customer_ID]],tblCustomers[Customer_ID],tblCustomers[Gender],"Not Found",0)</f>
        <v>Female</v>
      </c>
      <c r="N466" s="18" t="str">
        <f>_xlfn.XLOOKUP(tblMaster[[#This Row],[Product_ID]],tblProducts[Product_ID],tblProducts[Product_Name],"Not Found",0)</f>
        <v>Dolores Gift</v>
      </c>
      <c r="O466" s="18" t="str">
        <f>_xlfn.XLOOKUP(tblMaster[[#This Row],[Product_ID]],tblProducts[Product_ID],tblProducts[Category],"Not Found",0)</f>
        <v>Soft Toys</v>
      </c>
      <c r="P466" s="18" t="str">
        <f>_xlfn.XLOOKUP(tblMaster[[#This Row],[Product_ID]],tblProducts[Product_ID],tblProducts[Occasion],"Not Found",0)</f>
        <v>Raksha Bandhan</v>
      </c>
      <c r="Q466" s="18">
        <f>_xlfn.XLOOKUP(tblMaster[[#This Row],[Product_ID]],tblProducts[Product_ID],tblProducts[Price (INR)],"Not Found",0)</f>
        <v>1904</v>
      </c>
      <c r="R466" s="19">
        <f>tblMaster[[#This Row],[Price]]*tblMaster[[#This Row],[Quantity]]</f>
        <v>9520</v>
      </c>
      <c r="S466" s="19">
        <f>tblMaster[[#This Row],[Price]]*0.7*tblMaster[[#This Row],[Quantity]]</f>
        <v>6664</v>
      </c>
      <c r="T466" s="19">
        <f>tblMaster[[#This Row],[Revenue]]-tblMaster[[#This Row],[Estimated Cost (at 70%) ]]</f>
        <v>2856</v>
      </c>
      <c r="U466" s="19">
        <f>tblMaster[[#This Row],[Profit]]/tblMaster[[#This Row],[Revenue]]</f>
        <v>0.3</v>
      </c>
      <c r="V466" s="19">
        <f>tblMaster[[#This Row],[Delivery_Date]]-tblMaster[[#This Row],[Order_Date]]</f>
        <v>3</v>
      </c>
      <c r="W466" s="19" t="str">
        <f>TEXT(tblMaster[[#This Row],[Order_Date]],"mmmm")</f>
        <v>August</v>
      </c>
      <c r="X466" s="19">
        <f>MONTH(tblMaster[[#This Row],[Order_Date]])</f>
        <v>8</v>
      </c>
      <c r="Y466" s="19" t="str">
        <f>"Q"&amp;ROUNDUP(tblMaster[[#This Row],[Month Number]]/3,0)</f>
        <v>Q3</v>
      </c>
      <c r="Z466" s="19">
        <f>YEAR(tblMaster[[#This Row],[Order_Date]])</f>
        <v>2023</v>
      </c>
      <c r="AA466" s="19" t="str">
        <f>TEXT(DAY(tblMaster[[#This Row],[Order_Date]]),"dddd")</f>
        <v>Monday</v>
      </c>
      <c r="AB466" s="19" t="str">
        <f>IF(tblMaster[[#This Row],[Revenue]]&gt;=5000,"High",IF(tblMaster[[#This Row],[Revenue]]&lt;2000,"Low","Medium"))</f>
        <v>High</v>
      </c>
    </row>
    <row r="467" spans="1:28" x14ac:dyDescent="0.25">
      <c r="A467" s="10">
        <v>466</v>
      </c>
      <c r="B467" s="10" t="s">
        <v>291</v>
      </c>
      <c r="C467" s="5">
        <v>23</v>
      </c>
      <c r="D467" s="5">
        <v>1</v>
      </c>
      <c r="E467" s="11">
        <v>45202</v>
      </c>
      <c r="F467" s="12">
        <v>0.58219907407407412</v>
      </c>
      <c r="G467" s="11">
        <v>45210</v>
      </c>
      <c r="H467" s="12">
        <v>0.41644675925925928</v>
      </c>
      <c r="I467" s="10" t="s">
        <v>278</v>
      </c>
      <c r="J467" s="10" t="s">
        <v>30</v>
      </c>
      <c r="K467" s="18" t="str">
        <f>_xlfn.XLOOKUP(tblMaster[[#This Row],[Customer_ID]],tblCustomers[Customer_ID],tblCustomers[City],"Not Found",0)</f>
        <v>Bharatpur</v>
      </c>
      <c r="L467" s="18" t="str">
        <f>_xlfn.XLOOKUP(tblMaster[[#This Row],[Customer_ID]],tblCustomers[Customer_ID],tblCustomers[Name],"Not Found",0)</f>
        <v>Kismat Kapadia</v>
      </c>
      <c r="M467" s="18" t="str">
        <f>_xlfn.XLOOKUP(tblMaster[[#This Row],[Customer_ID]],tblCustomers[Customer_ID],tblCustomers[Gender],"Not Found",0)</f>
        <v>Female</v>
      </c>
      <c r="N467" s="18" t="str">
        <f>_xlfn.XLOOKUP(tblMaster[[#This Row],[Product_ID]],tblProducts[Product_ID],tblProducts[Product_Name],"Not Found",0)</f>
        <v>Dignissimos Pack</v>
      </c>
      <c r="O467" s="18" t="str">
        <f>_xlfn.XLOOKUP(tblMaster[[#This Row],[Product_ID]],tblProducts[Product_ID],tblProducts[Category],"Not Found",0)</f>
        <v>Sweets</v>
      </c>
      <c r="P467" s="18" t="str">
        <f>_xlfn.XLOOKUP(tblMaster[[#This Row],[Product_ID]],tblProducts[Product_ID],tblProducts[Occasion],"Not Found",0)</f>
        <v>Anniversary</v>
      </c>
      <c r="Q467" s="18">
        <f>_xlfn.XLOOKUP(tblMaster[[#This Row],[Product_ID]],tblProducts[Product_ID],tblProducts[Price (INR)],"Not Found",0)</f>
        <v>1098</v>
      </c>
      <c r="R467" s="19">
        <f>tblMaster[[#This Row],[Price]]*tblMaster[[#This Row],[Quantity]]</f>
        <v>1098</v>
      </c>
      <c r="S467" s="19">
        <f>tblMaster[[#This Row],[Price]]*0.7*tblMaster[[#This Row],[Quantity]]</f>
        <v>768.59999999999991</v>
      </c>
      <c r="T467" s="19">
        <f>tblMaster[[#This Row],[Revenue]]-tblMaster[[#This Row],[Estimated Cost (at 70%) ]]</f>
        <v>329.40000000000009</v>
      </c>
      <c r="U467" s="19">
        <f>tblMaster[[#This Row],[Profit]]/tblMaster[[#This Row],[Revenue]]</f>
        <v>0.3000000000000001</v>
      </c>
      <c r="V467" s="19">
        <f>tblMaster[[#This Row],[Delivery_Date]]-tblMaster[[#This Row],[Order_Date]]</f>
        <v>8</v>
      </c>
      <c r="W467" s="19" t="str">
        <f>TEXT(tblMaster[[#This Row],[Order_Date]],"mmmm")</f>
        <v>October</v>
      </c>
      <c r="X467" s="19">
        <f>MONTH(tblMaster[[#This Row],[Order_Date]])</f>
        <v>10</v>
      </c>
      <c r="Y467" s="19" t="str">
        <f>"Q"&amp;ROUNDUP(tblMaster[[#This Row],[Month Number]]/3,0)</f>
        <v>Q4</v>
      </c>
      <c r="Z467" s="19">
        <f>YEAR(tblMaster[[#This Row],[Order_Date]])</f>
        <v>2023</v>
      </c>
      <c r="AA467" s="19" t="str">
        <f>TEXT(DAY(tblMaster[[#This Row],[Order_Date]]),"dddd")</f>
        <v>Tuesday</v>
      </c>
      <c r="AB467" s="19" t="str">
        <f>IF(tblMaster[[#This Row],[Revenue]]&gt;=5000,"High",IF(tblMaster[[#This Row],[Revenue]]&lt;2000,"Low","Medium"))</f>
        <v>Low</v>
      </c>
    </row>
    <row r="468" spans="1:28" x14ac:dyDescent="0.25">
      <c r="A468" s="7">
        <v>467</v>
      </c>
      <c r="B468" s="7" t="s">
        <v>195</v>
      </c>
      <c r="C468" s="4">
        <v>53</v>
      </c>
      <c r="D468" s="4">
        <v>1</v>
      </c>
      <c r="E468" s="8">
        <v>45166</v>
      </c>
      <c r="F468" s="9">
        <v>0.59634259259259259</v>
      </c>
      <c r="G468" s="8">
        <v>45171</v>
      </c>
      <c r="H468" s="9">
        <v>0.63901620370370371</v>
      </c>
      <c r="I468" s="7" t="s">
        <v>189</v>
      </c>
      <c r="J468" s="7" t="s">
        <v>33</v>
      </c>
      <c r="K468" s="18" t="str">
        <f>_xlfn.XLOOKUP(tblMaster[[#This Row],[Customer_ID]],tblCustomers[Customer_ID],tblCustomers[City],"Not Found",0)</f>
        <v>Haridwar</v>
      </c>
      <c r="L468" s="18" t="str">
        <f>_xlfn.XLOOKUP(tblMaster[[#This Row],[Customer_ID]],tblCustomers[Customer_ID],tblCustomers[Name],"Not Found",0)</f>
        <v>Pihu Choudhury</v>
      </c>
      <c r="M468" s="18" t="str">
        <f>_xlfn.XLOOKUP(tblMaster[[#This Row],[Customer_ID]],tblCustomers[Customer_ID],tblCustomers[Gender],"Not Found",0)</f>
        <v>Male</v>
      </c>
      <c r="N468" s="18" t="str">
        <f>_xlfn.XLOOKUP(tblMaster[[#This Row],[Product_ID]],tblProducts[Product_ID],tblProducts[Product_Name],"Not Found",0)</f>
        <v>Ipsam Set</v>
      </c>
      <c r="O468" s="18" t="str">
        <f>_xlfn.XLOOKUP(tblMaster[[#This Row],[Product_ID]],tblProducts[Product_ID],tblProducts[Category],"Not Found",0)</f>
        <v>Sweets</v>
      </c>
      <c r="P468" s="18" t="str">
        <f>_xlfn.XLOOKUP(tblMaster[[#This Row],[Product_ID]],tblProducts[Product_ID],tblProducts[Occasion],"Not Found",0)</f>
        <v>Raksha Bandhan</v>
      </c>
      <c r="Q468" s="18">
        <f>_xlfn.XLOOKUP(tblMaster[[#This Row],[Product_ID]],tblProducts[Product_ID],tblProducts[Price (INR)],"Not Found",0)</f>
        <v>1672</v>
      </c>
      <c r="R468" s="19">
        <f>tblMaster[[#This Row],[Price]]*tblMaster[[#This Row],[Quantity]]</f>
        <v>1672</v>
      </c>
      <c r="S468" s="19">
        <f>tblMaster[[#This Row],[Price]]*0.7*tblMaster[[#This Row],[Quantity]]</f>
        <v>1170.3999999999999</v>
      </c>
      <c r="T468" s="19">
        <f>tblMaster[[#This Row],[Revenue]]-tblMaster[[#This Row],[Estimated Cost (at 70%) ]]</f>
        <v>501.60000000000014</v>
      </c>
      <c r="U468" s="19">
        <f>tblMaster[[#This Row],[Profit]]/tblMaster[[#This Row],[Revenue]]</f>
        <v>0.3000000000000001</v>
      </c>
      <c r="V468" s="19">
        <f>tblMaster[[#This Row],[Delivery_Date]]-tblMaster[[#This Row],[Order_Date]]</f>
        <v>5</v>
      </c>
      <c r="W468" s="19" t="str">
        <f>TEXT(tblMaster[[#This Row],[Order_Date]],"mmmm")</f>
        <v>August</v>
      </c>
      <c r="X468" s="19">
        <f>MONTH(tblMaster[[#This Row],[Order_Date]])</f>
        <v>8</v>
      </c>
      <c r="Y468" s="19" t="str">
        <f>"Q"&amp;ROUNDUP(tblMaster[[#This Row],[Month Number]]/3,0)</f>
        <v>Q3</v>
      </c>
      <c r="Z468" s="19">
        <f>YEAR(tblMaster[[#This Row],[Order_Date]])</f>
        <v>2023</v>
      </c>
      <c r="AA468" s="19" t="str">
        <f>TEXT(DAY(tblMaster[[#This Row],[Order_Date]]),"dddd")</f>
        <v>Saturday</v>
      </c>
      <c r="AB468" s="19" t="str">
        <f>IF(tblMaster[[#This Row],[Revenue]]&gt;=5000,"High",IF(tblMaster[[#This Row],[Revenue]]&lt;2000,"Low","Medium"))</f>
        <v>Low</v>
      </c>
    </row>
    <row r="469" spans="1:28" x14ac:dyDescent="0.25">
      <c r="A469" s="10">
        <v>468</v>
      </c>
      <c r="B469" s="10" t="s">
        <v>369</v>
      </c>
      <c r="C469" s="5">
        <v>5</v>
      </c>
      <c r="D469" s="5">
        <v>2</v>
      </c>
      <c r="E469" s="11">
        <v>45132</v>
      </c>
      <c r="F469" s="12">
        <v>0.33155092592592594</v>
      </c>
      <c r="G469" s="11">
        <v>45142</v>
      </c>
      <c r="H469" s="12">
        <v>5.8877314814814813E-2</v>
      </c>
      <c r="I469" s="10" t="s">
        <v>508</v>
      </c>
      <c r="J469" s="10" t="s">
        <v>8</v>
      </c>
      <c r="K469" s="18" t="str">
        <f>_xlfn.XLOOKUP(tblMaster[[#This Row],[Customer_ID]],tblCustomers[Customer_ID],tblCustomers[City],"Not Found",0)</f>
        <v>Berhampore</v>
      </c>
      <c r="L469" s="18" t="str">
        <f>_xlfn.XLOOKUP(tblMaster[[#This Row],[Customer_ID]],tblCustomers[Customer_ID],tblCustomers[Name],"Not Found",0)</f>
        <v>Jayant Kamdar</v>
      </c>
      <c r="M469" s="18" t="str">
        <f>_xlfn.XLOOKUP(tblMaster[[#This Row],[Customer_ID]],tblCustomers[Customer_ID],tblCustomers[Gender],"Not Found",0)</f>
        <v>Male</v>
      </c>
      <c r="N469" s="18" t="str">
        <f>_xlfn.XLOOKUP(tblMaster[[#This Row],[Product_ID]],tblProducts[Product_ID],tblProducts[Product_Name],"Not Found",0)</f>
        <v>Natus Gift</v>
      </c>
      <c r="O469" s="18" t="str">
        <f>_xlfn.XLOOKUP(tblMaster[[#This Row],[Product_ID]],tblProducts[Product_ID],tblProducts[Category],"Not Found",0)</f>
        <v>Colors</v>
      </c>
      <c r="P469" s="18" t="str">
        <f>_xlfn.XLOOKUP(tblMaster[[#This Row],[Product_ID]],tblProducts[Product_ID],tblProducts[Occasion],"Not Found",0)</f>
        <v>All Occasions</v>
      </c>
      <c r="Q469" s="18">
        <f>_xlfn.XLOOKUP(tblMaster[[#This Row],[Product_ID]],tblProducts[Product_ID],tblProducts[Price (INR)],"Not Found",0)</f>
        <v>1444</v>
      </c>
      <c r="R469" s="19">
        <f>tblMaster[[#This Row],[Price]]*tblMaster[[#This Row],[Quantity]]</f>
        <v>2888</v>
      </c>
      <c r="S469" s="19">
        <f>tblMaster[[#This Row],[Price]]*0.7*tblMaster[[#This Row],[Quantity]]</f>
        <v>2021.6</v>
      </c>
      <c r="T469" s="19">
        <f>tblMaster[[#This Row],[Revenue]]-tblMaster[[#This Row],[Estimated Cost (at 70%) ]]</f>
        <v>866.40000000000009</v>
      </c>
      <c r="U469" s="19">
        <f>tblMaster[[#This Row],[Profit]]/tblMaster[[#This Row],[Revenue]]</f>
        <v>0.30000000000000004</v>
      </c>
      <c r="V469" s="19">
        <f>tblMaster[[#This Row],[Delivery_Date]]-tblMaster[[#This Row],[Order_Date]]</f>
        <v>10</v>
      </c>
      <c r="W469" s="19" t="str">
        <f>TEXT(tblMaster[[#This Row],[Order_Date]],"mmmm")</f>
        <v>July</v>
      </c>
      <c r="X469" s="19">
        <f>MONTH(tblMaster[[#This Row],[Order_Date]])</f>
        <v>7</v>
      </c>
      <c r="Y469" s="19" t="str">
        <f>"Q"&amp;ROUNDUP(tblMaster[[#This Row],[Month Number]]/3,0)</f>
        <v>Q3</v>
      </c>
      <c r="Z469" s="19">
        <f>YEAR(tblMaster[[#This Row],[Order_Date]])</f>
        <v>2023</v>
      </c>
      <c r="AA469" s="19" t="str">
        <f>TEXT(DAY(tblMaster[[#This Row],[Order_Date]]),"dddd")</f>
        <v>Wednesday</v>
      </c>
      <c r="AB469" s="19" t="str">
        <f>IF(tblMaster[[#This Row],[Revenue]]&gt;=5000,"High",IF(tblMaster[[#This Row],[Revenue]]&lt;2000,"Low","Medium"))</f>
        <v>Medium</v>
      </c>
    </row>
    <row r="470" spans="1:28" x14ac:dyDescent="0.25">
      <c r="A470" s="7">
        <v>469</v>
      </c>
      <c r="B470" s="7" t="s">
        <v>341</v>
      </c>
      <c r="C470" s="4">
        <v>42</v>
      </c>
      <c r="D470" s="4">
        <v>4</v>
      </c>
      <c r="E470" s="8">
        <v>45275</v>
      </c>
      <c r="F470" s="9">
        <v>0.29583333333333334</v>
      </c>
      <c r="G470" s="8">
        <v>45279</v>
      </c>
      <c r="H470" s="9">
        <v>0.53945601851851854</v>
      </c>
      <c r="I470" s="7" t="s">
        <v>377</v>
      </c>
      <c r="J470" s="7" t="s">
        <v>8</v>
      </c>
      <c r="K470" s="18" t="str">
        <f>_xlfn.XLOOKUP(tblMaster[[#This Row],[Customer_ID]],tblCustomers[Customer_ID],tblCustomers[City],"Not Found",0)</f>
        <v>Kota</v>
      </c>
      <c r="L470" s="18" t="str">
        <f>_xlfn.XLOOKUP(tblMaster[[#This Row],[Customer_ID]],tblCustomers[Customer_ID],tblCustomers[Name],"Not Found",0)</f>
        <v>Aradhya Batta</v>
      </c>
      <c r="M470" s="18" t="str">
        <f>_xlfn.XLOOKUP(tblMaster[[#This Row],[Customer_ID]],tblCustomers[Customer_ID],tblCustomers[Gender],"Not Found",0)</f>
        <v>Female</v>
      </c>
      <c r="N470" s="18" t="str">
        <f>_xlfn.XLOOKUP(tblMaster[[#This Row],[Product_ID]],tblProducts[Product_ID],tblProducts[Product_Name],"Not Found",0)</f>
        <v>Expedita Gift</v>
      </c>
      <c r="O470" s="18" t="str">
        <f>_xlfn.XLOOKUP(tblMaster[[#This Row],[Product_ID]],tblProducts[Product_ID],tblProducts[Category],"Not Found",0)</f>
        <v>Sweets</v>
      </c>
      <c r="P470" s="18" t="str">
        <f>_xlfn.XLOOKUP(tblMaster[[#This Row],[Product_ID]],tblProducts[Product_ID],tblProducts[Occasion],"Not Found",0)</f>
        <v>All Occasions</v>
      </c>
      <c r="Q470" s="18">
        <f>_xlfn.XLOOKUP(tblMaster[[#This Row],[Product_ID]],tblProducts[Product_ID],tblProducts[Price (INR)],"Not Found",0)</f>
        <v>1744</v>
      </c>
      <c r="R470" s="19">
        <f>tblMaster[[#This Row],[Price]]*tblMaster[[#This Row],[Quantity]]</f>
        <v>6976</v>
      </c>
      <c r="S470" s="19">
        <f>tblMaster[[#This Row],[Price]]*0.7*tblMaster[[#This Row],[Quantity]]</f>
        <v>4883.2</v>
      </c>
      <c r="T470" s="19">
        <f>tblMaster[[#This Row],[Revenue]]-tblMaster[[#This Row],[Estimated Cost (at 70%) ]]</f>
        <v>2092.8000000000002</v>
      </c>
      <c r="U470" s="19">
        <f>tblMaster[[#This Row],[Profit]]/tblMaster[[#This Row],[Revenue]]</f>
        <v>0.30000000000000004</v>
      </c>
      <c r="V470" s="19">
        <f>tblMaster[[#This Row],[Delivery_Date]]-tblMaster[[#This Row],[Order_Date]]</f>
        <v>4</v>
      </c>
      <c r="W470" s="19" t="str">
        <f>TEXT(tblMaster[[#This Row],[Order_Date]],"mmmm")</f>
        <v>December</v>
      </c>
      <c r="X470" s="19">
        <f>MONTH(tblMaster[[#This Row],[Order_Date]])</f>
        <v>12</v>
      </c>
      <c r="Y470" s="19" t="str">
        <f>"Q"&amp;ROUNDUP(tblMaster[[#This Row],[Month Number]]/3,0)</f>
        <v>Q4</v>
      </c>
      <c r="Z470" s="19">
        <f>YEAR(tblMaster[[#This Row],[Order_Date]])</f>
        <v>2023</v>
      </c>
      <c r="AA470" s="19" t="str">
        <f>TEXT(DAY(tblMaster[[#This Row],[Order_Date]]),"dddd")</f>
        <v>Sunday</v>
      </c>
      <c r="AB470" s="19" t="str">
        <f>IF(tblMaster[[#This Row],[Revenue]]&gt;=5000,"High",IF(tblMaster[[#This Row],[Revenue]]&lt;2000,"Low","Medium"))</f>
        <v>High</v>
      </c>
    </row>
    <row r="471" spans="1:28" x14ac:dyDescent="0.25">
      <c r="A471" s="10">
        <v>470</v>
      </c>
      <c r="B471" s="10" t="s">
        <v>244</v>
      </c>
      <c r="C471" s="5">
        <v>47</v>
      </c>
      <c r="D471" s="5">
        <v>5</v>
      </c>
      <c r="E471" s="11">
        <v>44985</v>
      </c>
      <c r="F471" s="12">
        <v>0.73199074074074078</v>
      </c>
      <c r="G471" s="11">
        <v>44991</v>
      </c>
      <c r="H471" s="12">
        <v>0.64547453703703705</v>
      </c>
      <c r="I471" s="10" t="s">
        <v>240</v>
      </c>
      <c r="J471" s="10" t="s">
        <v>25</v>
      </c>
      <c r="K471" s="18" t="str">
        <f>_xlfn.XLOOKUP(tblMaster[[#This Row],[Customer_ID]],tblCustomers[Customer_ID],tblCustomers[City],"Not Found",0)</f>
        <v>Sasaram</v>
      </c>
      <c r="L471" s="18" t="str">
        <f>_xlfn.XLOOKUP(tblMaster[[#This Row],[Customer_ID]],tblCustomers[Customer_ID],tblCustomers[Name],"Not Found",0)</f>
        <v>Madhup Wable</v>
      </c>
      <c r="M471" s="18" t="str">
        <f>_xlfn.XLOOKUP(tblMaster[[#This Row],[Customer_ID]],tblCustomers[Customer_ID],tblCustomers[Gender],"Not Found",0)</f>
        <v>Female</v>
      </c>
      <c r="N471" s="18" t="str">
        <f>_xlfn.XLOOKUP(tblMaster[[#This Row],[Product_ID]],tblProducts[Product_ID],tblProducts[Product_Name],"Not Found",0)</f>
        <v>Harum Pack</v>
      </c>
      <c r="O471" s="18" t="str">
        <f>_xlfn.XLOOKUP(tblMaster[[#This Row],[Product_ID]],tblProducts[Product_ID],tblProducts[Category],"Not Found",0)</f>
        <v>Colors</v>
      </c>
      <c r="P471" s="18" t="str">
        <f>_xlfn.XLOOKUP(tblMaster[[#This Row],[Product_ID]],tblProducts[Product_ID],tblProducts[Occasion],"Not Found",0)</f>
        <v>Holi</v>
      </c>
      <c r="Q471" s="18">
        <f>_xlfn.XLOOKUP(tblMaster[[#This Row],[Product_ID]],tblProducts[Product_ID],tblProducts[Price (INR)],"Not Found",0)</f>
        <v>1638</v>
      </c>
      <c r="R471" s="19">
        <f>tblMaster[[#This Row],[Price]]*tblMaster[[#This Row],[Quantity]]</f>
        <v>8190</v>
      </c>
      <c r="S471" s="19">
        <f>tblMaster[[#This Row],[Price]]*0.7*tblMaster[[#This Row],[Quantity]]</f>
        <v>5733</v>
      </c>
      <c r="T471" s="19">
        <f>tblMaster[[#This Row],[Revenue]]-tblMaster[[#This Row],[Estimated Cost (at 70%) ]]</f>
        <v>2457</v>
      </c>
      <c r="U471" s="19">
        <f>tblMaster[[#This Row],[Profit]]/tblMaster[[#This Row],[Revenue]]</f>
        <v>0.3</v>
      </c>
      <c r="V471" s="19">
        <f>tblMaster[[#This Row],[Delivery_Date]]-tblMaster[[#This Row],[Order_Date]]</f>
        <v>6</v>
      </c>
      <c r="W471" s="19" t="str">
        <f>TEXT(tblMaster[[#This Row],[Order_Date]],"mmmm")</f>
        <v>February</v>
      </c>
      <c r="X471" s="19">
        <f>MONTH(tblMaster[[#This Row],[Order_Date]])</f>
        <v>2</v>
      </c>
      <c r="Y471" s="19" t="str">
        <f>"Q"&amp;ROUNDUP(tblMaster[[#This Row],[Month Number]]/3,0)</f>
        <v>Q1</v>
      </c>
      <c r="Z471" s="19">
        <f>YEAR(tblMaster[[#This Row],[Order_Date]])</f>
        <v>2023</v>
      </c>
      <c r="AA471" s="19" t="str">
        <f>TEXT(DAY(tblMaster[[#This Row],[Order_Date]]),"dddd")</f>
        <v>Saturday</v>
      </c>
      <c r="AB471" s="19" t="str">
        <f>IF(tblMaster[[#This Row],[Revenue]]&gt;=5000,"High",IF(tblMaster[[#This Row],[Revenue]]&lt;2000,"Low","Medium"))</f>
        <v>High</v>
      </c>
    </row>
    <row r="472" spans="1:28" x14ac:dyDescent="0.25">
      <c r="A472" s="7">
        <v>471</v>
      </c>
      <c r="B472" s="7" t="s">
        <v>361</v>
      </c>
      <c r="C472" s="4">
        <v>23</v>
      </c>
      <c r="D472" s="4">
        <v>2</v>
      </c>
      <c r="E472" s="8">
        <v>44957</v>
      </c>
      <c r="F472" s="9">
        <v>0.50626157407407413</v>
      </c>
      <c r="G472" s="8">
        <v>44967</v>
      </c>
      <c r="H472" s="9">
        <v>0.24312500000000001</v>
      </c>
      <c r="I472" s="7" t="s">
        <v>445</v>
      </c>
      <c r="J472" s="7" t="s">
        <v>30</v>
      </c>
      <c r="K472" s="18" t="str">
        <f>_xlfn.XLOOKUP(tblMaster[[#This Row],[Customer_ID]],tblCustomers[Customer_ID],tblCustomers[City],"Not Found",0)</f>
        <v>Dibrugarh</v>
      </c>
      <c r="L472" s="18" t="str">
        <f>_xlfn.XLOOKUP(tblMaster[[#This Row],[Customer_ID]],tblCustomers[Customer_ID],tblCustomers[Name],"Not Found",0)</f>
        <v>Zoya Mani</v>
      </c>
      <c r="M472" s="18" t="str">
        <f>_xlfn.XLOOKUP(tblMaster[[#This Row],[Customer_ID]],tblCustomers[Customer_ID],tblCustomers[Gender],"Not Found",0)</f>
        <v>Male</v>
      </c>
      <c r="N472" s="18" t="str">
        <f>_xlfn.XLOOKUP(tblMaster[[#This Row],[Product_ID]],tblProducts[Product_ID],tblProducts[Product_Name],"Not Found",0)</f>
        <v>Dignissimos Pack</v>
      </c>
      <c r="O472" s="18" t="str">
        <f>_xlfn.XLOOKUP(tblMaster[[#This Row],[Product_ID]],tblProducts[Product_ID],tblProducts[Category],"Not Found",0)</f>
        <v>Sweets</v>
      </c>
      <c r="P472" s="18" t="str">
        <f>_xlfn.XLOOKUP(tblMaster[[#This Row],[Product_ID]],tblProducts[Product_ID],tblProducts[Occasion],"Not Found",0)</f>
        <v>Anniversary</v>
      </c>
      <c r="Q472" s="18">
        <f>_xlfn.XLOOKUP(tblMaster[[#This Row],[Product_ID]],tblProducts[Product_ID],tblProducts[Price (INR)],"Not Found",0)</f>
        <v>1098</v>
      </c>
      <c r="R472" s="19">
        <f>tblMaster[[#This Row],[Price]]*tblMaster[[#This Row],[Quantity]]</f>
        <v>2196</v>
      </c>
      <c r="S472" s="19">
        <f>tblMaster[[#This Row],[Price]]*0.7*tblMaster[[#This Row],[Quantity]]</f>
        <v>1537.1999999999998</v>
      </c>
      <c r="T472" s="19">
        <f>tblMaster[[#This Row],[Revenue]]-tblMaster[[#This Row],[Estimated Cost (at 70%) ]]</f>
        <v>658.80000000000018</v>
      </c>
      <c r="U472" s="19">
        <f>tblMaster[[#This Row],[Profit]]/tblMaster[[#This Row],[Revenue]]</f>
        <v>0.3000000000000001</v>
      </c>
      <c r="V472" s="19">
        <f>tblMaster[[#This Row],[Delivery_Date]]-tblMaster[[#This Row],[Order_Date]]</f>
        <v>10</v>
      </c>
      <c r="W472" s="19" t="str">
        <f>TEXT(tblMaster[[#This Row],[Order_Date]],"mmmm")</f>
        <v>January</v>
      </c>
      <c r="X472" s="19">
        <f>MONTH(tblMaster[[#This Row],[Order_Date]])</f>
        <v>1</v>
      </c>
      <c r="Y472" s="19" t="str">
        <f>"Q"&amp;ROUNDUP(tblMaster[[#This Row],[Month Number]]/3,0)</f>
        <v>Q1</v>
      </c>
      <c r="Z472" s="19">
        <f>YEAR(tblMaster[[#This Row],[Order_Date]])</f>
        <v>2023</v>
      </c>
      <c r="AA472" s="19" t="str">
        <f>TEXT(DAY(tblMaster[[#This Row],[Order_Date]]),"dddd")</f>
        <v>Tuesday</v>
      </c>
      <c r="AB472" s="19" t="str">
        <f>IF(tblMaster[[#This Row],[Revenue]]&gt;=5000,"High",IF(tblMaster[[#This Row],[Revenue]]&lt;2000,"Low","Medium"))</f>
        <v>Medium</v>
      </c>
    </row>
    <row r="473" spans="1:28" x14ac:dyDescent="0.25">
      <c r="A473" s="10">
        <v>472</v>
      </c>
      <c r="B473" s="10" t="s">
        <v>270</v>
      </c>
      <c r="C473" s="5">
        <v>56</v>
      </c>
      <c r="D473" s="5">
        <v>1</v>
      </c>
      <c r="E473" s="11">
        <v>45284</v>
      </c>
      <c r="F473" s="12">
        <v>0.31432870370370369</v>
      </c>
      <c r="G473" s="11">
        <v>45290</v>
      </c>
      <c r="H473" s="12">
        <v>0.94881944444444444</v>
      </c>
      <c r="I473" s="10" t="s">
        <v>194</v>
      </c>
      <c r="J473" s="10" t="s">
        <v>30</v>
      </c>
      <c r="K473" s="18" t="str">
        <f>_xlfn.XLOOKUP(tblMaster[[#This Row],[Customer_ID]],tblCustomers[Customer_ID],tblCustomers[City],"Not Found",0)</f>
        <v>Kolkata</v>
      </c>
      <c r="L473" s="18" t="str">
        <f>_xlfn.XLOOKUP(tblMaster[[#This Row],[Customer_ID]],tblCustomers[Customer_ID],tblCustomers[Name],"Not Found",0)</f>
        <v>Romil Bajwa</v>
      </c>
      <c r="M473" s="18" t="str">
        <f>_xlfn.XLOOKUP(tblMaster[[#This Row],[Customer_ID]],tblCustomers[Customer_ID],tblCustomers[Gender],"Not Found",0)</f>
        <v>Female</v>
      </c>
      <c r="N473" s="18" t="str">
        <f>_xlfn.XLOOKUP(tblMaster[[#This Row],[Product_ID]],tblProducts[Product_ID],tblProducts[Product_Name],"Not Found",0)</f>
        <v>Quia Gift</v>
      </c>
      <c r="O473" s="18" t="str">
        <f>_xlfn.XLOOKUP(tblMaster[[#This Row],[Product_ID]],tblProducts[Product_ID],tblProducts[Category],"Not Found",0)</f>
        <v>Raksha Bandhan</v>
      </c>
      <c r="P473" s="18" t="str">
        <f>_xlfn.XLOOKUP(tblMaster[[#This Row],[Product_ID]],tblProducts[Product_ID],tblProducts[Occasion],"Not Found",0)</f>
        <v>Anniversary</v>
      </c>
      <c r="Q473" s="18">
        <f>_xlfn.XLOOKUP(tblMaster[[#This Row],[Product_ID]],tblProducts[Product_ID],tblProducts[Price (INR)],"Not Found",0)</f>
        <v>1272</v>
      </c>
      <c r="R473" s="19">
        <f>tblMaster[[#This Row],[Price]]*tblMaster[[#This Row],[Quantity]]</f>
        <v>1272</v>
      </c>
      <c r="S473" s="19">
        <f>tblMaster[[#This Row],[Price]]*0.7*tblMaster[[#This Row],[Quantity]]</f>
        <v>890.4</v>
      </c>
      <c r="T473" s="19">
        <f>tblMaster[[#This Row],[Revenue]]-tblMaster[[#This Row],[Estimated Cost (at 70%) ]]</f>
        <v>381.6</v>
      </c>
      <c r="U473" s="19">
        <f>tblMaster[[#This Row],[Profit]]/tblMaster[[#This Row],[Revenue]]</f>
        <v>0.30000000000000004</v>
      </c>
      <c r="V473" s="19">
        <f>tblMaster[[#This Row],[Delivery_Date]]-tblMaster[[#This Row],[Order_Date]]</f>
        <v>6</v>
      </c>
      <c r="W473" s="19" t="str">
        <f>TEXT(tblMaster[[#This Row],[Order_Date]],"mmmm")</f>
        <v>December</v>
      </c>
      <c r="X473" s="19">
        <f>MONTH(tblMaster[[#This Row],[Order_Date]])</f>
        <v>12</v>
      </c>
      <c r="Y473" s="19" t="str">
        <f>"Q"&amp;ROUNDUP(tblMaster[[#This Row],[Month Number]]/3,0)</f>
        <v>Q4</v>
      </c>
      <c r="Z473" s="19">
        <f>YEAR(tblMaster[[#This Row],[Order_Date]])</f>
        <v>2023</v>
      </c>
      <c r="AA473" s="19" t="str">
        <f>TEXT(DAY(tblMaster[[#This Row],[Order_Date]]),"dddd")</f>
        <v>Tuesday</v>
      </c>
      <c r="AB473" s="19" t="str">
        <f>IF(tblMaster[[#This Row],[Revenue]]&gt;=5000,"High",IF(tblMaster[[#This Row],[Revenue]]&lt;2000,"Low","Medium"))</f>
        <v>Low</v>
      </c>
    </row>
    <row r="474" spans="1:28" x14ac:dyDescent="0.25">
      <c r="A474" s="7">
        <v>473</v>
      </c>
      <c r="B474" s="7" t="s">
        <v>302</v>
      </c>
      <c r="C474" s="4">
        <v>22</v>
      </c>
      <c r="D474" s="4">
        <v>3</v>
      </c>
      <c r="E474" s="8">
        <v>45013</v>
      </c>
      <c r="F474" s="9">
        <v>0.34302083333333333</v>
      </c>
      <c r="G474" s="8">
        <v>45020</v>
      </c>
      <c r="H474" s="9">
        <v>0.65576388888888892</v>
      </c>
      <c r="I474" s="7" t="s">
        <v>509</v>
      </c>
      <c r="J474" s="7" t="s">
        <v>8</v>
      </c>
      <c r="K474" s="18" t="str">
        <f>_xlfn.XLOOKUP(tblMaster[[#This Row],[Customer_ID]],tblCustomers[Customer_ID],tblCustomers[City],"Not Found",0)</f>
        <v>Kavali</v>
      </c>
      <c r="L474" s="18" t="str">
        <f>_xlfn.XLOOKUP(tblMaster[[#This Row],[Customer_ID]],tblCustomers[Customer_ID],tblCustomers[Name],"Not Found",0)</f>
        <v>Akarsh Ramesh</v>
      </c>
      <c r="M474" s="18" t="str">
        <f>_xlfn.XLOOKUP(tblMaster[[#This Row],[Customer_ID]],tblCustomers[Customer_ID],tblCustomers[Gender],"Not Found",0)</f>
        <v>Female</v>
      </c>
      <c r="N474" s="18" t="str">
        <f>_xlfn.XLOOKUP(tblMaster[[#This Row],[Product_ID]],tblProducts[Product_ID],tblProducts[Product_Name],"Not Found",0)</f>
        <v>Exercitationem Pack</v>
      </c>
      <c r="O474" s="18" t="str">
        <f>_xlfn.XLOOKUP(tblMaster[[#This Row],[Product_ID]],tblProducts[Product_ID],tblProducts[Category],"Not Found",0)</f>
        <v>Soft Toys</v>
      </c>
      <c r="P474" s="18" t="str">
        <f>_xlfn.XLOOKUP(tblMaster[[#This Row],[Product_ID]],tblProducts[Product_ID],tblProducts[Occasion],"Not Found",0)</f>
        <v>All Occasions</v>
      </c>
      <c r="Q474" s="18">
        <f>_xlfn.XLOOKUP(tblMaster[[#This Row],[Product_ID]],tblProducts[Product_ID],tblProducts[Price (INR)],"Not Found",0)</f>
        <v>1639</v>
      </c>
      <c r="R474" s="19">
        <f>tblMaster[[#This Row],[Price]]*tblMaster[[#This Row],[Quantity]]</f>
        <v>4917</v>
      </c>
      <c r="S474" s="19">
        <f>tblMaster[[#This Row],[Price]]*0.7*tblMaster[[#This Row],[Quantity]]</f>
        <v>3441.8999999999996</v>
      </c>
      <c r="T474" s="19">
        <f>tblMaster[[#This Row],[Revenue]]-tblMaster[[#This Row],[Estimated Cost (at 70%) ]]</f>
        <v>1475.1000000000004</v>
      </c>
      <c r="U474" s="19">
        <f>tblMaster[[#This Row],[Profit]]/tblMaster[[#This Row],[Revenue]]</f>
        <v>0.3000000000000001</v>
      </c>
      <c r="V474" s="19">
        <f>tblMaster[[#This Row],[Delivery_Date]]-tblMaster[[#This Row],[Order_Date]]</f>
        <v>7</v>
      </c>
      <c r="W474" s="19" t="str">
        <f>TEXT(tblMaster[[#This Row],[Order_Date]],"mmmm")</f>
        <v>March</v>
      </c>
      <c r="X474" s="19">
        <f>MONTH(tblMaster[[#This Row],[Order_Date]])</f>
        <v>3</v>
      </c>
      <c r="Y474" s="19" t="str">
        <f>"Q"&amp;ROUNDUP(tblMaster[[#This Row],[Month Number]]/3,0)</f>
        <v>Q1</v>
      </c>
      <c r="Z474" s="19">
        <f>YEAR(tblMaster[[#This Row],[Order_Date]])</f>
        <v>2023</v>
      </c>
      <c r="AA474" s="19" t="str">
        <f>TEXT(DAY(tblMaster[[#This Row],[Order_Date]]),"dddd")</f>
        <v>Saturday</v>
      </c>
      <c r="AB474" s="19" t="str">
        <f>IF(tblMaster[[#This Row],[Revenue]]&gt;=5000,"High",IF(tblMaster[[#This Row],[Revenue]]&lt;2000,"Low","Medium"))</f>
        <v>Medium</v>
      </c>
    </row>
    <row r="475" spans="1:28" x14ac:dyDescent="0.25">
      <c r="A475" s="10">
        <v>474</v>
      </c>
      <c r="B475" s="10" t="s">
        <v>341</v>
      </c>
      <c r="C475" s="5">
        <v>1</v>
      </c>
      <c r="D475" s="5">
        <v>4</v>
      </c>
      <c r="E475" s="11">
        <v>44964</v>
      </c>
      <c r="F475" s="12">
        <v>0.27221064814814816</v>
      </c>
      <c r="G475" s="11">
        <v>44971</v>
      </c>
      <c r="H475" s="12">
        <v>8.3414351851851851E-2</v>
      </c>
      <c r="I475" s="10" t="s">
        <v>510</v>
      </c>
      <c r="J475" s="10" t="s">
        <v>8</v>
      </c>
      <c r="K475" s="18" t="str">
        <f>_xlfn.XLOOKUP(tblMaster[[#This Row],[Customer_ID]],tblCustomers[Customer_ID],tblCustomers[City],"Not Found",0)</f>
        <v>Kota</v>
      </c>
      <c r="L475" s="18" t="str">
        <f>_xlfn.XLOOKUP(tblMaster[[#This Row],[Customer_ID]],tblCustomers[Customer_ID],tblCustomers[Name],"Not Found",0)</f>
        <v>Aradhya Batta</v>
      </c>
      <c r="M475" s="18" t="str">
        <f>_xlfn.XLOOKUP(tblMaster[[#This Row],[Customer_ID]],tblCustomers[Customer_ID],tblCustomers[Gender],"Not Found",0)</f>
        <v>Female</v>
      </c>
      <c r="N475" s="18" t="str">
        <f>_xlfn.XLOOKUP(tblMaster[[#This Row],[Product_ID]],tblProducts[Product_ID],tblProducts[Product_Name],"Not Found",0)</f>
        <v>Magnam Set</v>
      </c>
      <c r="O475" s="18" t="str">
        <f>_xlfn.XLOOKUP(tblMaster[[#This Row],[Product_ID]],tblProducts[Product_ID],tblProducts[Category],"Not Found",0)</f>
        <v>Soft Toys</v>
      </c>
      <c r="P475" s="18" t="str">
        <f>_xlfn.XLOOKUP(tblMaster[[#This Row],[Product_ID]],tblProducts[Product_ID],tblProducts[Occasion],"Not Found",0)</f>
        <v>All Occasions</v>
      </c>
      <c r="Q475" s="18">
        <f>_xlfn.XLOOKUP(tblMaster[[#This Row],[Product_ID]],tblProducts[Product_ID],tblProducts[Price (INR)],"Not Found",0)</f>
        <v>1935</v>
      </c>
      <c r="R475" s="19">
        <f>tblMaster[[#This Row],[Price]]*tblMaster[[#This Row],[Quantity]]</f>
        <v>7740</v>
      </c>
      <c r="S475" s="19">
        <f>tblMaster[[#This Row],[Price]]*0.7*tblMaster[[#This Row],[Quantity]]</f>
        <v>5418</v>
      </c>
      <c r="T475" s="19">
        <f>tblMaster[[#This Row],[Revenue]]-tblMaster[[#This Row],[Estimated Cost (at 70%) ]]</f>
        <v>2322</v>
      </c>
      <c r="U475" s="19">
        <f>tblMaster[[#This Row],[Profit]]/tblMaster[[#This Row],[Revenue]]</f>
        <v>0.3</v>
      </c>
      <c r="V475" s="19">
        <f>tblMaster[[#This Row],[Delivery_Date]]-tblMaster[[#This Row],[Order_Date]]</f>
        <v>7</v>
      </c>
      <c r="W475" s="19" t="str">
        <f>TEXT(tblMaster[[#This Row],[Order_Date]],"mmmm")</f>
        <v>February</v>
      </c>
      <c r="X475" s="19">
        <f>MONTH(tblMaster[[#This Row],[Order_Date]])</f>
        <v>2</v>
      </c>
      <c r="Y475" s="19" t="str">
        <f>"Q"&amp;ROUNDUP(tblMaster[[#This Row],[Month Number]]/3,0)</f>
        <v>Q1</v>
      </c>
      <c r="Z475" s="19">
        <f>YEAR(tblMaster[[#This Row],[Order_Date]])</f>
        <v>2023</v>
      </c>
      <c r="AA475" s="19" t="str">
        <f>TEXT(DAY(tblMaster[[#This Row],[Order_Date]]),"dddd")</f>
        <v>Saturday</v>
      </c>
      <c r="AB475" s="19" t="str">
        <f>IF(tblMaster[[#This Row],[Revenue]]&gt;=5000,"High",IF(tblMaster[[#This Row],[Revenue]]&lt;2000,"Low","Medium"))</f>
        <v>High</v>
      </c>
    </row>
    <row r="476" spans="1:28" x14ac:dyDescent="0.25">
      <c r="A476" s="7">
        <v>475</v>
      </c>
      <c r="B476" s="7" t="s">
        <v>183</v>
      </c>
      <c r="C476" s="4">
        <v>46</v>
      </c>
      <c r="D476" s="4">
        <v>2</v>
      </c>
      <c r="E476" s="8">
        <v>45264</v>
      </c>
      <c r="F476" s="9">
        <v>0.30651620370370369</v>
      </c>
      <c r="G476" s="8">
        <v>45268</v>
      </c>
      <c r="H476" s="9">
        <v>0.56414351851851852</v>
      </c>
      <c r="I476" s="7" t="s">
        <v>511</v>
      </c>
      <c r="J476" s="7" t="s">
        <v>30</v>
      </c>
      <c r="K476" s="18" t="str">
        <f>_xlfn.XLOOKUP(tblMaster[[#This Row],[Customer_ID]],tblCustomers[Customer_ID],tblCustomers[City],"Not Found",0)</f>
        <v>Dhanbad</v>
      </c>
      <c r="L476" s="18" t="str">
        <f>_xlfn.XLOOKUP(tblMaster[[#This Row],[Customer_ID]],tblCustomers[Customer_ID],tblCustomers[Name],"Not Found",0)</f>
        <v>Ranbir Loyal</v>
      </c>
      <c r="M476" s="18" t="str">
        <f>_xlfn.XLOOKUP(tblMaster[[#This Row],[Customer_ID]],tblCustomers[Customer_ID],tblCustomers[Gender],"Not Found",0)</f>
        <v>Female</v>
      </c>
      <c r="N476" s="18" t="str">
        <f>_xlfn.XLOOKUP(tblMaster[[#This Row],[Product_ID]],tblProducts[Product_ID],tblProducts[Product_Name],"Not Found",0)</f>
        <v>Pariatur Set</v>
      </c>
      <c r="O476" s="18" t="str">
        <f>_xlfn.XLOOKUP(tblMaster[[#This Row],[Product_ID]],tblProducts[Product_ID],tblProducts[Category],"Not Found",0)</f>
        <v>Cake</v>
      </c>
      <c r="P476" s="18" t="str">
        <f>_xlfn.XLOOKUP(tblMaster[[#This Row],[Product_ID]],tblProducts[Product_ID],tblProducts[Occasion],"Not Found",0)</f>
        <v>Anniversary</v>
      </c>
      <c r="Q476" s="18">
        <f>_xlfn.XLOOKUP(tblMaster[[#This Row],[Product_ID]],tblProducts[Product_ID],tblProducts[Price (INR)],"Not Found",0)</f>
        <v>758</v>
      </c>
      <c r="R476" s="19">
        <f>tblMaster[[#This Row],[Price]]*tblMaster[[#This Row],[Quantity]]</f>
        <v>1516</v>
      </c>
      <c r="S476" s="19">
        <f>tblMaster[[#This Row],[Price]]*0.7*tblMaster[[#This Row],[Quantity]]</f>
        <v>1061.2</v>
      </c>
      <c r="T476" s="19">
        <f>tblMaster[[#This Row],[Revenue]]-tblMaster[[#This Row],[Estimated Cost (at 70%) ]]</f>
        <v>454.79999999999995</v>
      </c>
      <c r="U476" s="19">
        <f>tblMaster[[#This Row],[Profit]]/tblMaster[[#This Row],[Revenue]]</f>
        <v>0.3</v>
      </c>
      <c r="V476" s="19">
        <f>tblMaster[[#This Row],[Delivery_Date]]-tblMaster[[#This Row],[Order_Date]]</f>
        <v>4</v>
      </c>
      <c r="W476" s="19" t="str">
        <f>TEXT(tblMaster[[#This Row],[Order_Date]],"mmmm")</f>
        <v>December</v>
      </c>
      <c r="X476" s="19">
        <f>MONTH(tblMaster[[#This Row],[Order_Date]])</f>
        <v>12</v>
      </c>
      <c r="Y476" s="19" t="str">
        <f>"Q"&amp;ROUNDUP(tblMaster[[#This Row],[Month Number]]/3,0)</f>
        <v>Q4</v>
      </c>
      <c r="Z476" s="19">
        <f>YEAR(tblMaster[[#This Row],[Order_Date]])</f>
        <v>2023</v>
      </c>
      <c r="AA476" s="19" t="str">
        <f>TEXT(DAY(tblMaster[[#This Row],[Order_Date]]),"dddd")</f>
        <v>Wednesday</v>
      </c>
      <c r="AB476" s="19" t="str">
        <f>IF(tblMaster[[#This Row],[Revenue]]&gt;=5000,"High",IF(tblMaster[[#This Row],[Revenue]]&lt;2000,"Low","Medium"))</f>
        <v>Low</v>
      </c>
    </row>
    <row r="477" spans="1:28" x14ac:dyDescent="0.25">
      <c r="A477" s="10">
        <v>476</v>
      </c>
      <c r="B477" s="10" t="s">
        <v>229</v>
      </c>
      <c r="C477" s="5">
        <v>40</v>
      </c>
      <c r="D477" s="5">
        <v>2</v>
      </c>
      <c r="E477" s="11">
        <v>45187</v>
      </c>
      <c r="F477" s="12">
        <v>5.3680555555555558E-2</v>
      </c>
      <c r="G477" s="11">
        <v>45189</v>
      </c>
      <c r="H477" s="12">
        <v>0.74530092592592589</v>
      </c>
      <c r="I477" s="10" t="s">
        <v>198</v>
      </c>
      <c r="J477" s="10" t="s">
        <v>30</v>
      </c>
      <c r="K477" s="18" t="str">
        <f>_xlfn.XLOOKUP(tblMaster[[#This Row],[Customer_ID]],tblCustomers[Customer_ID],tblCustomers[City],"Not Found",0)</f>
        <v>Anand</v>
      </c>
      <c r="L477" s="18" t="str">
        <f>_xlfn.XLOOKUP(tblMaster[[#This Row],[Customer_ID]],tblCustomers[Customer_ID],tblCustomers[Name],"Not Found",0)</f>
        <v>Eva Sankaran</v>
      </c>
      <c r="M477" s="18" t="str">
        <f>_xlfn.XLOOKUP(tblMaster[[#This Row],[Customer_ID]],tblCustomers[Customer_ID],tblCustomers[Gender],"Not Found",0)</f>
        <v>Male</v>
      </c>
      <c r="N477" s="18" t="str">
        <f>_xlfn.XLOOKUP(tblMaster[[#This Row],[Product_ID]],tblProducts[Product_ID],tblProducts[Product_Name],"Not Found",0)</f>
        <v>Provident Pack</v>
      </c>
      <c r="O477" s="18" t="str">
        <f>_xlfn.XLOOKUP(tblMaster[[#This Row],[Product_ID]],tblProducts[Product_ID],tblProducts[Category],"Not Found",0)</f>
        <v>Sweets</v>
      </c>
      <c r="P477" s="18" t="str">
        <f>_xlfn.XLOOKUP(tblMaster[[#This Row],[Product_ID]],tblProducts[Product_ID],tblProducts[Occasion],"Not Found",0)</f>
        <v>Anniversary</v>
      </c>
      <c r="Q477" s="18">
        <f>_xlfn.XLOOKUP(tblMaster[[#This Row],[Product_ID]],tblProducts[Product_ID],tblProducts[Price (INR)],"Not Found",0)</f>
        <v>1923</v>
      </c>
      <c r="R477" s="19">
        <f>tblMaster[[#This Row],[Price]]*tblMaster[[#This Row],[Quantity]]</f>
        <v>3846</v>
      </c>
      <c r="S477" s="19">
        <f>tblMaster[[#This Row],[Price]]*0.7*tblMaster[[#This Row],[Quantity]]</f>
        <v>2692.2</v>
      </c>
      <c r="T477" s="19">
        <f>tblMaster[[#This Row],[Revenue]]-tblMaster[[#This Row],[Estimated Cost (at 70%) ]]</f>
        <v>1153.8000000000002</v>
      </c>
      <c r="U477" s="19">
        <f>tblMaster[[#This Row],[Profit]]/tblMaster[[#This Row],[Revenue]]</f>
        <v>0.30000000000000004</v>
      </c>
      <c r="V477" s="19">
        <f>tblMaster[[#This Row],[Delivery_Date]]-tblMaster[[#This Row],[Order_Date]]</f>
        <v>2</v>
      </c>
      <c r="W477" s="19" t="str">
        <f>TEXT(tblMaster[[#This Row],[Order_Date]],"mmmm")</f>
        <v>September</v>
      </c>
      <c r="X477" s="19">
        <f>MONTH(tblMaster[[#This Row],[Order_Date]])</f>
        <v>9</v>
      </c>
      <c r="Y477" s="19" t="str">
        <f>"Q"&amp;ROUNDUP(tblMaster[[#This Row],[Month Number]]/3,0)</f>
        <v>Q3</v>
      </c>
      <c r="Z477" s="19">
        <f>YEAR(tblMaster[[#This Row],[Order_Date]])</f>
        <v>2023</v>
      </c>
      <c r="AA477" s="19" t="str">
        <f>TEXT(DAY(tblMaster[[#This Row],[Order_Date]]),"dddd")</f>
        <v>Wednesday</v>
      </c>
      <c r="AB477" s="19" t="str">
        <f>IF(tblMaster[[#This Row],[Revenue]]&gt;=5000,"High",IF(tblMaster[[#This Row],[Revenue]]&lt;2000,"Low","Medium"))</f>
        <v>Medium</v>
      </c>
    </row>
    <row r="478" spans="1:28" x14ac:dyDescent="0.25">
      <c r="A478" s="7">
        <v>477</v>
      </c>
      <c r="B478" s="7" t="s">
        <v>183</v>
      </c>
      <c r="C478" s="4">
        <v>33</v>
      </c>
      <c r="D478" s="4">
        <v>4</v>
      </c>
      <c r="E478" s="8">
        <v>44969</v>
      </c>
      <c r="F478" s="9">
        <v>0.72093750000000001</v>
      </c>
      <c r="G478" s="8">
        <v>44971</v>
      </c>
      <c r="H478" s="9">
        <v>0.13324074074074074</v>
      </c>
      <c r="I478" s="7" t="s">
        <v>489</v>
      </c>
      <c r="J478" s="7" t="s">
        <v>12</v>
      </c>
      <c r="K478" s="18" t="str">
        <f>_xlfn.XLOOKUP(tblMaster[[#This Row],[Customer_ID]],tblCustomers[Customer_ID],tblCustomers[City],"Not Found",0)</f>
        <v>Dhanbad</v>
      </c>
      <c r="L478" s="18" t="str">
        <f>_xlfn.XLOOKUP(tblMaster[[#This Row],[Customer_ID]],tblCustomers[Customer_ID],tblCustomers[Name],"Not Found",0)</f>
        <v>Ranbir Loyal</v>
      </c>
      <c r="M478" s="18" t="str">
        <f>_xlfn.XLOOKUP(tblMaster[[#This Row],[Customer_ID]],tblCustomers[Customer_ID],tblCustomers[Gender],"Not Found",0)</f>
        <v>Female</v>
      </c>
      <c r="N478" s="18" t="str">
        <f>_xlfn.XLOOKUP(tblMaster[[#This Row],[Product_ID]],tblProducts[Product_ID],tblProducts[Product_Name],"Not Found",0)</f>
        <v>Earum Set</v>
      </c>
      <c r="O478" s="18" t="str">
        <f>_xlfn.XLOOKUP(tblMaster[[#This Row],[Product_ID]],tblProducts[Product_ID],tblProducts[Category],"Not Found",0)</f>
        <v>Colors</v>
      </c>
      <c r="P478" s="18" t="str">
        <f>_xlfn.XLOOKUP(tblMaster[[#This Row],[Product_ID]],tblProducts[Product_ID],tblProducts[Occasion],"Not Found",0)</f>
        <v>Valentine's Day</v>
      </c>
      <c r="Q478" s="18">
        <f>_xlfn.XLOOKUP(tblMaster[[#This Row],[Product_ID]],tblProducts[Product_ID],tblProducts[Price (INR)],"Not Found",0)</f>
        <v>314</v>
      </c>
      <c r="R478" s="19">
        <f>tblMaster[[#This Row],[Price]]*tblMaster[[#This Row],[Quantity]]</f>
        <v>1256</v>
      </c>
      <c r="S478" s="19">
        <f>tblMaster[[#This Row],[Price]]*0.7*tblMaster[[#This Row],[Quantity]]</f>
        <v>879.19999999999993</v>
      </c>
      <c r="T478" s="19">
        <f>tblMaster[[#This Row],[Revenue]]-tblMaster[[#This Row],[Estimated Cost (at 70%) ]]</f>
        <v>376.80000000000007</v>
      </c>
      <c r="U478" s="19">
        <f>tblMaster[[#This Row],[Profit]]/tblMaster[[#This Row],[Revenue]]</f>
        <v>0.30000000000000004</v>
      </c>
      <c r="V478" s="19">
        <f>tblMaster[[#This Row],[Delivery_Date]]-tblMaster[[#This Row],[Order_Date]]</f>
        <v>2</v>
      </c>
      <c r="W478" s="19" t="str">
        <f>TEXT(tblMaster[[#This Row],[Order_Date]],"mmmm")</f>
        <v>February</v>
      </c>
      <c r="X478" s="19">
        <f>MONTH(tblMaster[[#This Row],[Order_Date]])</f>
        <v>2</v>
      </c>
      <c r="Y478" s="19" t="str">
        <f>"Q"&amp;ROUNDUP(tblMaster[[#This Row],[Month Number]]/3,0)</f>
        <v>Q1</v>
      </c>
      <c r="Z478" s="19">
        <f>YEAR(tblMaster[[#This Row],[Order_Date]])</f>
        <v>2023</v>
      </c>
      <c r="AA478" s="19" t="str">
        <f>TEXT(DAY(tblMaster[[#This Row],[Order_Date]]),"dddd")</f>
        <v>Thursday</v>
      </c>
      <c r="AB478" s="19" t="str">
        <f>IF(tblMaster[[#This Row],[Revenue]]&gt;=5000,"High",IF(tblMaster[[#This Row],[Revenue]]&lt;2000,"Low","Medium"))</f>
        <v>Low</v>
      </c>
    </row>
    <row r="479" spans="1:28" x14ac:dyDescent="0.25">
      <c r="A479" s="10">
        <v>478</v>
      </c>
      <c r="B479" s="10" t="s">
        <v>440</v>
      </c>
      <c r="C479" s="5">
        <v>11</v>
      </c>
      <c r="D479" s="5">
        <v>5</v>
      </c>
      <c r="E479" s="11">
        <v>44965</v>
      </c>
      <c r="F479" s="12">
        <v>4.9548611111111113E-2</v>
      </c>
      <c r="G479" s="11">
        <v>44966</v>
      </c>
      <c r="H479" s="12">
        <v>0.40994212962962961</v>
      </c>
      <c r="I479" s="10" t="s">
        <v>512</v>
      </c>
      <c r="J479" s="10" t="s">
        <v>12</v>
      </c>
      <c r="K479" s="18" t="str">
        <f>_xlfn.XLOOKUP(tblMaster[[#This Row],[Customer_ID]],tblCustomers[Customer_ID],tblCustomers[City],"Not Found",0)</f>
        <v>Bilaspur</v>
      </c>
      <c r="L479" s="18" t="str">
        <f>_xlfn.XLOOKUP(tblMaster[[#This Row],[Customer_ID]],tblCustomers[Customer_ID],tblCustomers[Name],"Not Found",0)</f>
        <v>Jayesh Lanka</v>
      </c>
      <c r="M479" s="18" t="str">
        <f>_xlfn.XLOOKUP(tblMaster[[#This Row],[Customer_ID]],tblCustomers[Customer_ID],tblCustomers[Gender],"Not Found",0)</f>
        <v>Male</v>
      </c>
      <c r="N479" s="18" t="str">
        <f>_xlfn.XLOOKUP(tblMaster[[#This Row],[Product_ID]],tblProducts[Product_ID],tblProducts[Product_Name],"Not Found",0)</f>
        <v>Maxime Set</v>
      </c>
      <c r="O479" s="18" t="str">
        <f>_xlfn.XLOOKUP(tblMaster[[#This Row],[Product_ID]],tblProducts[Product_ID],tblProducts[Category],"Not Found",0)</f>
        <v>Mugs</v>
      </c>
      <c r="P479" s="18" t="str">
        <f>_xlfn.XLOOKUP(tblMaster[[#This Row],[Product_ID]],tblProducts[Product_ID],tblProducts[Occasion],"Not Found",0)</f>
        <v>Valentine's Day</v>
      </c>
      <c r="Q479" s="18">
        <f>_xlfn.XLOOKUP(tblMaster[[#This Row],[Product_ID]],tblProducts[Product_ID],tblProducts[Price (INR)],"Not Found",0)</f>
        <v>1096</v>
      </c>
      <c r="R479" s="19">
        <f>tblMaster[[#This Row],[Price]]*tblMaster[[#This Row],[Quantity]]</f>
        <v>5480</v>
      </c>
      <c r="S479" s="19">
        <f>tblMaster[[#This Row],[Price]]*0.7*tblMaster[[#This Row],[Quantity]]</f>
        <v>3835.9999999999995</v>
      </c>
      <c r="T479" s="19">
        <f>tblMaster[[#This Row],[Revenue]]-tblMaster[[#This Row],[Estimated Cost (at 70%) ]]</f>
        <v>1644.0000000000005</v>
      </c>
      <c r="U479" s="19">
        <f>tblMaster[[#This Row],[Profit]]/tblMaster[[#This Row],[Revenue]]</f>
        <v>0.3000000000000001</v>
      </c>
      <c r="V479" s="19">
        <f>tblMaster[[#This Row],[Delivery_Date]]-tblMaster[[#This Row],[Order_Date]]</f>
        <v>1</v>
      </c>
      <c r="W479" s="19" t="str">
        <f>TEXT(tblMaster[[#This Row],[Order_Date]],"mmmm")</f>
        <v>February</v>
      </c>
      <c r="X479" s="19">
        <f>MONTH(tblMaster[[#This Row],[Order_Date]])</f>
        <v>2</v>
      </c>
      <c r="Y479" s="19" t="str">
        <f>"Q"&amp;ROUNDUP(tblMaster[[#This Row],[Month Number]]/3,0)</f>
        <v>Q1</v>
      </c>
      <c r="Z479" s="19">
        <f>YEAR(tblMaster[[#This Row],[Order_Date]])</f>
        <v>2023</v>
      </c>
      <c r="AA479" s="19" t="str">
        <f>TEXT(DAY(tblMaster[[#This Row],[Order_Date]]),"dddd")</f>
        <v>Sunday</v>
      </c>
      <c r="AB479" s="19" t="str">
        <f>IF(tblMaster[[#This Row],[Revenue]]&gt;=5000,"High",IF(tblMaster[[#This Row],[Revenue]]&lt;2000,"Low","Medium"))</f>
        <v>High</v>
      </c>
    </row>
    <row r="480" spans="1:28" x14ac:dyDescent="0.25">
      <c r="A480" s="7">
        <v>479</v>
      </c>
      <c r="B480" s="7" t="s">
        <v>222</v>
      </c>
      <c r="C480" s="4">
        <v>11</v>
      </c>
      <c r="D480" s="4">
        <v>1</v>
      </c>
      <c r="E480" s="8">
        <v>44964</v>
      </c>
      <c r="F480" s="9">
        <v>0.74190972222222218</v>
      </c>
      <c r="G480" s="8">
        <v>44968</v>
      </c>
      <c r="H480" s="9">
        <v>0.45015046296296296</v>
      </c>
      <c r="I480" s="7" t="s">
        <v>485</v>
      </c>
      <c r="J480" s="7" t="s">
        <v>12</v>
      </c>
      <c r="K480" s="18" t="str">
        <f>_xlfn.XLOOKUP(tblMaster[[#This Row],[Customer_ID]],tblCustomers[Customer_ID],tblCustomers[City],"Not Found",0)</f>
        <v>Tiruppur</v>
      </c>
      <c r="L480" s="18" t="str">
        <f>_xlfn.XLOOKUP(tblMaster[[#This Row],[Customer_ID]],tblCustomers[Customer_ID],tblCustomers[Name],"Not Found",0)</f>
        <v>Purab Sheth</v>
      </c>
      <c r="M480" s="18" t="str">
        <f>_xlfn.XLOOKUP(tblMaster[[#This Row],[Customer_ID]],tblCustomers[Customer_ID],tblCustomers[Gender],"Not Found",0)</f>
        <v>Male</v>
      </c>
      <c r="N480" s="18" t="str">
        <f>_xlfn.XLOOKUP(tblMaster[[#This Row],[Product_ID]],tblProducts[Product_ID],tblProducts[Product_Name],"Not Found",0)</f>
        <v>Maxime Set</v>
      </c>
      <c r="O480" s="18" t="str">
        <f>_xlfn.XLOOKUP(tblMaster[[#This Row],[Product_ID]],tblProducts[Product_ID],tblProducts[Category],"Not Found",0)</f>
        <v>Mugs</v>
      </c>
      <c r="P480" s="18" t="str">
        <f>_xlfn.XLOOKUP(tblMaster[[#This Row],[Product_ID]],tblProducts[Product_ID],tblProducts[Occasion],"Not Found",0)</f>
        <v>Valentine's Day</v>
      </c>
      <c r="Q480" s="18">
        <f>_xlfn.XLOOKUP(tblMaster[[#This Row],[Product_ID]],tblProducts[Product_ID],tblProducts[Price (INR)],"Not Found",0)</f>
        <v>1096</v>
      </c>
      <c r="R480" s="19">
        <f>tblMaster[[#This Row],[Price]]*tblMaster[[#This Row],[Quantity]]</f>
        <v>1096</v>
      </c>
      <c r="S480" s="19">
        <f>tblMaster[[#This Row],[Price]]*0.7*tblMaster[[#This Row],[Quantity]]</f>
        <v>767.19999999999993</v>
      </c>
      <c r="T480" s="19">
        <f>tblMaster[[#This Row],[Revenue]]-tblMaster[[#This Row],[Estimated Cost (at 70%) ]]</f>
        <v>328.80000000000007</v>
      </c>
      <c r="U480" s="19">
        <f>tblMaster[[#This Row],[Profit]]/tblMaster[[#This Row],[Revenue]]</f>
        <v>0.30000000000000004</v>
      </c>
      <c r="V480" s="19">
        <f>tblMaster[[#This Row],[Delivery_Date]]-tblMaster[[#This Row],[Order_Date]]</f>
        <v>4</v>
      </c>
      <c r="W480" s="19" t="str">
        <f>TEXT(tblMaster[[#This Row],[Order_Date]],"mmmm")</f>
        <v>February</v>
      </c>
      <c r="X480" s="19">
        <f>MONTH(tblMaster[[#This Row],[Order_Date]])</f>
        <v>2</v>
      </c>
      <c r="Y480" s="19" t="str">
        <f>"Q"&amp;ROUNDUP(tblMaster[[#This Row],[Month Number]]/3,0)</f>
        <v>Q1</v>
      </c>
      <c r="Z480" s="19">
        <f>YEAR(tblMaster[[#This Row],[Order_Date]])</f>
        <v>2023</v>
      </c>
      <c r="AA480" s="19" t="str">
        <f>TEXT(DAY(tblMaster[[#This Row],[Order_Date]]),"dddd")</f>
        <v>Saturday</v>
      </c>
      <c r="AB480" s="19" t="str">
        <f>IF(tblMaster[[#This Row],[Revenue]]&gt;=5000,"High",IF(tblMaster[[#This Row],[Revenue]]&lt;2000,"Low","Medium"))</f>
        <v>Low</v>
      </c>
    </row>
    <row r="481" spans="1:28" x14ac:dyDescent="0.25">
      <c r="A481" s="10">
        <v>480</v>
      </c>
      <c r="B481" s="10" t="s">
        <v>242</v>
      </c>
      <c r="C481" s="5">
        <v>62</v>
      </c>
      <c r="D481" s="5">
        <v>4</v>
      </c>
      <c r="E481" s="11">
        <v>44991</v>
      </c>
      <c r="F481" s="12">
        <v>0.18716435185185185</v>
      </c>
      <c r="G481" s="11">
        <v>45001</v>
      </c>
      <c r="H481" s="12">
        <v>0.93024305555555553</v>
      </c>
      <c r="I481" s="10" t="s">
        <v>513</v>
      </c>
      <c r="J481" s="10" t="s">
        <v>25</v>
      </c>
      <c r="K481" s="18" t="str">
        <f>_xlfn.XLOOKUP(tblMaster[[#This Row],[Customer_ID]],tblCustomers[Customer_ID],tblCustomers[City],"Not Found",0)</f>
        <v>Kalyan-Dombivli</v>
      </c>
      <c r="L481" s="18" t="str">
        <f>_xlfn.XLOOKUP(tblMaster[[#This Row],[Customer_ID]],tblCustomers[Customer_ID],tblCustomers[Name],"Not Found",0)</f>
        <v>Nirvi Wagle</v>
      </c>
      <c r="M481" s="18" t="str">
        <f>_xlfn.XLOOKUP(tblMaster[[#This Row],[Customer_ID]],tblCustomers[Customer_ID],tblCustomers[Gender],"Not Found",0)</f>
        <v>Male</v>
      </c>
      <c r="N481" s="18" t="str">
        <f>_xlfn.XLOOKUP(tblMaster[[#This Row],[Product_ID]],tblProducts[Product_ID],tblProducts[Product_Name],"Not Found",0)</f>
        <v>Sed Set</v>
      </c>
      <c r="O481" s="18" t="str">
        <f>_xlfn.XLOOKUP(tblMaster[[#This Row],[Product_ID]],tblProducts[Product_ID],tblProducts[Category],"Not Found",0)</f>
        <v>Colors</v>
      </c>
      <c r="P481" s="18" t="str">
        <f>_xlfn.XLOOKUP(tblMaster[[#This Row],[Product_ID]],tblProducts[Product_ID],tblProducts[Occasion],"Not Found",0)</f>
        <v>Holi</v>
      </c>
      <c r="Q481" s="18">
        <f>_xlfn.XLOOKUP(tblMaster[[#This Row],[Product_ID]],tblProducts[Product_ID],tblProducts[Price (INR)],"Not Found",0)</f>
        <v>1356</v>
      </c>
      <c r="R481" s="19">
        <f>tblMaster[[#This Row],[Price]]*tblMaster[[#This Row],[Quantity]]</f>
        <v>5424</v>
      </c>
      <c r="S481" s="19">
        <f>tblMaster[[#This Row],[Price]]*0.7*tblMaster[[#This Row],[Quantity]]</f>
        <v>3796.7999999999997</v>
      </c>
      <c r="T481" s="19">
        <f>tblMaster[[#This Row],[Revenue]]-tblMaster[[#This Row],[Estimated Cost (at 70%) ]]</f>
        <v>1627.2000000000003</v>
      </c>
      <c r="U481" s="19">
        <f>tblMaster[[#This Row],[Profit]]/tblMaster[[#This Row],[Revenue]]</f>
        <v>0.30000000000000004</v>
      </c>
      <c r="V481" s="19">
        <f>tblMaster[[#This Row],[Delivery_Date]]-tblMaster[[#This Row],[Order_Date]]</f>
        <v>10</v>
      </c>
      <c r="W481" s="19" t="str">
        <f>TEXT(tblMaster[[#This Row],[Order_Date]],"mmmm")</f>
        <v>March</v>
      </c>
      <c r="X481" s="19">
        <f>MONTH(tblMaster[[#This Row],[Order_Date]])</f>
        <v>3</v>
      </c>
      <c r="Y481" s="19" t="str">
        <f>"Q"&amp;ROUNDUP(tblMaster[[#This Row],[Month Number]]/3,0)</f>
        <v>Q1</v>
      </c>
      <c r="Z481" s="19">
        <f>YEAR(tblMaster[[#This Row],[Order_Date]])</f>
        <v>2023</v>
      </c>
      <c r="AA481" s="19" t="str">
        <f>TEXT(DAY(tblMaster[[#This Row],[Order_Date]]),"dddd")</f>
        <v>Friday</v>
      </c>
      <c r="AB481" s="19" t="str">
        <f>IF(tblMaster[[#This Row],[Revenue]]&gt;=5000,"High",IF(tblMaster[[#This Row],[Revenue]]&lt;2000,"Low","Medium"))</f>
        <v>High</v>
      </c>
    </row>
    <row r="482" spans="1:28" x14ac:dyDescent="0.25">
      <c r="A482" s="7">
        <v>481</v>
      </c>
      <c r="B482" s="7" t="s">
        <v>182</v>
      </c>
      <c r="C482" s="4">
        <v>12</v>
      </c>
      <c r="D482" s="4">
        <v>5</v>
      </c>
      <c r="E482" s="8">
        <v>45159</v>
      </c>
      <c r="F482" s="9">
        <v>6.134259259259259E-4</v>
      </c>
      <c r="G482" s="8">
        <v>45163</v>
      </c>
      <c r="H482" s="9">
        <v>0.77528935185185188</v>
      </c>
      <c r="I482" s="7" t="s">
        <v>514</v>
      </c>
      <c r="J482" s="7" t="s">
        <v>30</v>
      </c>
      <c r="K482" s="18" t="str">
        <f>_xlfn.XLOOKUP(tblMaster[[#This Row],[Customer_ID]],tblCustomers[Customer_ID],tblCustomers[City],"Not Found",0)</f>
        <v>Agra</v>
      </c>
      <c r="L482" s="18" t="str">
        <f>_xlfn.XLOOKUP(tblMaster[[#This Row],[Customer_ID]],tblCustomers[Customer_ID],tblCustomers[Name],"Not Found",0)</f>
        <v>Seher Mann</v>
      </c>
      <c r="M482" s="18" t="str">
        <f>_xlfn.XLOOKUP(tblMaster[[#This Row],[Customer_ID]],tblCustomers[Customer_ID],tblCustomers[Gender],"Not Found",0)</f>
        <v>Male</v>
      </c>
      <c r="N482" s="18" t="str">
        <f>_xlfn.XLOOKUP(tblMaster[[#This Row],[Product_ID]],tblProducts[Product_ID],tblProducts[Product_Name],"Not Found",0)</f>
        <v>Non Set</v>
      </c>
      <c r="O482" s="18" t="str">
        <f>_xlfn.XLOOKUP(tblMaster[[#This Row],[Product_ID]],tblProducts[Product_ID],tblProducts[Category],"Not Found",0)</f>
        <v>Plants</v>
      </c>
      <c r="P482" s="18" t="str">
        <f>_xlfn.XLOOKUP(tblMaster[[#This Row],[Product_ID]],tblProducts[Product_ID],tblProducts[Occasion],"Not Found",0)</f>
        <v>Anniversary</v>
      </c>
      <c r="Q482" s="18">
        <f>_xlfn.XLOOKUP(tblMaster[[#This Row],[Product_ID]],tblProducts[Product_ID],tblProducts[Price (INR)],"Not Found",0)</f>
        <v>672</v>
      </c>
      <c r="R482" s="19">
        <f>tblMaster[[#This Row],[Price]]*tblMaster[[#This Row],[Quantity]]</f>
        <v>3360</v>
      </c>
      <c r="S482" s="19">
        <f>tblMaster[[#This Row],[Price]]*0.7*tblMaster[[#This Row],[Quantity]]</f>
        <v>2352</v>
      </c>
      <c r="T482" s="19">
        <f>tblMaster[[#This Row],[Revenue]]-tblMaster[[#This Row],[Estimated Cost (at 70%) ]]</f>
        <v>1008</v>
      </c>
      <c r="U482" s="19">
        <f>tblMaster[[#This Row],[Profit]]/tblMaster[[#This Row],[Revenue]]</f>
        <v>0.3</v>
      </c>
      <c r="V482" s="19">
        <f>tblMaster[[#This Row],[Delivery_Date]]-tblMaster[[#This Row],[Order_Date]]</f>
        <v>4</v>
      </c>
      <c r="W482" s="19" t="str">
        <f>TEXT(tblMaster[[#This Row],[Order_Date]],"mmmm")</f>
        <v>August</v>
      </c>
      <c r="X482" s="19">
        <f>MONTH(tblMaster[[#This Row],[Order_Date]])</f>
        <v>8</v>
      </c>
      <c r="Y482" s="19" t="str">
        <f>"Q"&amp;ROUNDUP(tblMaster[[#This Row],[Month Number]]/3,0)</f>
        <v>Q3</v>
      </c>
      <c r="Z482" s="19">
        <f>YEAR(tblMaster[[#This Row],[Order_Date]])</f>
        <v>2023</v>
      </c>
      <c r="AA482" s="19" t="str">
        <f>TEXT(DAY(tblMaster[[#This Row],[Order_Date]]),"dddd")</f>
        <v>Saturday</v>
      </c>
      <c r="AB482" s="19" t="str">
        <f>IF(tblMaster[[#This Row],[Revenue]]&gt;=5000,"High",IF(tblMaster[[#This Row],[Revenue]]&lt;2000,"Low","Medium"))</f>
        <v>Medium</v>
      </c>
    </row>
    <row r="483" spans="1:28" x14ac:dyDescent="0.25">
      <c r="A483" s="10">
        <v>482</v>
      </c>
      <c r="B483" s="10" t="s">
        <v>276</v>
      </c>
      <c r="C483" s="5">
        <v>23</v>
      </c>
      <c r="D483" s="5">
        <v>3</v>
      </c>
      <c r="E483" s="11">
        <v>45082</v>
      </c>
      <c r="F483" s="12">
        <v>0.85668981481481477</v>
      </c>
      <c r="G483" s="11">
        <v>45091</v>
      </c>
      <c r="H483" s="12">
        <v>0.87262731481481481</v>
      </c>
      <c r="I483" s="10" t="s">
        <v>207</v>
      </c>
      <c r="J483" s="10" t="s">
        <v>30</v>
      </c>
      <c r="K483" s="18" t="str">
        <f>_xlfn.XLOOKUP(tblMaster[[#This Row],[Customer_ID]],tblCustomers[Customer_ID],tblCustomers[City],"Not Found",0)</f>
        <v>Imphal</v>
      </c>
      <c r="L483" s="18" t="str">
        <f>_xlfn.XLOOKUP(tblMaster[[#This Row],[Customer_ID]],tblCustomers[Customer_ID],tblCustomers[Name],"Not Found",0)</f>
        <v>Chirag Srinivas</v>
      </c>
      <c r="M483" s="18" t="str">
        <f>_xlfn.XLOOKUP(tblMaster[[#This Row],[Customer_ID]],tblCustomers[Customer_ID],tblCustomers[Gender],"Not Found",0)</f>
        <v>Female</v>
      </c>
      <c r="N483" s="18" t="str">
        <f>_xlfn.XLOOKUP(tblMaster[[#This Row],[Product_ID]],tblProducts[Product_ID],tblProducts[Product_Name],"Not Found",0)</f>
        <v>Dignissimos Pack</v>
      </c>
      <c r="O483" s="18" t="str">
        <f>_xlfn.XLOOKUP(tblMaster[[#This Row],[Product_ID]],tblProducts[Product_ID],tblProducts[Category],"Not Found",0)</f>
        <v>Sweets</v>
      </c>
      <c r="P483" s="18" t="str">
        <f>_xlfn.XLOOKUP(tblMaster[[#This Row],[Product_ID]],tblProducts[Product_ID],tblProducts[Occasion],"Not Found",0)</f>
        <v>Anniversary</v>
      </c>
      <c r="Q483" s="18">
        <f>_xlfn.XLOOKUP(tblMaster[[#This Row],[Product_ID]],tblProducts[Product_ID],tblProducts[Price (INR)],"Not Found",0)</f>
        <v>1098</v>
      </c>
      <c r="R483" s="19">
        <f>tblMaster[[#This Row],[Price]]*tblMaster[[#This Row],[Quantity]]</f>
        <v>3294</v>
      </c>
      <c r="S483" s="19">
        <f>tblMaster[[#This Row],[Price]]*0.7*tblMaster[[#This Row],[Quantity]]</f>
        <v>2305.7999999999997</v>
      </c>
      <c r="T483" s="19">
        <f>tblMaster[[#This Row],[Revenue]]-tblMaster[[#This Row],[Estimated Cost (at 70%) ]]</f>
        <v>988.20000000000027</v>
      </c>
      <c r="U483" s="19">
        <f>tblMaster[[#This Row],[Profit]]/tblMaster[[#This Row],[Revenue]]</f>
        <v>0.3000000000000001</v>
      </c>
      <c r="V483" s="19">
        <f>tblMaster[[#This Row],[Delivery_Date]]-tblMaster[[#This Row],[Order_Date]]</f>
        <v>9</v>
      </c>
      <c r="W483" s="19" t="str">
        <f>TEXT(tblMaster[[#This Row],[Order_Date]],"mmmm")</f>
        <v>June</v>
      </c>
      <c r="X483" s="19">
        <f>MONTH(tblMaster[[#This Row],[Order_Date]])</f>
        <v>6</v>
      </c>
      <c r="Y483" s="19" t="str">
        <f>"Q"&amp;ROUNDUP(tblMaster[[#This Row],[Month Number]]/3,0)</f>
        <v>Q2</v>
      </c>
      <c r="Z483" s="19">
        <f>YEAR(tblMaster[[#This Row],[Order_Date]])</f>
        <v>2023</v>
      </c>
      <c r="AA483" s="19" t="str">
        <f>TEXT(DAY(tblMaster[[#This Row],[Order_Date]]),"dddd")</f>
        <v>Thursday</v>
      </c>
      <c r="AB483" s="19" t="str">
        <f>IF(tblMaster[[#This Row],[Revenue]]&gt;=5000,"High",IF(tblMaster[[#This Row],[Revenue]]&lt;2000,"Low","Medium"))</f>
        <v>Medium</v>
      </c>
    </row>
    <row r="484" spans="1:28" x14ac:dyDescent="0.25">
      <c r="A484" s="7">
        <v>483</v>
      </c>
      <c r="B484" s="7" t="s">
        <v>369</v>
      </c>
      <c r="C484" s="4">
        <v>59</v>
      </c>
      <c r="D484" s="4">
        <v>2</v>
      </c>
      <c r="E484" s="8">
        <v>45166</v>
      </c>
      <c r="F484" s="9">
        <v>0.26739583333333333</v>
      </c>
      <c r="G484" s="8">
        <v>45169</v>
      </c>
      <c r="H484" s="9">
        <v>0.21252314814814816</v>
      </c>
      <c r="I484" s="7" t="s">
        <v>286</v>
      </c>
      <c r="J484" s="7" t="s">
        <v>33</v>
      </c>
      <c r="K484" s="18" t="str">
        <f>_xlfn.XLOOKUP(tblMaster[[#This Row],[Customer_ID]],tblCustomers[Customer_ID],tblCustomers[City],"Not Found",0)</f>
        <v>Berhampore</v>
      </c>
      <c r="L484" s="18" t="str">
        <f>_xlfn.XLOOKUP(tblMaster[[#This Row],[Customer_ID]],tblCustomers[Customer_ID],tblCustomers[Name],"Not Found",0)</f>
        <v>Jayant Kamdar</v>
      </c>
      <c r="M484" s="18" t="str">
        <f>_xlfn.XLOOKUP(tblMaster[[#This Row],[Customer_ID]],tblCustomers[Customer_ID],tblCustomers[Gender],"Not Found",0)</f>
        <v>Male</v>
      </c>
      <c r="N484" s="18" t="str">
        <f>_xlfn.XLOOKUP(tblMaster[[#This Row],[Product_ID]],tblProducts[Product_ID],tblProducts[Product_Name],"Not Found",0)</f>
        <v>Pariatur Box</v>
      </c>
      <c r="O484" s="18" t="str">
        <f>_xlfn.XLOOKUP(tblMaster[[#This Row],[Product_ID]],tblProducts[Product_ID],tblProducts[Category],"Not Found",0)</f>
        <v>Cake</v>
      </c>
      <c r="P484" s="18" t="str">
        <f>_xlfn.XLOOKUP(tblMaster[[#This Row],[Product_ID]],tblProducts[Product_ID],tblProducts[Occasion],"Not Found",0)</f>
        <v>Raksha Bandhan</v>
      </c>
      <c r="Q484" s="18">
        <f>_xlfn.XLOOKUP(tblMaster[[#This Row],[Product_ID]],tblProducts[Product_ID],tblProducts[Price (INR)],"Not Found",0)</f>
        <v>811</v>
      </c>
      <c r="R484" s="19">
        <f>tblMaster[[#This Row],[Price]]*tblMaster[[#This Row],[Quantity]]</f>
        <v>1622</v>
      </c>
      <c r="S484" s="19">
        <f>tblMaster[[#This Row],[Price]]*0.7*tblMaster[[#This Row],[Quantity]]</f>
        <v>1135.3999999999999</v>
      </c>
      <c r="T484" s="19">
        <f>tblMaster[[#This Row],[Revenue]]-tblMaster[[#This Row],[Estimated Cost (at 70%) ]]</f>
        <v>486.60000000000014</v>
      </c>
      <c r="U484" s="19">
        <f>tblMaster[[#This Row],[Profit]]/tblMaster[[#This Row],[Revenue]]</f>
        <v>0.3000000000000001</v>
      </c>
      <c r="V484" s="19">
        <f>tblMaster[[#This Row],[Delivery_Date]]-tblMaster[[#This Row],[Order_Date]]</f>
        <v>3</v>
      </c>
      <c r="W484" s="19" t="str">
        <f>TEXT(tblMaster[[#This Row],[Order_Date]],"mmmm")</f>
        <v>August</v>
      </c>
      <c r="X484" s="19">
        <f>MONTH(tblMaster[[#This Row],[Order_Date]])</f>
        <v>8</v>
      </c>
      <c r="Y484" s="19" t="str">
        <f>"Q"&amp;ROUNDUP(tblMaster[[#This Row],[Month Number]]/3,0)</f>
        <v>Q3</v>
      </c>
      <c r="Z484" s="19">
        <f>YEAR(tblMaster[[#This Row],[Order_Date]])</f>
        <v>2023</v>
      </c>
      <c r="AA484" s="19" t="str">
        <f>TEXT(DAY(tblMaster[[#This Row],[Order_Date]]),"dddd")</f>
        <v>Saturday</v>
      </c>
      <c r="AB484" s="19" t="str">
        <f>IF(tblMaster[[#This Row],[Revenue]]&gt;=5000,"High",IF(tblMaster[[#This Row],[Revenue]]&lt;2000,"Low","Medium"))</f>
        <v>Low</v>
      </c>
    </row>
    <row r="485" spans="1:28" x14ac:dyDescent="0.25">
      <c r="A485" s="10">
        <v>484</v>
      </c>
      <c r="B485" s="10" t="s">
        <v>480</v>
      </c>
      <c r="C485" s="5">
        <v>1</v>
      </c>
      <c r="D485" s="5">
        <v>5</v>
      </c>
      <c r="E485" s="11">
        <v>45072</v>
      </c>
      <c r="F485" s="12">
        <v>0.79438657407407409</v>
      </c>
      <c r="G485" s="11">
        <v>45080</v>
      </c>
      <c r="H485" s="12">
        <v>0.8140856481481481</v>
      </c>
      <c r="I485" s="10" t="s">
        <v>181</v>
      </c>
      <c r="J485" s="10" t="s">
        <v>8</v>
      </c>
      <c r="K485" s="18" t="str">
        <f>_xlfn.XLOOKUP(tblMaster[[#This Row],[Customer_ID]],tblCustomers[Customer_ID],tblCustomers[City],"Not Found",0)</f>
        <v>Bhatpara</v>
      </c>
      <c r="L485" s="18" t="str">
        <f>_xlfn.XLOOKUP(tblMaster[[#This Row],[Customer_ID]],tblCustomers[Customer_ID],tblCustomers[Name],"Not Found",0)</f>
        <v>Hridaan Sood</v>
      </c>
      <c r="M485" s="18" t="str">
        <f>_xlfn.XLOOKUP(tblMaster[[#This Row],[Customer_ID]],tblCustomers[Customer_ID],tblCustomers[Gender],"Not Found",0)</f>
        <v>Male</v>
      </c>
      <c r="N485" s="18" t="str">
        <f>_xlfn.XLOOKUP(tblMaster[[#This Row],[Product_ID]],tblProducts[Product_ID],tblProducts[Product_Name],"Not Found",0)</f>
        <v>Magnam Set</v>
      </c>
      <c r="O485" s="18" t="str">
        <f>_xlfn.XLOOKUP(tblMaster[[#This Row],[Product_ID]],tblProducts[Product_ID],tblProducts[Category],"Not Found",0)</f>
        <v>Soft Toys</v>
      </c>
      <c r="P485" s="18" t="str">
        <f>_xlfn.XLOOKUP(tblMaster[[#This Row],[Product_ID]],tblProducts[Product_ID],tblProducts[Occasion],"Not Found",0)</f>
        <v>All Occasions</v>
      </c>
      <c r="Q485" s="18">
        <f>_xlfn.XLOOKUP(tblMaster[[#This Row],[Product_ID]],tblProducts[Product_ID],tblProducts[Price (INR)],"Not Found",0)</f>
        <v>1935</v>
      </c>
      <c r="R485" s="19">
        <f>tblMaster[[#This Row],[Price]]*tblMaster[[#This Row],[Quantity]]</f>
        <v>9675</v>
      </c>
      <c r="S485" s="19">
        <f>tblMaster[[#This Row],[Price]]*0.7*tblMaster[[#This Row],[Quantity]]</f>
        <v>6772.5</v>
      </c>
      <c r="T485" s="19">
        <f>tblMaster[[#This Row],[Revenue]]-tblMaster[[#This Row],[Estimated Cost (at 70%) ]]</f>
        <v>2902.5</v>
      </c>
      <c r="U485" s="19">
        <f>tblMaster[[#This Row],[Profit]]/tblMaster[[#This Row],[Revenue]]</f>
        <v>0.3</v>
      </c>
      <c r="V485" s="19">
        <f>tblMaster[[#This Row],[Delivery_Date]]-tblMaster[[#This Row],[Order_Date]]</f>
        <v>8</v>
      </c>
      <c r="W485" s="19" t="str">
        <f>TEXT(tblMaster[[#This Row],[Order_Date]],"mmmm")</f>
        <v>May</v>
      </c>
      <c r="X485" s="19">
        <f>MONTH(tblMaster[[#This Row],[Order_Date]])</f>
        <v>5</v>
      </c>
      <c r="Y485" s="19" t="str">
        <f>"Q"&amp;ROUNDUP(tblMaster[[#This Row],[Month Number]]/3,0)</f>
        <v>Q2</v>
      </c>
      <c r="Z485" s="19">
        <f>YEAR(tblMaster[[#This Row],[Order_Date]])</f>
        <v>2023</v>
      </c>
      <c r="AA485" s="19" t="str">
        <f>TEXT(DAY(tblMaster[[#This Row],[Order_Date]]),"dddd")</f>
        <v>Thursday</v>
      </c>
      <c r="AB485" s="19" t="str">
        <f>IF(tblMaster[[#This Row],[Revenue]]&gt;=5000,"High",IF(tblMaster[[#This Row],[Revenue]]&lt;2000,"Low","Medium"))</f>
        <v>High</v>
      </c>
    </row>
    <row r="486" spans="1:28" x14ac:dyDescent="0.25">
      <c r="A486" s="7">
        <v>485</v>
      </c>
      <c r="B486" s="7" t="s">
        <v>170</v>
      </c>
      <c r="C486" s="4">
        <v>43</v>
      </c>
      <c r="D486" s="4">
        <v>4</v>
      </c>
      <c r="E486" s="8">
        <v>45236</v>
      </c>
      <c r="F486" s="9">
        <v>0.80583333333333329</v>
      </c>
      <c r="G486" s="8">
        <v>45244</v>
      </c>
      <c r="H486" s="9">
        <v>0.81057870370370366</v>
      </c>
      <c r="I486" s="7" t="s">
        <v>515</v>
      </c>
      <c r="J486" s="7" t="s">
        <v>19</v>
      </c>
      <c r="K486" s="18" t="str">
        <f>_xlfn.XLOOKUP(tblMaster[[#This Row],[Customer_ID]],tblCustomers[Customer_ID],tblCustomers[City],"Not Found",0)</f>
        <v>Haridwar</v>
      </c>
      <c r="L486" s="18" t="str">
        <f>_xlfn.XLOOKUP(tblMaster[[#This Row],[Customer_ID]],tblCustomers[Customer_ID],tblCustomers[Name],"Not Found",0)</f>
        <v>Badal Sathe</v>
      </c>
      <c r="M486" s="18" t="str">
        <f>_xlfn.XLOOKUP(tblMaster[[#This Row],[Customer_ID]],tblCustomers[Customer_ID],tblCustomers[Gender],"Not Found",0)</f>
        <v>Female</v>
      </c>
      <c r="N486" s="18" t="str">
        <f>_xlfn.XLOOKUP(tblMaster[[#This Row],[Product_ID]],tblProducts[Product_ID],tblProducts[Product_Name],"Not Found",0)</f>
        <v>Quisquam Pack</v>
      </c>
      <c r="O486" s="18" t="str">
        <f>_xlfn.XLOOKUP(tblMaster[[#This Row],[Product_ID]],tblProducts[Product_ID],tblProducts[Category],"Not Found",0)</f>
        <v>Raksha Bandhan</v>
      </c>
      <c r="P486" s="18" t="str">
        <f>_xlfn.XLOOKUP(tblMaster[[#This Row],[Product_ID]],tblProducts[Product_ID],tblProducts[Occasion],"Not Found",0)</f>
        <v>Diwali</v>
      </c>
      <c r="Q486" s="18">
        <f>_xlfn.XLOOKUP(tblMaster[[#This Row],[Product_ID]],tblProducts[Product_ID],tblProducts[Price (INR)],"Not Found",0)</f>
        <v>750</v>
      </c>
      <c r="R486" s="19">
        <f>tblMaster[[#This Row],[Price]]*tblMaster[[#This Row],[Quantity]]</f>
        <v>3000</v>
      </c>
      <c r="S486" s="19">
        <f>tblMaster[[#This Row],[Price]]*0.7*tblMaster[[#This Row],[Quantity]]</f>
        <v>2100</v>
      </c>
      <c r="T486" s="19">
        <f>tblMaster[[#This Row],[Revenue]]-tblMaster[[#This Row],[Estimated Cost (at 70%) ]]</f>
        <v>900</v>
      </c>
      <c r="U486" s="19">
        <f>tblMaster[[#This Row],[Profit]]/tblMaster[[#This Row],[Revenue]]</f>
        <v>0.3</v>
      </c>
      <c r="V486" s="19">
        <f>tblMaster[[#This Row],[Delivery_Date]]-tblMaster[[#This Row],[Order_Date]]</f>
        <v>8</v>
      </c>
      <c r="W486" s="19" t="str">
        <f>TEXT(tblMaster[[#This Row],[Order_Date]],"mmmm")</f>
        <v>November</v>
      </c>
      <c r="X486" s="19">
        <f>MONTH(tblMaster[[#This Row],[Order_Date]])</f>
        <v>11</v>
      </c>
      <c r="Y486" s="19" t="str">
        <f>"Q"&amp;ROUNDUP(tblMaster[[#This Row],[Month Number]]/3,0)</f>
        <v>Q4</v>
      </c>
      <c r="Z486" s="19">
        <f>YEAR(tblMaster[[#This Row],[Order_Date]])</f>
        <v>2023</v>
      </c>
      <c r="AA486" s="19" t="str">
        <f>TEXT(DAY(tblMaster[[#This Row],[Order_Date]]),"dddd")</f>
        <v>Friday</v>
      </c>
      <c r="AB486" s="19" t="str">
        <f>IF(tblMaster[[#This Row],[Revenue]]&gt;=5000,"High",IF(tblMaster[[#This Row],[Revenue]]&lt;2000,"Low","Medium"))</f>
        <v>Medium</v>
      </c>
    </row>
    <row r="487" spans="1:28" x14ac:dyDescent="0.25">
      <c r="A487" s="10">
        <v>486</v>
      </c>
      <c r="B487" s="10" t="s">
        <v>337</v>
      </c>
      <c r="C487" s="5">
        <v>24</v>
      </c>
      <c r="D487" s="5">
        <v>1</v>
      </c>
      <c r="E487" s="11">
        <v>45132</v>
      </c>
      <c r="F487" s="12">
        <v>0.60729166666666667</v>
      </c>
      <c r="G487" s="11">
        <v>45137</v>
      </c>
      <c r="H487" s="12">
        <v>0.70734953703703707</v>
      </c>
      <c r="I487" s="10" t="s">
        <v>466</v>
      </c>
      <c r="J487" s="10" t="s">
        <v>36</v>
      </c>
      <c r="K487" s="18" t="str">
        <f>_xlfn.XLOOKUP(tblMaster[[#This Row],[Customer_ID]],tblCustomers[Customer_ID],tblCustomers[City],"Not Found",0)</f>
        <v>Sambhal</v>
      </c>
      <c r="L487" s="18" t="str">
        <f>_xlfn.XLOOKUP(tblMaster[[#This Row],[Customer_ID]],tblCustomers[Customer_ID],tblCustomers[Name],"Not Found",0)</f>
        <v>Vardaniya Contractor</v>
      </c>
      <c r="M487" s="18" t="str">
        <f>_xlfn.XLOOKUP(tblMaster[[#This Row],[Customer_ID]],tblCustomers[Customer_ID],tblCustomers[Gender],"Not Found",0)</f>
        <v>Male</v>
      </c>
      <c r="N487" s="18" t="str">
        <f>_xlfn.XLOOKUP(tblMaster[[#This Row],[Product_ID]],tblProducts[Product_ID],tblProducts[Product_Name],"Not Found",0)</f>
        <v>Ad Box</v>
      </c>
      <c r="O487" s="18" t="str">
        <f>_xlfn.XLOOKUP(tblMaster[[#This Row],[Product_ID]],tblProducts[Product_ID],tblProducts[Category],"Not Found",0)</f>
        <v>Mugs</v>
      </c>
      <c r="P487" s="18" t="str">
        <f>_xlfn.XLOOKUP(tblMaster[[#This Row],[Product_ID]],tblProducts[Product_ID],tblProducts[Occasion],"Not Found",0)</f>
        <v>Birthday</v>
      </c>
      <c r="Q487" s="18">
        <f>_xlfn.XLOOKUP(tblMaster[[#This Row],[Product_ID]],tblProducts[Product_ID],tblProducts[Price (INR)],"Not Found",0)</f>
        <v>535</v>
      </c>
      <c r="R487" s="19">
        <f>tblMaster[[#This Row],[Price]]*tblMaster[[#This Row],[Quantity]]</f>
        <v>535</v>
      </c>
      <c r="S487" s="19">
        <f>tblMaster[[#This Row],[Price]]*0.7*tblMaster[[#This Row],[Quantity]]</f>
        <v>374.5</v>
      </c>
      <c r="T487" s="19">
        <f>tblMaster[[#This Row],[Revenue]]-tblMaster[[#This Row],[Estimated Cost (at 70%) ]]</f>
        <v>160.5</v>
      </c>
      <c r="U487" s="19">
        <f>tblMaster[[#This Row],[Profit]]/tblMaster[[#This Row],[Revenue]]</f>
        <v>0.3</v>
      </c>
      <c r="V487" s="19">
        <f>tblMaster[[#This Row],[Delivery_Date]]-tblMaster[[#This Row],[Order_Date]]</f>
        <v>5</v>
      </c>
      <c r="W487" s="19" t="str">
        <f>TEXT(tblMaster[[#This Row],[Order_Date]],"mmmm")</f>
        <v>July</v>
      </c>
      <c r="X487" s="19">
        <f>MONTH(tblMaster[[#This Row],[Order_Date]])</f>
        <v>7</v>
      </c>
      <c r="Y487" s="19" t="str">
        <f>"Q"&amp;ROUNDUP(tblMaster[[#This Row],[Month Number]]/3,0)</f>
        <v>Q3</v>
      </c>
      <c r="Z487" s="19">
        <f>YEAR(tblMaster[[#This Row],[Order_Date]])</f>
        <v>2023</v>
      </c>
      <c r="AA487" s="19" t="str">
        <f>TEXT(DAY(tblMaster[[#This Row],[Order_Date]]),"dddd")</f>
        <v>Wednesday</v>
      </c>
      <c r="AB487" s="19" t="str">
        <f>IF(tblMaster[[#This Row],[Revenue]]&gt;=5000,"High",IF(tblMaster[[#This Row],[Revenue]]&lt;2000,"Low","Medium"))</f>
        <v>Low</v>
      </c>
    </row>
    <row r="488" spans="1:28" x14ac:dyDescent="0.25">
      <c r="A488" s="7">
        <v>487</v>
      </c>
      <c r="B488" s="7" t="s">
        <v>291</v>
      </c>
      <c r="C488" s="4">
        <v>51</v>
      </c>
      <c r="D488" s="4">
        <v>1</v>
      </c>
      <c r="E488" s="8">
        <v>44931</v>
      </c>
      <c r="F488" s="9">
        <v>0.69927083333333329</v>
      </c>
      <c r="G488" s="8">
        <v>44935</v>
      </c>
      <c r="H488" s="9">
        <v>0.18631944444444445</v>
      </c>
      <c r="I488" s="7" t="s">
        <v>432</v>
      </c>
      <c r="J488" s="7" t="s">
        <v>8</v>
      </c>
      <c r="K488" s="18" t="str">
        <f>_xlfn.XLOOKUP(tblMaster[[#This Row],[Customer_ID]],tblCustomers[Customer_ID],tblCustomers[City],"Not Found",0)</f>
        <v>Bharatpur</v>
      </c>
      <c r="L488" s="18" t="str">
        <f>_xlfn.XLOOKUP(tblMaster[[#This Row],[Customer_ID]],tblCustomers[Customer_ID],tblCustomers[Name],"Not Found",0)</f>
        <v>Kismat Kapadia</v>
      </c>
      <c r="M488" s="18" t="str">
        <f>_xlfn.XLOOKUP(tblMaster[[#This Row],[Customer_ID]],tblCustomers[Customer_ID],tblCustomers[Gender],"Not Found",0)</f>
        <v>Female</v>
      </c>
      <c r="N488" s="18" t="str">
        <f>_xlfn.XLOOKUP(tblMaster[[#This Row],[Product_ID]],tblProducts[Product_ID],tblProducts[Product_Name],"Not Found",0)</f>
        <v>Fugit Set</v>
      </c>
      <c r="O488" s="18" t="str">
        <f>_xlfn.XLOOKUP(tblMaster[[#This Row],[Product_ID]],tblProducts[Product_ID],tblProducts[Category],"Not Found",0)</f>
        <v>Soft Toys</v>
      </c>
      <c r="P488" s="18" t="str">
        <f>_xlfn.XLOOKUP(tblMaster[[#This Row],[Product_ID]],tblProducts[Product_ID],tblProducts[Occasion],"Not Found",0)</f>
        <v>All Occasions</v>
      </c>
      <c r="Q488" s="18">
        <f>_xlfn.XLOOKUP(tblMaster[[#This Row],[Product_ID]],tblProducts[Product_ID],tblProducts[Price (INR)],"Not Found",0)</f>
        <v>1084</v>
      </c>
      <c r="R488" s="19">
        <f>tblMaster[[#This Row],[Price]]*tblMaster[[#This Row],[Quantity]]</f>
        <v>1084</v>
      </c>
      <c r="S488" s="19">
        <f>tblMaster[[#This Row],[Price]]*0.7*tblMaster[[#This Row],[Quantity]]</f>
        <v>758.8</v>
      </c>
      <c r="T488" s="19">
        <f>tblMaster[[#This Row],[Revenue]]-tblMaster[[#This Row],[Estimated Cost (at 70%) ]]</f>
        <v>325.20000000000005</v>
      </c>
      <c r="U488" s="19">
        <f>tblMaster[[#This Row],[Profit]]/tblMaster[[#This Row],[Revenue]]</f>
        <v>0.30000000000000004</v>
      </c>
      <c r="V488" s="19">
        <f>tblMaster[[#This Row],[Delivery_Date]]-tblMaster[[#This Row],[Order_Date]]</f>
        <v>4</v>
      </c>
      <c r="W488" s="19" t="str">
        <f>TEXT(tblMaster[[#This Row],[Order_Date]],"mmmm")</f>
        <v>January</v>
      </c>
      <c r="X488" s="19">
        <f>MONTH(tblMaster[[#This Row],[Order_Date]])</f>
        <v>1</v>
      </c>
      <c r="Y488" s="19" t="str">
        <f>"Q"&amp;ROUNDUP(tblMaster[[#This Row],[Month Number]]/3,0)</f>
        <v>Q1</v>
      </c>
      <c r="Z488" s="19">
        <f>YEAR(tblMaster[[#This Row],[Order_Date]])</f>
        <v>2023</v>
      </c>
      <c r="AA488" s="19" t="str">
        <f>TEXT(DAY(tblMaster[[#This Row],[Order_Date]]),"dddd")</f>
        <v>Thursday</v>
      </c>
      <c r="AB488" s="19" t="str">
        <f>IF(tblMaster[[#This Row],[Revenue]]&gt;=5000,"High",IF(tblMaster[[#This Row],[Revenue]]&lt;2000,"Low","Medium"))</f>
        <v>Low</v>
      </c>
    </row>
    <row r="489" spans="1:28" x14ac:dyDescent="0.25">
      <c r="A489" s="10">
        <v>488</v>
      </c>
      <c r="B489" s="10" t="s">
        <v>492</v>
      </c>
      <c r="C489" s="5">
        <v>21</v>
      </c>
      <c r="D489" s="5">
        <v>4</v>
      </c>
      <c r="E489" s="11">
        <v>45166</v>
      </c>
      <c r="F489" s="12">
        <v>0.92604166666666665</v>
      </c>
      <c r="G489" s="11">
        <v>45167</v>
      </c>
      <c r="H489" s="12">
        <v>0.22695601851851852</v>
      </c>
      <c r="I489" s="10" t="s">
        <v>429</v>
      </c>
      <c r="J489" s="10" t="s">
        <v>33</v>
      </c>
      <c r="K489" s="18" t="str">
        <f>_xlfn.XLOOKUP(tblMaster[[#This Row],[Customer_ID]],tblCustomers[Customer_ID],tblCustomers[City],"Not Found",0)</f>
        <v>Singrauli</v>
      </c>
      <c r="L489" s="18" t="str">
        <f>_xlfn.XLOOKUP(tblMaster[[#This Row],[Customer_ID]],tblCustomers[Customer_ID],tblCustomers[Name],"Not Found",0)</f>
        <v>Ira Bava</v>
      </c>
      <c r="M489" s="18" t="str">
        <f>_xlfn.XLOOKUP(tblMaster[[#This Row],[Customer_ID]],tblCustomers[Customer_ID],tblCustomers[Gender],"Not Found",0)</f>
        <v>Female</v>
      </c>
      <c r="N489" s="18" t="str">
        <f>_xlfn.XLOOKUP(tblMaster[[#This Row],[Product_ID]],tblProducts[Product_ID],tblProducts[Product_Name],"Not Found",0)</f>
        <v>Quia Gift</v>
      </c>
      <c r="O489" s="18" t="str">
        <f>_xlfn.XLOOKUP(tblMaster[[#This Row],[Product_ID]],tblProducts[Product_ID],tblProducts[Category],"Not Found",0)</f>
        <v>Colors</v>
      </c>
      <c r="P489" s="18" t="str">
        <f>_xlfn.XLOOKUP(tblMaster[[#This Row],[Product_ID]],tblProducts[Product_ID],tblProducts[Occasion],"Not Found",0)</f>
        <v>Raksha Bandhan</v>
      </c>
      <c r="Q489" s="18">
        <f>_xlfn.XLOOKUP(tblMaster[[#This Row],[Product_ID]],tblProducts[Product_ID],tblProducts[Price (INR)],"Not Found",0)</f>
        <v>1561</v>
      </c>
      <c r="R489" s="19">
        <f>tblMaster[[#This Row],[Price]]*tblMaster[[#This Row],[Quantity]]</f>
        <v>6244</v>
      </c>
      <c r="S489" s="19">
        <f>tblMaster[[#This Row],[Price]]*0.7*tblMaster[[#This Row],[Quantity]]</f>
        <v>4370.7999999999993</v>
      </c>
      <c r="T489" s="19">
        <f>tblMaster[[#This Row],[Revenue]]-tblMaster[[#This Row],[Estimated Cost (at 70%) ]]</f>
        <v>1873.2000000000007</v>
      </c>
      <c r="U489" s="19">
        <f>tblMaster[[#This Row],[Profit]]/tblMaster[[#This Row],[Revenue]]</f>
        <v>0.3000000000000001</v>
      </c>
      <c r="V489" s="19">
        <f>tblMaster[[#This Row],[Delivery_Date]]-tblMaster[[#This Row],[Order_Date]]</f>
        <v>1</v>
      </c>
      <c r="W489" s="19" t="str">
        <f>TEXT(tblMaster[[#This Row],[Order_Date]],"mmmm")</f>
        <v>August</v>
      </c>
      <c r="X489" s="19">
        <f>MONTH(tblMaster[[#This Row],[Order_Date]])</f>
        <v>8</v>
      </c>
      <c r="Y489" s="19" t="str">
        <f>"Q"&amp;ROUNDUP(tblMaster[[#This Row],[Month Number]]/3,0)</f>
        <v>Q3</v>
      </c>
      <c r="Z489" s="19">
        <f>YEAR(tblMaster[[#This Row],[Order_Date]])</f>
        <v>2023</v>
      </c>
      <c r="AA489" s="19" t="str">
        <f>TEXT(DAY(tblMaster[[#This Row],[Order_Date]]),"dddd")</f>
        <v>Saturday</v>
      </c>
      <c r="AB489" s="19" t="str">
        <f>IF(tblMaster[[#This Row],[Revenue]]&gt;=5000,"High",IF(tblMaster[[#This Row],[Revenue]]&lt;2000,"Low","Medium"))</f>
        <v>High</v>
      </c>
    </row>
    <row r="490" spans="1:28" x14ac:dyDescent="0.25">
      <c r="A490" s="7">
        <v>489</v>
      </c>
      <c r="B490" s="7" t="s">
        <v>197</v>
      </c>
      <c r="C490" s="4">
        <v>10</v>
      </c>
      <c r="D490" s="4">
        <v>1</v>
      </c>
      <c r="E490" s="8">
        <v>45166</v>
      </c>
      <c r="F490" s="9">
        <v>0.93537037037037041</v>
      </c>
      <c r="G490" s="8">
        <v>45171</v>
      </c>
      <c r="H490" s="9">
        <v>0.1880324074074074</v>
      </c>
      <c r="I490" s="7" t="s">
        <v>325</v>
      </c>
      <c r="J490" s="7" t="s">
        <v>36</v>
      </c>
      <c r="K490" s="18" t="str">
        <f>_xlfn.XLOOKUP(tblMaster[[#This Row],[Customer_ID]],tblCustomers[Customer_ID],tblCustomers[City],"Not Found",0)</f>
        <v>Hyderabad</v>
      </c>
      <c r="L490" s="18" t="str">
        <f>_xlfn.XLOOKUP(tblMaster[[#This Row],[Customer_ID]],tblCustomers[Customer_ID],tblCustomers[Name],"Not Found",0)</f>
        <v>Charvi Karnik</v>
      </c>
      <c r="M490" s="18" t="str">
        <f>_xlfn.XLOOKUP(tblMaster[[#This Row],[Customer_ID]],tblCustomers[Customer_ID],tblCustomers[Gender],"Not Found",0)</f>
        <v>Male</v>
      </c>
      <c r="N490" s="18" t="str">
        <f>_xlfn.XLOOKUP(tblMaster[[#This Row],[Product_ID]],tblProducts[Product_ID],tblProducts[Product_Name],"Not Found",0)</f>
        <v>Accusantium Gift</v>
      </c>
      <c r="O490" s="18" t="str">
        <f>_xlfn.XLOOKUP(tblMaster[[#This Row],[Product_ID]],tblProducts[Product_ID],tblProducts[Category],"Not Found",0)</f>
        <v>Cake</v>
      </c>
      <c r="P490" s="18" t="str">
        <f>_xlfn.XLOOKUP(tblMaster[[#This Row],[Product_ID]],tblProducts[Product_ID],tblProducts[Occasion],"Not Found",0)</f>
        <v>Birthday</v>
      </c>
      <c r="Q490" s="18">
        <f>_xlfn.XLOOKUP(tblMaster[[#This Row],[Product_ID]],tblProducts[Product_ID],tblProducts[Price (INR)],"Not Found",0)</f>
        <v>259</v>
      </c>
      <c r="R490" s="19">
        <f>tblMaster[[#This Row],[Price]]*tblMaster[[#This Row],[Quantity]]</f>
        <v>259</v>
      </c>
      <c r="S490" s="19">
        <f>tblMaster[[#This Row],[Price]]*0.7*tblMaster[[#This Row],[Quantity]]</f>
        <v>181.29999999999998</v>
      </c>
      <c r="T490" s="19">
        <f>tblMaster[[#This Row],[Revenue]]-tblMaster[[#This Row],[Estimated Cost (at 70%) ]]</f>
        <v>77.700000000000017</v>
      </c>
      <c r="U490" s="19">
        <f>tblMaster[[#This Row],[Profit]]/tblMaster[[#This Row],[Revenue]]</f>
        <v>0.30000000000000004</v>
      </c>
      <c r="V490" s="19">
        <f>tblMaster[[#This Row],[Delivery_Date]]-tblMaster[[#This Row],[Order_Date]]</f>
        <v>5</v>
      </c>
      <c r="W490" s="19" t="str">
        <f>TEXT(tblMaster[[#This Row],[Order_Date]],"mmmm")</f>
        <v>August</v>
      </c>
      <c r="X490" s="19">
        <f>MONTH(tblMaster[[#This Row],[Order_Date]])</f>
        <v>8</v>
      </c>
      <c r="Y490" s="19" t="str">
        <f>"Q"&amp;ROUNDUP(tblMaster[[#This Row],[Month Number]]/3,0)</f>
        <v>Q3</v>
      </c>
      <c r="Z490" s="19">
        <f>YEAR(tblMaster[[#This Row],[Order_Date]])</f>
        <v>2023</v>
      </c>
      <c r="AA490" s="19" t="str">
        <f>TEXT(DAY(tblMaster[[#This Row],[Order_Date]]),"dddd")</f>
        <v>Saturday</v>
      </c>
      <c r="AB490" s="19" t="str">
        <f>IF(tblMaster[[#This Row],[Revenue]]&gt;=5000,"High",IF(tblMaster[[#This Row],[Revenue]]&lt;2000,"Low","Medium"))</f>
        <v>Low</v>
      </c>
    </row>
    <row r="491" spans="1:28" x14ac:dyDescent="0.25">
      <c r="A491" s="10">
        <v>490</v>
      </c>
      <c r="B491" s="10" t="s">
        <v>321</v>
      </c>
      <c r="C491" s="5">
        <v>2</v>
      </c>
      <c r="D491" s="5">
        <v>1</v>
      </c>
      <c r="E491" s="11">
        <v>44969</v>
      </c>
      <c r="F491" s="12">
        <v>0.51947916666666671</v>
      </c>
      <c r="G491" s="11">
        <v>44971</v>
      </c>
      <c r="H491" s="12">
        <v>0.51896990740740745</v>
      </c>
      <c r="I491" s="10" t="s">
        <v>496</v>
      </c>
      <c r="J491" s="10" t="s">
        <v>12</v>
      </c>
      <c r="K491" s="18" t="str">
        <f>_xlfn.XLOOKUP(tblMaster[[#This Row],[Customer_ID]],tblCustomers[Customer_ID],tblCustomers[City],"Not Found",0)</f>
        <v>Aligarh</v>
      </c>
      <c r="L491" s="18" t="str">
        <f>_xlfn.XLOOKUP(tblMaster[[#This Row],[Customer_ID]],tblCustomers[Customer_ID],tblCustomers[Name],"Not Found",0)</f>
        <v>Yashvi Bansal</v>
      </c>
      <c r="M491" s="18" t="str">
        <f>_xlfn.XLOOKUP(tblMaster[[#This Row],[Customer_ID]],tblCustomers[Customer_ID],tblCustomers[Gender],"Not Found",0)</f>
        <v>Female</v>
      </c>
      <c r="N491" s="18" t="str">
        <f>_xlfn.XLOOKUP(tblMaster[[#This Row],[Product_ID]],tblProducts[Product_ID],tblProducts[Product_Name],"Not Found",0)</f>
        <v>Voluptas Box</v>
      </c>
      <c r="O491" s="18" t="str">
        <f>_xlfn.XLOOKUP(tblMaster[[#This Row],[Product_ID]],tblProducts[Product_ID],tblProducts[Category],"Not Found",0)</f>
        <v>Plants</v>
      </c>
      <c r="P491" s="18" t="str">
        <f>_xlfn.XLOOKUP(tblMaster[[#This Row],[Product_ID]],tblProducts[Product_ID],tblProducts[Occasion],"Not Found",0)</f>
        <v>Valentine's Day</v>
      </c>
      <c r="Q491" s="18">
        <f>_xlfn.XLOOKUP(tblMaster[[#This Row],[Product_ID]],tblProducts[Product_ID],tblProducts[Price (INR)],"Not Found",0)</f>
        <v>441</v>
      </c>
      <c r="R491" s="19">
        <f>tblMaster[[#This Row],[Price]]*tblMaster[[#This Row],[Quantity]]</f>
        <v>441</v>
      </c>
      <c r="S491" s="19">
        <f>tblMaster[[#This Row],[Price]]*0.7*tblMaster[[#This Row],[Quantity]]</f>
        <v>308.7</v>
      </c>
      <c r="T491" s="19">
        <f>tblMaster[[#This Row],[Revenue]]-tblMaster[[#This Row],[Estimated Cost (at 70%) ]]</f>
        <v>132.30000000000001</v>
      </c>
      <c r="U491" s="19">
        <f>tblMaster[[#This Row],[Profit]]/tblMaster[[#This Row],[Revenue]]</f>
        <v>0.30000000000000004</v>
      </c>
      <c r="V491" s="19">
        <f>tblMaster[[#This Row],[Delivery_Date]]-tblMaster[[#This Row],[Order_Date]]</f>
        <v>2</v>
      </c>
      <c r="W491" s="19" t="str">
        <f>TEXT(tblMaster[[#This Row],[Order_Date]],"mmmm")</f>
        <v>February</v>
      </c>
      <c r="X491" s="19">
        <f>MONTH(tblMaster[[#This Row],[Order_Date]])</f>
        <v>2</v>
      </c>
      <c r="Y491" s="19" t="str">
        <f>"Q"&amp;ROUNDUP(tblMaster[[#This Row],[Month Number]]/3,0)</f>
        <v>Q1</v>
      </c>
      <c r="Z491" s="19">
        <f>YEAR(tblMaster[[#This Row],[Order_Date]])</f>
        <v>2023</v>
      </c>
      <c r="AA491" s="19" t="str">
        <f>TEXT(DAY(tblMaster[[#This Row],[Order_Date]]),"dddd")</f>
        <v>Thursday</v>
      </c>
      <c r="AB491" s="19" t="str">
        <f>IF(tblMaster[[#This Row],[Revenue]]&gt;=5000,"High",IF(tblMaster[[#This Row],[Revenue]]&lt;2000,"Low","Medium"))</f>
        <v>Low</v>
      </c>
    </row>
    <row r="492" spans="1:28" x14ac:dyDescent="0.25">
      <c r="A492" s="7">
        <v>491</v>
      </c>
      <c r="B492" s="7" t="s">
        <v>258</v>
      </c>
      <c r="C492" s="4">
        <v>30</v>
      </c>
      <c r="D492" s="4">
        <v>1</v>
      </c>
      <c r="E492" s="8">
        <v>45223</v>
      </c>
      <c r="F492" s="9">
        <v>0.26011574074074073</v>
      </c>
      <c r="G492" s="8">
        <v>45232</v>
      </c>
      <c r="H492" s="9">
        <v>0.95787037037037037</v>
      </c>
      <c r="I492" s="7" t="s">
        <v>455</v>
      </c>
      <c r="J492" s="7" t="s">
        <v>30</v>
      </c>
      <c r="K492" s="18" t="str">
        <f>_xlfn.XLOOKUP(tblMaster[[#This Row],[Customer_ID]],tblCustomers[Customer_ID],tblCustomers[City],"Not Found",0)</f>
        <v>Warangal</v>
      </c>
      <c r="L492" s="18" t="str">
        <f>_xlfn.XLOOKUP(tblMaster[[#This Row],[Customer_ID]],tblCustomers[Customer_ID],tblCustomers[Name],"Not Found",0)</f>
        <v>Mahika Cherian</v>
      </c>
      <c r="M492" s="18" t="str">
        <f>_xlfn.XLOOKUP(tblMaster[[#This Row],[Customer_ID]],tblCustomers[Customer_ID],tblCustomers[Gender],"Not Found",0)</f>
        <v>Female</v>
      </c>
      <c r="N492" s="18" t="str">
        <f>_xlfn.XLOOKUP(tblMaster[[#This Row],[Product_ID]],tblProducts[Product_ID],tblProducts[Product_Name],"Not Found",0)</f>
        <v>Recusandae Pack</v>
      </c>
      <c r="O492" s="18" t="str">
        <f>_xlfn.XLOOKUP(tblMaster[[#This Row],[Product_ID]],tblProducts[Product_ID],tblProducts[Category],"Not Found",0)</f>
        <v>Colors</v>
      </c>
      <c r="P492" s="18" t="str">
        <f>_xlfn.XLOOKUP(tblMaster[[#This Row],[Product_ID]],tblProducts[Product_ID],tblProducts[Occasion],"Not Found",0)</f>
        <v>Anniversary</v>
      </c>
      <c r="Q492" s="18">
        <f>_xlfn.XLOOKUP(tblMaster[[#This Row],[Product_ID]],tblProducts[Product_ID],tblProducts[Price (INR)],"Not Found",0)</f>
        <v>751</v>
      </c>
      <c r="R492" s="19">
        <f>tblMaster[[#This Row],[Price]]*tblMaster[[#This Row],[Quantity]]</f>
        <v>751</v>
      </c>
      <c r="S492" s="19">
        <f>tblMaster[[#This Row],[Price]]*0.7*tblMaster[[#This Row],[Quantity]]</f>
        <v>525.69999999999993</v>
      </c>
      <c r="T492" s="19">
        <f>tblMaster[[#This Row],[Revenue]]-tblMaster[[#This Row],[Estimated Cost (at 70%) ]]</f>
        <v>225.30000000000007</v>
      </c>
      <c r="U492" s="19">
        <f>tblMaster[[#This Row],[Profit]]/tblMaster[[#This Row],[Revenue]]</f>
        <v>0.3000000000000001</v>
      </c>
      <c r="V492" s="19">
        <f>tblMaster[[#This Row],[Delivery_Date]]-tblMaster[[#This Row],[Order_Date]]</f>
        <v>9</v>
      </c>
      <c r="W492" s="19" t="str">
        <f>TEXT(tblMaster[[#This Row],[Order_Date]],"mmmm")</f>
        <v>October</v>
      </c>
      <c r="X492" s="19">
        <f>MONTH(tblMaster[[#This Row],[Order_Date]])</f>
        <v>10</v>
      </c>
      <c r="Y492" s="19" t="str">
        <f>"Q"&amp;ROUNDUP(tblMaster[[#This Row],[Month Number]]/3,0)</f>
        <v>Q4</v>
      </c>
      <c r="Z492" s="19">
        <f>YEAR(tblMaster[[#This Row],[Order_Date]])</f>
        <v>2023</v>
      </c>
      <c r="AA492" s="19" t="str">
        <f>TEXT(DAY(tblMaster[[#This Row],[Order_Date]]),"dddd")</f>
        <v>Tuesday</v>
      </c>
      <c r="AB492" s="19" t="str">
        <f>IF(tblMaster[[#This Row],[Revenue]]&gt;=5000,"High",IF(tblMaster[[#This Row],[Revenue]]&lt;2000,"Low","Medium"))</f>
        <v>Low</v>
      </c>
    </row>
    <row r="493" spans="1:28" x14ac:dyDescent="0.25">
      <c r="A493" s="10">
        <v>492</v>
      </c>
      <c r="B493" s="10" t="s">
        <v>221</v>
      </c>
      <c r="C493" s="5">
        <v>33</v>
      </c>
      <c r="D493" s="5">
        <v>2</v>
      </c>
      <c r="E493" s="11">
        <v>44961</v>
      </c>
      <c r="F493" s="12">
        <v>0.57945601851851847</v>
      </c>
      <c r="G493" s="11">
        <v>44970</v>
      </c>
      <c r="H493" s="12">
        <v>0.50315972222222227</v>
      </c>
      <c r="I493" s="10" t="s">
        <v>290</v>
      </c>
      <c r="J493" s="10" t="s">
        <v>12</v>
      </c>
      <c r="K493" s="18" t="str">
        <f>_xlfn.XLOOKUP(tblMaster[[#This Row],[Customer_ID]],tblCustomers[Customer_ID],tblCustomers[City],"Not Found",0)</f>
        <v>Jorhat</v>
      </c>
      <c r="L493" s="18" t="str">
        <f>_xlfn.XLOOKUP(tblMaster[[#This Row],[Customer_ID]],tblCustomers[Customer_ID],tblCustomers[Name],"Not Found",0)</f>
        <v>Bhamini Ravi</v>
      </c>
      <c r="M493" s="18" t="str">
        <f>_xlfn.XLOOKUP(tblMaster[[#This Row],[Customer_ID]],tblCustomers[Customer_ID],tblCustomers[Gender],"Not Found",0)</f>
        <v>Male</v>
      </c>
      <c r="N493" s="18" t="str">
        <f>_xlfn.XLOOKUP(tblMaster[[#This Row],[Product_ID]],tblProducts[Product_ID],tblProducts[Product_Name],"Not Found",0)</f>
        <v>Earum Set</v>
      </c>
      <c r="O493" s="18" t="str">
        <f>_xlfn.XLOOKUP(tblMaster[[#This Row],[Product_ID]],tblProducts[Product_ID],tblProducts[Category],"Not Found",0)</f>
        <v>Colors</v>
      </c>
      <c r="P493" s="18" t="str">
        <f>_xlfn.XLOOKUP(tblMaster[[#This Row],[Product_ID]],tblProducts[Product_ID],tblProducts[Occasion],"Not Found",0)</f>
        <v>Valentine's Day</v>
      </c>
      <c r="Q493" s="18">
        <f>_xlfn.XLOOKUP(tblMaster[[#This Row],[Product_ID]],tblProducts[Product_ID],tblProducts[Price (INR)],"Not Found",0)</f>
        <v>314</v>
      </c>
      <c r="R493" s="19">
        <f>tblMaster[[#This Row],[Price]]*tblMaster[[#This Row],[Quantity]]</f>
        <v>628</v>
      </c>
      <c r="S493" s="19">
        <f>tblMaster[[#This Row],[Price]]*0.7*tblMaster[[#This Row],[Quantity]]</f>
        <v>439.59999999999997</v>
      </c>
      <c r="T493" s="19">
        <f>tblMaster[[#This Row],[Revenue]]-tblMaster[[#This Row],[Estimated Cost (at 70%) ]]</f>
        <v>188.40000000000003</v>
      </c>
      <c r="U493" s="19">
        <f>tblMaster[[#This Row],[Profit]]/tblMaster[[#This Row],[Revenue]]</f>
        <v>0.30000000000000004</v>
      </c>
      <c r="V493" s="19">
        <f>tblMaster[[#This Row],[Delivery_Date]]-tblMaster[[#This Row],[Order_Date]]</f>
        <v>9</v>
      </c>
      <c r="W493" s="19" t="str">
        <f>TEXT(tblMaster[[#This Row],[Order_Date]],"mmmm")</f>
        <v>February</v>
      </c>
      <c r="X493" s="19">
        <f>MONTH(tblMaster[[#This Row],[Order_Date]])</f>
        <v>2</v>
      </c>
      <c r="Y493" s="19" t="str">
        <f>"Q"&amp;ROUNDUP(tblMaster[[#This Row],[Month Number]]/3,0)</f>
        <v>Q1</v>
      </c>
      <c r="Z493" s="19">
        <f>YEAR(tblMaster[[#This Row],[Order_Date]])</f>
        <v>2023</v>
      </c>
      <c r="AA493" s="19" t="str">
        <f>TEXT(DAY(tblMaster[[#This Row],[Order_Date]]),"dddd")</f>
        <v>Wednesday</v>
      </c>
      <c r="AB493" s="19" t="str">
        <f>IF(tblMaster[[#This Row],[Revenue]]&gt;=5000,"High",IF(tblMaster[[#This Row],[Revenue]]&lt;2000,"Low","Medium"))</f>
        <v>Low</v>
      </c>
    </row>
    <row r="494" spans="1:28" x14ac:dyDescent="0.25">
      <c r="A494" s="7">
        <v>493</v>
      </c>
      <c r="B494" s="7" t="s">
        <v>329</v>
      </c>
      <c r="C494" s="4">
        <v>11</v>
      </c>
      <c r="D494" s="4">
        <v>1</v>
      </c>
      <c r="E494" s="8">
        <v>44962</v>
      </c>
      <c r="F494" s="9">
        <v>0.92458333333333331</v>
      </c>
      <c r="G494" s="8">
        <v>44963</v>
      </c>
      <c r="H494" s="9">
        <v>0.65498842592592588</v>
      </c>
      <c r="I494" s="7" t="s">
        <v>359</v>
      </c>
      <c r="J494" s="7" t="s">
        <v>12</v>
      </c>
      <c r="K494" s="18" t="str">
        <f>_xlfn.XLOOKUP(tblMaster[[#This Row],[Customer_ID]],tblCustomers[Customer_ID],tblCustomers[City],"Not Found",0)</f>
        <v>Vellore</v>
      </c>
      <c r="L494" s="18" t="str">
        <f>_xlfn.XLOOKUP(tblMaster[[#This Row],[Customer_ID]],tblCustomers[Customer_ID],tblCustomers[Name],"Not Found",0)</f>
        <v>Ira Sarna</v>
      </c>
      <c r="M494" s="18" t="str">
        <f>_xlfn.XLOOKUP(tblMaster[[#This Row],[Customer_ID]],tblCustomers[Customer_ID],tblCustomers[Gender],"Not Found",0)</f>
        <v>Male</v>
      </c>
      <c r="N494" s="18" t="str">
        <f>_xlfn.XLOOKUP(tblMaster[[#This Row],[Product_ID]],tblProducts[Product_ID],tblProducts[Product_Name],"Not Found",0)</f>
        <v>Maxime Set</v>
      </c>
      <c r="O494" s="18" t="str">
        <f>_xlfn.XLOOKUP(tblMaster[[#This Row],[Product_ID]],tblProducts[Product_ID],tblProducts[Category],"Not Found",0)</f>
        <v>Mugs</v>
      </c>
      <c r="P494" s="18" t="str">
        <f>_xlfn.XLOOKUP(tblMaster[[#This Row],[Product_ID]],tblProducts[Product_ID],tblProducts[Occasion],"Not Found",0)</f>
        <v>Valentine's Day</v>
      </c>
      <c r="Q494" s="18">
        <f>_xlfn.XLOOKUP(tblMaster[[#This Row],[Product_ID]],tblProducts[Product_ID],tblProducts[Price (INR)],"Not Found",0)</f>
        <v>1096</v>
      </c>
      <c r="R494" s="19">
        <f>tblMaster[[#This Row],[Price]]*tblMaster[[#This Row],[Quantity]]</f>
        <v>1096</v>
      </c>
      <c r="S494" s="19">
        <f>tblMaster[[#This Row],[Price]]*0.7*tblMaster[[#This Row],[Quantity]]</f>
        <v>767.19999999999993</v>
      </c>
      <c r="T494" s="19">
        <f>tblMaster[[#This Row],[Revenue]]-tblMaster[[#This Row],[Estimated Cost (at 70%) ]]</f>
        <v>328.80000000000007</v>
      </c>
      <c r="U494" s="19">
        <f>tblMaster[[#This Row],[Profit]]/tblMaster[[#This Row],[Revenue]]</f>
        <v>0.30000000000000004</v>
      </c>
      <c r="V494" s="19">
        <f>tblMaster[[#This Row],[Delivery_Date]]-tblMaster[[#This Row],[Order_Date]]</f>
        <v>1</v>
      </c>
      <c r="W494" s="19" t="str">
        <f>TEXT(tblMaster[[#This Row],[Order_Date]],"mmmm")</f>
        <v>February</v>
      </c>
      <c r="X494" s="19">
        <f>MONTH(tblMaster[[#This Row],[Order_Date]])</f>
        <v>2</v>
      </c>
      <c r="Y494" s="19" t="str">
        <f>"Q"&amp;ROUNDUP(tblMaster[[#This Row],[Month Number]]/3,0)</f>
        <v>Q1</v>
      </c>
      <c r="Z494" s="19">
        <f>YEAR(tblMaster[[#This Row],[Order_Date]])</f>
        <v>2023</v>
      </c>
      <c r="AA494" s="19" t="str">
        <f>TEXT(DAY(tblMaster[[#This Row],[Order_Date]]),"dddd")</f>
        <v>Thursday</v>
      </c>
      <c r="AB494" s="19" t="str">
        <f>IF(tblMaster[[#This Row],[Revenue]]&gt;=5000,"High",IF(tblMaster[[#This Row],[Revenue]]&lt;2000,"Low","Medium"))</f>
        <v>Low</v>
      </c>
    </row>
    <row r="495" spans="1:28" x14ac:dyDescent="0.25">
      <c r="A495" s="10">
        <v>494</v>
      </c>
      <c r="B495" s="10" t="s">
        <v>316</v>
      </c>
      <c r="C495" s="5">
        <v>7</v>
      </c>
      <c r="D495" s="5">
        <v>4</v>
      </c>
      <c r="E495" s="11">
        <v>44985</v>
      </c>
      <c r="F495" s="12">
        <v>0.13289351851851852</v>
      </c>
      <c r="G495" s="11">
        <v>44993</v>
      </c>
      <c r="H495" s="12">
        <v>0.79638888888888892</v>
      </c>
      <c r="I495" s="10" t="s">
        <v>366</v>
      </c>
      <c r="J495" s="10" t="s">
        <v>25</v>
      </c>
      <c r="K495" s="18" t="str">
        <f>_xlfn.XLOOKUP(tblMaster[[#This Row],[Customer_ID]],tblCustomers[Customer_ID],tblCustomers[City],"Not Found",0)</f>
        <v>Ahmednagar</v>
      </c>
      <c r="L495" s="18" t="str">
        <f>_xlfn.XLOOKUP(tblMaster[[#This Row],[Customer_ID]],tblCustomers[Customer_ID],tblCustomers[Name],"Not Found",0)</f>
        <v>Anya Chaudhari</v>
      </c>
      <c r="M495" s="18" t="str">
        <f>_xlfn.XLOOKUP(tblMaster[[#This Row],[Customer_ID]],tblCustomers[Customer_ID],tblCustomers[Gender],"Not Found",0)</f>
        <v>Female</v>
      </c>
      <c r="N495" s="18" t="str">
        <f>_xlfn.XLOOKUP(tblMaster[[#This Row],[Product_ID]],tblProducts[Product_ID],tblProducts[Product_Name],"Not Found",0)</f>
        <v>Quos Set</v>
      </c>
      <c r="O495" s="18" t="str">
        <f>_xlfn.XLOOKUP(tblMaster[[#This Row],[Product_ID]],tblProducts[Product_ID],tblProducts[Category],"Not Found",0)</f>
        <v>Soft Toys</v>
      </c>
      <c r="P495" s="18" t="str">
        <f>_xlfn.XLOOKUP(tblMaster[[#This Row],[Product_ID]],tblProducts[Product_ID],tblProducts[Occasion],"Not Found",0)</f>
        <v>Holi</v>
      </c>
      <c r="Q495" s="18">
        <f>_xlfn.XLOOKUP(tblMaster[[#This Row],[Product_ID]],tblProducts[Product_ID],tblProducts[Price (INR)],"Not Found",0)</f>
        <v>409</v>
      </c>
      <c r="R495" s="19">
        <f>tblMaster[[#This Row],[Price]]*tblMaster[[#This Row],[Quantity]]</f>
        <v>1636</v>
      </c>
      <c r="S495" s="19">
        <f>tblMaster[[#This Row],[Price]]*0.7*tblMaster[[#This Row],[Quantity]]</f>
        <v>1145.1999999999998</v>
      </c>
      <c r="T495" s="19">
        <f>tblMaster[[#This Row],[Revenue]]-tblMaster[[#This Row],[Estimated Cost (at 70%) ]]</f>
        <v>490.80000000000018</v>
      </c>
      <c r="U495" s="19">
        <f>tblMaster[[#This Row],[Profit]]/tblMaster[[#This Row],[Revenue]]</f>
        <v>0.3000000000000001</v>
      </c>
      <c r="V495" s="19">
        <f>tblMaster[[#This Row],[Delivery_Date]]-tblMaster[[#This Row],[Order_Date]]</f>
        <v>8</v>
      </c>
      <c r="W495" s="19" t="str">
        <f>TEXT(tblMaster[[#This Row],[Order_Date]],"mmmm")</f>
        <v>February</v>
      </c>
      <c r="X495" s="19">
        <f>MONTH(tblMaster[[#This Row],[Order_Date]])</f>
        <v>2</v>
      </c>
      <c r="Y495" s="19" t="str">
        <f>"Q"&amp;ROUNDUP(tblMaster[[#This Row],[Month Number]]/3,0)</f>
        <v>Q1</v>
      </c>
      <c r="Z495" s="19">
        <f>YEAR(tblMaster[[#This Row],[Order_Date]])</f>
        <v>2023</v>
      </c>
      <c r="AA495" s="19" t="str">
        <f>TEXT(DAY(tblMaster[[#This Row],[Order_Date]]),"dddd")</f>
        <v>Saturday</v>
      </c>
      <c r="AB495" s="19" t="str">
        <f>IF(tblMaster[[#This Row],[Revenue]]&gt;=5000,"High",IF(tblMaster[[#This Row],[Revenue]]&lt;2000,"Low","Medium"))</f>
        <v>Low</v>
      </c>
    </row>
    <row r="496" spans="1:28" x14ac:dyDescent="0.25">
      <c r="A496" s="7">
        <v>495</v>
      </c>
      <c r="B496" s="7" t="s">
        <v>369</v>
      </c>
      <c r="C496" s="4">
        <v>20</v>
      </c>
      <c r="D496" s="4">
        <v>1</v>
      </c>
      <c r="E496" s="8">
        <v>45166</v>
      </c>
      <c r="F496" s="9">
        <v>0.73783564814814817</v>
      </c>
      <c r="G496" s="8">
        <v>45167</v>
      </c>
      <c r="H496" s="9">
        <v>0.9524421296296296</v>
      </c>
      <c r="I496" s="7" t="s">
        <v>516</v>
      </c>
      <c r="J496" s="7" t="s">
        <v>30</v>
      </c>
      <c r="K496" s="18" t="str">
        <f>_xlfn.XLOOKUP(tblMaster[[#This Row],[Customer_ID]],tblCustomers[Customer_ID],tblCustomers[City],"Not Found",0)</f>
        <v>Berhampore</v>
      </c>
      <c r="L496" s="18" t="str">
        <f>_xlfn.XLOOKUP(tblMaster[[#This Row],[Customer_ID]],tblCustomers[Customer_ID],tblCustomers[Name],"Not Found",0)</f>
        <v>Jayant Kamdar</v>
      </c>
      <c r="M496" s="18" t="str">
        <f>_xlfn.XLOOKUP(tblMaster[[#This Row],[Customer_ID]],tblCustomers[Customer_ID],tblCustomers[Gender],"Not Found",0)</f>
        <v>Male</v>
      </c>
      <c r="N496" s="18" t="str">
        <f>_xlfn.XLOOKUP(tblMaster[[#This Row],[Product_ID]],tblProducts[Product_ID],tblProducts[Product_Name],"Not Found",0)</f>
        <v>Reiciendis Box</v>
      </c>
      <c r="O496" s="18" t="str">
        <f>_xlfn.XLOOKUP(tblMaster[[#This Row],[Product_ID]],tblProducts[Product_ID],tblProducts[Category],"Not Found",0)</f>
        <v>Colors</v>
      </c>
      <c r="P496" s="18" t="str">
        <f>_xlfn.XLOOKUP(tblMaster[[#This Row],[Product_ID]],tblProducts[Product_ID],tblProducts[Occasion],"Not Found",0)</f>
        <v>Anniversary</v>
      </c>
      <c r="Q496" s="18">
        <f>_xlfn.XLOOKUP(tblMaster[[#This Row],[Product_ID]],tblProducts[Product_ID],tblProducts[Price (INR)],"Not Found",0)</f>
        <v>697</v>
      </c>
      <c r="R496" s="19">
        <f>tblMaster[[#This Row],[Price]]*tblMaster[[#This Row],[Quantity]]</f>
        <v>697</v>
      </c>
      <c r="S496" s="19">
        <f>tblMaster[[#This Row],[Price]]*0.7*tblMaster[[#This Row],[Quantity]]</f>
        <v>487.9</v>
      </c>
      <c r="T496" s="19">
        <f>tblMaster[[#This Row],[Revenue]]-tblMaster[[#This Row],[Estimated Cost (at 70%) ]]</f>
        <v>209.10000000000002</v>
      </c>
      <c r="U496" s="19">
        <f>tblMaster[[#This Row],[Profit]]/tblMaster[[#This Row],[Revenue]]</f>
        <v>0.30000000000000004</v>
      </c>
      <c r="V496" s="19">
        <f>tblMaster[[#This Row],[Delivery_Date]]-tblMaster[[#This Row],[Order_Date]]</f>
        <v>1</v>
      </c>
      <c r="W496" s="19" t="str">
        <f>TEXT(tblMaster[[#This Row],[Order_Date]],"mmmm")</f>
        <v>August</v>
      </c>
      <c r="X496" s="19">
        <f>MONTH(tblMaster[[#This Row],[Order_Date]])</f>
        <v>8</v>
      </c>
      <c r="Y496" s="19" t="str">
        <f>"Q"&amp;ROUNDUP(tblMaster[[#This Row],[Month Number]]/3,0)</f>
        <v>Q3</v>
      </c>
      <c r="Z496" s="19">
        <f>YEAR(tblMaster[[#This Row],[Order_Date]])</f>
        <v>2023</v>
      </c>
      <c r="AA496" s="19" t="str">
        <f>TEXT(DAY(tblMaster[[#This Row],[Order_Date]]),"dddd")</f>
        <v>Saturday</v>
      </c>
      <c r="AB496" s="19" t="str">
        <f>IF(tblMaster[[#This Row],[Revenue]]&gt;=5000,"High",IF(tblMaster[[#This Row],[Revenue]]&lt;2000,"Low","Medium"))</f>
        <v>Low</v>
      </c>
    </row>
    <row r="497" spans="1:28" x14ac:dyDescent="0.25">
      <c r="A497" s="10">
        <v>496</v>
      </c>
      <c r="B497" s="10" t="s">
        <v>503</v>
      </c>
      <c r="C497" s="5">
        <v>11</v>
      </c>
      <c r="D497" s="5">
        <v>4</v>
      </c>
      <c r="E497" s="11">
        <v>44966</v>
      </c>
      <c r="F497" s="12">
        <v>0.60552083333333329</v>
      </c>
      <c r="G497" s="11">
        <v>44973</v>
      </c>
      <c r="H497" s="12">
        <v>0.54561342592592588</v>
      </c>
      <c r="I497" s="10" t="s">
        <v>368</v>
      </c>
      <c r="J497" s="10" t="s">
        <v>12</v>
      </c>
      <c r="K497" s="18" t="str">
        <f>_xlfn.XLOOKUP(tblMaster[[#This Row],[Customer_ID]],tblCustomers[Customer_ID],tblCustomers[City],"Not Found",0)</f>
        <v>Mehsana</v>
      </c>
      <c r="L497" s="18" t="str">
        <f>_xlfn.XLOOKUP(tblMaster[[#This Row],[Customer_ID]],tblCustomers[Customer_ID],tblCustomers[Name],"Not Found",0)</f>
        <v>Siya Talwar</v>
      </c>
      <c r="M497" s="18" t="str">
        <f>_xlfn.XLOOKUP(tblMaster[[#This Row],[Customer_ID]],tblCustomers[Customer_ID],tblCustomers[Gender],"Not Found",0)</f>
        <v>Male</v>
      </c>
      <c r="N497" s="18" t="str">
        <f>_xlfn.XLOOKUP(tblMaster[[#This Row],[Product_ID]],tblProducts[Product_ID],tblProducts[Product_Name],"Not Found",0)</f>
        <v>Maxime Set</v>
      </c>
      <c r="O497" s="18" t="str">
        <f>_xlfn.XLOOKUP(tblMaster[[#This Row],[Product_ID]],tblProducts[Product_ID],tblProducts[Category],"Not Found",0)</f>
        <v>Mugs</v>
      </c>
      <c r="P497" s="18" t="str">
        <f>_xlfn.XLOOKUP(tblMaster[[#This Row],[Product_ID]],tblProducts[Product_ID],tblProducts[Occasion],"Not Found",0)</f>
        <v>Valentine's Day</v>
      </c>
      <c r="Q497" s="18">
        <f>_xlfn.XLOOKUP(tblMaster[[#This Row],[Product_ID]],tblProducts[Product_ID],tblProducts[Price (INR)],"Not Found",0)</f>
        <v>1096</v>
      </c>
      <c r="R497" s="19">
        <f>tblMaster[[#This Row],[Price]]*tblMaster[[#This Row],[Quantity]]</f>
        <v>4384</v>
      </c>
      <c r="S497" s="19">
        <f>tblMaster[[#This Row],[Price]]*0.7*tblMaster[[#This Row],[Quantity]]</f>
        <v>3068.7999999999997</v>
      </c>
      <c r="T497" s="19">
        <f>tblMaster[[#This Row],[Revenue]]-tblMaster[[#This Row],[Estimated Cost (at 70%) ]]</f>
        <v>1315.2000000000003</v>
      </c>
      <c r="U497" s="19">
        <f>tblMaster[[#This Row],[Profit]]/tblMaster[[#This Row],[Revenue]]</f>
        <v>0.30000000000000004</v>
      </c>
      <c r="V497" s="19">
        <f>tblMaster[[#This Row],[Delivery_Date]]-tblMaster[[#This Row],[Order_Date]]</f>
        <v>7</v>
      </c>
      <c r="W497" s="19" t="str">
        <f>TEXT(tblMaster[[#This Row],[Order_Date]],"mmmm")</f>
        <v>February</v>
      </c>
      <c r="X497" s="19">
        <f>MONTH(tblMaster[[#This Row],[Order_Date]])</f>
        <v>2</v>
      </c>
      <c r="Y497" s="19" t="str">
        <f>"Q"&amp;ROUNDUP(tblMaster[[#This Row],[Month Number]]/3,0)</f>
        <v>Q1</v>
      </c>
      <c r="Z497" s="19">
        <f>YEAR(tblMaster[[#This Row],[Order_Date]])</f>
        <v>2023</v>
      </c>
      <c r="AA497" s="19" t="str">
        <f>TEXT(DAY(tblMaster[[#This Row],[Order_Date]]),"dddd")</f>
        <v>Monday</v>
      </c>
      <c r="AB497" s="19" t="str">
        <f>IF(tblMaster[[#This Row],[Revenue]]&gt;=5000,"High",IF(tblMaster[[#This Row],[Revenue]]&lt;2000,"Low","Medium"))</f>
        <v>Medium</v>
      </c>
    </row>
    <row r="498" spans="1:28" x14ac:dyDescent="0.25">
      <c r="A498" s="7">
        <v>497</v>
      </c>
      <c r="B498" s="7" t="s">
        <v>313</v>
      </c>
      <c r="C498" s="4">
        <v>64</v>
      </c>
      <c r="D498" s="4">
        <v>2</v>
      </c>
      <c r="E498" s="8">
        <v>45167</v>
      </c>
      <c r="F498" s="9">
        <v>0.8430671296296296</v>
      </c>
      <c r="G498" s="8">
        <v>45170</v>
      </c>
      <c r="H498" s="9">
        <v>0.19648148148148148</v>
      </c>
      <c r="I498" s="7" t="s">
        <v>439</v>
      </c>
      <c r="J498" s="7" t="s">
        <v>33</v>
      </c>
      <c r="K498" s="18" t="str">
        <f>_xlfn.XLOOKUP(tblMaster[[#This Row],[Customer_ID]],tblCustomers[Customer_ID],tblCustomers[City],"Not Found",0)</f>
        <v>Ratlam</v>
      </c>
      <c r="L498" s="18" t="str">
        <f>_xlfn.XLOOKUP(tblMaster[[#This Row],[Customer_ID]],tblCustomers[Customer_ID],tblCustomers[Name],"Not Found",0)</f>
        <v>Kaira Ramachandran</v>
      </c>
      <c r="M498" s="18" t="str">
        <f>_xlfn.XLOOKUP(tblMaster[[#This Row],[Customer_ID]],tblCustomers[Customer_ID],tblCustomers[Gender],"Not Found",0)</f>
        <v>Male</v>
      </c>
      <c r="N498" s="18" t="str">
        <f>_xlfn.XLOOKUP(tblMaster[[#This Row],[Product_ID]],tblProducts[Product_ID],tblProducts[Product_Name],"Not Found",0)</f>
        <v>Nostrum Box</v>
      </c>
      <c r="O498" s="18" t="str">
        <f>_xlfn.XLOOKUP(tblMaster[[#This Row],[Product_ID]],tblProducts[Product_ID],tblProducts[Category],"Not Found",0)</f>
        <v>Soft Toys</v>
      </c>
      <c r="P498" s="18" t="str">
        <f>_xlfn.XLOOKUP(tblMaster[[#This Row],[Product_ID]],tblProducts[Product_ID],tblProducts[Occasion],"Not Found",0)</f>
        <v>Raksha Bandhan</v>
      </c>
      <c r="Q498" s="18">
        <f>_xlfn.XLOOKUP(tblMaster[[#This Row],[Product_ID]],tblProducts[Product_ID],tblProducts[Price (INR)],"Not Found",0)</f>
        <v>1878</v>
      </c>
      <c r="R498" s="19">
        <f>tblMaster[[#This Row],[Price]]*tblMaster[[#This Row],[Quantity]]</f>
        <v>3756</v>
      </c>
      <c r="S498" s="19">
        <f>tblMaster[[#This Row],[Price]]*0.7*tblMaster[[#This Row],[Quantity]]</f>
        <v>2629.2</v>
      </c>
      <c r="T498" s="19">
        <f>tblMaster[[#This Row],[Revenue]]-tblMaster[[#This Row],[Estimated Cost (at 70%) ]]</f>
        <v>1126.8000000000002</v>
      </c>
      <c r="U498" s="19">
        <f>tblMaster[[#This Row],[Profit]]/tblMaster[[#This Row],[Revenue]]</f>
        <v>0.30000000000000004</v>
      </c>
      <c r="V498" s="19">
        <f>tblMaster[[#This Row],[Delivery_Date]]-tblMaster[[#This Row],[Order_Date]]</f>
        <v>3</v>
      </c>
      <c r="W498" s="19" t="str">
        <f>TEXT(tblMaster[[#This Row],[Order_Date]],"mmmm")</f>
        <v>August</v>
      </c>
      <c r="X498" s="19">
        <f>MONTH(tblMaster[[#This Row],[Order_Date]])</f>
        <v>8</v>
      </c>
      <c r="Y498" s="19" t="str">
        <f>"Q"&amp;ROUNDUP(tblMaster[[#This Row],[Month Number]]/3,0)</f>
        <v>Q3</v>
      </c>
      <c r="Z498" s="19">
        <f>YEAR(tblMaster[[#This Row],[Order_Date]])</f>
        <v>2023</v>
      </c>
      <c r="AA498" s="19" t="str">
        <f>TEXT(DAY(tblMaster[[#This Row],[Order_Date]]),"dddd")</f>
        <v>Sunday</v>
      </c>
      <c r="AB498" s="19" t="str">
        <f>IF(tblMaster[[#This Row],[Revenue]]&gt;=5000,"High",IF(tblMaster[[#This Row],[Revenue]]&lt;2000,"Low","Medium"))</f>
        <v>Medium</v>
      </c>
    </row>
    <row r="499" spans="1:28" x14ac:dyDescent="0.25">
      <c r="A499" s="10">
        <v>498</v>
      </c>
      <c r="B499" s="10" t="s">
        <v>304</v>
      </c>
      <c r="C499" s="5">
        <v>19</v>
      </c>
      <c r="D499" s="5">
        <v>4</v>
      </c>
      <c r="E499" s="11">
        <v>44970</v>
      </c>
      <c r="F499" s="12">
        <v>0.8991203703703704</v>
      </c>
      <c r="G499" s="11">
        <v>44977</v>
      </c>
      <c r="H499" s="12">
        <v>0.88500000000000001</v>
      </c>
      <c r="I499" s="10" t="s">
        <v>517</v>
      </c>
      <c r="J499" s="10" t="s">
        <v>12</v>
      </c>
      <c r="K499" s="18" t="str">
        <f>_xlfn.XLOOKUP(tblMaster[[#This Row],[Customer_ID]],tblCustomers[Customer_ID],tblCustomers[City],"Not Found",0)</f>
        <v>Phagwara</v>
      </c>
      <c r="L499" s="18" t="str">
        <f>_xlfn.XLOOKUP(tblMaster[[#This Row],[Customer_ID]],tblCustomers[Customer_ID],tblCustomers[Name],"Not Found",0)</f>
        <v>Pranay Chaudhary</v>
      </c>
      <c r="M499" s="18" t="str">
        <f>_xlfn.XLOOKUP(tblMaster[[#This Row],[Customer_ID]],tblCustomers[Customer_ID],tblCustomers[Gender],"Not Found",0)</f>
        <v>Female</v>
      </c>
      <c r="N499" s="18" t="str">
        <f>_xlfn.XLOOKUP(tblMaster[[#This Row],[Product_ID]],tblProducts[Product_ID],tblProducts[Product_Name],"Not Found",0)</f>
        <v>Iure Gift</v>
      </c>
      <c r="O499" s="18" t="str">
        <f>_xlfn.XLOOKUP(tblMaster[[#This Row],[Product_ID]],tblProducts[Product_ID],tblProducts[Category],"Not Found",0)</f>
        <v>Mugs</v>
      </c>
      <c r="P499" s="18" t="str">
        <f>_xlfn.XLOOKUP(tblMaster[[#This Row],[Product_ID]],tblProducts[Product_ID],tblProducts[Occasion],"Not Found",0)</f>
        <v>Valentine's Day</v>
      </c>
      <c r="Q499" s="18">
        <f>_xlfn.XLOOKUP(tblMaster[[#This Row],[Product_ID]],tblProducts[Product_ID],tblProducts[Price (INR)],"Not Found",0)</f>
        <v>1234</v>
      </c>
      <c r="R499" s="19">
        <f>tblMaster[[#This Row],[Price]]*tblMaster[[#This Row],[Quantity]]</f>
        <v>4936</v>
      </c>
      <c r="S499" s="19">
        <f>tblMaster[[#This Row],[Price]]*0.7*tblMaster[[#This Row],[Quantity]]</f>
        <v>3455.2</v>
      </c>
      <c r="T499" s="19">
        <f>tblMaster[[#This Row],[Revenue]]-tblMaster[[#This Row],[Estimated Cost (at 70%) ]]</f>
        <v>1480.8000000000002</v>
      </c>
      <c r="U499" s="19">
        <f>tblMaster[[#This Row],[Profit]]/tblMaster[[#This Row],[Revenue]]</f>
        <v>0.30000000000000004</v>
      </c>
      <c r="V499" s="19">
        <f>tblMaster[[#This Row],[Delivery_Date]]-tblMaster[[#This Row],[Order_Date]]</f>
        <v>7</v>
      </c>
      <c r="W499" s="19" t="str">
        <f>TEXT(tblMaster[[#This Row],[Order_Date]],"mmmm")</f>
        <v>February</v>
      </c>
      <c r="X499" s="19">
        <f>MONTH(tblMaster[[#This Row],[Order_Date]])</f>
        <v>2</v>
      </c>
      <c r="Y499" s="19" t="str">
        <f>"Q"&amp;ROUNDUP(tblMaster[[#This Row],[Month Number]]/3,0)</f>
        <v>Q1</v>
      </c>
      <c r="Z499" s="19">
        <f>YEAR(tblMaster[[#This Row],[Order_Date]])</f>
        <v>2023</v>
      </c>
      <c r="AA499" s="19" t="str">
        <f>TEXT(DAY(tblMaster[[#This Row],[Order_Date]]),"dddd")</f>
        <v>Friday</v>
      </c>
      <c r="AB499" s="19" t="str">
        <f>IF(tblMaster[[#This Row],[Revenue]]&gt;=5000,"High",IF(tblMaster[[#This Row],[Revenue]]&lt;2000,"Low","Medium"))</f>
        <v>Medium</v>
      </c>
    </row>
    <row r="500" spans="1:28" x14ac:dyDescent="0.25">
      <c r="A500" s="7">
        <v>499</v>
      </c>
      <c r="B500" s="7" t="s">
        <v>244</v>
      </c>
      <c r="C500" s="4">
        <v>59</v>
      </c>
      <c r="D500" s="4">
        <v>1</v>
      </c>
      <c r="E500" s="8">
        <v>45165</v>
      </c>
      <c r="F500" s="9">
        <v>0.50648148148148153</v>
      </c>
      <c r="G500" s="8">
        <v>45171</v>
      </c>
      <c r="H500" s="9">
        <v>0.41912037037037037</v>
      </c>
      <c r="I500" s="7" t="s">
        <v>315</v>
      </c>
      <c r="J500" s="7" t="s">
        <v>33</v>
      </c>
      <c r="K500" s="18" t="str">
        <f>_xlfn.XLOOKUP(tblMaster[[#This Row],[Customer_ID]],tblCustomers[Customer_ID],tblCustomers[City],"Not Found",0)</f>
        <v>Sasaram</v>
      </c>
      <c r="L500" s="18" t="str">
        <f>_xlfn.XLOOKUP(tblMaster[[#This Row],[Customer_ID]],tblCustomers[Customer_ID],tblCustomers[Name],"Not Found",0)</f>
        <v>Madhup Wable</v>
      </c>
      <c r="M500" s="18" t="str">
        <f>_xlfn.XLOOKUP(tblMaster[[#This Row],[Customer_ID]],tblCustomers[Customer_ID],tblCustomers[Gender],"Not Found",0)</f>
        <v>Female</v>
      </c>
      <c r="N500" s="18" t="str">
        <f>_xlfn.XLOOKUP(tblMaster[[#This Row],[Product_ID]],tblProducts[Product_ID],tblProducts[Product_Name],"Not Found",0)</f>
        <v>Pariatur Box</v>
      </c>
      <c r="O500" s="18" t="str">
        <f>_xlfn.XLOOKUP(tblMaster[[#This Row],[Product_ID]],tblProducts[Product_ID],tblProducts[Category],"Not Found",0)</f>
        <v>Cake</v>
      </c>
      <c r="P500" s="18" t="str">
        <f>_xlfn.XLOOKUP(tblMaster[[#This Row],[Product_ID]],tblProducts[Product_ID],tblProducts[Occasion],"Not Found",0)</f>
        <v>Raksha Bandhan</v>
      </c>
      <c r="Q500" s="18">
        <f>_xlfn.XLOOKUP(tblMaster[[#This Row],[Product_ID]],tblProducts[Product_ID],tblProducts[Price (INR)],"Not Found",0)</f>
        <v>811</v>
      </c>
      <c r="R500" s="19">
        <f>tblMaster[[#This Row],[Price]]*tblMaster[[#This Row],[Quantity]]</f>
        <v>811</v>
      </c>
      <c r="S500" s="19">
        <f>tblMaster[[#This Row],[Price]]*0.7*tblMaster[[#This Row],[Quantity]]</f>
        <v>567.69999999999993</v>
      </c>
      <c r="T500" s="19">
        <f>tblMaster[[#This Row],[Revenue]]-tblMaster[[#This Row],[Estimated Cost (at 70%) ]]</f>
        <v>243.30000000000007</v>
      </c>
      <c r="U500" s="19">
        <f>tblMaster[[#This Row],[Profit]]/tblMaster[[#This Row],[Revenue]]</f>
        <v>0.3000000000000001</v>
      </c>
      <c r="V500" s="19">
        <f>tblMaster[[#This Row],[Delivery_Date]]-tblMaster[[#This Row],[Order_Date]]</f>
        <v>6</v>
      </c>
      <c r="W500" s="19" t="str">
        <f>TEXT(tblMaster[[#This Row],[Order_Date]],"mmmm")</f>
        <v>August</v>
      </c>
      <c r="X500" s="19">
        <f>MONTH(tblMaster[[#This Row],[Order_Date]])</f>
        <v>8</v>
      </c>
      <c r="Y500" s="19" t="str">
        <f>"Q"&amp;ROUNDUP(tblMaster[[#This Row],[Month Number]]/3,0)</f>
        <v>Q3</v>
      </c>
      <c r="Z500" s="19">
        <f>YEAR(tblMaster[[#This Row],[Order_Date]])</f>
        <v>2023</v>
      </c>
      <c r="AA500" s="19" t="str">
        <f>TEXT(DAY(tblMaster[[#This Row],[Order_Date]]),"dddd")</f>
        <v>Friday</v>
      </c>
      <c r="AB500" s="19" t="str">
        <f>IF(tblMaster[[#This Row],[Revenue]]&gt;=5000,"High",IF(tblMaster[[#This Row],[Revenue]]&lt;2000,"Low","Medium"))</f>
        <v>Low</v>
      </c>
    </row>
    <row r="501" spans="1:28" x14ac:dyDescent="0.25">
      <c r="A501" s="10">
        <v>500</v>
      </c>
      <c r="B501" s="10" t="s">
        <v>193</v>
      </c>
      <c r="C501" s="5">
        <v>61</v>
      </c>
      <c r="D501" s="5">
        <v>2</v>
      </c>
      <c r="E501" s="11">
        <v>45106</v>
      </c>
      <c r="F501" s="12">
        <v>0.42212962962962963</v>
      </c>
      <c r="G501" s="11">
        <v>45112</v>
      </c>
      <c r="H501" s="12">
        <v>0.51001157407407405</v>
      </c>
      <c r="I501" s="10" t="s">
        <v>518</v>
      </c>
      <c r="J501" s="10" t="s">
        <v>30</v>
      </c>
      <c r="K501" s="18" t="str">
        <f>_xlfn.XLOOKUP(tblMaster[[#This Row],[Customer_ID]],tblCustomers[Customer_ID],tblCustomers[City],"Not Found",0)</f>
        <v>Mangalore</v>
      </c>
      <c r="L501" s="18" t="str">
        <f>_xlfn.XLOOKUP(tblMaster[[#This Row],[Customer_ID]],tblCustomers[Customer_ID],tblCustomers[Name],"Not Found",0)</f>
        <v>Manikya Goswami</v>
      </c>
      <c r="M501" s="18" t="str">
        <f>_xlfn.XLOOKUP(tblMaster[[#This Row],[Customer_ID]],tblCustomers[Customer_ID],tblCustomers[Gender],"Not Found",0)</f>
        <v>Female</v>
      </c>
      <c r="N501" s="18" t="str">
        <f>_xlfn.XLOOKUP(tblMaster[[#This Row],[Product_ID]],tblProducts[Product_ID],tblProducts[Product_Name],"Not Found",0)</f>
        <v>Iusto Box</v>
      </c>
      <c r="O501" s="18" t="str">
        <f>_xlfn.XLOOKUP(tblMaster[[#This Row],[Product_ID]],tblProducts[Product_ID],tblProducts[Category],"Not Found",0)</f>
        <v>Plants</v>
      </c>
      <c r="P501" s="18" t="str">
        <f>_xlfn.XLOOKUP(tblMaster[[#This Row],[Product_ID]],tblProducts[Product_ID],tblProducts[Occasion],"Not Found",0)</f>
        <v>Anniversary</v>
      </c>
      <c r="Q501" s="18">
        <f>_xlfn.XLOOKUP(tblMaster[[#This Row],[Product_ID]],tblProducts[Product_ID],tblProducts[Price (INR)],"Not Found",0)</f>
        <v>810</v>
      </c>
      <c r="R501" s="19">
        <f>tblMaster[[#This Row],[Price]]*tblMaster[[#This Row],[Quantity]]</f>
        <v>1620</v>
      </c>
      <c r="S501" s="19">
        <f>tblMaster[[#This Row],[Price]]*0.7*tblMaster[[#This Row],[Quantity]]</f>
        <v>1134</v>
      </c>
      <c r="T501" s="19">
        <f>tblMaster[[#This Row],[Revenue]]-tblMaster[[#This Row],[Estimated Cost (at 70%) ]]</f>
        <v>486</v>
      </c>
      <c r="U501" s="19">
        <f>tblMaster[[#This Row],[Profit]]/tblMaster[[#This Row],[Revenue]]</f>
        <v>0.3</v>
      </c>
      <c r="V501" s="19">
        <f>tblMaster[[#This Row],[Delivery_Date]]-tblMaster[[#This Row],[Order_Date]]</f>
        <v>6</v>
      </c>
      <c r="W501" s="19" t="str">
        <f>TEXT(tblMaster[[#This Row],[Order_Date]],"mmmm")</f>
        <v>June</v>
      </c>
      <c r="X501" s="19">
        <f>MONTH(tblMaster[[#This Row],[Order_Date]])</f>
        <v>6</v>
      </c>
      <c r="Y501" s="19" t="str">
        <f>"Q"&amp;ROUNDUP(tblMaster[[#This Row],[Month Number]]/3,0)</f>
        <v>Q2</v>
      </c>
      <c r="Z501" s="19">
        <f>YEAR(tblMaster[[#This Row],[Order_Date]])</f>
        <v>2023</v>
      </c>
      <c r="AA501" s="19" t="str">
        <f>TEXT(DAY(tblMaster[[#This Row],[Order_Date]]),"dddd")</f>
        <v>Sunday</v>
      </c>
      <c r="AB501" s="19" t="str">
        <f>IF(tblMaster[[#This Row],[Revenue]]&gt;=5000,"High",IF(tblMaster[[#This Row],[Revenue]]&lt;2000,"Low","Medium"))</f>
        <v>Low</v>
      </c>
    </row>
    <row r="502" spans="1:28" x14ac:dyDescent="0.25">
      <c r="A502" s="7">
        <v>501</v>
      </c>
      <c r="B502" s="7" t="s">
        <v>232</v>
      </c>
      <c r="C502" s="4">
        <v>46</v>
      </c>
      <c r="D502" s="4">
        <v>2</v>
      </c>
      <c r="E502" s="8">
        <v>45171</v>
      </c>
      <c r="F502" s="9">
        <v>0.68589120370370371</v>
      </c>
      <c r="G502" s="8">
        <v>45177</v>
      </c>
      <c r="H502" s="9">
        <v>0.315</v>
      </c>
      <c r="I502" s="7" t="s">
        <v>381</v>
      </c>
      <c r="J502" s="7" t="s">
        <v>30</v>
      </c>
      <c r="K502" s="18" t="str">
        <f>_xlfn.XLOOKUP(tblMaster[[#This Row],[Customer_ID]],tblCustomers[Customer_ID],tblCustomers[City],"Not Found",0)</f>
        <v>Malegaon</v>
      </c>
      <c r="L502" s="18" t="str">
        <f>_xlfn.XLOOKUP(tblMaster[[#This Row],[Customer_ID]],tblCustomers[Customer_ID],tblCustomers[Name],"Not Found",0)</f>
        <v>Eshani Buch</v>
      </c>
      <c r="M502" s="18" t="str">
        <f>_xlfn.XLOOKUP(tblMaster[[#This Row],[Customer_ID]],tblCustomers[Customer_ID],tblCustomers[Gender],"Not Found",0)</f>
        <v>Female</v>
      </c>
      <c r="N502" s="18" t="str">
        <f>_xlfn.XLOOKUP(tblMaster[[#This Row],[Product_ID]],tblProducts[Product_ID],tblProducts[Product_Name],"Not Found",0)</f>
        <v>Pariatur Set</v>
      </c>
      <c r="O502" s="18" t="str">
        <f>_xlfn.XLOOKUP(tblMaster[[#This Row],[Product_ID]],tblProducts[Product_ID],tblProducts[Category],"Not Found",0)</f>
        <v>Cake</v>
      </c>
      <c r="P502" s="18" t="str">
        <f>_xlfn.XLOOKUP(tblMaster[[#This Row],[Product_ID]],tblProducts[Product_ID],tblProducts[Occasion],"Not Found",0)</f>
        <v>Anniversary</v>
      </c>
      <c r="Q502" s="18">
        <f>_xlfn.XLOOKUP(tblMaster[[#This Row],[Product_ID]],tblProducts[Product_ID],tblProducts[Price (INR)],"Not Found",0)</f>
        <v>758</v>
      </c>
      <c r="R502" s="19">
        <f>tblMaster[[#This Row],[Price]]*tblMaster[[#This Row],[Quantity]]</f>
        <v>1516</v>
      </c>
      <c r="S502" s="19">
        <f>tblMaster[[#This Row],[Price]]*0.7*tblMaster[[#This Row],[Quantity]]</f>
        <v>1061.2</v>
      </c>
      <c r="T502" s="19">
        <f>tblMaster[[#This Row],[Revenue]]-tblMaster[[#This Row],[Estimated Cost (at 70%) ]]</f>
        <v>454.79999999999995</v>
      </c>
      <c r="U502" s="19">
        <f>tblMaster[[#This Row],[Profit]]/tblMaster[[#This Row],[Revenue]]</f>
        <v>0.3</v>
      </c>
      <c r="V502" s="19">
        <f>tblMaster[[#This Row],[Delivery_Date]]-tblMaster[[#This Row],[Order_Date]]</f>
        <v>6</v>
      </c>
      <c r="W502" s="19" t="str">
        <f>TEXT(tblMaster[[#This Row],[Order_Date]],"mmmm")</f>
        <v>September</v>
      </c>
      <c r="X502" s="19">
        <f>MONTH(tblMaster[[#This Row],[Order_Date]])</f>
        <v>9</v>
      </c>
      <c r="Y502" s="19" t="str">
        <f>"Q"&amp;ROUNDUP(tblMaster[[#This Row],[Month Number]]/3,0)</f>
        <v>Q3</v>
      </c>
      <c r="Z502" s="19">
        <f>YEAR(tblMaster[[#This Row],[Order_Date]])</f>
        <v>2023</v>
      </c>
      <c r="AA502" s="19" t="str">
        <f>TEXT(DAY(tblMaster[[#This Row],[Order_Date]]),"dddd")</f>
        <v>Monday</v>
      </c>
      <c r="AB502" s="19" t="str">
        <f>IF(tblMaster[[#This Row],[Revenue]]&gt;=5000,"High",IF(tblMaster[[#This Row],[Revenue]]&lt;2000,"Low","Medium"))</f>
        <v>Low</v>
      </c>
    </row>
    <row r="503" spans="1:28" x14ac:dyDescent="0.25">
      <c r="A503" s="10">
        <v>502</v>
      </c>
      <c r="B503" s="10" t="s">
        <v>183</v>
      </c>
      <c r="C503" s="5">
        <v>22</v>
      </c>
      <c r="D503" s="5">
        <v>5</v>
      </c>
      <c r="E503" s="11">
        <v>45101</v>
      </c>
      <c r="F503" s="12">
        <v>0.23148148148148148</v>
      </c>
      <c r="G503" s="11">
        <v>45107</v>
      </c>
      <c r="H503" s="12">
        <v>3.8703703703703705E-2</v>
      </c>
      <c r="I503" s="10" t="s">
        <v>269</v>
      </c>
      <c r="J503" s="10" t="s">
        <v>8</v>
      </c>
      <c r="K503" s="18" t="str">
        <f>_xlfn.XLOOKUP(tblMaster[[#This Row],[Customer_ID]],tblCustomers[Customer_ID],tblCustomers[City],"Not Found",0)</f>
        <v>Dhanbad</v>
      </c>
      <c r="L503" s="18" t="str">
        <f>_xlfn.XLOOKUP(tblMaster[[#This Row],[Customer_ID]],tblCustomers[Customer_ID],tblCustomers[Name],"Not Found",0)</f>
        <v>Ranbir Loyal</v>
      </c>
      <c r="M503" s="18" t="str">
        <f>_xlfn.XLOOKUP(tblMaster[[#This Row],[Customer_ID]],tblCustomers[Customer_ID],tblCustomers[Gender],"Not Found",0)</f>
        <v>Female</v>
      </c>
      <c r="N503" s="18" t="str">
        <f>_xlfn.XLOOKUP(tblMaster[[#This Row],[Product_ID]],tblProducts[Product_ID],tblProducts[Product_Name],"Not Found",0)</f>
        <v>Exercitationem Pack</v>
      </c>
      <c r="O503" s="18" t="str">
        <f>_xlfn.XLOOKUP(tblMaster[[#This Row],[Product_ID]],tblProducts[Product_ID],tblProducts[Category],"Not Found",0)</f>
        <v>Soft Toys</v>
      </c>
      <c r="P503" s="18" t="str">
        <f>_xlfn.XLOOKUP(tblMaster[[#This Row],[Product_ID]],tblProducts[Product_ID],tblProducts[Occasion],"Not Found",0)</f>
        <v>All Occasions</v>
      </c>
      <c r="Q503" s="18">
        <f>_xlfn.XLOOKUP(tblMaster[[#This Row],[Product_ID]],tblProducts[Product_ID],tblProducts[Price (INR)],"Not Found",0)</f>
        <v>1639</v>
      </c>
      <c r="R503" s="19">
        <f>tblMaster[[#This Row],[Price]]*tblMaster[[#This Row],[Quantity]]</f>
        <v>8195</v>
      </c>
      <c r="S503" s="19">
        <f>tblMaster[[#This Row],[Price]]*0.7*tblMaster[[#This Row],[Quantity]]</f>
        <v>5736.5</v>
      </c>
      <c r="T503" s="19">
        <f>tblMaster[[#This Row],[Revenue]]-tblMaster[[#This Row],[Estimated Cost (at 70%) ]]</f>
        <v>2458.5</v>
      </c>
      <c r="U503" s="19">
        <f>tblMaster[[#This Row],[Profit]]/tblMaster[[#This Row],[Revenue]]</f>
        <v>0.3</v>
      </c>
      <c r="V503" s="19">
        <f>tblMaster[[#This Row],[Delivery_Date]]-tblMaster[[#This Row],[Order_Date]]</f>
        <v>6</v>
      </c>
      <c r="W503" s="19" t="str">
        <f>TEXT(tblMaster[[#This Row],[Order_Date]],"mmmm")</f>
        <v>June</v>
      </c>
      <c r="X503" s="19">
        <f>MONTH(tblMaster[[#This Row],[Order_Date]])</f>
        <v>6</v>
      </c>
      <c r="Y503" s="19" t="str">
        <f>"Q"&amp;ROUNDUP(tblMaster[[#This Row],[Month Number]]/3,0)</f>
        <v>Q2</v>
      </c>
      <c r="Z503" s="19">
        <f>YEAR(tblMaster[[#This Row],[Order_Date]])</f>
        <v>2023</v>
      </c>
      <c r="AA503" s="19" t="str">
        <f>TEXT(DAY(tblMaster[[#This Row],[Order_Date]]),"dddd")</f>
        <v>Tuesday</v>
      </c>
      <c r="AB503" s="19" t="str">
        <f>IF(tblMaster[[#This Row],[Revenue]]&gt;=5000,"High",IF(tblMaster[[#This Row],[Revenue]]&lt;2000,"Low","Medium"))</f>
        <v>High</v>
      </c>
    </row>
    <row r="504" spans="1:28" x14ac:dyDescent="0.25">
      <c r="A504" s="7">
        <v>503</v>
      </c>
      <c r="B504" s="7" t="s">
        <v>246</v>
      </c>
      <c r="C504" s="4">
        <v>34</v>
      </c>
      <c r="D504" s="4">
        <v>1</v>
      </c>
      <c r="E504" s="8">
        <v>45167</v>
      </c>
      <c r="F504" s="9">
        <v>0.86510416666666667</v>
      </c>
      <c r="G504" s="8">
        <v>45175</v>
      </c>
      <c r="H504" s="9">
        <v>0.32631944444444444</v>
      </c>
      <c r="I504" s="7" t="s">
        <v>519</v>
      </c>
      <c r="J504" s="7" t="s">
        <v>33</v>
      </c>
      <c r="K504" s="18" t="str">
        <f>_xlfn.XLOOKUP(tblMaster[[#This Row],[Customer_ID]],tblCustomers[Customer_ID],tblCustomers[City],"Not Found",0)</f>
        <v>Machilipatnam</v>
      </c>
      <c r="L504" s="18" t="str">
        <f>_xlfn.XLOOKUP(tblMaster[[#This Row],[Customer_ID]],tblCustomers[Customer_ID],tblCustomers[Name],"Not Found",0)</f>
        <v>Samaira Ganesh</v>
      </c>
      <c r="M504" s="18" t="str">
        <f>_xlfn.XLOOKUP(tblMaster[[#This Row],[Customer_ID]],tblCustomers[Customer_ID],tblCustomers[Gender],"Not Found",0)</f>
        <v>Male</v>
      </c>
      <c r="N504" s="18" t="str">
        <f>_xlfn.XLOOKUP(tblMaster[[#This Row],[Product_ID]],tblProducts[Product_ID],tblProducts[Product_Name],"Not Found",0)</f>
        <v>Placeat Pack</v>
      </c>
      <c r="O504" s="18" t="str">
        <f>_xlfn.XLOOKUP(tblMaster[[#This Row],[Product_ID]],tblProducts[Product_ID],tblProducts[Category],"Not Found",0)</f>
        <v>Soft Toys</v>
      </c>
      <c r="P504" s="18" t="str">
        <f>_xlfn.XLOOKUP(tblMaster[[#This Row],[Product_ID]],tblProducts[Product_ID],tblProducts[Occasion],"Not Found",0)</f>
        <v>Raksha Bandhan</v>
      </c>
      <c r="Q504" s="18">
        <f>_xlfn.XLOOKUP(tblMaster[[#This Row],[Product_ID]],tblProducts[Product_ID],tblProducts[Price (INR)],"Not Found",0)</f>
        <v>1335</v>
      </c>
      <c r="R504" s="19">
        <f>tblMaster[[#This Row],[Price]]*tblMaster[[#This Row],[Quantity]]</f>
        <v>1335</v>
      </c>
      <c r="S504" s="19">
        <f>tblMaster[[#This Row],[Price]]*0.7*tblMaster[[#This Row],[Quantity]]</f>
        <v>934.49999999999989</v>
      </c>
      <c r="T504" s="19">
        <f>tblMaster[[#This Row],[Revenue]]-tblMaster[[#This Row],[Estimated Cost (at 70%) ]]</f>
        <v>400.50000000000011</v>
      </c>
      <c r="U504" s="19">
        <f>tblMaster[[#This Row],[Profit]]/tblMaster[[#This Row],[Revenue]]</f>
        <v>0.3000000000000001</v>
      </c>
      <c r="V504" s="19">
        <f>tblMaster[[#This Row],[Delivery_Date]]-tblMaster[[#This Row],[Order_Date]]</f>
        <v>8</v>
      </c>
      <c r="W504" s="19" t="str">
        <f>TEXT(tblMaster[[#This Row],[Order_Date]],"mmmm")</f>
        <v>August</v>
      </c>
      <c r="X504" s="19">
        <f>MONTH(tblMaster[[#This Row],[Order_Date]])</f>
        <v>8</v>
      </c>
      <c r="Y504" s="19" t="str">
        <f>"Q"&amp;ROUNDUP(tblMaster[[#This Row],[Month Number]]/3,0)</f>
        <v>Q3</v>
      </c>
      <c r="Z504" s="19">
        <f>YEAR(tblMaster[[#This Row],[Order_Date]])</f>
        <v>2023</v>
      </c>
      <c r="AA504" s="19" t="str">
        <f>TEXT(DAY(tblMaster[[#This Row],[Order_Date]]),"dddd")</f>
        <v>Sunday</v>
      </c>
      <c r="AB504" s="19" t="str">
        <f>IF(tblMaster[[#This Row],[Revenue]]&gt;=5000,"High",IF(tblMaster[[#This Row],[Revenue]]&lt;2000,"Low","Medium"))</f>
        <v>Low</v>
      </c>
    </row>
    <row r="505" spans="1:28" x14ac:dyDescent="0.25">
      <c r="A505" s="10">
        <v>504</v>
      </c>
      <c r="B505" s="10" t="s">
        <v>265</v>
      </c>
      <c r="C505" s="5">
        <v>25</v>
      </c>
      <c r="D505" s="5">
        <v>1</v>
      </c>
      <c r="E505" s="11">
        <v>45121</v>
      </c>
      <c r="F505" s="12">
        <v>0.54493055555555558</v>
      </c>
      <c r="G505" s="11">
        <v>45131</v>
      </c>
      <c r="H505" s="12">
        <v>0.22263888888888889</v>
      </c>
      <c r="I505" s="10" t="s">
        <v>520</v>
      </c>
      <c r="J505" s="10" t="s">
        <v>30</v>
      </c>
      <c r="K505" s="18" t="str">
        <f>_xlfn.XLOOKUP(tblMaster[[#This Row],[Customer_ID]],tblCustomers[Customer_ID],tblCustomers[City],"Not Found",0)</f>
        <v>Guntakal</v>
      </c>
      <c r="L505" s="18" t="str">
        <f>_xlfn.XLOOKUP(tblMaster[[#This Row],[Customer_ID]],tblCustomers[Customer_ID],tblCustomers[Name],"Not Found",0)</f>
        <v>Charvi Kanda</v>
      </c>
      <c r="M505" s="18" t="str">
        <f>_xlfn.XLOOKUP(tblMaster[[#This Row],[Customer_ID]],tblCustomers[Customer_ID],tblCustomers[Gender],"Not Found",0)</f>
        <v>Male</v>
      </c>
      <c r="N505" s="18" t="str">
        <f>_xlfn.XLOOKUP(tblMaster[[#This Row],[Product_ID]],tblProducts[Product_ID],tblProducts[Product_Name],"Not Found",0)</f>
        <v>Qui Gift</v>
      </c>
      <c r="O505" s="18" t="str">
        <f>_xlfn.XLOOKUP(tblMaster[[#This Row],[Product_ID]],tblProducts[Product_ID],tblProducts[Category],"Not Found",0)</f>
        <v>Plants</v>
      </c>
      <c r="P505" s="18" t="str">
        <f>_xlfn.XLOOKUP(tblMaster[[#This Row],[Product_ID]],tblProducts[Product_ID],tblProducts[Occasion],"Not Found",0)</f>
        <v>Anniversary</v>
      </c>
      <c r="Q505" s="18">
        <f>_xlfn.XLOOKUP(tblMaster[[#This Row],[Product_ID]],tblProducts[Product_ID],tblProducts[Price (INR)],"Not Found",0)</f>
        <v>1202</v>
      </c>
      <c r="R505" s="19">
        <f>tblMaster[[#This Row],[Price]]*tblMaster[[#This Row],[Quantity]]</f>
        <v>1202</v>
      </c>
      <c r="S505" s="19">
        <f>tblMaster[[#This Row],[Price]]*0.7*tblMaster[[#This Row],[Quantity]]</f>
        <v>841.4</v>
      </c>
      <c r="T505" s="19">
        <f>tblMaster[[#This Row],[Revenue]]-tblMaster[[#This Row],[Estimated Cost (at 70%) ]]</f>
        <v>360.6</v>
      </c>
      <c r="U505" s="19">
        <f>tblMaster[[#This Row],[Profit]]/tblMaster[[#This Row],[Revenue]]</f>
        <v>0.30000000000000004</v>
      </c>
      <c r="V505" s="19">
        <f>tblMaster[[#This Row],[Delivery_Date]]-tblMaster[[#This Row],[Order_Date]]</f>
        <v>10</v>
      </c>
      <c r="W505" s="19" t="str">
        <f>TEXT(tblMaster[[#This Row],[Order_Date]],"mmmm")</f>
        <v>July</v>
      </c>
      <c r="X505" s="19">
        <f>MONTH(tblMaster[[#This Row],[Order_Date]])</f>
        <v>7</v>
      </c>
      <c r="Y505" s="19" t="str">
        <f>"Q"&amp;ROUNDUP(tblMaster[[#This Row],[Month Number]]/3,0)</f>
        <v>Q3</v>
      </c>
      <c r="Z505" s="19">
        <f>YEAR(tblMaster[[#This Row],[Order_Date]])</f>
        <v>2023</v>
      </c>
      <c r="AA505" s="19" t="str">
        <f>TEXT(DAY(tblMaster[[#This Row],[Order_Date]]),"dddd")</f>
        <v>Saturday</v>
      </c>
      <c r="AB505" s="19" t="str">
        <f>IF(tblMaster[[#This Row],[Revenue]]&gt;=5000,"High",IF(tblMaster[[#This Row],[Revenue]]&lt;2000,"Low","Medium"))</f>
        <v>Low</v>
      </c>
    </row>
    <row r="506" spans="1:28" x14ac:dyDescent="0.25">
      <c r="A506" s="7">
        <v>505</v>
      </c>
      <c r="B506" s="7" t="s">
        <v>283</v>
      </c>
      <c r="C506" s="4">
        <v>45</v>
      </c>
      <c r="D506" s="4">
        <v>3</v>
      </c>
      <c r="E506" s="8">
        <v>45079</v>
      </c>
      <c r="F506" s="9">
        <v>0.555150462962963</v>
      </c>
      <c r="G506" s="8">
        <v>45082</v>
      </c>
      <c r="H506" s="9">
        <v>8.3009259259259255E-2</v>
      </c>
      <c r="I506" s="7" t="s">
        <v>353</v>
      </c>
      <c r="J506" s="7" t="s">
        <v>36</v>
      </c>
      <c r="K506" s="18" t="str">
        <f>_xlfn.XLOOKUP(tblMaster[[#This Row],[Customer_ID]],tblCustomers[Customer_ID],tblCustomers[City],"Not Found",0)</f>
        <v>Noida</v>
      </c>
      <c r="L506" s="18" t="str">
        <f>_xlfn.XLOOKUP(tblMaster[[#This Row],[Customer_ID]],tblCustomers[Customer_ID],tblCustomers[Name],"Not Found",0)</f>
        <v>Hridaan Rajagopalan</v>
      </c>
      <c r="M506" s="18" t="str">
        <f>_xlfn.XLOOKUP(tblMaster[[#This Row],[Customer_ID]],tblCustomers[Customer_ID],tblCustomers[Gender],"Not Found",0)</f>
        <v>Female</v>
      </c>
      <c r="N506" s="18" t="str">
        <f>_xlfn.XLOOKUP(tblMaster[[#This Row],[Product_ID]],tblProducts[Product_ID],tblProducts[Product_Name],"Not Found",0)</f>
        <v>Iusto Set</v>
      </c>
      <c r="O506" s="18" t="str">
        <f>_xlfn.XLOOKUP(tblMaster[[#This Row],[Product_ID]],tblProducts[Product_ID],tblProducts[Category],"Not Found",0)</f>
        <v>Raksha Bandhan</v>
      </c>
      <c r="P506" s="18" t="str">
        <f>_xlfn.XLOOKUP(tblMaster[[#This Row],[Product_ID]],tblProducts[Product_ID],tblProducts[Occasion],"Not Found",0)</f>
        <v>Birthday</v>
      </c>
      <c r="Q506" s="18">
        <f>_xlfn.XLOOKUP(tblMaster[[#This Row],[Product_ID]],tblProducts[Product_ID],tblProducts[Price (INR)],"Not Found",0)</f>
        <v>722</v>
      </c>
      <c r="R506" s="19">
        <f>tblMaster[[#This Row],[Price]]*tblMaster[[#This Row],[Quantity]]</f>
        <v>2166</v>
      </c>
      <c r="S506" s="19">
        <f>tblMaster[[#This Row],[Price]]*0.7*tblMaster[[#This Row],[Quantity]]</f>
        <v>1516.1999999999998</v>
      </c>
      <c r="T506" s="19">
        <f>tblMaster[[#This Row],[Revenue]]-tblMaster[[#This Row],[Estimated Cost (at 70%) ]]</f>
        <v>649.80000000000018</v>
      </c>
      <c r="U506" s="19">
        <f>tblMaster[[#This Row],[Profit]]/tblMaster[[#This Row],[Revenue]]</f>
        <v>0.3000000000000001</v>
      </c>
      <c r="V506" s="19">
        <f>tblMaster[[#This Row],[Delivery_Date]]-tblMaster[[#This Row],[Order_Date]]</f>
        <v>3</v>
      </c>
      <c r="W506" s="19" t="str">
        <f>TEXT(tblMaster[[#This Row],[Order_Date]],"mmmm")</f>
        <v>June</v>
      </c>
      <c r="X506" s="19">
        <f>MONTH(tblMaster[[#This Row],[Order_Date]])</f>
        <v>6</v>
      </c>
      <c r="Y506" s="19" t="str">
        <f>"Q"&amp;ROUNDUP(tblMaster[[#This Row],[Month Number]]/3,0)</f>
        <v>Q2</v>
      </c>
      <c r="Z506" s="19">
        <f>YEAR(tblMaster[[#This Row],[Order_Date]])</f>
        <v>2023</v>
      </c>
      <c r="AA506" s="19" t="str">
        <f>TEXT(DAY(tblMaster[[#This Row],[Order_Date]]),"dddd")</f>
        <v>Monday</v>
      </c>
      <c r="AB506" s="19" t="str">
        <f>IF(tblMaster[[#This Row],[Revenue]]&gt;=5000,"High",IF(tblMaster[[#This Row],[Revenue]]&lt;2000,"Low","Medium"))</f>
        <v>Medium</v>
      </c>
    </row>
    <row r="507" spans="1:28" x14ac:dyDescent="0.25">
      <c r="A507" s="10">
        <v>506</v>
      </c>
      <c r="B507" s="10" t="s">
        <v>265</v>
      </c>
      <c r="C507" s="5">
        <v>55</v>
      </c>
      <c r="D507" s="5">
        <v>4</v>
      </c>
      <c r="E507" s="11">
        <v>45165</v>
      </c>
      <c r="F507" s="12">
        <v>0.36949074074074073</v>
      </c>
      <c r="G507" s="11">
        <v>45171</v>
      </c>
      <c r="H507" s="12">
        <v>0.4884722222222222</v>
      </c>
      <c r="I507" s="10" t="s">
        <v>275</v>
      </c>
      <c r="J507" s="10" t="s">
        <v>33</v>
      </c>
      <c r="K507" s="18" t="str">
        <f>_xlfn.XLOOKUP(tblMaster[[#This Row],[Customer_ID]],tblCustomers[Customer_ID],tblCustomers[City],"Not Found",0)</f>
        <v>Guntakal</v>
      </c>
      <c r="L507" s="18" t="str">
        <f>_xlfn.XLOOKUP(tblMaster[[#This Row],[Customer_ID]],tblCustomers[Customer_ID],tblCustomers[Name],"Not Found",0)</f>
        <v>Charvi Kanda</v>
      </c>
      <c r="M507" s="18" t="str">
        <f>_xlfn.XLOOKUP(tblMaster[[#This Row],[Customer_ID]],tblCustomers[Customer_ID],tblCustomers[Gender],"Not Found",0)</f>
        <v>Male</v>
      </c>
      <c r="N507" s="18" t="str">
        <f>_xlfn.XLOOKUP(tblMaster[[#This Row],[Product_ID]],tblProducts[Product_ID],tblProducts[Product_Name],"Not Found",0)</f>
        <v>Dolores Gift</v>
      </c>
      <c r="O507" s="18" t="str">
        <f>_xlfn.XLOOKUP(tblMaster[[#This Row],[Product_ID]],tblProducts[Product_ID],tblProducts[Category],"Not Found",0)</f>
        <v>Soft Toys</v>
      </c>
      <c r="P507" s="18" t="str">
        <f>_xlfn.XLOOKUP(tblMaster[[#This Row],[Product_ID]],tblProducts[Product_ID],tblProducts[Occasion],"Not Found",0)</f>
        <v>Raksha Bandhan</v>
      </c>
      <c r="Q507" s="18">
        <f>_xlfn.XLOOKUP(tblMaster[[#This Row],[Product_ID]],tblProducts[Product_ID],tblProducts[Price (INR)],"Not Found",0)</f>
        <v>1904</v>
      </c>
      <c r="R507" s="19">
        <f>tblMaster[[#This Row],[Price]]*tblMaster[[#This Row],[Quantity]]</f>
        <v>7616</v>
      </c>
      <c r="S507" s="19">
        <f>tblMaster[[#This Row],[Price]]*0.7*tblMaster[[#This Row],[Quantity]]</f>
        <v>5331.2</v>
      </c>
      <c r="T507" s="19">
        <f>tblMaster[[#This Row],[Revenue]]-tblMaster[[#This Row],[Estimated Cost (at 70%) ]]</f>
        <v>2284.8000000000002</v>
      </c>
      <c r="U507" s="19">
        <f>tblMaster[[#This Row],[Profit]]/tblMaster[[#This Row],[Revenue]]</f>
        <v>0.30000000000000004</v>
      </c>
      <c r="V507" s="19">
        <f>tblMaster[[#This Row],[Delivery_Date]]-tblMaster[[#This Row],[Order_Date]]</f>
        <v>6</v>
      </c>
      <c r="W507" s="19" t="str">
        <f>TEXT(tblMaster[[#This Row],[Order_Date]],"mmmm")</f>
        <v>August</v>
      </c>
      <c r="X507" s="19">
        <f>MONTH(tblMaster[[#This Row],[Order_Date]])</f>
        <v>8</v>
      </c>
      <c r="Y507" s="19" t="str">
        <f>"Q"&amp;ROUNDUP(tblMaster[[#This Row],[Month Number]]/3,0)</f>
        <v>Q3</v>
      </c>
      <c r="Z507" s="19">
        <f>YEAR(tblMaster[[#This Row],[Order_Date]])</f>
        <v>2023</v>
      </c>
      <c r="AA507" s="19" t="str">
        <f>TEXT(DAY(tblMaster[[#This Row],[Order_Date]]),"dddd")</f>
        <v>Friday</v>
      </c>
      <c r="AB507" s="19" t="str">
        <f>IF(tblMaster[[#This Row],[Revenue]]&gt;=5000,"High",IF(tblMaster[[#This Row],[Revenue]]&lt;2000,"Low","Medium"))</f>
        <v>High</v>
      </c>
    </row>
    <row r="508" spans="1:28" x14ac:dyDescent="0.25">
      <c r="A508" s="7">
        <v>507</v>
      </c>
      <c r="B508" s="7" t="s">
        <v>283</v>
      </c>
      <c r="C508" s="4">
        <v>13</v>
      </c>
      <c r="D508" s="4">
        <v>4</v>
      </c>
      <c r="E508" s="8">
        <v>44992</v>
      </c>
      <c r="F508" s="9">
        <v>1.9571759259259261E-2</v>
      </c>
      <c r="G508" s="8">
        <v>44998</v>
      </c>
      <c r="H508" s="9">
        <v>0.84138888888888885</v>
      </c>
      <c r="I508" s="7" t="s">
        <v>297</v>
      </c>
      <c r="J508" s="7" t="s">
        <v>25</v>
      </c>
      <c r="K508" s="18" t="str">
        <f>_xlfn.XLOOKUP(tblMaster[[#This Row],[Customer_ID]],tblCustomers[Customer_ID],tblCustomers[City],"Not Found",0)</f>
        <v>Noida</v>
      </c>
      <c r="L508" s="18" t="str">
        <f>_xlfn.XLOOKUP(tblMaster[[#This Row],[Customer_ID]],tblCustomers[Customer_ID],tblCustomers[Name],"Not Found",0)</f>
        <v>Hridaan Rajagopalan</v>
      </c>
      <c r="M508" s="18" t="str">
        <f>_xlfn.XLOOKUP(tblMaster[[#This Row],[Customer_ID]],tblCustomers[Customer_ID],tblCustomers[Gender],"Not Found",0)</f>
        <v>Female</v>
      </c>
      <c r="N508" s="18" t="str">
        <f>_xlfn.XLOOKUP(tblMaster[[#This Row],[Product_ID]],tblProducts[Product_ID],tblProducts[Product_Name],"Not Found",0)</f>
        <v>Et Set</v>
      </c>
      <c r="O508" s="18" t="str">
        <f>_xlfn.XLOOKUP(tblMaster[[#This Row],[Product_ID]],tblProducts[Product_ID],tblProducts[Category],"Not Found",0)</f>
        <v>Mugs</v>
      </c>
      <c r="P508" s="18" t="str">
        <f>_xlfn.XLOOKUP(tblMaster[[#This Row],[Product_ID]],tblProducts[Product_ID],tblProducts[Occasion],"Not Found",0)</f>
        <v>Holi</v>
      </c>
      <c r="Q508" s="18">
        <f>_xlfn.XLOOKUP(tblMaster[[#This Row],[Product_ID]],tblProducts[Product_ID],tblProducts[Price (INR)],"Not Found",0)</f>
        <v>1141</v>
      </c>
      <c r="R508" s="19">
        <f>tblMaster[[#This Row],[Price]]*tblMaster[[#This Row],[Quantity]]</f>
        <v>4564</v>
      </c>
      <c r="S508" s="19">
        <f>tblMaster[[#This Row],[Price]]*0.7*tblMaster[[#This Row],[Quantity]]</f>
        <v>3194.7999999999997</v>
      </c>
      <c r="T508" s="19">
        <f>tblMaster[[#This Row],[Revenue]]-tblMaster[[#This Row],[Estimated Cost (at 70%) ]]</f>
        <v>1369.2000000000003</v>
      </c>
      <c r="U508" s="19">
        <f>tblMaster[[#This Row],[Profit]]/tblMaster[[#This Row],[Revenue]]</f>
        <v>0.30000000000000004</v>
      </c>
      <c r="V508" s="19">
        <f>tblMaster[[#This Row],[Delivery_Date]]-tblMaster[[#This Row],[Order_Date]]</f>
        <v>6</v>
      </c>
      <c r="W508" s="19" t="str">
        <f>TEXT(tblMaster[[#This Row],[Order_Date]],"mmmm")</f>
        <v>March</v>
      </c>
      <c r="X508" s="19">
        <f>MONTH(tblMaster[[#This Row],[Order_Date]])</f>
        <v>3</v>
      </c>
      <c r="Y508" s="19" t="str">
        <f>"Q"&amp;ROUNDUP(tblMaster[[#This Row],[Month Number]]/3,0)</f>
        <v>Q1</v>
      </c>
      <c r="Z508" s="19">
        <f>YEAR(tblMaster[[#This Row],[Order_Date]])</f>
        <v>2023</v>
      </c>
      <c r="AA508" s="19" t="str">
        <f>TEXT(DAY(tblMaster[[#This Row],[Order_Date]]),"dddd")</f>
        <v>Saturday</v>
      </c>
      <c r="AB508" s="19" t="str">
        <f>IF(tblMaster[[#This Row],[Revenue]]&gt;=5000,"High",IF(tblMaster[[#This Row],[Revenue]]&lt;2000,"Low","Medium"))</f>
        <v>Medium</v>
      </c>
    </row>
    <row r="509" spans="1:28" x14ac:dyDescent="0.25">
      <c r="A509" s="10">
        <v>508</v>
      </c>
      <c r="B509" s="10" t="s">
        <v>329</v>
      </c>
      <c r="C509" s="5">
        <v>69</v>
      </c>
      <c r="D509" s="5">
        <v>1</v>
      </c>
      <c r="E509" s="11">
        <v>44983</v>
      </c>
      <c r="F509" s="12">
        <v>0.72879629629629628</v>
      </c>
      <c r="G509" s="11">
        <v>44989</v>
      </c>
      <c r="H509" s="12">
        <v>0.299375</v>
      </c>
      <c r="I509" s="10" t="s">
        <v>288</v>
      </c>
      <c r="J509" s="10" t="s">
        <v>25</v>
      </c>
      <c r="K509" s="18" t="str">
        <f>_xlfn.XLOOKUP(tblMaster[[#This Row],[Customer_ID]],tblCustomers[Customer_ID],tblCustomers[City],"Not Found",0)</f>
        <v>Vellore</v>
      </c>
      <c r="L509" s="18" t="str">
        <f>_xlfn.XLOOKUP(tblMaster[[#This Row],[Customer_ID]],tblCustomers[Customer_ID],tblCustomers[Name],"Not Found",0)</f>
        <v>Ira Sarna</v>
      </c>
      <c r="M509" s="18" t="str">
        <f>_xlfn.XLOOKUP(tblMaster[[#This Row],[Customer_ID]],tblCustomers[Customer_ID],tblCustomers[Gender],"Not Found",0)</f>
        <v>Male</v>
      </c>
      <c r="N509" s="18" t="str">
        <f>_xlfn.XLOOKUP(tblMaster[[#This Row],[Product_ID]],tblProducts[Product_ID],tblProducts[Product_Name],"Not Found",0)</f>
        <v>Id Box</v>
      </c>
      <c r="O509" s="18" t="str">
        <f>_xlfn.XLOOKUP(tblMaster[[#This Row],[Product_ID]],tblProducts[Product_ID],tblProducts[Category],"Not Found",0)</f>
        <v>Cake</v>
      </c>
      <c r="P509" s="18" t="str">
        <f>_xlfn.XLOOKUP(tblMaster[[#This Row],[Product_ID]],tblProducts[Product_ID],tblProducts[Occasion],"Not Found",0)</f>
        <v>Holi</v>
      </c>
      <c r="Q509" s="18">
        <f>_xlfn.XLOOKUP(tblMaster[[#This Row],[Product_ID]],tblProducts[Product_ID],tblProducts[Price (INR)],"Not Found",0)</f>
        <v>998</v>
      </c>
      <c r="R509" s="19">
        <f>tblMaster[[#This Row],[Price]]*tblMaster[[#This Row],[Quantity]]</f>
        <v>998</v>
      </c>
      <c r="S509" s="19">
        <f>tblMaster[[#This Row],[Price]]*0.7*tblMaster[[#This Row],[Quantity]]</f>
        <v>698.59999999999991</v>
      </c>
      <c r="T509" s="19">
        <f>tblMaster[[#This Row],[Revenue]]-tblMaster[[#This Row],[Estimated Cost (at 70%) ]]</f>
        <v>299.40000000000009</v>
      </c>
      <c r="U509" s="19">
        <f>tblMaster[[#This Row],[Profit]]/tblMaster[[#This Row],[Revenue]]</f>
        <v>0.3000000000000001</v>
      </c>
      <c r="V509" s="19">
        <f>tblMaster[[#This Row],[Delivery_Date]]-tblMaster[[#This Row],[Order_Date]]</f>
        <v>6</v>
      </c>
      <c r="W509" s="19" t="str">
        <f>TEXT(tblMaster[[#This Row],[Order_Date]],"mmmm")</f>
        <v>February</v>
      </c>
      <c r="X509" s="19">
        <f>MONTH(tblMaster[[#This Row],[Order_Date]])</f>
        <v>2</v>
      </c>
      <c r="Y509" s="19" t="str">
        <f>"Q"&amp;ROUNDUP(tblMaster[[#This Row],[Month Number]]/3,0)</f>
        <v>Q1</v>
      </c>
      <c r="Z509" s="19">
        <f>YEAR(tblMaster[[#This Row],[Order_Date]])</f>
        <v>2023</v>
      </c>
      <c r="AA509" s="19" t="str">
        <f>TEXT(DAY(tblMaster[[#This Row],[Order_Date]]),"dddd")</f>
        <v>Thursday</v>
      </c>
      <c r="AB509" s="19" t="str">
        <f>IF(tblMaster[[#This Row],[Revenue]]&gt;=5000,"High",IF(tblMaster[[#This Row],[Revenue]]&lt;2000,"Low","Medium"))</f>
        <v>Low</v>
      </c>
    </row>
    <row r="510" spans="1:28" x14ac:dyDescent="0.25">
      <c r="A510" s="7">
        <v>509</v>
      </c>
      <c r="B510" s="7" t="s">
        <v>440</v>
      </c>
      <c r="C510" s="4">
        <v>13</v>
      </c>
      <c r="D510" s="4">
        <v>5</v>
      </c>
      <c r="E510" s="8">
        <v>44990</v>
      </c>
      <c r="F510" s="9">
        <v>0.53396990740740746</v>
      </c>
      <c r="G510" s="8">
        <v>44994</v>
      </c>
      <c r="H510" s="9">
        <v>0.32449074074074075</v>
      </c>
      <c r="I510" s="7" t="s">
        <v>501</v>
      </c>
      <c r="J510" s="7" t="s">
        <v>25</v>
      </c>
      <c r="K510" s="18" t="str">
        <f>_xlfn.XLOOKUP(tblMaster[[#This Row],[Customer_ID]],tblCustomers[Customer_ID],tblCustomers[City],"Not Found",0)</f>
        <v>Bilaspur</v>
      </c>
      <c r="L510" s="18" t="str">
        <f>_xlfn.XLOOKUP(tblMaster[[#This Row],[Customer_ID]],tblCustomers[Customer_ID],tblCustomers[Name],"Not Found",0)</f>
        <v>Jayesh Lanka</v>
      </c>
      <c r="M510" s="18" t="str">
        <f>_xlfn.XLOOKUP(tblMaster[[#This Row],[Customer_ID]],tblCustomers[Customer_ID],tblCustomers[Gender],"Not Found",0)</f>
        <v>Male</v>
      </c>
      <c r="N510" s="18" t="str">
        <f>_xlfn.XLOOKUP(tblMaster[[#This Row],[Product_ID]],tblProducts[Product_ID],tblProducts[Product_Name],"Not Found",0)</f>
        <v>Et Set</v>
      </c>
      <c r="O510" s="18" t="str">
        <f>_xlfn.XLOOKUP(tblMaster[[#This Row],[Product_ID]],tblProducts[Product_ID],tblProducts[Category],"Not Found",0)</f>
        <v>Mugs</v>
      </c>
      <c r="P510" s="18" t="str">
        <f>_xlfn.XLOOKUP(tblMaster[[#This Row],[Product_ID]],tblProducts[Product_ID],tblProducts[Occasion],"Not Found",0)</f>
        <v>Holi</v>
      </c>
      <c r="Q510" s="18">
        <f>_xlfn.XLOOKUP(tblMaster[[#This Row],[Product_ID]],tblProducts[Product_ID],tblProducts[Price (INR)],"Not Found",0)</f>
        <v>1141</v>
      </c>
      <c r="R510" s="19">
        <f>tblMaster[[#This Row],[Price]]*tblMaster[[#This Row],[Quantity]]</f>
        <v>5705</v>
      </c>
      <c r="S510" s="19">
        <f>tblMaster[[#This Row],[Price]]*0.7*tblMaster[[#This Row],[Quantity]]</f>
        <v>3993.4999999999995</v>
      </c>
      <c r="T510" s="19">
        <f>tblMaster[[#This Row],[Revenue]]-tblMaster[[#This Row],[Estimated Cost (at 70%) ]]</f>
        <v>1711.5000000000005</v>
      </c>
      <c r="U510" s="19">
        <f>tblMaster[[#This Row],[Profit]]/tblMaster[[#This Row],[Revenue]]</f>
        <v>0.3000000000000001</v>
      </c>
      <c r="V510" s="19">
        <f>tblMaster[[#This Row],[Delivery_Date]]-tblMaster[[#This Row],[Order_Date]]</f>
        <v>4</v>
      </c>
      <c r="W510" s="19" t="str">
        <f>TEXT(tblMaster[[#This Row],[Order_Date]],"mmmm")</f>
        <v>March</v>
      </c>
      <c r="X510" s="19">
        <f>MONTH(tblMaster[[#This Row],[Order_Date]])</f>
        <v>3</v>
      </c>
      <c r="Y510" s="19" t="str">
        <f>"Q"&amp;ROUNDUP(tblMaster[[#This Row],[Month Number]]/3,0)</f>
        <v>Q1</v>
      </c>
      <c r="Z510" s="19">
        <f>YEAR(tblMaster[[#This Row],[Order_Date]])</f>
        <v>2023</v>
      </c>
      <c r="AA510" s="19" t="str">
        <f>TEXT(DAY(tblMaster[[#This Row],[Order_Date]]),"dddd")</f>
        <v>Thursday</v>
      </c>
      <c r="AB510" s="19" t="str">
        <f>IF(tblMaster[[#This Row],[Revenue]]&gt;=5000,"High",IF(tblMaster[[#This Row],[Revenue]]&lt;2000,"Low","Medium"))</f>
        <v>High</v>
      </c>
    </row>
    <row r="511" spans="1:28" x14ac:dyDescent="0.25">
      <c r="A511" s="10">
        <v>510</v>
      </c>
      <c r="B511" s="10" t="s">
        <v>274</v>
      </c>
      <c r="C511" s="5">
        <v>54</v>
      </c>
      <c r="D511" s="5">
        <v>5</v>
      </c>
      <c r="E511" s="11">
        <v>45268</v>
      </c>
      <c r="F511" s="12">
        <v>0.54172453703703705</v>
      </c>
      <c r="G511" s="11">
        <v>45277</v>
      </c>
      <c r="H511" s="12">
        <v>0.26026620370370368</v>
      </c>
      <c r="I511" s="10" t="s">
        <v>211</v>
      </c>
      <c r="J511" s="10" t="s">
        <v>30</v>
      </c>
      <c r="K511" s="18" t="str">
        <f>_xlfn.XLOOKUP(tblMaster[[#This Row],[Customer_ID]],tblCustomers[Customer_ID],tblCustomers[City],"Not Found",0)</f>
        <v>Gangtok</v>
      </c>
      <c r="L511" s="18" t="str">
        <f>_xlfn.XLOOKUP(tblMaster[[#This Row],[Customer_ID]],tblCustomers[Customer_ID],tblCustomers[Name],"Not Found",0)</f>
        <v>Advika Dhar</v>
      </c>
      <c r="M511" s="18" t="str">
        <f>_xlfn.XLOOKUP(tblMaster[[#This Row],[Customer_ID]],tblCustomers[Customer_ID],tblCustomers[Gender],"Not Found",0)</f>
        <v>Male</v>
      </c>
      <c r="N511" s="18" t="str">
        <f>_xlfn.XLOOKUP(tblMaster[[#This Row],[Product_ID]],tblProducts[Product_ID],tblProducts[Product_Name],"Not Found",0)</f>
        <v>Occaecati Gift</v>
      </c>
      <c r="O511" s="18" t="str">
        <f>_xlfn.XLOOKUP(tblMaster[[#This Row],[Product_ID]],tblProducts[Product_ID],tblProducts[Category],"Not Found",0)</f>
        <v>Cake</v>
      </c>
      <c r="P511" s="18" t="str">
        <f>_xlfn.XLOOKUP(tblMaster[[#This Row],[Product_ID]],tblProducts[Product_ID],tblProducts[Occasion],"Not Found",0)</f>
        <v>Anniversary</v>
      </c>
      <c r="Q511" s="18">
        <f>_xlfn.XLOOKUP(tblMaster[[#This Row],[Product_ID]],tblProducts[Product_ID],tblProducts[Price (INR)],"Not Found",0)</f>
        <v>1236</v>
      </c>
      <c r="R511" s="19">
        <f>tblMaster[[#This Row],[Price]]*tblMaster[[#This Row],[Quantity]]</f>
        <v>6180</v>
      </c>
      <c r="S511" s="19">
        <f>tblMaster[[#This Row],[Price]]*0.7*tblMaster[[#This Row],[Quantity]]</f>
        <v>4326</v>
      </c>
      <c r="T511" s="19">
        <f>tblMaster[[#This Row],[Revenue]]-tblMaster[[#This Row],[Estimated Cost (at 70%) ]]</f>
        <v>1854</v>
      </c>
      <c r="U511" s="19">
        <f>tblMaster[[#This Row],[Profit]]/tblMaster[[#This Row],[Revenue]]</f>
        <v>0.3</v>
      </c>
      <c r="V511" s="19">
        <f>tblMaster[[#This Row],[Delivery_Date]]-tblMaster[[#This Row],[Order_Date]]</f>
        <v>9</v>
      </c>
      <c r="W511" s="19" t="str">
        <f>TEXT(tblMaster[[#This Row],[Order_Date]],"mmmm")</f>
        <v>December</v>
      </c>
      <c r="X511" s="19">
        <f>MONTH(tblMaster[[#This Row],[Order_Date]])</f>
        <v>12</v>
      </c>
      <c r="Y511" s="19" t="str">
        <f>"Q"&amp;ROUNDUP(tblMaster[[#This Row],[Month Number]]/3,0)</f>
        <v>Q4</v>
      </c>
      <c r="Z511" s="19">
        <f>YEAR(tblMaster[[#This Row],[Order_Date]])</f>
        <v>2023</v>
      </c>
      <c r="AA511" s="19" t="str">
        <f>TEXT(DAY(tblMaster[[#This Row],[Order_Date]]),"dddd")</f>
        <v>Sunday</v>
      </c>
      <c r="AB511" s="19" t="str">
        <f>IF(tblMaster[[#This Row],[Revenue]]&gt;=5000,"High",IF(tblMaster[[#This Row],[Revenue]]&lt;2000,"Low","Medium"))</f>
        <v>High</v>
      </c>
    </row>
    <row r="512" spans="1:28" x14ac:dyDescent="0.25">
      <c r="A512" s="7">
        <v>511</v>
      </c>
      <c r="B512" s="7" t="s">
        <v>224</v>
      </c>
      <c r="C512" s="4">
        <v>47</v>
      </c>
      <c r="D512" s="4">
        <v>2</v>
      </c>
      <c r="E512" s="8">
        <v>44984</v>
      </c>
      <c r="F512" s="9">
        <v>0.54033564814814816</v>
      </c>
      <c r="G512" s="8">
        <v>44989</v>
      </c>
      <c r="H512" s="9">
        <v>3.2071759259259258E-2</v>
      </c>
      <c r="I512" s="7" t="s">
        <v>510</v>
      </c>
      <c r="J512" s="7" t="s">
        <v>25</v>
      </c>
      <c r="K512" s="18" t="str">
        <f>_xlfn.XLOOKUP(tblMaster[[#This Row],[Customer_ID]],tblCustomers[Customer_ID],tblCustomers[City],"Not Found",0)</f>
        <v>Imphal</v>
      </c>
      <c r="L512" s="18" t="str">
        <f>_xlfn.XLOOKUP(tblMaster[[#This Row],[Customer_ID]],tblCustomers[Customer_ID],tblCustomers[Name],"Not Found",0)</f>
        <v>Umang Luthra</v>
      </c>
      <c r="M512" s="18" t="str">
        <f>_xlfn.XLOOKUP(tblMaster[[#This Row],[Customer_ID]],tblCustomers[Customer_ID],tblCustomers[Gender],"Not Found",0)</f>
        <v>Male</v>
      </c>
      <c r="N512" s="18" t="str">
        <f>_xlfn.XLOOKUP(tblMaster[[#This Row],[Product_ID]],tblProducts[Product_ID],tblProducts[Product_Name],"Not Found",0)</f>
        <v>Harum Pack</v>
      </c>
      <c r="O512" s="18" t="str">
        <f>_xlfn.XLOOKUP(tblMaster[[#This Row],[Product_ID]],tblProducts[Product_ID],tblProducts[Category],"Not Found",0)</f>
        <v>Colors</v>
      </c>
      <c r="P512" s="18" t="str">
        <f>_xlfn.XLOOKUP(tblMaster[[#This Row],[Product_ID]],tblProducts[Product_ID],tblProducts[Occasion],"Not Found",0)</f>
        <v>Holi</v>
      </c>
      <c r="Q512" s="18">
        <f>_xlfn.XLOOKUP(tblMaster[[#This Row],[Product_ID]],tblProducts[Product_ID],tblProducts[Price (INR)],"Not Found",0)</f>
        <v>1638</v>
      </c>
      <c r="R512" s="19">
        <f>tblMaster[[#This Row],[Price]]*tblMaster[[#This Row],[Quantity]]</f>
        <v>3276</v>
      </c>
      <c r="S512" s="19">
        <f>tblMaster[[#This Row],[Price]]*0.7*tblMaster[[#This Row],[Quantity]]</f>
        <v>2293.1999999999998</v>
      </c>
      <c r="T512" s="19">
        <f>tblMaster[[#This Row],[Revenue]]-tblMaster[[#This Row],[Estimated Cost (at 70%) ]]</f>
        <v>982.80000000000018</v>
      </c>
      <c r="U512" s="19">
        <f>tblMaster[[#This Row],[Profit]]/tblMaster[[#This Row],[Revenue]]</f>
        <v>0.30000000000000004</v>
      </c>
      <c r="V512" s="19">
        <f>tblMaster[[#This Row],[Delivery_Date]]-tblMaster[[#This Row],[Order_Date]]</f>
        <v>5</v>
      </c>
      <c r="W512" s="19" t="str">
        <f>TEXT(tblMaster[[#This Row],[Order_Date]],"mmmm")</f>
        <v>February</v>
      </c>
      <c r="X512" s="19">
        <f>MONTH(tblMaster[[#This Row],[Order_Date]])</f>
        <v>2</v>
      </c>
      <c r="Y512" s="19" t="str">
        <f>"Q"&amp;ROUNDUP(tblMaster[[#This Row],[Month Number]]/3,0)</f>
        <v>Q1</v>
      </c>
      <c r="Z512" s="19">
        <f>YEAR(tblMaster[[#This Row],[Order_Date]])</f>
        <v>2023</v>
      </c>
      <c r="AA512" s="19" t="str">
        <f>TEXT(DAY(tblMaster[[#This Row],[Order_Date]]),"dddd")</f>
        <v>Friday</v>
      </c>
      <c r="AB512" s="19" t="str">
        <f>IF(tblMaster[[#This Row],[Revenue]]&gt;=5000,"High",IF(tblMaster[[#This Row],[Revenue]]&lt;2000,"Low","Medium"))</f>
        <v>Medium</v>
      </c>
    </row>
    <row r="513" spans="1:28" x14ac:dyDescent="0.25">
      <c r="A513" s="10">
        <v>512</v>
      </c>
      <c r="B513" s="10" t="s">
        <v>289</v>
      </c>
      <c r="C513" s="5">
        <v>41</v>
      </c>
      <c r="D513" s="5">
        <v>1</v>
      </c>
      <c r="E513" s="11">
        <v>45235</v>
      </c>
      <c r="F513" s="12">
        <v>0.11297453703703704</v>
      </c>
      <c r="G513" s="11">
        <v>45241</v>
      </c>
      <c r="H513" s="12">
        <v>0.54907407407407405</v>
      </c>
      <c r="I513" s="10" t="s">
        <v>450</v>
      </c>
      <c r="J513" s="10" t="s">
        <v>19</v>
      </c>
      <c r="K513" s="18" t="str">
        <f>_xlfn.XLOOKUP(tblMaster[[#This Row],[Customer_ID]],tblCustomers[Customer_ID],tblCustomers[City],"Not Found",0)</f>
        <v>Chinsurah</v>
      </c>
      <c r="L513" s="18" t="str">
        <f>_xlfn.XLOOKUP(tblMaster[[#This Row],[Customer_ID]],tblCustomers[Customer_ID],tblCustomers[Name],"Not Found",0)</f>
        <v>Veer Ray</v>
      </c>
      <c r="M513" s="18" t="str">
        <f>_xlfn.XLOOKUP(tblMaster[[#This Row],[Customer_ID]],tblCustomers[Customer_ID],tblCustomers[Gender],"Not Found",0)</f>
        <v>Female</v>
      </c>
      <c r="N513" s="18" t="str">
        <f>_xlfn.XLOOKUP(tblMaster[[#This Row],[Product_ID]],tblProducts[Product_ID],tblProducts[Product_Name],"Not Found",0)</f>
        <v>Aut Box</v>
      </c>
      <c r="O513" s="18" t="str">
        <f>_xlfn.XLOOKUP(tblMaster[[#This Row],[Product_ID]],tblProducts[Product_ID],tblProducts[Category],"Not Found",0)</f>
        <v>Sweets</v>
      </c>
      <c r="P513" s="18" t="str">
        <f>_xlfn.XLOOKUP(tblMaster[[#This Row],[Product_ID]],tblProducts[Product_ID],tblProducts[Occasion],"Not Found",0)</f>
        <v>Diwali</v>
      </c>
      <c r="Q513" s="18">
        <f>_xlfn.XLOOKUP(tblMaster[[#This Row],[Product_ID]],tblProducts[Product_ID],tblProducts[Price (INR)],"Not Found",0)</f>
        <v>1977</v>
      </c>
      <c r="R513" s="19">
        <f>tblMaster[[#This Row],[Price]]*tblMaster[[#This Row],[Quantity]]</f>
        <v>1977</v>
      </c>
      <c r="S513" s="19">
        <f>tblMaster[[#This Row],[Price]]*0.7*tblMaster[[#This Row],[Quantity]]</f>
        <v>1383.8999999999999</v>
      </c>
      <c r="T513" s="19">
        <f>tblMaster[[#This Row],[Revenue]]-tblMaster[[#This Row],[Estimated Cost (at 70%) ]]</f>
        <v>593.10000000000014</v>
      </c>
      <c r="U513" s="19">
        <f>tblMaster[[#This Row],[Profit]]/tblMaster[[#This Row],[Revenue]]</f>
        <v>0.30000000000000004</v>
      </c>
      <c r="V513" s="19">
        <f>tblMaster[[#This Row],[Delivery_Date]]-tblMaster[[#This Row],[Order_Date]]</f>
        <v>6</v>
      </c>
      <c r="W513" s="19" t="str">
        <f>TEXT(tblMaster[[#This Row],[Order_Date]],"mmmm")</f>
        <v>November</v>
      </c>
      <c r="X513" s="19">
        <f>MONTH(tblMaster[[#This Row],[Order_Date]])</f>
        <v>11</v>
      </c>
      <c r="Y513" s="19" t="str">
        <f>"Q"&amp;ROUNDUP(tblMaster[[#This Row],[Month Number]]/3,0)</f>
        <v>Q4</v>
      </c>
      <c r="Z513" s="19">
        <f>YEAR(tblMaster[[#This Row],[Order_Date]])</f>
        <v>2023</v>
      </c>
      <c r="AA513" s="19" t="str">
        <f>TEXT(DAY(tblMaster[[#This Row],[Order_Date]]),"dddd")</f>
        <v>Thursday</v>
      </c>
      <c r="AB513" s="19" t="str">
        <f>IF(tblMaster[[#This Row],[Revenue]]&gt;=5000,"High",IF(tblMaster[[#This Row],[Revenue]]&lt;2000,"Low","Medium"))</f>
        <v>Low</v>
      </c>
    </row>
    <row r="514" spans="1:28" x14ac:dyDescent="0.25">
      <c r="A514" s="7">
        <v>513</v>
      </c>
      <c r="B514" s="7" t="s">
        <v>215</v>
      </c>
      <c r="C514" s="4">
        <v>1</v>
      </c>
      <c r="D514" s="4">
        <v>4</v>
      </c>
      <c r="E514" s="8">
        <v>45012</v>
      </c>
      <c r="F514" s="9">
        <v>0.41495370370370371</v>
      </c>
      <c r="G514" s="8">
        <v>45018</v>
      </c>
      <c r="H514" s="9">
        <v>0.58103009259259264</v>
      </c>
      <c r="I514" s="7" t="s">
        <v>219</v>
      </c>
      <c r="J514" s="7" t="s">
        <v>8</v>
      </c>
      <c r="K514" s="18" t="str">
        <f>_xlfn.XLOOKUP(tblMaster[[#This Row],[Customer_ID]],tblCustomers[Customer_ID],tblCustomers[City],"Not Found",0)</f>
        <v xml:space="preserve">Khora </v>
      </c>
      <c r="L514" s="18" t="str">
        <f>_xlfn.XLOOKUP(tblMaster[[#This Row],[Customer_ID]],tblCustomers[Customer_ID],tblCustomers[Name],"Not Found",0)</f>
        <v>Shalv Kulkarni</v>
      </c>
      <c r="M514" s="18" t="str">
        <f>_xlfn.XLOOKUP(tblMaster[[#This Row],[Customer_ID]],tblCustomers[Customer_ID],tblCustomers[Gender],"Not Found",0)</f>
        <v>Female</v>
      </c>
      <c r="N514" s="18" t="str">
        <f>_xlfn.XLOOKUP(tblMaster[[#This Row],[Product_ID]],tblProducts[Product_ID],tblProducts[Product_Name],"Not Found",0)</f>
        <v>Magnam Set</v>
      </c>
      <c r="O514" s="18" t="str">
        <f>_xlfn.XLOOKUP(tblMaster[[#This Row],[Product_ID]],tblProducts[Product_ID],tblProducts[Category],"Not Found",0)</f>
        <v>Soft Toys</v>
      </c>
      <c r="P514" s="18" t="str">
        <f>_xlfn.XLOOKUP(tblMaster[[#This Row],[Product_ID]],tblProducts[Product_ID],tblProducts[Occasion],"Not Found",0)</f>
        <v>All Occasions</v>
      </c>
      <c r="Q514" s="18">
        <f>_xlfn.XLOOKUP(tblMaster[[#This Row],[Product_ID]],tblProducts[Product_ID],tblProducts[Price (INR)],"Not Found",0)</f>
        <v>1935</v>
      </c>
      <c r="R514" s="19">
        <f>tblMaster[[#This Row],[Price]]*tblMaster[[#This Row],[Quantity]]</f>
        <v>7740</v>
      </c>
      <c r="S514" s="19">
        <f>tblMaster[[#This Row],[Price]]*0.7*tblMaster[[#This Row],[Quantity]]</f>
        <v>5418</v>
      </c>
      <c r="T514" s="19">
        <f>tblMaster[[#This Row],[Revenue]]-tblMaster[[#This Row],[Estimated Cost (at 70%) ]]</f>
        <v>2322</v>
      </c>
      <c r="U514" s="19">
        <f>tblMaster[[#This Row],[Profit]]/tblMaster[[#This Row],[Revenue]]</f>
        <v>0.3</v>
      </c>
      <c r="V514" s="19">
        <f>tblMaster[[#This Row],[Delivery_Date]]-tblMaster[[#This Row],[Order_Date]]</f>
        <v>6</v>
      </c>
      <c r="W514" s="19" t="str">
        <f>TEXT(tblMaster[[#This Row],[Order_Date]],"mmmm")</f>
        <v>March</v>
      </c>
      <c r="X514" s="19">
        <f>MONTH(tblMaster[[#This Row],[Order_Date]])</f>
        <v>3</v>
      </c>
      <c r="Y514" s="19" t="str">
        <f>"Q"&amp;ROUNDUP(tblMaster[[#This Row],[Month Number]]/3,0)</f>
        <v>Q1</v>
      </c>
      <c r="Z514" s="19">
        <f>YEAR(tblMaster[[#This Row],[Order_Date]])</f>
        <v>2023</v>
      </c>
      <c r="AA514" s="19" t="str">
        <f>TEXT(DAY(tblMaster[[#This Row],[Order_Date]]),"dddd")</f>
        <v>Friday</v>
      </c>
      <c r="AB514" s="19" t="str">
        <f>IF(tblMaster[[#This Row],[Revenue]]&gt;=5000,"High",IF(tblMaster[[#This Row],[Revenue]]&lt;2000,"Low","Medium"))</f>
        <v>High</v>
      </c>
    </row>
    <row r="515" spans="1:28" x14ac:dyDescent="0.25">
      <c r="A515" s="10">
        <v>514</v>
      </c>
      <c r="B515" s="10" t="s">
        <v>202</v>
      </c>
      <c r="C515" s="5">
        <v>24</v>
      </c>
      <c r="D515" s="5">
        <v>1</v>
      </c>
      <c r="E515" s="11">
        <v>44927</v>
      </c>
      <c r="F515" s="12">
        <v>0.41400462962962964</v>
      </c>
      <c r="G515" s="11">
        <v>44935</v>
      </c>
      <c r="H515" s="12">
        <v>0.74782407407407403</v>
      </c>
      <c r="I515" s="10" t="s">
        <v>353</v>
      </c>
      <c r="J515" s="10" t="s">
        <v>36</v>
      </c>
      <c r="K515" s="18" t="str">
        <f>_xlfn.XLOOKUP(tblMaster[[#This Row],[Customer_ID]],tblCustomers[Customer_ID],tblCustomers[City],"Not Found",0)</f>
        <v>Anantapuram</v>
      </c>
      <c r="L515" s="18" t="str">
        <f>_xlfn.XLOOKUP(tblMaster[[#This Row],[Customer_ID]],tblCustomers[Customer_ID],tblCustomers[Name],"Not Found",0)</f>
        <v>Drishya De</v>
      </c>
      <c r="M515" s="18" t="str">
        <f>_xlfn.XLOOKUP(tblMaster[[#This Row],[Customer_ID]],tblCustomers[Customer_ID],tblCustomers[Gender],"Not Found",0)</f>
        <v>Female</v>
      </c>
      <c r="N515" s="18" t="str">
        <f>_xlfn.XLOOKUP(tblMaster[[#This Row],[Product_ID]],tblProducts[Product_ID],tblProducts[Product_Name],"Not Found",0)</f>
        <v>Ad Box</v>
      </c>
      <c r="O515" s="18" t="str">
        <f>_xlfn.XLOOKUP(tblMaster[[#This Row],[Product_ID]],tblProducts[Product_ID],tblProducts[Category],"Not Found",0)</f>
        <v>Mugs</v>
      </c>
      <c r="P515" s="18" t="str">
        <f>_xlfn.XLOOKUP(tblMaster[[#This Row],[Product_ID]],tblProducts[Product_ID],tblProducts[Occasion],"Not Found",0)</f>
        <v>Birthday</v>
      </c>
      <c r="Q515" s="18">
        <f>_xlfn.XLOOKUP(tblMaster[[#This Row],[Product_ID]],tblProducts[Product_ID],tblProducts[Price (INR)],"Not Found",0)</f>
        <v>535</v>
      </c>
      <c r="R515" s="19">
        <f>tblMaster[[#This Row],[Price]]*tblMaster[[#This Row],[Quantity]]</f>
        <v>535</v>
      </c>
      <c r="S515" s="19">
        <f>tblMaster[[#This Row],[Price]]*0.7*tblMaster[[#This Row],[Quantity]]</f>
        <v>374.5</v>
      </c>
      <c r="T515" s="19">
        <f>tblMaster[[#This Row],[Revenue]]-tblMaster[[#This Row],[Estimated Cost (at 70%) ]]</f>
        <v>160.5</v>
      </c>
      <c r="U515" s="19">
        <f>tblMaster[[#This Row],[Profit]]/tblMaster[[#This Row],[Revenue]]</f>
        <v>0.3</v>
      </c>
      <c r="V515" s="19">
        <f>tblMaster[[#This Row],[Delivery_Date]]-tblMaster[[#This Row],[Order_Date]]</f>
        <v>8</v>
      </c>
      <c r="W515" s="19" t="str">
        <f>TEXT(tblMaster[[#This Row],[Order_Date]],"mmmm")</f>
        <v>January</v>
      </c>
      <c r="X515" s="19">
        <f>MONTH(tblMaster[[#This Row],[Order_Date]])</f>
        <v>1</v>
      </c>
      <c r="Y515" s="19" t="str">
        <f>"Q"&amp;ROUNDUP(tblMaster[[#This Row],[Month Number]]/3,0)</f>
        <v>Q1</v>
      </c>
      <c r="Z515" s="19">
        <f>YEAR(tblMaster[[#This Row],[Order_Date]])</f>
        <v>2023</v>
      </c>
      <c r="AA515" s="19" t="str">
        <f>TEXT(DAY(tblMaster[[#This Row],[Order_Date]]),"dddd")</f>
        <v>Sunday</v>
      </c>
      <c r="AB515" s="19" t="str">
        <f>IF(tblMaster[[#This Row],[Revenue]]&gt;=5000,"High",IF(tblMaster[[#This Row],[Revenue]]&lt;2000,"Low","Medium"))</f>
        <v>Low</v>
      </c>
    </row>
    <row r="516" spans="1:28" x14ac:dyDescent="0.25">
      <c r="A516" s="7">
        <v>515</v>
      </c>
      <c r="B516" s="7" t="s">
        <v>174</v>
      </c>
      <c r="C516" s="4">
        <v>14</v>
      </c>
      <c r="D516" s="4">
        <v>5</v>
      </c>
      <c r="E516" s="8">
        <v>45220</v>
      </c>
      <c r="F516" s="9">
        <v>0.97406250000000005</v>
      </c>
      <c r="G516" s="8">
        <v>45226</v>
      </c>
      <c r="H516" s="9">
        <v>0.62487268518518524</v>
      </c>
      <c r="I516" s="7" t="s">
        <v>521</v>
      </c>
      <c r="J516" s="7" t="s">
        <v>36</v>
      </c>
      <c r="K516" s="18" t="str">
        <f>_xlfn.XLOOKUP(tblMaster[[#This Row],[Customer_ID]],tblCustomers[Customer_ID],tblCustomers[City],"Not Found",0)</f>
        <v>Bhubaneswar</v>
      </c>
      <c r="L516" s="18" t="str">
        <f>_xlfn.XLOOKUP(tblMaster[[#This Row],[Customer_ID]],tblCustomers[Customer_ID],tblCustomers[Name],"Not Found",0)</f>
        <v>Jivika Rajan</v>
      </c>
      <c r="M516" s="18" t="str">
        <f>_xlfn.XLOOKUP(tblMaster[[#This Row],[Customer_ID]],tblCustomers[Customer_ID],tblCustomers[Gender],"Not Found",0)</f>
        <v>Female</v>
      </c>
      <c r="N516" s="18" t="str">
        <f>_xlfn.XLOOKUP(tblMaster[[#This Row],[Product_ID]],tblProducts[Product_ID],tblProducts[Product_Name],"Not Found",0)</f>
        <v>Deserunt Box</v>
      </c>
      <c r="O516" s="18" t="str">
        <f>_xlfn.XLOOKUP(tblMaster[[#This Row],[Product_ID]],tblProducts[Product_ID],tblProducts[Category],"Not Found",0)</f>
        <v>Colors</v>
      </c>
      <c r="P516" s="18" t="str">
        <f>_xlfn.XLOOKUP(tblMaster[[#This Row],[Product_ID]],tblProducts[Product_ID],tblProducts[Occasion],"Not Found",0)</f>
        <v>Birthday</v>
      </c>
      <c r="Q516" s="18">
        <f>_xlfn.XLOOKUP(tblMaster[[#This Row],[Product_ID]],tblProducts[Product_ID],tblProducts[Price (INR)],"Not Found",0)</f>
        <v>1915</v>
      </c>
      <c r="R516" s="19">
        <f>tblMaster[[#This Row],[Price]]*tblMaster[[#This Row],[Quantity]]</f>
        <v>9575</v>
      </c>
      <c r="S516" s="19">
        <f>tblMaster[[#This Row],[Price]]*0.7*tblMaster[[#This Row],[Quantity]]</f>
        <v>6702.5</v>
      </c>
      <c r="T516" s="19">
        <f>tblMaster[[#This Row],[Revenue]]-tblMaster[[#This Row],[Estimated Cost (at 70%) ]]</f>
        <v>2872.5</v>
      </c>
      <c r="U516" s="19">
        <f>tblMaster[[#This Row],[Profit]]/tblMaster[[#This Row],[Revenue]]</f>
        <v>0.3</v>
      </c>
      <c r="V516" s="19">
        <f>tblMaster[[#This Row],[Delivery_Date]]-tblMaster[[#This Row],[Order_Date]]</f>
        <v>6</v>
      </c>
      <c r="W516" s="19" t="str">
        <f>TEXT(tblMaster[[#This Row],[Order_Date]],"mmmm")</f>
        <v>October</v>
      </c>
      <c r="X516" s="19">
        <f>MONTH(tblMaster[[#This Row],[Order_Date]])</f>
        <v>10</v>
      </c>
      <c r="Y516" s="19" t="str">
        <f>"Q"&amp;ROUNDUP(tblMaster[[#This Row],[Month Number]]/3,0)</f>
        <v>Q4</v>
      </c>
      <c r="Z516" s="19">
        <f>YEAR(tblMaster[[#This Row],[Order_Date]])</f>
        <v>2023</v>
      </c>
      <c r="AA516" s="19" t="str">
        <f>TEXT(DAY(tblMaster[[#This Row],[Order_Date]]),"dddd")</f>
        <v>Saturday</v>
      </c>
      <c r="AB516" s="19" t="str">
        <f>IF(tblMaster[[#This Row],[Revenue]]&gt;=5000,"High",IF(tblMaster[[#This Row],[Revenue]]&lt;2000,"Low","Medium"))</f>
        <v>High</v>
      </c>
    </row>
    <row r="517" spans="1:28" x14ac:dyDescent="0.25">
      <c r="A517" s="10">
        <v>516</v>
      </c>
      <c r="B517" s="10" t="s">
        <v>246</v>
      </c>
      <c r="C517" s="5">
        <v>22</v>
      </c>
      <c r="D517" s="5">
        <v>2</v>
      </c>
      <c r="E517" s="11">
        <v>45112</v>
      </c>
      <c r="F517" s="12">
        <v>0.87009259259259264</v>
      </c>
      <c r="G517" s="11">
        <v>45113</v>
      </c>
      <c r="H517" s="12">
        <v>4.6064814814814815E-2</v>
      </c>
      <c r="I517" s="10" t="s">
        <v>522</v>
      </c>
      <c r="J517" s="10" t="s">
        <v>8</v>
      </c>
      <c r="K517" s="18" t="str">
        <f>_xlfn.XLOOKUP(tblMaster[[#This Row],[Customer_ID]],tblCustomers[Customer_ID],tblCustomers[City],"Not Found",0)</f>
        <v>Machilipatnam</v>
      </c>
      <c r="L517" s="18" t="str">
        <f>_xlfn.XLOOKUP(tblMaster[[#This Row],[Customer_ID]],tblCustomers[Customer_ID],tblCustomers[Name],"Not Found",0)</f>
        <v>Samaira Ganesh</v>
      </c>
      <c r="M517" s="18" t="str">
        <f>_xlfn.XLOOKUP(tblMaster[[#This Row],[Customer_ID]],tblCustomers[Customer_ID],tblCustomers[Gender],"Not Found",0)</f>
        <v>Male</v>
      </c>
      <c r="N517" s="18" t="str">
        <f>_xlfn.XLOOKUP(tblMaster[[#This Row],[Product_ID]],tblProducts[Product_ID],tblProducts[Product_Name],"Not Found",0)</f>
        <v>Exercitationem Pack</v>
      </c>
      <c r="O517" s="18" t="str">
        <f>_xlfn.XLOOKUP(tblMaster[[#This Row],[Product_ID]],tblProducts[Product_ID],tblProducts[Category],"Not Found",0)</f>
        <v>Soft Toys</v>
      </c>
      <c r="P517" s="18" t="str">
        <f>_xlfn.XLOOKUP(tblMaster[[#This Row],[Product_ID]],tblProducts[Product_ID],tblProducts[Occasion],"Not Found",0)</f>
        <v>All Occasions</v>
      </c>
      <c r="Q517" s="18">
        <f>_xlfn.XLOOKUP(tblMaster[[#This Row],[Product_ID]],tblProducts[Product_ID],tblProducts[Price (INR)],"Not Found",0)</f>
        <v>1639</v>
      </c>
      <c r="R517" s="19">
        <f>tblMaster[[#This Row],[Price]]*tblMaster[[#This Row],[Quantity]]</f>
        <v>3278</v>
      </c>
      <c r="S517" s="19">
        <f>tblMaster[[#This Row],[Price]]*0.7*tblMaster[[#This Row],[Quantity]]</f>
        <v>2294.6</v>
      </c>
      <c r="T517" s="19">
        <f>tblMaster[[#This Row],[Revenue]]-tblMaster[[#This Row],[Estimated Cost (at 70%) ]]</f>
        <v>983.40000000000009</v>
      </c>
      <c r="U517" s="19">
        <f>tblMaster[[#This Row],[Profit]]/tblMaster[[#This Row],[Revenue]]</f>
        <v>0.30000000000000004</v>
      </c>
      <c r="V517" s="19">
        <f>tblMaster[[#This Row],[Delivery_Date]]-tblMaster[[#This Row],[Order_Date]]</f>
        <v>1</v>
      </c>
      <c r="W517" s="19" t="str">
        <f>TEXT(tblMaster[[#This Row],[Order_Date]],"mmmm")</f>
        <v>July</v>
      </c>
      <c r="X517" s="19">
        <f>MONTH(tblMaster[[#This Row],[Order_Date]])</f>
        <v>7</v>
      </c>
      <c r="Y517" s="19" t="str">
        <f>"Q"&amp;ROUNDUP(tblMaster[[#This Row],[Month Number]]/3,0)</f>
        <v>Q3</v>
      </c>
      <c r="Z517" s="19">
        <f>YEAR(tblMaster[[#This Row],[Order_Date]])</f>
        <v>2023</v>
      </c>
      <c r="AA517" s="19" t="str">
        <f>TEXT(DAY(tblMaster[[#This Row],[Order_Date]]),"dddd")</f>
        <v>Thursday</v>
      </c>
      <c r="AB517" s="19" t="str">
        <f>IF(tblMaster[[#This Row],[Revenue]]&gt;=5000,"High",IF(tblMaster[[#This Row],[Revenue]]&lt;2000,"Low","Medium"))</f>
        <v>Medium</v>
      </c>
    </row>
    <row r="518" spans="1:28" x14ac:dyDescent="0.25">
      <c r="A518" s="7">
        <v>517</v>
      </c>
      <c r="B518" s="7" t="s">
        <v>216</v>
      </c>
      <c r="C518" s="4">
        <v>60</v>
      </c>
      <c r="D518" s="4">
        <v>5</v>
      </c>
      <c r="E518" s="8">
        <v>45239</v>
      </c>
      <c r="F518" s="9">
        <v>4.2511574074074077E-2</v>
      </c>
      <c r="G518" s="8">
        <v>45247</v>
      </c>
      <c r="H518" s="9">
        <v>0.79508101851851853</v>
      </c>
      <c r="I518" s="7" t="s">
        <v>408</v>
      </c>
      <c r="J518" s="7" t="s">
        <v>19</v>
      </c>
      <c r="K518" s="18" t="str">
        <f>_xlfn.XLOOKUP(tblMaster[[#This Row],[Customer_ID]],tblCustomers[Customer_ID],tblCustomers[City],"Not Found",0)</f>
        <v>Srikakulam</v>
      </c>
      <c r="L518" s="18" t="str">
        <f>_xlfn.XLOOKUP(tblMaster[[#This Row],[Customer_ID]],tblCustomers[Customer_ID],tblCustomers[Name],"Not Found",0)</f>
        <v>Indrajit Kale</v>
      </c>
      <c r="M518" s="18" t="str">
        <f>_xlfn.XLOOKUP(tblMaster[[#This Row],[Customer_ID]],tblCustomers[Customer_ID],tblCustomers[Gender],"Not Found",0)</f>
        <v>Male</v>
      </c>
      <c r="N518" s="18" t="str">
        <f>_xlfn.XLOOKUP(tblMaster[[#This Row],[Product_ID]],tblProducts[Product_ID],tblProducts[Product_Name],"Not Found",0)</f>
        <v>Ea Set</v>
      </c>
      <c r="O518" s="18" t="str">
        <f>_xlfn.XLOOKUP(tblMaster[[#This Row],[Product_ID]],tblProducts[Product_ID],tblProducts[Category],"Not Found",0)</f>
        <v>Sweets</v>
      </c>
      <c r="P518" s="18" t="str">
        <f>_xlfn.XLOOKUP(tblMaster[[#This Row],[Product_ID]],tblProducts[Product_ID],tblProducts[Occasion],"Not Found",0)</f>
        <v>Diwali</v>
      </c>
      <c r="Q518" s="18">
        <f>_xlfn.XLOOKUP(tblMaster[[#This Row],[Product_ID]],tblProducts[Product_ID],tblProducts[Price (INR)],"Not Found",0)</f>
        <v>827</v>
      </c>
      <c r="R518" s="19">
        <f>tblMaster[[#This Row],[Price]]*tblMaster[[#This Row],[Quantity]]</f>
        <v>4135</v>
      </c>
      <c r="S518" s="19">
        <f>tblMaster[[#This Row],[Price]]*0.7*tblMaster[[#This Row],[Quantity]]</f>
        <v>2894.5</v>
      </c>
      <c r="T518" s="19">
        <f>tblMaster[[#This Row],[Revenue]]-tblMaster[[#This Row],[Estimated Cost (at 70%) ]]</f>
        <v>1240.5</v>
      </c>
      <c r="U518" s="19">
        <f>tblMaster[[#This Row],[Profit]]/tblMaster[[#This Row],[Revenue]]</f>
        <v>0.3</v>
      </c>
      <c r="V518" s="19">
        <f>tblMaster[[#This Row],[Delivery_Date]]-tblMaster[[#This Row],[Order_Date]]</f>
        <v>8</v>
      </c>
      <c r="W518" s="19" t="str">
        <f>TEXT(tblMaster[[#This Row],[Order_Date]],"mmmm")</f>
        <v>November</v>
      </c>
      <c r="X518" s="19">
        <f>MONTH(tblMaster[[#This Row],[Order_Date]])</f>
        <v>11</v>
      </c>
      <c r="Y518" s="19" t="str">
        <f>"Q"&amp;ROUNDUP(tblMaster[[#This Row],[Month Number]]/3,0)</f>
        <v>Q4</v>
      </c>
      <c r="Z518" s="19">
        <f>YEAR(tblMaster[[#This Row],[Order_Date]])</f>
        <v>2023</v>
      </c>
      <c r="AA518" s="19" t="str">
        <f>TEXT(DAY(tblMaster[[#This Row],[Order_Date]]),"dddd")</f>
        <v>Monday</v>
      </c>
      <c r="AB518" s="19" t="str">
        <f>IF(tblMaster[[#This Row],[Revenue]]&gt;=5000,"High",IF(tblMaster[[#This Row],[Revenue]]&lt;2000,"Low","Medium"))</f>
        <v>Medium</v>
      </c>
    </row>
    <row r="519" spans="1:28" x14ac:dyDescent="0.25">
      <c r="A519" s="10">
        <v>518</v>
      </c>
      <c r="B519" s="10" t="s">
        <v>254</v>
      </c>
      <c r="C519" s="5">
        <v>45</v>
      </c>
      <c r="D519" s="5">
        <v>3</v>
      </c>
      <c r="E519" s="11">
        <v>45025</v>
      </c>
      <c r="F519" s="12">
        <v>0.19908564814814814</v>
      </c>
      <c r="G519" s="11">
        <v>45031</v>
      </c>
      <c r="H519" s="12">
        <v>0.81997685185185187</v>
      </c>
      <c r="I519" s="10" t="s">
        <v>317</v>
      </c>
      <c r="J519" s="10" t="s">
        <v>36</v>
      </c>
      <c r="K519" s="18" t="str">
        <f>_xlfn.XLOOKUP(tblMaster[[#This Row],[Customer_ID]],tblCustomers[Customer_ID],tblCustomers[City],"Not Found",0)</f>
        <v>Maheshtala</v>
      </c>
      <c r="L519" s="18" t="str">
        <f>_xlfn.XLOOKUP(tblMaster[[#This Row],[Customer_ID]],tblCustomers[Customer_ID],tblCustomers[Name],"Not Found",0)</f>
        <v>Divit Mahajan</v>
      </c>
      <c r="M519" s="18" t="str">
        <f>_xlfn.XLOOKUP(tblMaster[[#This Row],[Customer_ID]],tblCustomers[Customer_ID],tblCustomers[Gender],"Not Found",0)</f>
        <v>Female</v>
      </c>
      <c r="N519" s="18" t="str">
        <f>_xlfn.XLOOKUP(tblMaster[[#This Row],[Product_ID]],tblProducts[Product_ID],tblProducts[Product_Name],"Not Found",0)</f>
        <v>Iusto Set</v>
      </c>
      <c r="O519" s="18" t="str">
        <f>_xlfn.XLOOKUP(tblMaster[[#This Row],[Product_ID]],tblProducts[Product_ID],tblProducts[Category],"Not Found",0)</f>
        <v>Raksha Bandhan</v>
      </c>
      <c r="P519" s="18" t="str">
        <f>_xlfn.XLOOKUP(tblMaster[[#This Row],[Product_ID]],tblProducts[Product_ID],tblProducts[Occasion],"Not Found",0)</f>
        <v>Birthday</v>
      </c>
      <c r="Q519" s="18">
        <f>_xlfn.XLOOKUP(tblMaster[[#This Row],[Product_ID]],tblProducts[Product_ID],tblProducts[Price (INR)],"Not Found",0)</f>
        <v>722</v>
      </c>
      <c r="R519" s="19">
        <f>tblMaster[[#This Row],[Price]]*tblMaster[[#This Row],[Quantity]]</f>
        <v>2166</v>
      </c>
      <c r="S519" s="19">
        <f>tblMaster[[#This Row],[Price]]*0.7*tblMaster[[#This Row],[Quantity]]</f>
        <v>1516.1999999999998</v>
      </c>
      <c r="T519" s="19">
        <f>tblMaster[[#This Row],[Revenue]]-tblMaster[[#This Row],[Estimated Cost (at 70%) ]]</f>
        <v>649.80000000000018</v>
      </c>
      <c r="U519" s="19">
        <f>tblMaster[[#This Row],[Profit]]/tblMaster[[#This Row],[Revenue]]</f>
        <v>0.3000000000000001</v>
      </c>
      <c r="V519" s="19">
        <f>tblMaster[[#This Row],[Delivery_Date]]-tblMaster[[#This Row],[Order_Date]]</f>
        <v>6</v>
      </c>
      <c r="W519" s="19" t="str">
        <f>TEXT(tblMaster[[#This Row],[Order_Date]],"mmmm")</f>
        <v>April</v>
      </c>
      <c r="X519" s="19">
        <f>MONTH(tblMaster[[#This Row],[Order_Date]])</f>
        <v>4</v>
      </c>
      <c r="Y519" s="19" t="str">
        <f>"Q"&amp;ROUNDUP(tblMaster[[#This Row],[Month Number]]/3,0)</f>
        <v>Q2</v>
      </c>
      <c r="Z519" s="19">
        <f>YEAR(tblMaster[[#This Row],[Order_Date]])</f>
        <v>2023</v>
      </c>
      <c r="AA519" s="19" t="str">
        <f>TEXT(DAY(tblMaster[[#This Row],[Order_Date]]),"dddd")</f>
        <v>Monday</v>
      </c>
      <c r="AB519" s="19" t="str">
        <f>IF(tblMaster[[#This Row],[Revenue]]&gt;=5000,"High",IF(tblMaster[[#This Row],[Revenue]]&lt;2000,"Low","Medium"))</f>
        <v>Medium</v>
      </c>
    </row>
    <row r="520" spans="1:28" x14ac:dyDescent="0.25">
      <c r="A520" s="7">
        <v>519</v>
      </c>
      <c r="B520" s="7" t="s">
        <v>248</v>
      </c>
      <c r="C520" s="4">
        <v>52</v>
      </c>
      <c r="D520" s="4">
        <v>4</v>
      </c>
      <c r="E520" s="8">
        <v>44964</v>
      </c>
      <c r="F520" s="9">
        <v>0.9657175925925926</v>
      </c>
      <c r="G520" s="8">
        <v>44972</v>
      </c>
      <c r="H520" s="9">
        <v>0.27800925925925923</v>
      </c>
      <c r="I520" s="7" t="s">
        <v>486</v>
      </c>
      <c r="J520" s="7" t="s">
        <v>12</v>
      </c>
      <c r="K520" s="18" t="str">
        <f>_xlfn.XLOOKUP(tblMaster[[#This Row],[Customer_ID]],tblCustomers[Customer_ID],tblCustomers[City],"Not Found",0)</f>
        <v>Panvel</v>
      </c>
      <c r="L520" s="18" t="str">
        <f>_xlfn.XLOOKUP(tblMaster[[#This Row],[Customer_ID]],tblCustomers[Customer_ID],tblCustomers[Name],"Not Found",0)</f>
        <v>Indrans Shukla</v>
      </c>
      <c r="M520" s="18" t="str">
        <f>_xlfn.XLOOKUP(tblMaster[[#This Row],[Customer_ID]],tblCustomers[Customer_ID],tblCustomers[Gender],"Not Found",0)</f>
        <v>Female</v>
      </c>
      <c r="N520" s="18" t="str">
        <f>_xlfn.XLOOKUP(tblMaster[[#This Row],[Product_ID]],tblProducts[Product_ID],tblProducts[Product_Name],"Not Found",0)</f>
        <v>Dolorum Box</v>
      </c>
      <c r="O520" s="18" t="str">
        <f>_xlfn.XLOOKUP(tblMaster[[#This Row],[Product_ID]],tblProducts[Product_ID],tblProducts[Category],"Not Found",0)</f>
        <v>Raksha Bandhan</v>
      </c>
      <c r="P520" s="18" t="str">
        <f>_xlfn.XLOOKUP(tblMaster[[#This Row],[Product_ID]],tblProducts[Product_ID],tblProducts[Occasion],"Not Found",0)</f>
        <v>Valentine's Day</v>
      </c>
      <c r="Q520" s="18">
        <f>_xlfn.XLOOKUP(tblMaster[[#This Row],[Product_ID]],tblProducts[Product_ID],tblProducts[Price (INR)],"Not Found",0)</f>
        <v>236</v>
      </c>
      <c r="R520" s="19">
        <f>tblMaster[[#This Row],[Price]]*tblMaster[[#This Row],[Quantity]]</f>
        <v>944</v>
      </c>
      <c r="S520" s="19">
        <f>tblMaster[[#This Row],[Price]]*0.7*tblMaster[[#This Row],[Quantity]]</f>
        <v>660.8</v>
      </c>
      <c r="T520" s="19">
        <f>tblMaster[[#This Row],[Revenue]]-tblMaster[[#This Row],[Estimated Cost (at 70%) ]]</f>
        <v>283.20000000000005</v>
      </c>
      <c r="U520" s="19">
        <f>tblMaster[[#This Row],[Profit]]/tblMaster[[#This Row],[Revenue]]</f>
        <v>0.30000000000000004</v>
      </c>
      <c r="V520" s="19">
        <f>tblMaster[[#This Row],[Delivery_Date]]-tblMaster[[#This Row],[Order_Date]]</f>
        <v>8</v>
      </c>
      <c r="W520" s="19" t="str">
        <f>TEXT(tblMaster[[#This Row],[Order_Date]],"mmmm")</f>
        <v>February</v>
      </c>
      <c r="X520" s="19">
        <f>MONTH(tblMaster[[#This Row],[Order_Date]])</f>
        <v>2</v>
      </c>
      <c r="Y520" s="19" t="str">
        <f>"Q"&amp;ROUNDUP(tblMaster[[#This Row],[Month Number]]/3,0)</f>
        <v>Q1</v>
      </c>
      <c r="Z520" s="19">
        <f>YEAR(tblMaster[[#This Row],[Order_Date]])</f>
        <v>2023</v>
      </c>
      <c r="AA520" s="19" t="str">
        <f>TEXT(DAY(tblMaster[[#This Row],[Order_Date]]),"dddd")</f>
        <v>Saturday</v>
      </c>
      <c r="AB520" s="19" t="str">
        <f>IF(tblMaster[[#This Row],[Revenue]]&gt;=5000,"High",IF(tblMaster[[#This Row],[Revenue]]&lt;2000,"Low","Medium"))</f>
        <v>Low</v>
      </c>
    </row>
    <row r="521" spans="1:28" x14ac:dyDescent="0.25">
      <c r="A521" s="10">
        <v>520</v>
      </c>
      <c r="B521" s="10" t="s">
        <v>335</v>
      </c>
      <c r="C521" s="5">
        <v>14</v>
      </c>
      <c r="D521" s="5">
        <v>5</v>
      </c>
      <c r="E521" s="11">
        <v>45023</v>
      </c>
      <c r="F521" s="12">
        <v>0.19711805555555556</v>
      </c>
      <c r="G521" s="11">
        <v>45024</v>
      </c>
      <c r="H521" s="12">
        <v>0.34837962962962965</v>
      </c>
      <c r="I521" s="10" t="s">
        <v>484</v>
      </c>
      <c r="J521" s="10" t="s">
        <v>36</v>
      </c>
      <c r="K521" s="18" t="str">
        <f>_xlfn.XLOOKUP(tblMaster[[#This Row],[Customer_ID]],tblCustomers[Customer_ID],tblCustomers[City],"Not Found",0)</f>
        <v>Farrukhabad</v>
      </c>
      <c r="L521" s="18" t="str">
        <f>_xlfn.XLOOKUP(tblMaster[[#This Row],[Customer_ID]],tblCustomers[Customer_ID],tblCustomers[Name],"Not Found",0)</f>
        <v>Ira Chahal</v>
      </c>
      <c r="M521" s="18" t="str">
        <f>_xlfn.XLOOKUP(tblMaster[[#This Row],[Customer_ID]],tblCustomers[Customer_ID],tblCustomers[Gender],"Not Found",0)</f>
        <v>Female</v>
      </c>
      <c r="N521" s="18" t="str">
        <f>_xlfn.XLOOKUP(tblMaster[[#This Row],[Product_ID]],tblProducts[Product_ID],tblProducts[Product_Name],"Not Found",0)</f>
        <v>Deserunt Box</v>
      </c>
      <c r="O521" s="18" t="str">
        <f>_xlfn.XLOOKUP(tblMaster[[#This Row],[Product_ID]],tblProducts[Product_ID],tblProducts[Category],"Not Found",0)</f>
        <v>Colors</v>
      </c>
      <c r="P521" s="18" t="str">
        <f>_xlfn.XLOOKUP(tblMaster[[#This Row],[Product_ID]],tblProducts[Product_ID],tblProducts[Occasion],"Not Found",0)</f>
        <v>Birthday</v>
      </c>
      <c r="Q521" s="18">
        <f>_xlfn.XLOOKUP(tblMaster[[#This Row],[Product_ID]],tblProducts[Product_ID],tblProducts[Price (INR)],"Not Found",0)</f>
        <v>1915</v>
      </c>
      <c r="R521" s="19">
        <f>tblMaster[[#This Row],[Price]]*tblMaster[[#This Row],[Quantity]]</f>
        <v>9575</v>
      </c>
      <c r="S521" s="19">
        <f>tblMaster[[#This Row],[Price]]*0.7*tblMaster[[#This Row],[Quantity]]</f>
        <v>6702.5</v>
      </c>
      <c r="T521" s="19">
        <f>tblMaster[[#This Row],[Revenue]]-tblMaster[[#This Row],[Estimated Cost (at 70%) ]]</f>
        <v>2872.5</v>
      </c>
      <c r="U521" s="19">
        <f>tblMaster[[#This Row],[Profit]]/tblMaster[[#This Row],[Revenue]]</f>
        <v>0.3</v>
      </c>
      <c r="V521" s="19">
        <f>tblMaster[[#This Row],[Delivery_Date]]-tblMaster[[#This Row],[Order_Date]]</f>
        <v>1</v>
      </c>
      <c r="W521" s="19" t="str">
        <f>TEXT(tblMaster[[#This Row],[Order_Date]],"mmmm")</f>
        <v>April</v>
      </c>
      <c r="X521" s="19">
        <f>MONTH(tblMaster[[#This Row],[Order_Date]])</f>
        <v>4</v>
      </c>
      <c r="Y521" s="19" t="str">
        <f>"Q"&amp;ROUNDUP(tblMaster[[#This Row],[Month Number]]/3,0)</f>
        <v>Q2</v>
      </c>
      <c r="Z521" s="19">
        <f>YEAR(tblMaster[[#This Row],[Order_Date]])</f>
        <v>2023</v>
      </c>
      <c r="AA521" s="19" t="str">
        <f>TEXT(DAY(tblMaster[[#This Row],[Order_Date]]),"dddd")</f>
        <v>Saturday</v>
      </c>
      <c r="AB521" s="19" t="str">
        <f>IF(tblMaster[[#This Row],[Revenue]]&gt;=5000,"High",IF(tblMaster[[#This Row],[Revenue]]&lt;2000,"Low","Medium"))</f>
        <v>High</v>
      </c>
    </row>
    <row r="522" spans="1:28" x14ac:dyDescent="0.25">
      <c r="A522" s="7">
        <v>521</v>
      </c>
      <c r="B522" s="7" t="s">
        <v>285</v>
      </c>
      <c r="C522" s="4">
        <v>33</v>
      </c>
      <c r="D522" s="4">
        <v>5</v>
      </c>
      <c r="E522" s="8">
        <v>44961</v>
      </c>
      <c r="F522" s="9">
        <v>0.87519675925925922</v>
      </c>
      <c r="G522" s="8">
        <v>44965</v>
      </c>
      <c r="H522" s="9">
        <v>0.1032175925925926</v>
      </c>
      <c r="I522" s="7" t="s">
        <v>436</v>
      </c>
      <c r="J522" s="7" t="s">
        <v>12</v>
      </c>
      <c r="K522" s="18" t="str">
        <f>_xlfn.XLOOKUP(tblMaster[[#This Row],[Customer_ID]],tblCustomers[Customer_ID],tblCustomers[City],"Not Found",0)</f>
        <v>Nagpur</v>
      </c>
      <c r="L522" s="18" t="str">
        <f>_xlfn.XLOOKUP(tblMaster[[#This Row],[Customer_ID]],tblCustomers[Customer_ID],tblCustomers[Name],"Not Found",0)</f>
        <v>Inaaya  Sarraf</v>
      </c>
      <c r="M522" s="18" t="str">
        <f>_xlfn.XLOOKUP(tblMaster[[#This Row],[Customer_ID]],tblCustomers[Customer_ID],tblCustomers[Gender],"Not Found",0)</f>
        <v>Male</v>
      </c>
      <c r="N522" s="18" t="str">
        <f>_xlfn.XLOOKUP(tblMaster[[#This Row],[Product_ID]],tblProducts[Product_ID],tblProducts[Product_Name],"Not Found",0)</f>
        <v>Earum Set</v>
      </c>
      <c r="O522" s="18" t="str">
        <f>_xlfn.XLOOKUP(tblMaster[[#This Row],[Product_ID]],tblProducts[Product_ID],tblProducts[Category],"Not Found",0)</f>
        <v>Colors</v>
      </c>
      <c r="P522" s="18" t="str">
        <f>_xlfn.XLOOKUP(tblMaster[[#This Row],[Product_ID]],tblProducts[Product_ID],tblProducts[Occasion],"Not Found",0)</f>
        <v>Valentine's Day</v>
      </c>
      <c r="Q522" s="18">
        <f>_xlfn.XLOOKUP(tblMaster[[#This Row],[Product_ID]],tblProducts[Product_ID],tblProducts[Price (INR)],"Not Found",0)</f>
        <v>314</v>
      </c>
      <c r="R522" s="19">
        <f>tblMaster[[#This Row],[Price]]*tblMaster[[#This Row],[Quantity]]</f>
        <v>1570</v>
      </c>
      <c r="S522" s="19">
        <f>tblMaster[[#This Row],[Price]]*0.7*tblMaster[[#This Row],[Quantity]]</f>
        <v>1099</v>
      </c>
      <c r="T522" s="19">
        <f>tblMaster[[#This Row],[Revenue]]-tblMaster[[#This Row],[Estimated Cost (at 70%) ]]</f>
        <v>471</v>
      </c>
      <c r="U522" s="19">
        <f>tblMaster[[#This Row],[Profit]]/tblMaster[[#This Row],[Revenue]]</f>
        <v>0.3</v>
      </c>
      <c r="V522" s="19">
        <f>tblMaster[[#This Row],[Delivery_Date]]-tblMaster[[#This Row],[Order_Date]]</f>
        <v>4</v>
      </c>
      <c r="W522" s="19" t="str">
        <f>TEXT(tblMaster[[#This Row],[Order_Date]],"mmmm")</f>
        <v>February</v>
      </c>
      <c r="X522" s="19">
        <f>MONTH(tblMaster[[#This Row],[Order_Date]])</f>
        <v>2</v>
      </c>
      <c r="Y522" s="19" t="str">
        <f>"Q"&amp;ROUNDUP(tblMaster[[#This Row],[Month Number]]/3,0)</f>
        <v>Q1</v>
      </c>
      <c r="Z522" s="19">
        <f>YEAR(tblMaster[[#This Row],[Order_Date]])</f>
        <v>2023</v>
      </c>
      <c r="AA522" s="19" t="str">
        <f>TEXT(DAY(tblMaster[[#This Row],[Order_Date]]),"dddd")</f>
        <v>Wednesday</v>
      </c>
      <c r="AB522" s="19" t="str">
        <f>IF(tblMaster[[#This Row],[Revenue]]&gt;=5000,"High",IF(tblMaster[[#This Row],[Revenue]]&lt;2000,"Low","Medium"))</f>
        <v>Low</v>
      </c>
    </row>
    <row r="523" spans="1:28" x14ac:dyDescent="0.25">
      <c r="A523" s="10">
        <v>522</v>
      </c>
      <c r="B523" s="10" t="s">
        <v>200</v>
      </c>
      <c r="C523" s="5">
        <v>50</v>
      </c>
      <c r="D523" s="5">
        <v>3</v>
      </c>
      <c r="E523" s="11">
        <v>44984</v>
      </c>
      <c r="F523" s="12">
        <v>0.87810185185185186</v>
      </c>
      <c r="G523" s="11">
        <v>44993</v>
      </c>
      <c r="H523" s="12">
        <v>6.5856481481481488E-2</v>
      </c>
      <c r="I523" s="10" t="s">
        <v>298</v>
      </c>
      <c r="J523" s="10" t="s">
        <v>25</v>
      </c>
      <c r="K523" s="18" t="str">
        <f>_xlfn.XLOOKUP(tblMaster[[#This Row],[Customer_ID]],tblCustomers[Customer_ID],tblCustomers[City],"Not Found",0)</f>
        <v>Orai</v>
      </c>
      <c r="L523" s="18" t="str">
        <f>_xlfn.XLOOKUP(tblMaster[[#This Row],[Customer_ID]],tblCustomers[Customer_ID],tblCustomers[Name],"Not Found",0)</f>
        <v>Lagan Kapoor</v>
      </c>
      <c r="M523" s="18" t="str">
        <f>_xlfn.XLOOKUP(tblMaster[[#This Row],[Customer_ID]],tblCustomers[Customer_ID],tblCustomers[Gender],"Not Found",0)</f>
        <v>Female</v>
      </c>
      <c r="N523" s="18" t="str">
        <f>_xlfn.XLOOKUP(tblMaster[[#This Row],[Product_ID]],tblProducts[Product_ID],tblProducts[Product_Name],"Not Found",0)</f>
        <v>Eligendi Set</v>
      </c>
      <c r="O523" s="18" t="str">
        <f>_xlfn.XLOOKUP(tblMaster[[#This Row],[Product_ID]],tblProducts[Product_ID],tblProducts[Category],"Not Found",0)</f>
        <v>Plants</v>
      </c>
      <c r="P523" s="18" t="str">
        <f>_xlfn.XLOOKUP(tblMaster[[#This Row],[Product_ID]],tblProducts[Product_ID],tblProducts[Occasion],"Not Found",0)</f>
        <v>Holi</v>
      </c>
      <c r="Q523" s="18">
        <f>_xlfn.XLOOKUP(tblMaster[[#This Row],[Product_ID]],tblProducts[Product_ID],tblProducts[Price (INR)],"Not Found",0)</f>
        <v>422</v>
      </c>
      <c r="R523" s="19">
        <f>tblMaster[[#This Row],[Price]]*tblMaster[[#This Row],[Quantity]]</f>
        <v>1266</v>
      </c>
      <c r="S523" s="19">
        <f>tblMaster[[#This Row],[Price]]*0.7*tblMaster[[#This Row],[Quantity]]</f>
        <v>886.19999999999993</v>
      </c>
      <c r="T523" s="19">
        <f>tblMaster[[#This Row],[Revenue]]-tblMaster[[#This Row],[Estimated Cost (at 70%) ]]</f>
        <v>379.80000000000007</v>
      </c>
      <c r="U523" s="19">
        <f>tblMaster[[#This Row],[Profit]]/tblMaster[[#This Row],[Revenue]]</f>
        <v>0.30000000000000004</v>
      </c>
      <c r="V523" s="19">
        <f>tblMaster[[#This Row],[Delivery_Date]]-tblMaster[[#This Row],[Order_Date]]</f>
        <v>9</v>
      </c>
      <c r="W523" s="19" t="str">
        <f>TEXT(tblMaster[[#This Row],[Order_Date]],"mmmm")</f>
        <v>February</v>
      </c>
      <c r="X523" s="19">
        <f>MONTH(tblMaster[[#This Row],[Order_Date]])</f>
        <v>2</v>
      </c>
      <c r="Y523" s="19" t="str">
        <f>"Q"&amp;ROUNDUP(tblMaster[[#This Row],[Month Number]]/3,0)</f>
        <v>Q1</v>
      </c>
      <c r="Z523" s="19">
        <f>YEAR(tblMaster[[#This Row],[Order_Date]])</f>
        <v>2023</v>
      </c>
      <c r="AA523" s="19" t="str">
        <f>TEXT(DAY(tblMaster[[#This Row],[Order_Date]]),"dddd")</f>
        <v>Friday</v>
      </c>
      <c r="AB523" s="19" t="str">
        <f>IF(tblMaster[[#This Row],[Revenue]]&gt;=5000,"High",IF(tblMaster[[#This Row],[Revenue]]&lt;2000,"Low","Medium"))</f>
        <v>Low</v>
      </c>
    </row>
    <row r="524" spans="1:28" x14ac:dyDescent="0.25">
      <c r="A524" s="7">
        <v>523</v>
      </c>
      <c r="B524" s="7" t="s">
        <v>222</v>
      </c>
      <c r="C524" s="4">
        <v>30</v>
      </c>
      <c r="D524" s="4">
        <v>3</v>
      </c>
      <c r="E524" s="8">
        <v>45109</v>
      </c>
      <c r="F524" s="9">
        <v>0.56745370370370374</v>
      </c>
      <c r="G524" s="8">
        <v>45116</v>
      </c>
      <c r="H524" s="9">
        <v>0.65180555555555553</v>
      </c>
      <c r="I524" s="7" t="s">
        <v>451</v>
      </c>
      <c r="J524" s="7" t="s">
        <v>30</v>
      </c>
      <c r="K524" s="18" t="str">
        <f>_xlfn.XLOOKUP(tblMaster[[#This Row],[Customer_ID]],tblCustomers[Customer_ID],tblCustomers[City],"Not Found",0)</f>
        <v>Tiruppur</v>
      </c>
      <c r="L524" s="18" t="str">
        <f>_xlfn.XLOOKUP(tblMaster[[#This Row],[Customer_ID]],tblCustomers[Customer_ID],tblCustomers[Name],"Not Found",0)</f>
        <v>Purab Sheth</v>
      </c>
      <c r="M524" s="18" t="str">
        <f>_xlfn.XLOOKUP(tblMaster[[#This Row],[Customer_ID]],tblCustomers[Customer_ID],tblCustomers[Gender],"Not Found",0)</f>
        <v>Male</v>
      </c>
      <c r="N524" s="18" t="str">
        <f>_xlfn.XLOOKUP(tblMaster[[#This Row],[Product_ID]],tblProducts[Product_ID],tblProducts[Product_Name],"Not Found",0)</f>
        <v>Recusandae Pack</v>
      </c>
      <c r="O524" s="18" t="str">
        <f>_xlfn.XLOOKUP(tblMaster[[#This Row],[Product_ID]],tblProducts[Product_ID],tblProducts[Category],"Not Found",0)</f>
        <v>Colors</v>
      </c>
      <c r="P524" s="18" t="str">
        <f>_xlfn.XLOOKUP(tblMaster[[#This Row],[Product_ID]],tblProducts[Product_ID],tblProducts[Occasion],"Not Found",0)</f>
        <v>Anniversary</v>
      </c>
      <c r="Q524" s="18">
        <f>_xlfn.XLOOKUP(tblMaster[[#This Row],[Product_ID]],tblProducts[Product_ID],tblProducts[Price (INR)],"Not Found",0)</f>
        <v>751</v>
      </c>
      <c r="R524" s="19">
        <f>tblMaster[[#This Row],[Price]]*tblMaster[[#This Row],[Quantity]]</f>
        <v>2253</v>
      </c>
      <c r="S524" s="19">
        <f>tblMaster[[#This Row],[Price]]*0.7*tblMaster[[#This Row],[Quantity]]</f>
        <v>1577.1</v>
      </c>
      <c r="T524" s="19">
        <f>tblMaster[[#This Row],[Revenue]]-tblMaster[[#This Row],[Estimated Cost (at 70%) ]]</f>
        <v>675.90000000000009</v>
      </c>
      <c r="U524" s="19">
        <f>tblMaster[[#This Row],[Profit]]/tblMaster[[#This Row],[Revenue]]</f>
        <v>0.30000000000000004</v>
      </c>
      <c r="V524" s="19">
        <f>tblMaster[[#This Row],[Delivery_Date]]-tblMaster[[#This Row],[Order_Date]]</f>
        <v>7</v>
      </c>
      <c r="W524" s="19" t="str">
        <f>TEXT(tblMaster[[#This Row],[Order_Date]],"mmmm")</f>
        <v>July</v>
      </c>
      <c r="X524" s="19">
        <f>MONTH(tblMaster[[#This Row],[Order_Date]])</f>
        <v>7</v>
      </c>
      <c r="Y524" s="19" t="str">
        <f>"Q"&amp;ROUNDUP(tblMaster[[#This Row],[Month Number]]/3,0)</f>
        <v>Q3</v>
      </c>
      <c r="Z524" s="19">
        <f>YEAR(tblMaster[[#This Row],[Order_Date]])</f>
        <v>2023</v>
      </c>
      <c r="AA524" s="19" t="str">
        <f>TEXT(DAY(tblMaster[[#This Row],[Order_Date]]),"dddd")</f>
        <v>Monday</v>
      </c>
      <c r="AB524" s="19" t="str">
        <f>IF(tblMaster[[#This Row],[Revenue]]&gt;=5000,"High",IF(tblMaster[[#This Row],[Revenue]]&lt;2000,"Low","Medium"))</f>
        <v>Medium</v>
      </c>
    </row>
    <row r="525" spans="1:28" x14ac:dyDescent="0.25">
      <c r="A525" s="10">
        <v>524</v>
      </c>
      <c r="B525" s="10" t="s">
        <v>364</v>
      </c>
      <c r="C525" s="5">
        <v>45</v>
      </c>
      <c r="D525" s="5">
        <v>1</v>
      </c>
      <c r="E525" s="11">
        <v>45153</v>
      </c>
      <c r="F525" s="12">
        <v>0.57979166666666671</v>
      </c>
      <c r="G525" s="11">
        <v>45160</v>
      </c>
      <c r="H525" s="12">
        <v>0.52068287037037042</v>
      </c>
      <c r="I525" s="10" t="s">
        <v>416</v>
      </c>
      <c r="J525" s="10" t="s">
        <v>36</v>
      </c>
      <c r="K525" s="18" t="str">
        <f>_xlfn.XLOOKUP(tblMaster[[#This Row],[Customer_ID]],tblCustomers[Customer_ID],tblCustomers[City],"Not Found",0)</f>
        <v>Tiruchirappalli</v>
      </c>
      <c r="L525" s="18" t="str">
        <f>_xlfn.XLOOKUP(tblMaster[[#This Row],[Customer_ID]],tblCustomers[Customer_ID],tblCustomers[Name],"Not Found",0)</f>
        <v>Anahita Shankar</v>
      </c>
      <c r="M525" s="18" t="str">
        <f>_xlfn.XLOOKUP(tblMaster[[#This Row],[Customer_ID]],tblCustomers[Customer_ID],tblCustomers[Gender],"Not Found",0)</f>
        <v>Male</v>
      </c>
      <c r="N525" s="18" t="str">
        <f>_xlfn.XLOOKUP(tblMaster[[#This Row],[Product_ID]],tblProducts[Product_ID],tblProducts[Product_Name],"Not Found",0)</f>
        <v>Iusto Set</v>
      </c>
      <c r="O525" s="18" t="str">
        <f>_xlfn.XLOOKUP(tblMaster[[#This Row],[Product_ID]],tblProducts[Product_ID],tblProducts[Category],"Not Found",0)</f>
        <v>Raksha Bandhan</v>
      </c>
      <c r="P525" s="18" t="str">
        <f>_xlfn.XLOOKUP(tblMaster[[#This Row],[Product_ID]],tblProducts[Product_ID],tblProducts[Occasion],"Not Found",0)</f>
        <v>Birthday</v>
      </c>
      <c r="Q525" s="18">
        <f>_xlfn.XLOOKUP(tblMaster[[#This Row],[Product_ID]],tblProducts[Product_ID],tblProducts[Price (INR)],"Not Found",0)</f>
        <v>722</v>
      </c>
      <c r="R525" s="19">
        <f>tblMaster[[#This Row],[Price]]*tblMaster[[#This Row],[Quantity]]</f>
        <v>722</v>
      </c>
      <c r="S525" s="19">
        <f>tblMaster[[#This Row],[Price]]*0.7*tblMaster[[#This Row],[Quantity]]</f>
        <v>505.4</v>
      </c>
      <c r="T525" s="19">
        <f>tblMaster[[#This Row],[Revenue]]-tblMaster[[#This Row],[Estimated Cost (at 70%) ]]</f>
        <v>216.60000000000002</v>
      </c>
      <c r="U525" s="19">
        <f>tblMaster[[#This Row],[Profit]]/tblMaster[[#This Row],[Revenue]]</f>
        <v>0.30000000000000004</v>
      </c>
      <c r="V525" s="19">
        <f>tblMaster[[#This Row],[Delivery_Date]]-tblMaster[[#This Row],[Order_Date]]</f>
        <v>7</v>
      </c>
      <c r="W525" s="19" t="str">
        <f>TEXT(tblMaster[[#This Row],[Order_Date]],"mmmm")</f>
        <v>August</v>
      </c>
      <c r="X525" s="19">
        <f>MONTH(tblMaster[[#This Row],[Order_Date]])</f>
        <v>8</v>
      </c>
      <c r="Y525" s="19" t="str">
        <f>"Q"&amp;ROUNDUP(tblMaster[[#This Row],[Month Number]]/3,0)</f>
        <v>Q3</v>
      </c>
      <c r="Z525" s="19">
        <f>YEAR(tblMaster[[#This Row],[Order_Date]])</f>
        <v>2023</v>
      </c>
      <c r="AA525" s="19" t="str">
        <f>TEXT(DAY(tblMaster[[#This Row],[Order_Date]]),"dddd")</f>
        <v>Sunday</v>
      </c>
      <c r="AB525" s="19" t="str">
        <f>IF(tblMaster[[#This Row],[Revenue]]&gt;=5000,"High",IF(tblMaster[[#This Row],[Revenue]]&lt;2000,"Low","Medium"))</f>
        <v>Low</v>
      </c>
    </row>
    <row r="526" spans="1:28" x14ac:dyDescent="0.25">
      <c r="A526" s="7">
        <v>525</v>
      </c>
      <c r="B526" s="7" t="s">
        <v>272</v>
      </c>
      <c r="C526" s="4">
        <v>16</v>
      </c>
      <c r="D526" s="4">
        <v>2</v>
      </c>
      <c r="E526" s="8">
        <v>44987</v>
      </c>
      <c r="F526" s="9">
        <v>0.83759259259259256</v>
      </c>
      <c r="G526" s="8">
        <v>44996</v>
      </c>
      <c r="H526" s="9">
        <v>0.93234953703703705</v>
      </c>
      <c r="I526" s="7" t="s">
        <v>523</v>
      </c>
      <c r="J526" s="7" t="s">
        <v>25</v>
      </c>
      <c r="K526" s="18" t="str">
        <f>_xlfn.XLOOKUP(tblMaster[[#This Row],[Customer_ID]],tblCustomers[Customer_ID],tblCustomers[City],"Not Found",0)</f>
        <v>Indore</v>
      </c>
      <c r="L526" s="18" t="str">
        <f>_xlfn.XLOOKUP(tblMaster[[#This Row],[Customer_ID]],tblCustomers[Customer_ID],tblCustomers[Name],"Not Found",0)</f>
        <v>Suhana Kurian</v>
      </c>
      <c r="M526" s="18" t="str">
        <f>_xlfn.XLOOKUP(tblMaster[[#This Row],[Customer_ID]],tblCustomers[Customer_ID],tblCustomers[Gender],"Not Found",0)</f>
        <v>Female</v>
      </c>
      <c r="N526" s="18" t="str">
        <f>_xlfn.XLOOKUP(tblMaster[[#This Row],[Product_ID]],tblProducts[Product_ID],tblProducts[Product_Name],"Not Found",0)</f>
        <v>Ut Pack</v>
      </c>
      <c r="O526" s="18" t="str">
        <f>_xlfn.XLOOKUP(tblMaster[[#This Row],[Product_ID]],tblProducts[Product_ID],tblProducts[Category],"Not Found",0)</f>
        <v>Sweets</v>
      </c>
      <c r="P526" s="18" t="str">
        <f>_xlfn.XLOOKUP(tblMaster[[#This Row],[Product_ID]],tblProducts[Product_ID],tblProducts[Occasion],"Not Found",0)</f>
        <v>Holi</v>
      </c>
      <c r="Q526" s="18">
        <f>_xlfn.XLOOKUP(tblMaster[[#This Row],[Product_ID]],tblProducts[Product_ID],tblProducts[Price (INR)],"Not Found",0)</f>
        <v>1721</v>
      </c>
      <c r="R526" s="19">
        <f>tblMaster[[#This Row],[Price]]*tblMaster[[#This Row],[Quantity]]</f>
        <v>3442</v>
      </c>
      <c r="S526" s="19">
        <f>tblMaster[[#This Row],[Price]]*0.7*tblMaster[[#This Row],[Quantity]]</f>
        <v>2409.3999999999996</v>
      </c>
      <c r="T526" s="19">
        <f>tblMaster[[#This Row],[Revenue]]-tblMaster[[#This Row],[Estimated Cost (at 70%) ]]</f>
        <v>1032.6000000000004</v>
      </c>
      <c r="U526" s="19">
        <f>tblMaster[[#This Row],[Profit]]/tblMaster[[#This Row],[Revenue]]</f>
        <v>0.3000000000000001</v>
      </c>
      <c r="V526" s="19">
        <f>tblMaster[[#This Row],[Delivery_Date]]-tblMaster[[#This Row],[Order_Date]]</f>
        <v>9</v>
      </c>
      <c r="W526" s="19" t="str">
        <f>TEXT(tblMaster[[#This Row],[Order_Date]],"mmmm")</f>
        <v>March</v>
      </c>
      <c r="X526" s="19">
        <f>MONTH(tblMaster[[#This Row],[Order_Date]])</f>
        <v>3</v>
      </c>
      <c r="Y526" s="19" t="str">
        <f>"Q"&amp;ROUNDUP(tblMaster[[#This Row],[Month Number]]/3,0)</f>
        <v>Q1</v>
      </c>
      <c r="Z526" s="19">
        <f>YEAR(tblMaster[[#This Row],[Order_Date]])</f>
        <v>2023</v>
      </c>
      <c r="AA526" s="19" t="str">
        <f>TEXT(DAY(tblMaster[[#This Row],[Order_Date]]),"dddd")</f>
        <v>Monday</v>
      </c>
      <c r="AB526" s="19" t="str">
        <f>IF(tblMaster[[#This Row],[Revenue]]&gt;=5000,"High",IF(tblMaster[[#This Row],[Revenue]]&lt;2000,"Low","Medium"))</f>
        <v>Medium</v>
      </c>
    </row>
    <row r="527" spans="1:28" x14ac:dyDescent="0.25">
      <c r="A527" s="10">
        <v>526</v>
      </c>
      <c r="B527" s="10" t="s">
        <v>289</v>
      </c>
      <c r="C527" s="5">
        <v>13</v>
      </c>
      <c r="D527" s="5">
        <v>5</v>
      </c>
      <c r="E527" s="11">
        <v>44987</v>
      </c>
      <c r="F527" s="12">
        <v>0.25439814814814815</v>
      </c>
      <c r="G527" s="11">
        <v>44993</v>
      </c>
      <c r="H527" s="12">
        <v>6.6030092592592599E-2</v>
      </c>
      <c r="I527" s="10" t="s">
        <v>444</v>
      </c>
      <c r="J527" s="10" t="s">
        <v>25</v>
      </c>
      <c r="K527" s="18" t="str">
        <f>_xlfn.XLOOKUP(tblMaster[[#This Row],[Customer_ID]],tblCustomers[Customer_ID],tblCustomers[City],"Not Found",0)</f>
        <v>Chinsurah</v>
      </c>
      <c r="L527" s="18" t="str">
        <f>_xlfn.XLOOKUP(tblMaster[[#This Row],[Customer_ID]],tblCustomers[Customer_ID],tblCustomers[Name],"Not Found",0)</f>
        <v>Veer Ray</v>
      </c>
      <c r="M527" s="18" t="str">
        <f>_xlfn.XLOOKUP(tblMaster[[#This Row],[Customer_ID]],tblCustomers[Customer_ID],tblCustomers[Gender],"Not Found",0)</f>
        <v>Female</v>
      </c>
      <c r="N527" s="18" t="str">
        <f>_xlfn.XLOOKUP(tblMaster[[#This Row],[Product_ID]],tblProducts[Product_ID],tblProducts[Product_Name],"Not Found",0)</f>
        <v>Et Set</v>
      </c>
      <c r="O527" s="18" t="str">
        <f>_xlfn.XLOOKUP(tblMaster[[#This Row],[Product_ID]],tblProducts[Product_ID],tblProducts[Category],"Not Found",0)</f>
        <v>Mugs</v>
      </c>
      <c r="P527" s="18" t="str">
        <f>_xlfn.XLOOKUP(tblMaster[[#This Row],[Product_ID]],tblProducts[Product_ID],tblProducts[Occasion],"Not Found",0)</f>
        <v>Holi</v>
      </c>
      <c r="Q527" s="18">
        <f>_xlfn.XLOOKUP(tblMaster[[#This Row],[Product_ID]],tblProducts[Product_ID],tblProducts[Price (INR)],"Not Found",0)</f>
        <v>1141</v>
      </c>
      <c r="R527" s="19">
        <f>tblMaster[[#This Row],[Price]]*tblMaster[[#This Row],[Quantity]]</f>
        <v>5705</v>
      </c>
      <c r="S527" s="19">
        <f>tblMaster[[#This Row],[Price]]*0.7*tblMaster[[#This Row],[Quantity]]</f>
        <v>3993.4999999999995</v>
      </c>
      <c r="T527" s="19">
        <f>tblMaster[[#This Row],[Revenue]]-tblMaster[[#This Row],[Estimated Cost (at 70%) ]]</f>
        <v>1711.5000000000005</v>
      </c>
      <c r="U527" s="19">
        <f>tblMaster[[#This Row],[Profit]]/tblMaster[[#This Row],[Revenue]]</f>
        <v>0.3000000000000001</v>
      </c>
      <c r="V527" s="19">
        <f>tblMaster[[#This Row],[Delivery_Date]]-tblMaster[[#This Row],[Order_Date]]</f>
        <v>6</v>
      </c>
      <c r="W527" s="19" t="str">
        <f>TEXT(tblMaster[[#This Row],[Order_Date]],"mmmm")</f>
        <v>March</v>
      </c>
      <c r="X527" s="19">
        <f>MONTH(tblMaster[[#This Row],[Order_Date]])</f>
        <v>3</v>
      </c>
      <c r="Y527" s="19" t="str">
        <f>"Q"&amp;ROUNDUP(tblMaster[[#This Row],[Month Number]]/3,0)</f>
        <v>Q1</v>
      </c>
      <c r="Z527" s="19">
        <f>YEAR(tblMaster[[#This Row],[Order_Date]])</f>
        <v>2023</v>
      </c>
      <c r="AA527" s="19" t="str">
        <f>TEXT(DAY(tblMaster[[#This Row],[Order_Date]]),"dddd")</f>
        <v>Monday</v>
      </c>
      <c r="AB527" s="19" t="str">
        <f>IF(tblMaster[[#This Row],[Revenue]]&gt;=5000,"High",IF(tblMaster[[#This Row],[Revenue]]&lt;2000,"Low","Medium"))</f>
        <v>High</v>
      </c>
    </row>
    <row r="528" spans="1:28" x14ac:dyDescent="0.25">
      <c r="A528" s="7">
        <v>527</v>
      </c>
      <c r="B528" s="7" t="s">
        <v>250</v>
      </c>
      <c r="C528" s="4">
        <v>33</v>
      </c>
      <c r="D528" s="4">
        <v>3</v>
      </c>
      <c r="E528" s="8">
        <v>44968</v>
      </c>
      <c r="F528" s="9">
        <v>0.53587962962962965</v>
      </c>
      <c r="G528" s="8">
        <v>44976</v>
      </c>
      <c r="H528" s="9">
        <v>0.66535879629629635</v>
      </c>
      <c r="I528" s="7" t="s">
        <v>167</v>
      </c>
      <c r="J528" s="7" t="s">
        <v>12</v>
      </c>
      <c r="K528" s="18" t="str">
        <f>_xlfn.XLOOKUP(tblMaster[[#This Row],[Customer_ID]],tblCustomers[Customer_ID],tblCustomers[City],"Not Found",0)</f>
        <v>Dibrugarh</v>
      </c>
      <c r="L528" s="18" t="str">
        <f>_xlfn.XLOOKUP(tblMaster[[#This Row],[Customer_ID]],tblCustomers[Customer_ID],tblCustomers[Name],"Not Found",0)</f>
        <v>Biju Bajwa</v>
      </c>
      <c r="M528" s="18" t="str">
        <f>_xlfn.XLOOKUP(tblMaster[[#This Row],[Customer_ID]],tblCustomers[Customer_ID],tblCustomers[Gender],"Not Found",0)</f>
        <v>Female</v>
      </c>
      <c r="N528" s="18" t="str">
        <f>_xlfn.XLOOKUP(tblMaster[[#This Row],[Product_ID]],tblProducts[Product_ID],tblProducts[Product_Name],"Not Found",0)</f>
        <v>Earum Set</v>
      </c>
      <c r="O528" s="18" t="str">
        <f>_xlfn.XLOOKUP(tblMaster[[#This Row],[Product_ID]],tblProducts[Product_ID],tblProducts[Category],"Not Found",0)</f>
        <v>Colors</v>
      </c>
      <c r="P528" s="18" t="str">
        <f>_xlfn.XLOOKUP(tblMaster[[#This Row],[Product_ID]],tblProducts[Product_ID],tblProducts[Occasion],"Not Found",0)</f>
        <v>Valentine's Day</v>
      </c>
      <c r="Q528" s="18">
        <f>_xlfn.XLOOKUP(tblMaster[[#This Row],[Product_ID]],tblProducts[Product_ID],tblProducts[Price (INR)],"Not Found",0)</f>
        <v>314</v>
      </c>
      <c r="R528" s="19">
        <f>tblMaster[[#This Row],[Price]]*tblMaster[[#This Row],[Quantity]]</f>
        <v>942</v>
      </c>
      <c r="S528" s="19">
        <f>tblMaster[[#This Row],[Price]]*0.7*tblMaster[[#This Row],[Quantity]]</f>
        <v>659.4</v>
      </c>
      <c r="T528" s="19">
        <f>tblMaster[[#This Row],[Revenue]]-tblMaster[[#This Row],[Estimated Cost (at 70%) ]]</f>
        <v>282.60000000000002</v>
      </c>
      <c r="U528" s="19">
        <f>tblMaster[[#This Row],[Profit]]/tblMaster[[#This Row],[Revenue]]</f>
        <v>0.30000000000000004</v>
      </c>
      <c r="V528" s="19">
        <f>tblMaster[[#This Row],[Delivery_Date]]-tblMaster[[#This Row],[Order_Date]]</f>
        <v>8</v>
      </c>
      <c r="W528" s="19" t="str">
        <f>TEXT(tblMaster[[#This Row],[Order_Date]],"mmmm")</f>
        <v>February</v>
      </c>
      <c r="X528" s="19">
        <f>MONTH(tblMaster[[#This Row],[Order_Date]])</f>
        <v>2</v>
      </c>
      <c r="Y528" s="19" t="str">
        <f>"Q"&amp;ROUNDUP(tblMaster[[#This Row],[Month Number]]/3,0)</f>
        <v>Q1</v>
      </c>
      <c r="Z528" s="19">
        <f>YEAR(tblMaster[[#This Row],[Order_Date]])</f>
        <v>2023</v>
      </c>
      <c r="AA528" s="19" t="str">
        <f>TEXT(DAY(tblMaster[[#This Row],[Order_Date]]),"dddd")</f>
        <v>Wednesday</v>
      </c>
      <c r="AB528" s="19" t="str">
        <f>IF(tblMaster[[#This Row],[Revenue]]&gt;=5000,"High",IF(tblMaster[[#This Row],[Revenue]]&lt;2000,"Low","Medium"))</f>
        <v>Low</v>
      </c>
    </row>
    <row r="529" spans="1:28" x14ac:dyDescent="0.25">
      <c r="A529" s="10">
        <v>528</v>
      </c>
      <c r="B529" s="10" t="s">
        <v>405</v>
      </c>
      <c r="C529" s="5">
        <v>27</v>
      </c>
      <c r="D529" s="5">
        <v>3</v>
      </c>
      <c r="E529" s="11">
        <v>45165</v>
      </c>
      <c r="F529" s="12">
        <v>0.20921296296296296</v>
      </c>
      <c r="G529" s="11">
        <v>45168</v>
      </c>
      <c r="H529" s="12">
        <v>0.71091435185185181</v>
      </c>
      <c r="I529" s="10" t="s">
        <v>445</v>
      </c>
      <c r="J529" s="10" t="s">
        <v>33</v>
      </c>
      <c r="K529" s="18" t="str">
        <f>_xlfn.XLOOKUP(tblMaster[[#This Row],[Customer_ID]],tblCustomers[Customer_ID],tblCustomers[City],"Not Found",0)</f>
        <v>Panchkula</v>
      </c>
      <c r="L529" s="18" t="str">
        <f>_xlfn.XLOOKUP(tblMaster[[#This Row],[Customer_ID]],tblCustomers[Customer_ID],tblCustomers[Name],"Not Found",0)</f>
        <v>Tara Krishnan</v>
      </c>
      <c r="M529" s="18" t="str">
        <f>_xlfn.XLOOKUP(tblMaster[[#This Row],[Customer_ID]],tblCustomers[Customer_ID],tblCustomers[Gender],"Not Found",0)</f>
        <v>Female</v>
      </c>
      <c r="N529" s="18" t="str">
        <f>_xlfn.XLOOKUP(tblMaster[[#This Row],[Product_ID]],tblProducts[Product_ID],tblProducts[Product_Name],"Not Found",0)</f>
        <v>Architecto Gift</v>
      </c>
      <c r="O529" s="18" t="str">
        <f>_xlfn.XLOOKUP(tblMaster[[#This Row],[Product_ID]],tblProducts[Product_ID],tblProducts[Category],"Not Found",0)</f>
        <v>Cake</v>
      </c>
      <c r="P529" s="18" t="str">
        <f>_xlfn.XLOOKUP(tblMaster[[#This Row],[Product_ID]],tblProducts[Product_ID],tblProducts[Occasion],"Not Found",0)</f>
        <v>Raksha Bandhan</v>
      </c>
      <c r="Q529" s="18">
        <f>_xlfn.XLOOKUP(tblMaster[[#This Row],[Product_ID]],tblProducts[Product_ID],tblProducts[Price (INR)],"Not Found",0)</f>
        <v>548</v>
      </c>
      <c r="R529" s="19">
        <f>tblMaster[[#This Row],[Price]]*tblMaster[[#This Row],[Quantity]]</f>
        <v>1644</v>
      </c>
      <c r="S529" s="19">
        <f>tblMaster[[#This Row],[Price]]*0.7*tblMaster[[#This Row],[Quantity]]</f>
        <v>1150.8</v>
      </c>
      <c r="T529" s="19">
        <f>tblMaster[[#This Row],[Revenue]]-tblMaster[[#This Row],[Estimated Cost (at 70%) ]]</f>
        <v>493.20000000000005</v>
      </c>
      <c r="U529" s="19">
        <f>tblMaster[[#This Row],[Profit]]/tblMaster[[#This Row],[Revenue]]</f>
        <v>0.30000000000000004</v>
      </c>
      <c r="V529" s="19">
        <f>tblMaster[[#This Row],[Delivery_Date]]-tblMaster[[#This Row],[Order_Date]]</f>
        <v>3</v>
      </c>
      <c r="W529" s="19" t="str">
        <f>TEXT(tblMaster[[#This Row],[Order_Date]],"mmmm")</f>
        <v>August</v>
      </c>
      <c r="X529" s="19">
        <f>MONTH(tblMaster[[#This Row],[Order_Date]])</f>
        <v>8</v>
      </c>
      <c r="Y529" s="19" t="str">
        <f>"Q"&amp;ROUNDUP(tblMaster[[#This Row],[Month Number]]/3,0)</f>
        <v>Q3</v>
      </c>
      <c r="Z529" s="19">
        <f>YEAR(tblMaster[[#This Row],[Order_Date]])</f>
        <v>2023</v>
      </c>
      <c r="AA529" s="19" t="str">
        <f>TEXT(DAY(tblMaster[[#This Row],[Order_Date]]),"dddd")</f>
        <v>Friday</v>
      </c>
      <c r="AB529" s="19" t="str">
        <f>IF(tblMaster[[#This Row],[Revenue]]&gt;=5000,"High",IF(tblMaster[[#This Row],[Revenue]]&lt;2000,"Low","Medium"))</f>
        <v>Low</v>
      </c>
    </row>
    <row r="530" spans="1:28" x14ac:dyDescent="0.25">
      <c r="A530" s="7">
        <v>529</v>
      </c>
      <c r="B530" s="7" t="s">
        <v>193</v>
      </c>
      <c r="C530" s="4">
        <v>64</v>
      </c>
      <c r="D530" s="4">
        <v>2</v>
      </c>
      <c r="E530" s="8">
        <v>45163</v>
      </c>
      <c r="F530" s="9">
        <v>0.65796296296296297</v>
      </c>
      <c r="G530" s="8">
        <v>45166</v>
      </c>
      <c r="H530" s="9">
        <v>0.58701388888888884</v>
      </c>
      <c r="I530" s="7" t="s">
        <v>201</v>
      </c>
      <c r="J530" s="7" t="s">
        <v>33</v>
      </c>
      <c r="K530" s="18" t="str">
        <f>_xlfn.XLOOKUP(tblMaster[[#This Row],[Customer_ID]],tblCustomers[Customer_ID],tblCustomers[City],"Not Found",0)</f>
        <v>Mangalore</v>
      </c>
      <c r="L530" s="18" t="str">
        <f>_xlfn.XLOOKUP(tblMaster[[#This Row],[Customer_ID]],tblCustomers[Customer_ID],tblCustomers[Name],"Not Found",0)</f>
        <v>Manikya Goswami</v>
      </c>
      <c r="M530" s="18" t="str">
        <f>_xlfn.XLOOKUP(tblMaster[[#This Row],[Customer_ID]],tblCustomers[Customer_ID],tblCustomers[Gender],"Not Found",0)</f>
        <v>Female</v>
      </c>
      <c r="N530" s="18" t="str">
        <f>_xlfn.XLOOKUP(tblMaster[[#This Row],[Product_ID]],tblProducts[Product_ID],tblProducts[Product_Name],"Not Found",0)</f>
        <v>Nostrum Box</v>
      </c>
      <c r="O530" s="18" t="str">
        <f>_xlfn.XLOOKUP(tblMaster[[#This Row],[Product_ID]],tblProducts[Product_ID],tblProducts[Category],"Not Found",0)</f>
        <v>Soft Toys</v>
      </c>
      <c r="P530" s="18" t="str">
        <f>_xlfn.XLOOKUP(tblMaster[[#This Row],[Product_ID]],tblProducts[Product_ID],tblProducts[Occasion],"Not Found",0)</f>
        <v>Raksha Bandhan</v>
      </c>
      <c r="Q530" s="18">
        <f>_xlfn.XLOOKUP(tblMaster[[#This Row],[Product_ID]],tblProducts[Product_ID],tblProducts[Price (INR)],"Not Found",0)</f>
        <v>1878</v>
      </c>
      <c r="R530" s="19">
        <f>tblMaster[[#This Row],[Price]]*tblMaster[[#This Row],[Quantity]]</f>
        <v>3756</v>
      </c>
      <c r="S530" s="19">
        <f>tblMaster[[#This Row],[Price]]*0.7*tblMaster[[#This Row],[Quantity]]</f>
        <v>2629.2</v>
      </c>
      <c r="T530" s="19">
        <f>tblMaster[[#This Row],[Revenue]]-tblMaster[[#This Row],[Estimated Cost (at 70%) ]]</f>
        <v>1126.8000000000002</v>
      </c>
      <c r="U530" s="19">
        <f>tblMaster[[#This Row],[Profit]]/tblMaster[[#This Row],[Revenue]]</f>
        <v>0.30000000000000004</v>
      </c>
      <c r="V530" s="19">
        <f>tblMaster[[#This Row],[Delivery_Date]]-tblMaster[[#This Row],[Order_Date]]</f>
        <v>3</v>
      </c>
      <c r="W530" s="19" t="str">
        <f>TEXT(tblMaster[[#This Row],[Order_Date]],"mmmm")</f>
        <v>August</v>
      </c>
      <c r="X530" s="19">
        <f>MONTH(tblMaster[[#This Row],[Order_Date]])</f>
        <v>8</v>
      </c>
      <c r="Y530" s="19" t="str">
        <f>"Q"&amp;ROUNDUP(tblMaster[[#This Row],[Month Number]]/3,0)</f>
        <v>Q3</v>
      </c>
      <c r="Z530" s="19">
        <f>YEAR(tblMaster[[#This Row],[Order_Date]])</f>
        <v>2023</v>
      </c>
      <c r="AA530" s="19" t="str">
        <f>TEXT(DAY(tblMaster[[#This Row],[Order_Date]]),"dddd")</f>
        <v>Wednesday</v>
      </c>
      <c r="AB530" s="19" t="str">
        <f>IF(tblMaster[[#This Row],[Revenue]]&gt;=5000,"High",IF(tblMaster[[#This Row],[Revenue]]&lt;2000,"Low","Medium"))</f>
        <v>Medium</v>
      </c>
    </row>
    <row r="531" spans="1:28" x14ac:dyDescent="0.25">
      <c r="A531" s="10">
        <v>530</v>
      </c>
      <c r="B531" s="10" t="s">
        <v>289</v>
      </c>
      <c r="C531" s="5">
        <v>5</v>
      </c>
      <c r="D531" s="5">
        <v>2</v>
      </c>
      <c r="E531" s="11">
        <v>45157</v>
      </c>
      <c r="F531" s="12">
        <v>0.44815972222222222</v>
      </c>
      <c r="G531" s="11">
        <v>45165</v>
      </c>
      <c r="H531" s="12">
        <v>1.6620370370370369E-2</v>
      </c>
      <c r="I531" s="10" t="s">
        <v>245</v>
      </c>
      <c r="J531" s="10" t="s">
        <v>8</v>
      </c>
      <c r="K531" s="18" t="str">
        <f>_xlfn.XLOOKUP(tblMaster[[#This Row],[Customer_ID]],tblCustomers[Customer_ID],tblCustomers[City],"Not Found",0)</f>
        <v>Chinsurah</v>
      </c>
      <c r="L531" s="18" t="str">
        <f>_xlfn.XLOOKUP(tblMaster[[#This Row],[Customer_ID]],tblCustomers[Customer_ID],tblCustomers[Name],"Not Found",0)</f>
        <v>Veer Ray</v>
      </c>
      <c r="M531" s="18" t="str">
        <f>_xlfn.XLOOKUP(tblMaster[[#This Row],[Customer_ID]],tblCustomers[Customer_ID],tblCustomers[Gender],"Not Found",0)</f>
        <v>Female</v>
      </c>
      <c r="N531" s="18" t="str">
        <f>_xlfn.XLOOKUP(tblMaster[[#This Row],[Product_ID]],tblProducts[Product_ID],tblProducts[Product_Name],"Not Found",0)</f>
        <v>Natus Gift</v>
      </c>
      <c r="O531" s="18" t="str">
        <f>_xlfn.XLOOKUP(tblMaster[[#This Row],[Product_ID]],tblProducts[Product_ID],tblProducts[Category],"Not Found",0)</f>
        <v>Colors</v>
      </c>
      <c r="P531" s="18" t="str">
        <f>_xlfn.XLOOKUP(tblMaster[[#This Row],[Product_ID]],tblProducts[Product_ID],tblProducts[Occasion],"Not Found",0)</f>
        <v>All Occasions</v>
      </c>
      <c r="Q531" s="18">
        <f>_xlfn.XLOOKUP(tblMaster[[#This Row],[Product_ID]],tblProducts[Product_ID],tblProducts[Price (INR)],"Not Found",0)</f>
        <v>1444</v>
      </c>
      <c r="R531" s="19">
        <f>tblMaster[[#This Row],[Price]]*tblMaster[[#This Row],[Quantity]]</f>
        <v>2888</v>
      </c>
      <c r="S531" s="19">
        <f>tblMaster[[#This Row],[Price]]*0.7*tblMaster[[#This Row],[Quantity]]</f>
        <v>2021.6</v>
      </c>
      <c r="T531" s="19">
        <f>tblMaster[[#This Row],[Revenue]]-tblMaster[[#This Row],[Estimated Cost (at 70%) ]]</f>
        <v>866.40000000000009</v>
      </c>
      <c r="U531" s="19">
        <f>tblMaster[[#This Row],[Profit]]/tblMaster[[#This Row],[Revenue]]</f>
        <v>0.30000000000000004</v>
      </c>
      <c r="V531" s="19">
        <f>tblMaster[[#This Row],[Delivery_Date]]-tblMaster[[#This Row],[Order_Date]]</f>
        <v>8</v>
      </c>
      <c r="W531" s="19" t="str">
        <f>TEXT(tblMaster[[#This Row],[Order_Date]],"mmmm")</f>
        <v>August</v>
      </c>
      <c r="X531" s="19">
        <f>MONTH(tblMaster[[#This Row],[Order_Date]])</f>
        <v>8</v>
      </c>
      <c r="Y531" s="19" t="str">
        <f>"Q"&amp;ROUNDUP(tblMaster[[#This Row],[Month Number]]/3,0)</f>
        <v>Q3</v>
      </c>
      <c r="Z531" s="19">
        <f>YEAR(tblMaster[[#This Row],[Order_Date]])</f>
        <v>2023</v>
      </c>
      <c r="AA531" s="19" t="str">
        <f>TEXT(DAY(tblMaster[[#This Row],[Order_Date]]),"dddd")</f>
        <v>Thursday</v>
      </c>
      <c r="AB531" s="19" t="str">
        <f>IF(tblMaster[[#This Row],[Revenue]]&gt;=5000,"High",IF(tblMaster[[#This Row],[Revenue]]&lt;2000,"Low","Medium"))</f>
        <v>Medium</v>
      </c>
    </row>
    <row r="532" spans="1:28" x14ac:dyDescent="0.25">
      <c r="A532" s="7">
        <v>531</v>
      </c>
      <c r="B532" s="7" t="s">
        <v>170</v>
      </c>
      <c r="C532" s="4">
        <v>28</v>
      </c>
      <c r="D532" s="4">
        <v>5</v>
      </c>
      <c r="E532" s="8">
        <v>45167</v>
      </c>
      <c r="F532" s="9">
        <v>0.56398148148148153</v>
      </c>
      <c r="G532" s="8">
        <v>45176</v>
      </c>
      <c r="H532" s="9">
        <v>0.36332175925925925</v>
      </c>
      <c r="I532" s="7" t="s">
        <v>411</v>
      </c>
      <c r="J532" s="7" t="s">
        <v>33</v>
      </c>
      <c r="K532" s="18" t="str">
        <f>_xlfn.XLOOKUP(tblMaster[[#This Row],[Customer_ID]],tblCustomers[Customer_ID],tblCustomers[City],"Not Found",0)</f>
        <v>Haridwar</v>
      </c>
      <c r="L532" s="18" t="str">
        <f>_xlfn.XLOOKUP(tblMaster[[#This Row],[Customer_ID]],tblCustomers[Customer_ID],tblCustomers[Name],"Not Found",0)</f>
        <v>Badal Sathe</v>
      </c>
      <c r="M532" s="18" t="str">
        <f>_xlfn.XLOOKUP(tblMaster[[#This Row],[Customer_ID]],tblCustomers[Customer_ID],tblCustomers[Gender],"Not Found",0)</f>
        <v>Female</v>
      </c>
      <c r="N532" s="18" t="str">
        <f>_xlfn.XLOOKUP(tblMaster[[#This Row],[Product_ID]],tblProducts[Product_ID],tblProducts[Product_Name],"Not Found",0)</f>
        <v>Velit Set</v>
      </c>
      <c r="O532" s="18" t="str">
        <f>_xlfn.XLOOKUP(tblMaster[[#This Row],[Product_ID]],tblProducts[Product_ID],tblProducts[Category],"Not Found",0)</f>
        <v>Sweets</v>
      </c>
      <c r="P532" s="18" t="str">
        <f>_xlfn.XLOOKUP(tblMaster[[#This Row],[Product_ID]],tblProducts[Product_ID],tblProducts[Occasion],"Not Found",0)</f>
        <v>Raksha Bandhan</v>
      </c>
      <c r="Q532" s="18">
        <f>_xlfn.XLOOKUP(tblMaster[[#This Row],[Product_ID]],tblProducts[Product_ID],tblProducts[Price (INR)],"Not Found",0)</f>
        <v>1778</v>
      </c>
      <c r="R532" s="19">
        <f>tblMaster[[#This Row],[Price]]*tblMaster[[#This Row],[Quantity]]</f>
        <v>8890</v>
      </c>
      <c r="S532" s="19">
        <f>tblMaster[[#This Row],[Price]]*0.7*tblMaster[[#This Row],[Quantity]]</f>
        <v>6223</v>
      </c>
      <c r="T532" s="19">
        <f>tblMaster[[#This Row],[Revenue]]-tblMaster[[#This Row],[Estimated Cost (at 70%) ]]</f>
        <v>2667</v>
      </c>
      <c r="U532" s="19">
        <f>tblMaster[[#This Row],[Profit]]/tblMaster[[#This Row],[Revenue]]</f>
        <v>0.3</v>
      </c>
      <c r="V532" s="19">
        <f>tblMaster[[#This Row],[Delivery_Date]]-tblMaster[[#This Row],[Order_Date]]</f>
        <v>9</v>
      </c>
      <c r="W532" s="19" t="str">
        <f>TEXT(tblMaster[[#This Row],[Order_Date]],"mmmm")</f>
        <v>August</v>
      </c>
      <c r="X532" s="19">
        <f>MONTH(tblMaster[[#This Row],[Order_Date]])</f>
        <v>8</v>
      </c>
      <c r="Y532" s="19" t="str">
        <f>"Q"&amp;ROUNDUP(tblMaster[[#This Row],[Month Number]]/3,0)</f>
        <v>Q3</v>
      </c>
      <c r="Z532" s="19">
        <f>YEAR(tblMaster[[#This Row],[Order_Date]])</f>
        <v>2023</v>
      </c>
      <c r="AA532" s="19" t="str">
        <f>TEXT(DAY(tblMaster[[#This Row],[Order_Date]]),"dddd")</f>
        <v>Sunday</v>
      </c>
      <c r="AB532" s="19" t="str">
        <f>IF(tblMaster[[#This Row],[Revenue]]&gt;=5000,"High",IF(tblMaster[[#This Row],[Revenue]]&lt;2000,"Low","Medium"))</f>
        <v>High</v>
      </c>
    </row>
    <row r="533" spans="1:28" x14ac:dyDescent="0.25">
      <c r="A533" s="10">
        <v>532</v>
      </c>
      <c r="B533" s="10" t="s">
        <v>250</v>
      </c>
      <c r="C533" s="5">
        <v>30</v>
      </c>
      <c r="D533" s="5">
        <v>5</v>
      </c>
      <c r="E533" s="11">
        <v>45171</v>
      </c>
      <c r="F533" s="12">
        <v>0.55909722222222225</v>
      </c>
      <c r="G533" s="11">
        <v>45179</v>
      </c>
      <c r="H533" s="12">
        <v>0.1216087962962963</v>
      </c>
      <c r="I533" s="10" t="s">
        <v>352</v>
      </c>
      <c r="J533" s="10" t="s">
        <v>30</v>
      </c>
      <c r="K533" s="18" t="str">
        <f>_xlfn.XLOOKUP(tblMaster[[#This Row],[Customer_ID]],tblCustomers[Customer_ID],tblCustomers[City],"Not Found",0)</f>
        <v>Dibrugarh</v>
      </c>
      <c r="L533" s="18" t="str">
        <f>_xlfn.XLOOKUP(tblMaster[[#This Row],[Customer_ID]],tblCustomers[Customer_ID],tblCustomers[Name],"Not Found",0)</f>
        <v>Biju Bajwa</v>
      </c>
      <c r="M533" s="18" t="str">
        <f>_xlfn.XLOOKUP(tblMaster[[#This Row],[Customer_ID]],tblCustomers[Customer_ID],tblCustomers[Gender],"Not Found",0)</f>
        <v>Female</v>
      </c>
      <c r="N533" s="18" t="str">
        <f>_xlfn.XLOOKUP(tblMaster[[#This Row],[Product_ID]],tblProducts[Product_ID],tblProducts[Product_Name],"Not Found",0)</f>
        <v>Recusandae Pack</v>
      </c>
      <c r="O533" s="18" t="str">
        <f>_xlfn.XLOOKUP(tblMaster[[#This Row],[Product_ID]],tblProducts[Product_ID],tblProducts[Category],"Not Found",0)</f>
        <v>Colors</v>
      </c>
      <c r="P533" s="18" t="str">
        <f>_xlfn.XLOOKUP(tblMaster[[#This Row],[Product_ID]],tblProducts[Product_ID],tblProducts[Occasion],"Not Found",0)</f>
        <v>Anniversary</v>
      </c>
      <c r="Q533" s="18">
        <f>_xlfn.XLOOKUP(tblMaster[[#This Row],[Product_ID]],tblProducts[Product_ID],tblProducts[Price (INR)],"Not Found",0)</f>
        <v>751</v>
      </c>
      <c r="R533" s="19">
        <f>tblMaster[[#This Row],[Price]]*tblMaster[[#This Row],[Quantity]]</f>
        <v>3755</v>
      </c>
      <c r="S533" s="19">
        <f>tblMaster[[#This Row],[Price]]*0.7*tblMaster[[#This Row],[Quantity]]</f>
        <v>2628.4999999999995</v>
      </c>
      <c r="T533" s="19">
        <f>tblMaster[[#This Row],[Revenue]]-tblMaster[[#This Row],[Estimated Cost (at 70%) ]]</f>
        <v>1126.5000000000005</v>
      </c>
      <c r="U533" s="19">
        <f>tblMaster[[#This Row],[Profit]]/tblMaster[[#This Row],[Revenue]]</f>
        <v>0.3000000000000001</v>
      </c>
      <c r="V533" s="19">
        <f>tblMaster[[#This Row],[Delivery_Date]]-tblMaster[[#This Row],[Order_Date]]</f>
        <v>8</v>
      </c>
      <c r="W533" s="19" t="str">
        <f>TEXT(tblMaster[[#This Row],[Order_Date]],"mmmm")</f>
        <v>September</v>
      </c>
      <c r="X533" s="19">
        <f>MONTH(tblMaster[[#This Row],[Order_Date]])</f>
        <v>9</v>
      </c>
      <c r="Y533" s="19" t="str">
        <f>"Q"&amp;ROUNDUP(tblMaster[[#This Row],[Month Number]]/3,0)</f>
        <v>Q3</v>
      </c>
      <c r="Z533" s="19">
        <f>YEAR(tblMaster[[#This Row],[Order_Date]])</f>
        <v>2023</v>
      </c>
      <c r="AA533" s="19" t="str">
        <f>TEXT(DAY(tblMaster[[#This Row],[Order_Date]]),"dddd")</f>
        <v>Monday</v>
      </c>
      <c r="AB533" s="19" t="str">
        <f>IF(tblMaster[[#This Row],[Revenue]]&gt;=5000,"High",IF(tblMaster[[#This Row],[Revenue]]&lt;2000,"Low","Medium"))</f>
        <v>Medium</v>
      </c>
    </row>
    <row r="534" spans="1:28" x14ac:dyDescent="0.25">
      <c r="A534" s="7">
        <v>533</v>
      </c>
      <c r="B534" s="7" t="s">
        <v>239</v>
      </c>
      <c r="C534" s="4">
        <v>14</v>
      </c>
      <c r="D534" s="4">
        <v>3</v>
      </c>
      <c r="E534" s="8">
        <v>45034</v>
      </c>
      <c r="F534" s="9">
        <v>0.30546296296296294</v>
      </c>
      <c r="G534" s="8">
        <v>45036</v>
      </c>
      <c r="H534" s="9">
        <v>0.73871527777777779</v>
      </c>
      <c r="I534" s="7" t="s">
        <v>389</v>
      </c>
      <c r="J534" s="7" t="s">
        <v>36</v>
      </c>
      <c r="K534" s="18" t="str">
        <f>_xlfn.XLOOKUP(tblMaster[[#This Row],[Customer_ID]],tblCustomers[Customer_ID],tblCustomers[City],"Not Found",0)</f>
        <v>Karimnagar</v>
      </c>
      <c r="L534" s="18" t="str">
        <f>_xlfn.XLOOKUP(tblMaster[[#This Row],[Customer_ID]],tblCustomers[Customer_ID],tblCustomers[Name],"Not Found",0)</f>
        <v>Rania Mann</v>
      </c>
      <c r="M534" s="18" t="str">
        <f>_xlfn.XLOOKUP(tblMaster[[#This Row],[Customer_ID]],tblCustomers[Customer_ID],tblCustomers[Gender],"Not Found",0)</f>
        <v>Female</v>
      </c>
      <c r="N534" s="18" t="str">
        <f>_xlfn.XLOOKUP(tblMaster[[#This Row],[Product_ID]],tblProducts[Product_ID],tblProducts[Product_Name],"Not Found",0)</f>
        <v>Deserunt Box</v>
      </c>
      <c r="O534" s="18" t="str">
        <f>_xlfn.XLOOKUP(tblMaster[[#This Row],[Product_ID]],tblProducts[Product_ID],tblProducts[Category],"Not Found",0)</f>
        <v>Colors</v>
      </c>
      <c r="P534" s="18" t="str">
        <f>_xlfn.XLOOKUP(tblMaster[[#This Row],[Product_ID]],tblProducts[Product_ID],tblProducts[Occasion],"Not Found",0)</f>
        <v>Birthday</v>
      </c>
      <c r="Q534" s="18">
        <f>_xlfn.XLOOKUP(tblMaster[[#This Row],[Product_ID]],tblProducts[Product_ID],tblProducts[Price (INR)],"Not Found",0)</f>
        <v>1915</v>
      </c>
      <c r="R534" s="19">
        <f>tblMaster[[#This Row],[Price]]*tblMaster[[#This Row],[Quantity]]</f>
        <v>5745</v>
      </c>
      <c r="S534" s="19">
        <f>tblMaster[[#This Row],[Price]]*0.7*tblMaster[[#This Row],[Quantity]]</f>
        <v>4021.5</v>
      </c>
      <c r="T534" s="19">
        <f>tblMaster[[#This Row],[Revenue]]-tblMaster[[#This Row],[Estimated Cost (at 70%) ]]</f>
        <v>1723.5</v>
      </c>
      <c r="U534" s="19">
        <f>tblMaster[[#This Row],[Profit]]/tblMaster[[#This Row],[Revenue]]</f>
        <v>0.3</v>
      </c>
      <c r="V534" s="19">
        <f>tblMaster[[#This Row],[Delivery_Date]]-tblMaster[[#This Row],[Order_Date]]</f>
        <v>2</v>
      </c>
      <c r="W534" s="19" t="str">
        <f>TEXT(tblMaster[[#This Row],[Order_Date]],"mmmm")</f>
        <v>April</v>
      </c>
      <c r="X534" s="19">
        <f>MONTH(tblMaster[[#This Row],[Order_Date]])</f>
        <v>4</v>
      </c>
      <c r="Y534" s="19" t="str">
        <f>"Q"&amp;ROUNDUP(tblMaster[[#This Row],[Month Number]]/3,0)</f>
        <v>Q2</v>
      </c>
      <c r="Z534" s="19">
        <f>YEAR(tblMaster[[#This Row],[Order_Date]])</f>
        <v>2023</v>
      </c>
      <c r="AA534" s="19" t="str">
        <f>TEXT(DAY(tblMaster[[#This Row],[Order_Date]]),"dddd")</f>
        <v>Wednesday</v>
      </c>
      <c r="AB534" s="19" t="str">
        <f>IF(tblMaster[[#This Row],[Revenue]]&gt;=5000,"High",IF(tblMaster[[#This Row],[Revenue]]&lt;2000,"Low","Medium"))</f>
        <v>High</v>
      </c>
    </row>
    <row r="535" spans="1:28" x14ac:dyDescent="0.25">
      <c r="A535" s="10">
        <v>534</v>
      </c>
      <c r="B535" s="10" t="s">
        <v>302</v>
      </c>
      <c r="C535" s="5">
        <v>31</v>
      </c>
      <c r="D535" s="5">
        <v>2</v>
      </c>
      <c r="E535" s="11">
        <v>45257</v>
      </c>
      <c r="F535" s="12">
        <v>0.15296296296296297</v>
      </c>
      <c r="G535" s="11">
        <v>45264</v>
      </c>
      <c r="H535" s="12">
        <v>0.47403935185185186</v>
      </c>
      <c r="I535" s="10" t="s">
        <v>418</v>
      </c>
      <c r="J535" s="10" t="s">
        <v>8</v>
      </c>
      <c r="K535" s="18" t="str">
        <f>_xlfn.XLOOKUP(tblMaster[[#This Row],[Customer_ID]],tblCustomers[Customer_ID],tblCustomers[City],"Not Found",0)</f>
        <v>Kavali</v>
      </c>
      <c r="L535" s="18" t="str">
        <f>_xlfn.XLOOKUP(tblMaster[[#This Row],[Customer_ID]],tblCustomers[Customer_ID],tblCustomers[Name],"Not Found",0)</f>
        <v>Akarsh Ramesh</v>
      </c>
      <c r="M535" s="18" t="str">
        <f>_xlfn.XLOOKUP(tblMaster[[#This Row],[Customer_ID]],tblCustomers[Customer_ID],tblCustomers[Gender],"Not Found",0)</f>
        <v>Female</v>
      </c>
      <c r="N535" s="18" t="str">
        <f>_xlfn.XLOOKUP(tblMaster[[#This Row],[Product_ID]],tblProducts[Product_ID],tblProducts[Product_Name],"Not Found",0)</f>
        <v>Nihil Box</v>
      </c>
      <c r="O535" s="18" t="str">
        <f>_xlfn.XLOOKUP(tblMaster[[#This Row],[Product_ID]],tblProducts[Product_ID],tblProducts[Category],"Not Found",0)</f>
        <v>Colors</v>
      </c>
      <c r="P535" s="18" t="str">
        <f>_xlfn.XLOOKUP(tblMaster[[#This Row],[Product_ID]],tblProducts[Product_ID],tblProducts[Occasion],"Not Found",0)</f>
        <v>All Occasions</v>
      </c>
      <c r="Q535" s="18">
        <f>_xlfn.XLOOKUP(tblMaster[[#This Row],[Product_ID]],tblProducts[Product_ID],tblProducts[Price (INR)],"Not Found",0)</f>
        <v>1804</v>
      </c>
      <c r="R535" s="19">
        <f>tblMaster[[#This Row],[Price]]*tblMaster[[#This Row],[Quantity]]</f>
        <v>3608</v>
      </c>
      <c r="S535" s="19">
        <f>tblMaster[[#This Row],[Price]]*0.7*tblMaster[[#This Row],[Quantity]]</f>
        <v>2525.6</v>
      </c>
      <c r="T535" s="19">
        <f>tblMaster[[#This Row],[Revenue]]-tblMaster[[#This Row],[Estimated Cost (at 70%) ]]</f>
        <v>1082.4000000000001</v>
      </c>
      <c r="U535" s="19">
        <f>tblMaster[[#This Row],[Profit]]/tblMaster[[#This Row],[Revenue]]</f>
        <v>0.30000000000000004</v>
      </c>
      <c r="V535" s="19">
        <f>tblMaster[[#This Row],[Delivery_Date]]-tblMaster[[#This Row],[Order_Date]]</f>
        <v>7</v>
      </c>
      <c r="W535" s="19" t="str">
        <f>TEXT(tblMaster[[#This Row],[Order_Date]],"mmmm")</f>
        <v>November</v>
      </c>
      <c r="X535" s="19">
        <f>MONTH(tblMaster[[#This Row],[Order_Date]])</f>
        <v>11</v>
      </c>
      <c r="Y535" s="19" t="str">
        <f>"Q"&amp;ROUNDUP(tblMaster[[#This Row],[Month Number]]/3,0)</f>
        <v>Q4</v>
      </c>
      <c r="Z535" s="19">
        <f>YEAR(tblMaster[[#This Row],[Order_Date]])</f>
        <v>2023</v>
      </c>
      <c r="AA535" s="19" t="str">
        <f>TEXT(DAY(tblMaster[[#This Row],[Order_Date]]),"dddd")</f>
        <v>Friday</v>
      </c>
      <c r="AB535" s="19" t="str">
        <f>IF(tblMaster[[#This Row],[Revenue]]&gt;=5000,"High",IF(tblMaster[[#This Row],[Revenue]]&lt;2000,"Low","Medium"))</f>
        <v>Medium</v>
      </c>
    </row>
    <row r="536" spans="1:28" x14ac:dyDescent="0.25">
      <c r="A536" s="7">
        <v>535</v>
      </c>
      <c r="B536" s="7" t="s">
        <v>274</v>
      </c>
      <c r="C536" s="4">
        <v>25</v>
      </c>
      <c r="D536" s="4">
        <v>3</v>
      </c>
      <c r="E536" s="8">
        <v>45115</v>
      </c>
      <c r="F536" s="9">
        <v>0.91629629629629628</v>
      </c>
      <c r="G536" s="8">
        <v>45118</v>
      </c>
      <c r="H536" s="9">
        <v>0.27129629629629631</v>
      </c>
      <c r="I536" s="7" t="s">
        <v>234</v>
      </c>
      <c r="J536" s="7" t="s">
        <v>30</v>
      </c>
      <c r="K536" s="18" t="str">
        <f>_xlfn.XLOOKUP(tblMaster[[#This Row],[Customer_ID]],tblCustomers[Customer_ID],tblCustomers[City],"Not Found",0)</f>
        <v>Gangtok</v>
      </c>
      <c r="L536" s="18" t="str">
        <f>_xlfn.XLOOKUP(tblMaster[[#This Row],[Customer_ID]],tblCustomers[Customer_ID],tblCustomers[Name],"Not Found",0)</f>
        <v>Advika Dhar</v>
      </c>
      <c r="M536" s="18" t="str">
        <f>_xlfn.XLOOKUP(tblMaster[[#This Row],[Customer_ID]],tblCustomers[Customer_ID],tblCustomers[Gender],"Not Found",0)</f>
        <v>Male</v>
      </c>
      <c r="N536" s="18" t="str">
        <f>_xlfn.XLOOKUP(tblMaster[[#This Row],[Product_ID]],tblProducts[Product_ID],tblProducts[Product_Name],"Not Found",0)</f>
        <v>Qui Gift</v>
      </c>
      <c r="O536" s="18" t="str">
        <f>_xlfn.XLOOKUP(tblMaster[[#This Row],[Product_ID]],tblProducts[Product_ID],tblProducts[Category],"Not Found",0)</f>
        <v>Plants</v>
      </c>
      <c r="P536" s="18" t="str">
        <f>_xlfn.XLOOKUP(tblMaster[[#This Row],[Product_ID]],tblProducts[Product_ID],tblProducts[Occasion],"Not Found",0)</f>
        <v>Anniversary</v>
      </c>
      <c r="Q536" s="18">
        <f>_xlfn.XLOOKUP(tblMaster[[#This Row],[Product_ID]],tblProducts[Product_ID],tblProducts[Price (INR)],"Not Found",0)</f>
        <v>1202</v>
      </c>
      <c r="R536" s="19">
        <f>tblMaster[[#This Row],[Price]]*tblMaster[[#This Row],[Quantity]]</f>
        <v>3606</v>
      </c>
      <c r="S536" s="19">
        <f>tblMaster[[#This Row],[Price]]*0.7*tblMaster[[#This Row],[Quantity]]</f>
        <v>2524.1999999999998</v>
      </c>
      <c r="T536" s="19">
        <f>tblMaster[[#This Row],[Revenue]]-tblMaster[[#This Row],[Estimated Cost (at 70%) ]]</f>
        <v>1081.8000000000002</v>
      </c>
      <c r="U536" s="19">
        <f>tblMaster[[#This Row],[Profit]]/tblMaster[[#This Row],[Revenue]]</f>
        <v>0.30000000000000004</v>
      </c>
      <c r="V536" s="19">
        <f>tblMaster[[#This Row],[Delivery_Date]]-tblMaster[[#This Row],[Order_Date]]</f>
        <v>3</v>
      </c>
      <c r="W536" s="19" t="str">
        <f>TEXT(tblMaster[[#This Row],[Order_Date]],"mmmm")</f>
        <v>July</v>
      </c>
      <c r="X536" s="19">
        <f>MONTH(tblMaster[[#This Row],[Order_Date]])</f>
        <v>7</v>
      </c>
      <c r="Y536" s="19" t="str">
        <f>"Q"&amp;ROUNDUP(tblMaster[[#This Row],[Month Number]]/3,0)</f>
        <v>Q3</v>
      </c>
      <c r="Z536" s="19">
        <f>YEAR(tblMaster[[#This Row],[Order_Date]])</f>
        <v>2023</v>
      </c>
      <c r="AA536" s="19" t="str">
        <f>TEXT(DAY(tblMaster[[#This Row],[Order_Date]]),"dddd")</f>
        <v>Sunday</v>
      </c>
      <c r="AB536" s="19" t="str">
        <f>IF(tblMaster[[#This Row],[Revenue]]&gt;=5000,"High",IF(tblMaster[[#This Row],[Revenue]]&lt;2000,"Low","Medium"))</f>
        <v>Medium</v>
      </c>
    </row>
    <row r="537" spans="1:28" x14ac:dyDescent="0.25">
      <c r="A537" s="10">
        <v>536</v>
      </c>
      <c r="B537" s="10" t="s">
        <v>331</v>
      </c>
      <c r="C537" s="5">
        <v>59</v>
      </c>
      <c r="D537" s="5">
        <v>3</v>
      </c>
      <c r="E537" s="11">
        <v>45163</v>
      </c>
      <c r="F537" s="12">
        <v>0.6353240740740741</v>
      </c>
      <c r="G537" s="11">
        <v>45168</v>
      </c>
      <c r="H537" s="12">
        <v>0.46747685185185184</v>
      </c>
      <c r="I537" s="10" t="s">
        <v>196</v>
      </c>
      <c r="J537" s="10" t="s">
        <v>33</v>
      </c>
      <c r="K537" s="18" t="str">
        <f>_xlfn.XLOOKUP(tblMaster[[#This Row],[Customer_ID]],tblCustomers[Customer_ID],tblCustomers[City],"Not Found",0)</f>
        <v>Guntakal</v>
      </c>
      <c r="L537" s="18" t="str">
        <f>_xlfn.XLOOKUP(tblMaster[[#This Row],[Customer_ID]],tblCustomers[Customer_ID],tblCustomers[Name],"Not Found",0)</f>
        <v>Aradhya Kale</v>
      </c>
      <c r="M537" s="18" t="str">
        <f>_xlfn.XLOOKUP(tblMaster[[#This Row],[Customer_ID]],tblCustomers[Customer_ID],tblCustomers[Gender],"Not Found",0)</f>
        <v>Male</v>
      </c>
      <c r="N537" s="18" t="str">
        <f>_xlfn.XLOOKUP(tblMaster[[#This Row],[Product_ID]],tblProducts[Product_ID],tblProducts[Product_Name],"Not Found",0)</f>
        <v>Pariatur Box</v>
      </c>
      <c r="O537" s="18" t="str">
        <f>_xlfn.XLOOKUP(tblMaster[[#This Row],[Product_ID]],tblProducts[Product_ID],tblProducts[Category],"Not Found",0)</f>
        <v>Cake</v>
      </c>
      <c r="P537" s="18" t="str">
        <f>_xlfn.XLOOKUP(tblMaster[[#This Row],[Product_ID]],tblProducts[Product_ID],tblProducts[Occasion],"Not Found",0)</f>
        <v>Raksha Bandhan</v>
      </c>
      <c r="Q537" s="18">
        <f>_xlfn.XLOOKUP(tblMaster[[#This Row],[Product_ID]],tblProducts[Product_ID],tblProducts[Price (INR)],"Not Found",0)</f>
        <v>811</v>
      </c>
      <c r="R537" s="19">
        <f>tblMaster[[#This Row],[Price]]*tblMaster[[#This Row],[Quantity]]</f>
        <v>2433</v>
      </c>
      <c r="S537" s="19">
        <f>tblMaster[[#This Row],[Price]]*0.7*tblMaster[[#This Row],[Quantity]]</f>
        <v>1703.1</v>
      </c>
      <c r="T537" s="19">
        <f>tblMaster[[#This Row],[Revenue]]-tblMaster[[#This Row],[Estimated Cost (at 70%) ]]</f>
        <v>729.90000000000009</v>
      </c>
      <c r="U537" s="19">
        <f>tblMaster[[#This Row],[Profit]]/tblMaster[[#This Row],[Revenue]]</f>
        <v>0.30000000000000004</v>
      </c>
      <c r="V537" s="19">
        <f>tblMaster[[#This Row],[Delivery_Date]]-tblMaster[[#This Row],[Order_Date]]</f>
        <v>5</v>
      </c>
      <c r="W537" s="19" t="str">
        <f>TEXT(tblMaster[[#This Row],[Order_Date]],"mmmm")</f>
        <v>August</v>
      </c>
      <c r="X537" s="19">
        <f>MONTH(tblMaster[[#This Row],[Order_Date]])</f>
        <v>8</v>
      </c>
      <c r="Y537" s="19" t="str">
        <f>"Q"&amp;ROUNDUP(tblMaster[[#This Row],[Month Number]]/3,0)</f>
        <v>Q3</v>
      </c>
      <c r="Z537" s="19">
        <f>YEAR(tblMaster[[#This Row],[Order_Date]])</f>
        <v>2023</v>
      </c>
      <c r="AA537" s="19" t="str">
        <f>TEXT(DAY(tblMaster[[#This Row],[Order_Date]]),"dddd")</f>
        <v>Wednesday</v>
      </c>
      <c r="AB537" s="19" t="str">
        <f>IF(tblMaster[[#This Row],[Revenue]]&gt;=5000,"High",IF(tblMaster[[#This Row],[Revenue]]&lt;2000,"Low","Medium"))</f>
        <v>Medium</v>
      </c>
    </row>
    <row r="538" spans="1:28" x14ac:dyDescent="0.25">
      <c r="A538" s="7">
        <v>537</v>
      </c>
      <c r="B538" s="7" t="s">
        <v>216</v>
      </c>
      <c r="C538" s="4">
        <v>42</v>
      </c>
      <c r="D538" s="4">
        <v>3</v>
      </c>
      <c r="E538" s="8">
        <v>45216</v>
      </c>
      <c r="F538" s="9">
        <v>0.26347222222222222</v>
      </c>
      <c r="G538" s="8">
        <v>45224</v>
      </c>
      <c r="H538" s="9">
        <v>0.13134259259259259</v>
      </c>
      <c r="I538" s="7" t="s">
        <v>442</v>
      </c>
      <c r="J538" s="7" t="s">
        <v>8</v>
      </c>
      <c r="K538" s="18" t="str">
        <f>_xlfn.XLOOKUP(tblMaster[[#This Row],[Customer_ID]],tblCustomers[Customer_ID],tblCustomers[City],"Not Found",0)</f>
        <v>Srikakulam</v>
      </c>
      <c r="L538" s="18" t="str">
        <f>_xlfn.XLOOKUP(tblMaster[[#This Row],[Customer_ID]],tblCustomers[Customer_ID],tblCustomers[Name],"Not Found",0)</f>
        <v>Indrajit Kale</v>
      </c>
      <c r="M538" s="18" t="str">
        <f>_xlfn.XLOOKUP(tblMaster[[#This Row],[Customer_ID]],tblCustomers[Customer_ID],tblCustomers[Gender],"Not Found",0)</f>
        <v>Male</v>
      </c>
      <c r="N538" s="18" t="str">
        <f>_xlfn.XLOOKUP(tblMaster[[#This Row],[Product_ID]],tblProducts[Product_ID],tblProducts[Product_Name],"Not Found",0)</f>
        <v>Expedita Gift</v>
      </c>
      <c r="O538" s="18" t="str">
        <f>_xlfn.XLOOKUP(tblMaster[[#This Row],[Product_ID]],tblProducts[Product_ID],tblProducts[Category],"Not Found",0)</f>
        <v>Sweets</v>
      </c>
      <c r="P538" s="18" t="str">
        <f>_xlfn.XLOOKUP(tblMaster[[#This Row],[Product_ID]],tblProducts[Product_ID],tblProducts[Occasion],"Not Found",0)</f>
        <v>All Occasions</v>
      </c>
      <c r="Q538" s="18">
        <f>_xlfn.XLOOKUP(tblMaster[[#This Row],[Product_ID]],tblProducts[Product_ID],tblProducts[Price (INR)],"Not Found",0)</f>
        <v>1744</v>
      </c>
      <c r="R538" s="19">
        <f>tblMaster[[#This Row],[Price]]*tblMaster[[#This Row],[Quantity]]</f>
        <v>5232</v>
      </c>
      <c r="S538" s="19">
        <f>tblMaster[[#This Row],[Price]]*0.7*tblMaster[[#This Row],[Quantity]]</f>
        <v>3662.3999999999996</v>
      </c>
      <c r="T538" s="19">
        <f>tblMaster[[#This Row],[Revenue]]-tblMaster[[#This Row],[Estimated Cost (at 70%) ]]</f>
        <v>1569.6000000000004</v>
      </c>
      <c r="U538" s="19">
        <f>tblMaster[[#This Row],[Profit]]/tblMaster[[#This Row],[Revenue]]</f>
        <v>0.30000000000000004</v>
      </c>
      <c r="V538" s="19">
        <f>tblMaster[[#This Row],[Delivery_Date]]-tblMaster[[#This Row],[Order_Date]]</f>
        <v>8</v>
      </c>
      <c r="W538" s="19" t="str">
        <f>TEXT(tblMaster[[#This Row],[Order_Date]],"mmmm")</f>
        <v>October</v>
      </c>
      <c r="X538" s="19">
        <f>MONTH(tblMaster[[#This Row],[Order_Date]])</f>
        <v>10</v>
      </c>
      <c r="Y538" s="19" t="str">
        <f>"Q"&amp;ROUNDUP(tblMaster[[#This Row],[Month Number]]/3,0)</f>
        <v>Q4</v>
      </c>
      <c r="Z538" s="19">
        <f>YEAR(tblMaster[[#This Row],[Order_Date]])</f>
        <v>2023</v>
      </c>
      <c r="AA538" s="19" t="str">
        <f>TEXT(DAY(tblMaster[[#This Row],[Order_Date]]),"dddd")</f>
        <v>Tuesday</v>
      </c>
      <c r="AB538" s="19" t="str">
        <f>IF(tblMaster[[#This Row],[Revenue]]&gt;=5000,"High",IF(tblMaster[[#This Row],[Revenue]]&lt;2000,"Low","Medium"))</f>
        <v>High</v>
      </c>
    </row>
    <row r="539" spans="1:28" x14ac:dyDescent="0.25">
      <c r="A539" s="10">
        <v>538</v>
      </c>
      <c r="B539" s="10" t="s">
        <v>180</v>
      </c>
      <c r="C539" s="5">
        <v>24</v>
      </c>
      <c r="D539" s="5">
        <v>5</v>
      </c>
      <c r="E539" s="11">
        <v>45064</v>
      </c>
      <c r="F539" s="12">
        <v>0.54798611111111106</v>
      </c>
      <c r="G539" s="11">
        <v>45065</v>
      </c>
      <c r="H539" s="12">
        <v>0.94185185185185183</v>
      </c>
      <c r="I539" s="10" t="s">
        <v>485</v>
      </c>
      <c r="J539" s="10" t="s">
        <v>36</v>
      </c>
      <c r="K539" s="18" t="str">
        <f>_xlfn.XLOOKUP(tblMaster[[#This Row],[Customer_ID]],tblCustomers[Customer_ID],tblCustomers[City],"Not Found",0)</f>
        <v>Sri Ganganagar</v>
      </c>
      <c r="L539" s="18" t="str">
        <f>_xlfn.XLOOKUP(tblMaster[[#This Row],[Customer_ID]],tblCustomers[Customer_ID],tblCustomers[Name],"Not Found",0)</f>
        <v>Nakul Randhawa</v>
      </c>
      <c r="M539" s="18" t="str">
        <f>_xlfn.XLOOKUP(tblMaster[[#This Row],[Customer_ID]],tblCustomers[Customer_ID],tblCustomers[Gender],"Not Found",0)</f>
        <v>Female</v>
      </c>
      <c r="N539" s="18" t="str">
        <f>_xlfn.XLOOKUP(tblMaster[[#This Row],[Product_ID]],tblProducts[Product_ID],tblProducts[Product_Name],"Not Found",0)</f>
        <v>Ad Box</v>
      </c>
      <c r="O539" s="18" t="str">
        <f>_xlfn.XLOOKUP(tblMaster[[#This Row],[Product_ID]],tblProducts[Product_ID],tblProducts[Category],"Not Found",0)</f>
        <v>Mugs</v>
      </c>
      <c r="P539" s="18" t="str">
        <f>_xlfn.XLOOKUP(tblMaster[[#This Row],[Product_ID]],tblProducts[Product_ID],tblProducts[Occasion],"Not Found",0)</f>
        <v>Birthday</v>
      </c>
      <c r="Q539" s="18">
        <f>_xlfn.XLOOKUP(tblMaster[[#This Row],[Product_ID]],tblProducts[Product_ID],tblProducts[Price (INR)],"Not Found",0)</f>
        <v>535</v>
      </c>
      <c r="R539" s="19">
        <f>tblMaster[[#This Row],[Price]]*tblMaster[[#This Row],[Quantity]]</f>
        <v>2675</v>
      </c>
      <c r="S539" s="19">
        <f>tblMaster[[#This Row],[Price]]*0.7*tblMaster[[#This Row],[Quantity]]</f>
        <v>1872.5</v>
      </c>
      <c r="T539" s="19">
        <f>tblMaster[[#This Row],[Revenue]]-tblMaster[[#This Row],[Estimated Cost (at 70%) ]]</f>
        <v>802.5</v>
      </c>
      <c r="U539" s="19">
        <f>tblMaster[[#This Row],[Profit]]/tblMaster[[#This Row],[Revenue]]</f>
        <v>0.3</v>
      </c>
      <c r="V539" s="19">
        <f>tblMaster[[#This Row],[Delivery_Date]]-tblMaster[[#This Row],[Order_Date]]</f>
        <v>1</v>
      </c>
      <c r="W539" s="19" t="str">
        <f>TEXT(tblMaster[[#This Row],[Order_Date]],"mmmm")</f>
        <v>May</v>
      </c>
      <c r="X539" s="19">
        <f>MONTH(tblMaster[[#This Row],[Order_Date]])</f>
        <v>5</v>
      </c>
      <c r="Y539" s="19" t="str">
        <f>"Q"&amp;ROUNDUP(tblMaster[[#This Row],[Month Number]]/3,0)</f>
        <v>Q2</v>
      </c>
      <c r="Z539" s="19">
        <f>YEAR(tblMaster[[#This Row],[Order_Date]])</f>
        <v>2023</v>
      </c>
      <c r="AA539" s="19" t="str">
        <f>TEXT(DAY(tblMaster[[#This Row],[Order_Date]]),"dddd")</f>
        <v>Wednesday</v>
      </c>
      <c r="AB539" s="19" t="str">
        <f>IF(tblMaster[[#This Row],[Revenue]]&gt;=5000,"High",IF(tblMaster[[#This Row],[Revenue]]&lt;2000,"Low","Medium"))</f>
        <v>Medium</v>
      </c>
    </row>
    <row r="540" spans="1:28" x14ac:dyDescent="0.25">
      <c r="A540" s="7">
        <v>539</v>
      </c>
      <c r="B540" s="7" t="s">
        <v>195</v>
      </c>
      <c r="C540" s="4">
        <v>20</v>
      </c>
      <c r="D540" s="4">
        <v>3</v>
      </c>
      <c r="E540" s="8">
        <v>45086</v>
      </c>
      <c r="F540" s="9">
        <v>0.65229166666666671</v>
      </c>
      <c r="G540" s="8">
        <v>45093</v>
      </c>
      <c r="H540" s="9">
        <v>0.5951967592592593</v>
      </c>
      <c r="I540" s="7" t="s">
        <v>524</v>
      </c>
      <c r="J540" s="7" t="s">
        <v>30</v>
      </c>
      <c r="K540" s="18" t="str">
        <f>_xlfn.XLOOKUP(tblMaster[[#This Row],[Customer_ID]],tblCustomers[Customer_ID],tblCustomers[City],"Not Found",0)</f>
        <v>Haridwar</v>
      </c>
      <c r="L540" s="18" t="str">
        <f>_xlfn.XLOOKUP(tblMaster[[#This Row],[Customer_ID]],tblCustomers[Customer_ID],tblCustomers[Name],"Not Found",0)</f>
        <v>Pihu Choudhury</v>
      </c>
      <c r="M540" s="18" t="str">
        <f>_xlfn.XLOOKUP(tblMaster[[#This Row],[Customer_ID]],tblCustomers[Customer_ID],tblCustomers[Gender],"Not Found",0)</f>
        <v>Male</v>
      </c>
      <c r="N540" s="18" t="str">
        <f>_xlfn.XLOOKUP(tblMaster[[#This Row],[Product_ID]],tblProducts[Product_ID],tblProducts[Product_Name],"Not Found",0)</f>
        <v>Reiciendis Box</v>
      </c>
      <c r="O540" s="18" t="str">
        <f>_xlfn.XLOOKUP(tblMaster[[#This Row],[Product_ID]],tblProducts[Product_ID],tblProducts[Category],"Not Found",0)</f>
        <v>Colors</v>
      </c>
      <c r="P540" s="18" t="str">
        <f>_xlfn.XLOOKUP(tblMaster[[#This Row],[Product_ID]],tblProducts[Product_ID],tblProducts[Occasion],"Not Found",0)</f>
        <v>Anniversary</v>
      </c>
      <c r="Q540" s="18">
        <f>_xlfn.XLOOKUP(tblMaster[[#This Row],[Product_ID]],tblProducts[Product_ID],tblProducts[Price (INR)],"Not Found",0)</f>
        <v>697</v>
      </c>
      <c r="R540" s="19">
        <f>tblMaster[[#This Row],[Price]]*tblMaster[[#This Row],[Quantity]]</f>
        <v>2091</v>
      </c>
      <c r="S540" s="19">
        <f>tblMaster[[#This Row],[Price]]*0.7*tblMaster[[#This Row],[Quantity]]</f>
        <v>1463.6999999999998</v>
      </c>
      <c r="T540" s="19">
        <f>tblMaster[[#This Row],[Revenue]]-tblMaster[[#This Row],[Estimated Cost (at 70%) ]]</f>
        <v>627.30000000000018</v>
      </c>
      <c r="U540" s="19">
        <f>tblMaster[[#This Row],[Profit]]/tblMaster[[#This Row],[Revenue]]</f>
        <v>0.3000000000000001</v>
      </c>
      <c r="V540" s="19">
        <f>tblMaster[[#This Row],[Delivery_Date]]-tblMaster[[#This Row],[Order_Date]]</f>
        <v>7</v>
      </c>
      <c r="W540" s="19" t="str">
        <f>TEXT(tblMaster[[#This Row],[Order_Date]],"mmmm")</f>
        <v>June</v>
      </c>
      <c r="X540" s="19">
        <f>MONTH(tblMaster[[#This Row],[Order_Date]])</f>
        <v>6</v>
      </c>
      <c r="Y540" s="19" t="str">
        <f>"Q"&amp;ROUNDUP(tblMaster[[#This Row],[Month Number]]/3,0)</f>
        <v>Q2</v>
      </c>
      <c r="Z540" s="19">
        <f>YEAR(tblMaster[[#This Row],[Order_Date]])</f>
        <v>2023</v>
      </c>
      <c r="AA540" s="19" t="str">
        <f>TEXT(DAY(tblMaster[[#This Row],[Order_Date]]),"dddd")</f>
        <v>Monday</v>
      </c>
      <c r="AB540" s="19" t="str">
        <f>IF(tblMaster[[#This Row],[Revenue]]&gt;=5000,"High",IF(tblMaster[[#This Row],[Revenue]]&lt;2000,"Low","Medium"))</f>
        <v>Medium</v>
      </c>
    </row>
    <row r="541" spans="1:28" x14ac:dyDescent="0.25">
      <c r="A541" s="10">
        <v>540</v>
      </c>
      <c r="B541" s="10" t="s">
        <v>316</v>
      </c>
      <c r="C541" s="5">
        <v>22</v>
      </c>
      <c r="D541" s="5">
        <v>4</v>
      </c>
      <c r="E541" s="11">
        <v>45175</v>
      </c>
      <c r="F541" s="12">
        <v>0.79693287037037042</v>
      </c>
      <c r="G541" s="11">
        <v>45178</v>
      </c>
      <c r="H541" s="12">
        <v>5.9722222222222225E-2</v>
      </c>
      <c r="I541" s="10" t="s">
        <v>525</v>
      </c>
      <c r="J541" s="10" t="s">
        <v>8</v>
      </c>
      <c r="K541" s="18" t="str">
        <f>_xlfn.XLOOKUP(tblMaster[[#This Row],[Customer_ID]],tblCustomers[Customer_ID],tblCustomers[City],"Not Found",0)</f>
        <v>Ahmednagar</v>
      </c>
      <c r="L541" s="18" t="str">
        <f>_xlfn.XLOOKUP(tblMaster[[#This Row],[Customer_ID]],tblCustomers[Customer_ID],tblCustomers[Name],"Not Found",0)</f>
        <v>Anya Chaudhari</v>
      </c>
      <c r="M541" s="18" t="str">
        <f>_xlfn.XLOOKUP(tblMaster[[#This Row],[Customer_ID]],tblCustomers[Customer_ID],tblCustomers[Gender],"Not Found",0)</f>
        <v>Female</v>
      </c>
      <c r="N541" s="18" t="str">
        <f>_xlfn.XLOOKUP(tblMaster[[#This Row],[Product_ID]],tblProducts[Product_ID],tblProducts[Product_Name],"Not Found",0)</f>
        <v>Exercitationem Pack</v>
      </c>
      <c r="O541" s="18" t="str">
        <f>_xlfn.XLOOKUP(tblMaster[[#This Row],[Product_ID]],tblProducts[Product_ID],tblProducts[Category],"Not Found",0)</f>
        <v>Soft Toys</v>
      </c>
      <c r="P541" s="18" t="str">
        <f>_xlfn.XLOOKUP(tblMaster[[#This Row],[Product_ID]],tblProducts[Product_ID],tblProducts[Occasion],"Not Found",0)</f>
        <v>All Occasions</v>
      </c>
      <c r="Q541" s="18">
        <f>_xlfn.XLOOKUP(tblMaster[[#This Row],[Product_ID]],tblProducts[Product_ID],tblProducts[Price (INR)],"Not Found",0)</f>
        <v>1639</v>
      </c>
      <c r="R541" s="19">
        <f>tblMaster[[#This Row],[Price]]*tblMaster[[#This Row],[Quantity]]</f>
        <v>6556</v>
      </c>
      <c r="S541" s="19">
        <f>tblMaster[[#This Row],[Price]]*0.7*tblMaster[[#This Row],[Quantity]]</f>
        <v>4589.2</v>
      </c>
      <c r="T541" s="19">
        <f>tblMaster[[#This Row],[Revenue]]-tblMaster[[#This Row],[Estimated Cost (at 70%) ]]</f>
        <v>1966.8000000000002</v>
      </c>
      <c r="U541" s="19">
        <f>tblMaster[[#This Row],[Profit]]/tblMaster[[#This Row],[Revenue]]</f>
        <v>0.30000000000000004</v>
      </c>
      <c r="V541" s="19">
        <f>tblMaster[[#This Row],[Delivery_Date]]-tblMaster[[#This Row],[Order_Date]]</f>
        <v>3</v>
      </c>
      <c r="W541" s="19" t="str">
        <f>TEXT(tblMaster[[#This Row],[Order_Date]],"mmmm")</f>
        <v>September</v>
      </c>
      <c r="X541" s="19">
        <f>MONTH(tblMaster[[#This Row],[Order_Date]])</f>
        <v>9</v>
      </c>
      <c r="Y541" s="19" t="str">
        <f>"Q"&amp;ROUNDUP(tblMaster[[#This Row],[Month Number]]/3,0)</f>
        <v>Q3</v>
      </c>
      <c r="Z541" s="19">
        <f>YEAR(tblMaster[[#This Row],[Order_Date]])</f>
        <v>2023</v>
      </c>
      <c r="AA541" s="19" t="str">
        <f>TEXT(DAY(tblMaster[[#This Row],[Order_Date]]),"dddd")</f>
        <v>Friday</v>
      </c>
      <c r="AB541" s="19" t="str">
        <f>IF(tblMaster[[#This Row],[Revenue]]&gt;=5000,"High",IF(tblMaster[[#This Row],[Revenue]]&lt;2000,"Low","Medium"))</f>
        <v>High</v>
      </c>
    </row>
    <row r="542" spans="1:28" x14ac:dyDescent="0.25">
      <c r="A542" s="7">
        <v>541</v>
      </c>
      <c r="B542" s="7" t="s">
        <v>369</v>
      </c>
      <c r="C542" s="4">
        <v>24</v>
      </c>
      <c r="D542" s="4">
        <v>3</v>
      </c>
      <c r="E542" s="8">
        <v>45243</v>
      </c>
      <c r="F542" s="9">
        <v>0.24385416666666668</v>
      </c>
      <c r="G542" s="8">
        <v>45246</v>
      </c>
      <c r="H542" s="9">
        <v>0.95594907407407403</v>
      </c>
      <c r="I542" s="7" t="s">
        <v>432</v>
      </c>
      <c r="J542" s="7" t="s">
        <v>36</v>
      </c>
      <c r="K542" s="18" t="str">
        <f>_xlfn.XLOOKUP(tblMaster[[#This Row],[Customer_ID]],tblCustomers[Customer_ID],tblCustomers[City],"Not Found",0)</f>
        <v>Berhampore</v>
      </c>
      <c r="L542" s="18" t="str">
        <f>_xlfn.XLOOKUP(tblMaster[[#This Row],[Customer_ID]],tblCustomers[Customer_ID],tblCustomers[Name],"Not Found",0)</f>
        <v>Jayant Kamdar</v>
      </c>
      <c r="M542" s="18" t="str">
        <f>_xlfn.XLOOKUP(tblMaster[[#This Row],[Customer_ID]],tblCustomers[Customer_ID],tblCustomers[Gender],"Not Found",0)</f>
        <v>Male</v>
      </c>
      <c r="N542" s="18" t="str">
        <f>_xlfn.XLOOKUP(tblMaster[[#This Row],[Product_ID]],tblProducts[Product_ID],tblProducts[Product_Name],"Not Found",0)</f>
        <v>Ad Box</v>
      </c>
      <c r="O542" s="18" t="str">
        <f>_xlfn.XLOOKUP(tblMaster[[#This Row],[Product_ID]],tblProducts[Product_ID],tblProducts[Category],"Not Found",0)</f>
        <v>Mugs</v>
      </c>
      <c r="P542" s="18" t="str">
        <f>_xlfn.XLOOKUP(tblMaster[[#This Row],[Product_ID]],tblProducts[Product_ID],tblProducts[Occasion],"Not Found",0)</f>
        <v>Birthday</v>
      </c>
      <c r="Q542" s="18">
        <f>_xlfn.XLOOKUP(tblMaster[[#This Row],[Product_ID]],tblProducts[Product_ID],tblProducts[Price (INR)],"Not Found",0)</f>
        <v>535</v>
      </c>
      <c r="R542" s="19">
        <f>tblMaster[[#This Row],[Price]]*tblMaster[[#This Row],[Quantity]]</f>
        <v>1605</v>
      </c>
      <c r="S542" s="19">
        <f>tblMaster[[#This Row],[Price]]*0.7*tblMaster[[#This Row],[Quantity]]</f>
        <v>1123.5</v>
      </c>
      <c r="T542" s="19">
        <f>tblMaster[[#This Row],[Revenue]]-tblMaster[[#This Row],[Estimated Cost (at 70%) ]]</f>
        <v>481.5</v>
      </c>
      <c r="U542" s="19">
        <f>tblMaster[[#This Row],[Profit]]/tblMaster[[#This Row],[Revenue]]</f>
        <v>0.3</v>
      </c>
      <c r="V542" s="19">
        <f>tblMaster[[#This Row],[Delivery_Date]]-tblMaster[[#This Row],[Order_Date]]</f>
        <v>3</v>
      </c>
      <c r="W542" s="19" t="str">
        <f>TEXT(tblMaster[[#This Row],[Order_Date]],"mmmm")</f>
        <v>November</v>
      </c>
      <c r="X542" s="19">
        <f>MONTH(tblMaster[[#This Row],[Order_Date]])</f>
        <v>11</v>
      </c>
      <c r="Y542" s="19" t="str">
        <f>"Q"&amp;ROUNDUP(tblMaster[[#This Row],[Month Number]]/3,0)</f>
        <v>Q4</v>
      </c>
      <c r="Z542" s="19">
        <f>YEAR(tblMaster[[#This Row],[Order_Date]])</f>
        <v>2023</v>
      </c>
      <c r="AA542" s="19" t="str">
        <f>TEXT(DAY(tblMaster[[#This Row],[Order_Date]]),"dddd")</f>
        <v>Friday</v>
      </c>
      <c r="AB542" s="19" t="str">
        <f>IF(tblMaster[[#This Row],[Revenue]]&gt;=5000,"High",IF(tblMaster[[#This Row],[Revenue]]&lt;2000,"Low","Medium"))</f>
        <v>Low</v>
      </c>
    </row>
    <row r="543" spans="1:28" x14ac:dyDescent="0.25">
      <c r="A543" s="10">
        <v>542</v>
      </c>
      <c r="B543" s="10" t="s">
        <v>341</v>
      </c>
      <c r="C543" s="5">
        <v>54</v>
      </c>
      <c r="D543" s="5">
        <v>5</v>
      </c>
      <c r="E543" s="11">
        <v>45114</v>
      </c>
      <c r="F543" s="12">
        <v>0.82037037037037042</v>
      </c>
      <c r="G543" s="11">
        <v>45119</v>
      </c>
      <c r="H543" s="12">
        <v>0.41125</v>
      </c>
      <c r="I543" s="10" t="s">
        <v>344</v>
      </c>
      <c r="J543" s="10" t="s">
        <v>30</v>
      </c>
      <c r="K543" s="18" t="str">
        <f>_xlfn.XLOOKUP(tblMaster[[#This Row],[Customer_ID]],tblCustomers[Customer_ID],tblCustomers[City],"Not Found",0)</f>
        <v>Kota</v>
      </c>
      <c r="L543" s="18" t="str">
        <f>_xlfn.XLOOKUP(tblMaster[[#This Row],[Customer_ID]],tblCustomers[Customer_ID],tblCustomers[Name],"Not Found",0)</f>
        <v>Aradhya Batta</v>
      </c>
      <c r="M543" s="18" t="str">
        <f>_xlfn.XLOOKUP(tblMaster[[#This Row],[Customer_ID]],tblCustomers[Customer_ID],tblCustomers[Gender],"Not Found",0)</f>
        <v>Female</v>
      </c>
      <c r="N543" s="18" t="str">
        <f>_xlfn.XLOOKUP(tblMaster[[#This Row],[Product_ID]],tblProducts[Product_ID],tblProducts[Product_Name],"Not Found",0)</f>
        <v>Occaecati Gift</v>
      </c>
      <c r="O543" s="18" t="str">
        <f>_xlfn.XLOOKUP(tblMaster[[#This Row],[Product_ID]],tblProducts[Product_ID],tblProducts[Category],"Not Found",0)</f>
        <v>Cake</v>
      </c>
      <c r="P543" s="18" t="str">
        <f>_xlfn.XLOOKUP(tblMaster[[#This Row],[Product_ID]],tblProducts[Product_ID],tblProducts[Occasion],"Not Found",0)</f>
        <v>Anniversary</v>
      </c>
      <c r="Q543" s="18">
        <f>_xlfn.XLOOKUP(tblMaster[[#This Row],[Product_ID]],tblProducts[Product_ID],tblProducts[Price (INR)],"Not Found",0)</f>
        <v>1236</v>
      </c>
      <c r="R543" s="19">
        <f>tblMaster[[#This Row],[Price]]*tblMaster[[#This Row],[Quantity]]</f>
        <v>6180</v>
      </c>
      <c r="S543" s="19">
        <f>tblMaster[[#This Row],[Price]]*0.7*tblMaster[[#This Row],[Quantity]]</f>
        <v>4326</v>
      </c>
      <c r="T543" s="19">
        <f>tblMaster[[#This Row],[Revenue]]-tblMaster[[#This Row],[Estimated Cost (at 70%) ]]</f>
        <v>1854</v>
      </c>
      <c r="U543" s="19">
        <f>tblMaster[[#This Row],[Profit]]/tblMaster[[#This Row],[Revenue]]</f>
        <v>0.3</v>
      </c>
      <c r="V543" s="19">
        <f>tblMaster[[#This Row],[Delivery_Date]]-tblMaster[[#This Row],[Order_Date]]</f>
        <v>5</v>
      </c>
      <c r="W543" s="19" t="str">
        <f>TEXT(tblMaster[[#This Row],[Order_Date]],"mmmm")</f>
        <v>July</v>
      </c>
      <c r="X543" s="19">
        <f>MONTH(tblMaster[[#This Row],[Order_Date]])</f>
        <v>7</v>
      </c>
      <c r="Y543" s="19" t="str">
        <f>"Q"&amp;ROUNDUP(tblMaster[[#This Row],[Month Number]]/3,0)</f>
        <v>Q3</v>
      </c>
      <c r="Z543" s="19">
        <f>YEAR(tblMaster[[#This Row],[Order_Date]])</f>
        <v>2023</v>
      </c>
      <c r="AA543" s="19" t="str">
        <f>TEXT(DAY(tblMaster[[#This Row],[Order_Date]]),"dddd")</f>
        <v>Saturday</v>
      </c>
      <c r="AB543" s="19" t="str">
        <f>IF(tblMaster[[#This Row],[Revenue]]&gt;=5000,"High",IF(tblMaster[[#This Row],[Revenue]]&lt;2000,"Low","Medium"))</f>
        <v>High</v>
      </c>
    </row>
    <row r="544" spans="1:28" x14ac:dyDescent="0.25">
      <c r="A544" s="7">
        <v>543</v>
      </c>
      <c r="B544" s="7" t="s">
        <v>252</v>
      </c>
      <c r="C544" s="4">
        <v>51</v>
      </c>
      <c r="D544" s="4">
        <v>4</v>
      </c>
      <c r="E544" s="8">
        <v>44969</v>
      </c>
      <c r="F544" s="9">
        <v>0.91053240740740737</v>
      </c>
      <c r="G544" s="8">
        <v>44974</v>
      </c>
      <c r="H544" s="9">
        <v>0.49524305555555553</v>
      </c>
      <c r="I544" s="7" t="s">
        <v>494</v>
      </c>
      <c r="J544" s="7" t="s">
        <v>8</v>
      </c>
      <c r="K544" s="18" t="str">
        <f>_xlfn.XLOOKUP(tblMaster[[#This Row],[Customer_ID]],tblCustomers[Customer_ID],tblCustomers[City],"Not Found",0)</f>
        <v>Bidhannagar</v>
      </c>
      <c r="L544" s="18" t="str">
        <f>_xlfn.XLOOKUP(tblMaster[[#This Row],[Customer_ID]],tblCustomers[Customer_ID],tblCustomers[Name],"Not Found",0)</f>
        <v>Abram Sandhu</v>
      </c>
      <c r="M544" s="18" t="str">
        <f>_xlfn.XLOOKUP(tblMaster[[#This Row],[Customer_ID]],tblCustomers[Customer_ID],tblCustomers[Gender],"Not Found",0)</f>
        <v>Male</v>
      </c>
      <c r="N544" s="18" t="str">
        <f>_xlfn.XLOOKUP(tblMaster[[#This Row],[Product_ID]],tblProducts[Product_ID],tblProducts[Product_Name],"Not Found",0)</f>
        <v>Fugit Set</v>
      </c>
      <c r="O544" s="18" t="str">
        <f>_xlfn.XLOOKUP(tblMaster[[#This Row],[Product_ID]],tblProducts[Product_ID],tblProducts[Category],"Not Found",0)</f>
        <v>Soft Toys</v>
      </c>
      <c r="P544" s="18" t="str">
        <f>_xlfn.XLOOKUP(tblMaster[[#This Row],[Product_ID]],tblProducts[Product_ID],tblProducts[Occasion],"Not Found",0)</f>
        <v>All Occasions</v>
      </c>
      <c r="Q544" s="18">
        <f>_xlfn.XLOOKUP(tblMaster[[#This Row],[Product_ID]],tblProducts[Product_ID],tblProducts[Price (INR)],"Not Found",0)</f>
        <v>1084</v>
      </c>
      <c r="R544" s="19">
        <f>tblMaster[[#This Row],[Price]]*tblMaster[[#This Row],[Quantity]]</f>
        <v>4336</v>
      </c>
      <c r="S544" s="19">
        <f>tblMaster[[#This Row],[Price]]*0.7*tblMaster[[#This Row],[Quantity]]</f>
        <v>3035.2</v>
      </c>
      <c r="T544" s="19">
        <f>tblMaster[[#This Row],[Revenue]]-tblMaster[[#This Row],[Estimated Cost (at 70%) ]]</f>
        <v>1300.8000000000002</v>
      </c>
      <c r="U544" s="19">
        <f>tblMaster[[#This Row],[Profit]]/tblMaster[[#This Row],[Revenue]]</f>
        <v>0.30000000000000004</v>
      </c>
      <c r="V544" s="19">
        <f>tblMaster[[#This Row],[Delivery_Date]]-tblMaster[[#This Row],[Order_Date]]</f>
        <v>5</v>
      </c>
      <c r="W544" s="19" t="str">
        <f>TEXT(tblMaster[[#This Row],[Order_Date]],"mmmm")</f>
        <v>February</v>
      </c>
      <c r="X544" s="19">
        <f>MONTH(tblMaster[[#This Row],[Order_Date]])</f>
        <v>2</v>
      </c>
      <c r="Y544" s="19" t="str">
        <f>"Q"&amp;ROUNDUP(tblMaster[[#This Row],[Month Number]]/3,0)</f>
        <v>Q1</v>
      </c>
      <c r="Z544" s="19">
        <f>YEAR(tblMaster[[#This Row],[Order_Date]])</f>
        <v>2023</v>
      </c>
      <c r="AA544" s="19" t="str">
        <f>TEXT(DAY(tblMaster[[#This Row],[Order_Date]]),"dddd")</f>
        <v>Thursday</v>
      </c>
      <c r="AB544" s="19" t="str">
        <f>IF(tblMaster[[#This Row],[Revenue]]&gt;=5000,"High",IF(tblMaster[[#This Row],[Revenue]]&lt;2000,"Low","Medium"))</f>
        <v>Medium</v>
      </c>
    </row>
    <row r="545" spans="1:28" x14ac:dyDescent="0.25">
      <c r="A545" s="10">
        <v>544</v>
      </c>
      <c r="B545" s="10" t="s">
        <v>337</v>
      </c>
      <c r="C545" s="5">
        <v>29</v>
      </c>
      <c r="D545" s="5">
        <v>2</v>
      </c>
      <c r="E545" s="11">
        <v>44986</v>
      </c>
      <c r="F545" s="12">
        <v>0.10548611111111111</v>
      </c>
      <c r="G545" s="11">
        <v>44996</v>
      </c>
      <c r="H545" s="12">
        <v>0.39851851851851849</v>
      </c>
      <c r="I545" s="10" t="s">
        <v>186</v>
      </c>
      <c r="J545" s="10" t="s">
        <v>25</v>
      </c>
      <c r="K545" s="18" t="str">
        <f>_xlfn.XLOOKUP(tblMaster[[#This Row],[Customer_ID]],tblCustomers[Customer_ID],tblCustomers[City],"Not Found",0)</f>
        <v>Sambhal</v>
      </c>
      <c r="L545" s="18" t="str">
        <f>_xlfn.XLOOKUP(tblMaster[[#This Row],[Customer_ID]],tblCustomers[Customer_ID],tblCustomers[Name],"Not Found",0)</f>
        <v>Vardaniya Contractor</v>
      </c>
      <c r="M545" s="18" t="str">
        <f>_xlfn.XLOOKUP(tblMaster[[#This Row],[Customer_ID]],tblCustomers[Customer_ID],tblCustomers[Gender],"Not Found",0)</f>
        <v>Male</v>
      </c>
      <c r="N545" s="18" t="str">
        <f>_xlfn.XLOOKUP(tblMaster[[#This Row],[Product_ID]],tblProducts[Product_ID],tblProducts[Product_Name],"Not Found",0)</f>
        <v>In Set</v>
      </c>
      <c r="O545" s="18" t="str">
        <f>_xlfn.XLOOKUP(tblMaster[[#This Row],[Product_ID]],tblProducts[Product_ID],tblProducts[Category],"Not Found",0)</f>
        <v>Colors</v>
      </c>
      <c r="P545" s="18" t="str">
        <f>_xlfn.XLOOKUP(tblMaster[[#This Row],[Product_ID]],tblProducts[Product_ID],tblProducts[Occasion],"Not Found",0)</f>
        <v>Holi</v>
      </c>
      <c r="Q545" s="18">
        <f>_xlfn.XLOOKUP(tblMaster[[#This Row],[Product_ID]],tblProducts[Product_ID],tblProducts[Price (INR)],"Not Found",0)</f>
        <v>1252</v>
      </c>
      <c r="R545" s="19">
        <f>tblMaster[[#This Row],[Price]]*tblMaster[[#This Row],[Quantity]]</f>
        <v>2504</v>
      </c>
      <c r="S545" s="19">
        <f>tblMaster[[#This Row],[Price]]*0.7*tblMaster[[#This Row],[Quantity]]</f>
        <v>1752.8</v>
      </c>
      <c r="T545" s="19">
        <f>tblMaster[[#This Row],[Revenue]]-tblMaster[[#This Row],[Estimated Cost (at 70%) ]]</f>
        <v>751.2</v>
      </c>
      <c r="U545" s="19">
        <f>tblMaster[[#This Row],[Profit]]/tblMaster[[#This Row],[Revenue]]</f>
        <v>0.30000000000000004</v>
      </c>
      <c r="V545" s="19">
        <f>tblMaster[[#This Row],[Delivery_Date]]-tblMaster[[#This Row],[Order_Date]]</f>
        <v>10</v>
      </c>
      <c r="W545" s="19" t="str">
        <f>TEXT(tblMaster[[#This Row],[Order_Date]],"mmmm")</f>
        <v>March</v>
      </c>
      <c r="X545" s="19">
        <f>MONTH(tblMaster[[#This Row],[Order_Date]])</f>
        <v>3</v>
      </c>
      <c r="Y545" s="19" t="str">
        <f>"Q"&amp;ROUNDUP(tblMaster[[#This Row],[Month Number]]/3,0)</f>
        <v>Q1</v>
      </c>
      <c r="Z545" s="19">
        <f>YEAR(tblMaster[[#This Row],[Order_Date]])</f>
        <v>2023</v>
      </c>
      <c r="AA545" s="19" t="str">
        <f>TEXT(DAY(tblMaster[[#This Row],[Order_Date]]),"dddd")</f>
        <v>Sunday</v>
      </c>
      <c r="AB545" s="19" t="str">
        <f>IF(tblMaster[[#This Row],[Revenue]]&gt;=5000,"High",IF(tblMaster[[#This Row],[Revenue]]&lt;2000,"Low","Medium"))</f>
        <v>Medium</v>
      </c>
    </row>
    <row r="546" spans="1:28" x14ac:dyDescent="0.25">
      <c r="A546" s="7">
        <v>545</v>
      </c>
      <c r="B546" s="7" t="s">
        <v>333</v>
      </c>
      <c r="C546" s="4">
        <v>9</v>
      </c>
      <c r="D546" s="4">
        <v>5</v>
      </c>
      <c r="E546" s="8">
        <v>45158</v>
      </c>
      <c r="F546" s="9">
        <v>7.9768518518518516E-2</v>
      </c>
      <c r="G546" s="8">
        <v>45164</v>
      </c>
      <c r="H546" s="9">
        <v>0.33841435185185187</v>
      </c>
      <c r="I546" s="7" t="s">
        <v>256</v>
      </c>
      <c r="J546" s="7" t="s">
        <v>33</v>
      </c>
      <c r="K546" s="18" t="str">
        <f>_xlfn.XLOOKUP(tblMaster[[#This Row],[Customer_ID]],tblCustomers[Customer_ID],tblCustomers[City],"Not Found",0)</f>
        <v>Raurkela Industrial Township</v>
      </c>
      <c r="L546" s="18" t="str">
        <f>_xlfn.XLOOKUP(tblMaster[[#This Row],[Customer_ID]],tblCustomers[Customer_ID],tblCustomers[Name],"Not Found",0)</f>
        <v>Aaryahi Sodhi</v>
      </c>
      <c r="M546" s="18" t="str">
        <f>_xlfn.XLOOKUP(tblMaster[[#This Row],[Customer_ID]],tblCustomers[Customer_ID],tblCustomers[Gender],"Not Found",0)</f>
        <v>Male</v>
      </c>
      <c r="N546" s="18" t="str">
        <f>_xlfn.XLOOKUP(tblMaster[[#This Row],[Product_ID]],tblProducts[Product_ID],tblProducts[Product_Name],"Not Found",0)</f>
        <v>Aperiam Box</v>
      </c>
      <c r="O546" s="18" t="str">
        <f>_xlfn.XLOOKUP(tblMaster[[#This Row],[Product_ID]],tblProducts[Product_ID],tblProducts[Category],"Not Found",0)</f>
        <v>Colors</v>
      </c>
      <c r="P546" s="18" t="str">
        <f>_xlfn.XLOOKUP(tblMaster[[#This Row],[Product_ID]],tblProducts[Product_ID],tblProducts[Occasion],"Not Found",0)</f>
        <v>Raksha Bandhan</v>
      </c>
      <c r="Q546" s="18">
        <f>_xlfn.XLOOKUP(tblMaster[[#This Row],[Product_ID]],tblProducts[Product_ID],tblProducts[Price (INR)],"Not Found",0)</f>
        <v>1605</v>
      </c>
      <c r="R546" s="19">
        <f>tblMaster[[#This Row],[Price]]*tblMaster[[#This Row],[Quantity]]</f>
        <v>8025</v>
      </c>
      <c r="S546" s="19">
        <f>tblMaster[[#This Row],[Price]]*0.7*tblMaster[[#This Row],[Quantity]]</f>
        <v>5617.5</v>
      </c>
      <c r="T546" s="19">
        <f>tblMaster[[#This Row],[Revenue]]-tblMaster[[#This Row],[Estimated Cost (at 70%) ]]</f>
        <v>2407.5</v>
      </c>
      <c r="U546" s="19">
        <f>tblMaster[[#This Row],[Profit]]/tblMaster[[#This Row],[Revenue]]</f>
        <v>0.3</v>
      </c>
      <c r="V546" s="19">
        <f>tblMaster[[#This Row],[Delivery_Date]]-tblMaster[[#This Row],[Order_Date]]</f>
        <v>6</v>
      </c>
      <c r="W546" s="19" t="str">
        <f>TEXT(tblMaster[[#This Row],[Order_Date]],"mmmm")</f>
        <v>August</v>
      </c>
      <c r="X546" s="19">
        <f>MONTH(tblMaster[[#This Row],[Order_Date]])</f>
        <v>8</v>
      </c>
      <c r="Y546" s="19" t="str">
        <f>"Q"&amp;ROUNDUP(tblMaster[[#This Row],[Month Number]]/3,0)</f>
        <v>Q3</v>
      </c>
      <c r="Z546" s="19">
        <f>YEAR(tblMaster[[#This Row],[Order_Date]])</f>
        <v>2023</v>
      </c>
      <c r="AA546" s="19" t="str">
        <f>TEXT(DAY(tblMaster[[#This Row],[Order_Date]]),"dddd")</f>
        <v>Friday</v>
      </c>
      <c r="AB546" s="19" t="str">
        <f>IF(tblMaster[[#This Row],[Revenue]]&gt;=5000,"High",IF(tblMaster[[#This Row],[Revenue]]&lt;2000,"Low","Medium"))</f>
        <v>High</v>
      </c>
    </row>
    <row r="547" spans="1:28" x14ac:dyDescent="0.25">
      <c r="A547" s="10">
        <v>546</v>
      </c>
      <c r="B547" s="10" t="s">
        <v>216</v>
      </c>
      <c r="C547" s="5">
        <v>25</v>
      </c>
      <c r="D547" s="5">
        <v>3</v>
      </c>
      <c r="E547" s="11">
        <v>44959</v>
      </c>
      <c r="F547" s="12">
        <v>0.92005787037037035</v>
      </c>
      <c r="G547" s="11">
        <v>44968</v>
      </c>
      <c r="H547" s="12">
        <v>0.41674768518518518</v>
      </c>
      <c r="I547" s="10" t="s">
        <v>526</v>
      </c>
      <c r="J547" s="10" t="s">
        <v>30</v>
      </c>
      <c r="K547" s="18" t="str">
        <f>_xlfn.XLOOKUP(tblMaster[[#This Row],[Customer_ID]],tblCustomers[Customer_ID],tblCustomers[City],"Not Found",0)</f>
        <v>Srikakulam</v>
      </c>
      <c r="L547" s="18" t="str">
        <f>_xlfn.XLOOKUP(tblMaster[[#This Row],[Customer_ID]],tblCustomers[Customer_ID],tblCustomers[Name],"Not Found",0)</f>
        <v>Indrajit Kale</v>
      </c>
      <c r="M547" s="18" t="str">
        <f>_xlfn.XLOOKUP(tblMaster[[#This Row],[Customer_ID]],tblCustomers[Customer_ID],tblCustomers[Gender],"Not Found",0)</f>
        <v>Male</v>
      </c>
      <c r="N547" s="18" t="str">
        <f>_xlfn.XLOOKUP(tblMaster[[#This Row],[Product_ID]],tblProducts[Product_ID],tblProducts[Product_Name],"Not Found",0)</f>
        <v>Qui Gift</v>
      </c>
      <c r="O547" s="18" t="str">
        <f>_xlfn.XLOOKUP(tblMaster[[#This Row],[Product_ID]],tblProducts[Product_ID],tblProducts[Category],"Not Found",0)</f>
        <v>Plants</v>
      </c>
      <c r="P547" s="18" t="str">
        <f>_xlfn.XLOOKUP(tblMaster[[#This Row],[Product_ID]],tblProducts[Product_ID],tblProducts[Occasion],"Not Found",0)</f>
        <v>Anniversary</v>
      </c>
      <c r="Q547" s="18">
        <f>_xlfn.XLOOKUP(tblMaster[[#This Row],[Product_ID]],tblProducts[Product_ID],tblProducts[Price (INR)],"Not Found",0)</f>
        <v>1202</v>
      </c>
      <c r="R547" s="19">
        <f>tblMaster[[#This Row],[Price]]*tblMaster[[#This Row],[Quantity]]</f>
        <v>3606</v>
      </c>
      <c r="S547" s="19">
        <f>tblMaster[[#This Row],[Price]]*0.7*tblMaster[[#This Row],[Quantity]]</f>
        <v>2524.1999999999998</v>
      </c>
      <c r="T547" s="19">
        <f>tblMaster[[#This Row],[Revenue]]-tblMaster[[#This Row],[Estimated Cost (at 70%) ]]</f>
        <v>1081.8000000000002</v>
      </c>
      <c r="U547" s="19">
        <f>tblMaster[[#This Row],[Profit]]/tblMaster[[#This Row],[Revenue]]</f>
        <v>0.30000000000000004</v>
      </c>
      <c r="V547" s="19">
        <f>tblMaster[[#This Row],[Delivery_Date]]-tblMaster[[#This Row],[Order_Date]]</f>
        <v>9</v>
      </c>
      <c r="W547" s="19" t="str">
        <f>TEXT(tblMaster[[#This Row],[Order_Date]],"mmmm")</f>
        <v>February</v>
      </c>
      <c r="X547" s="19">
        <f>MONTH(tblMaster[[#This Row],[Order_Date]])</f>
        <v>2</v>
      </c>
      <c r="Y547" s="19" t="str">
        <f>"Q"&amp;ROUNDUP(tblMaster[[#This Row],[Month Number]]/3,0)</f>
        <v>Q1</v>
      </c>
      <c r="Z547" s="19">
        <f>YEAR(tblMaster[[#This Row],[Order_Date]])</f>
        <v>2023</v>
      </c>
      <c r="AA547" s="19" t="str">
        <f>TEXT(DAY(tblMaster[[#This Row],[Order_Date]]),"dddd")</f>
        <v>Monday</v>
      </c>
      <c r="AB547" s="19" t="str">
        <f>IF(tblMaster[[#This Row],[Revenue]]&gt;=5000,"High",IF(tblMaster[[#This Row],[Revenue]]&lt;2000,"Low","Medium"))</f>
        <v>Medium</v>
      </c>
    </row>
    <row r="548" spans="1:28" x14ac:dyDescent="0.25">
      <c r="A548" s="7">
        <v>547</v>
      </c>
      <c r="B548" s="7" t="s">
        <v>215</v>
      </c>
      <c r="C548" s="4">
        <v>30</v>
      </c>
      <c r="D548" s="4">
        <v>5</v>
      </c>
      <c r="E548" s="8">
        <v>44936</v>
      </c>
      <c r="F548" s="9">
        <v>0.10430555555555555</v>
      </c>
      <c r="G548" s="8">
        <v>44945</v>
      </c>
      <c r="H548" s="9">
        <v>0.58103009259259264</v>
      </c>
      <c r="I548" s="7" t="s">
        <v>260</v>
      </c>
      <c r="J548" s="7" t="s">
        <v>30</v>
      </c>
      <c r="K548" s="18" t="str">
        <f>_xlfn.XLOOKUP(tblMaster[[#This Row],[Customer_ID]],tblCustomers[Customer_ID],tblCustomers[City],"Not Found",0)</f>
        <v xml:space="preserve">Khora </v>
      </c>
      <c r="L548" s="18" t="str">
        <f>_xlfn.XLOOKUP(tblMaster[[#This Row],[Customer_ID]],tblCustomers[Customer_ID],tblCustomers[Name],"Not Found",0)</f>
        <v>Shalv Kulkarni</v>
      </c>
      <c r="M548" s="18" t="str">
        <f>_xlfn.XLOOKUP(tblMaster[[#This Row],[Customer_ID]],tblCustomers[Customer_ID],tblCustomers[Gender],"Not Found",0)</f>
        <v>Female</v>
      </c>
      <c r="N548" s="18" t="str">
        <f>_xlfn.XLOOKUP(tblMaster[[#This Row],[Product_ID]],tblProducts[Product_ID],tblProducts[Product_Name],"Not Found",0)</f>
        <v>Recusandae Pack</v>
      </c>
      <c r="O548" s="18" t="str">
        <f>_xlfn.XLOOKUP(tblMaster[[#This Row],[Product_ID]],tblProducts[Product_ID],tblProducts[Category],"Not Found",0)</f>
        <v>Colors</v>
      </c>
      <c r="P548" s="18" t="str">
        <f>_xlfn.XLOOKUP(tblMaster[[#This Row],[Product_ID]],tblProducts[Product_ID],tblProducts[Occasion],"Not Found",0)</f>
        <v>Anniversary</v>
      </c>
      <c r="Q548" s="18">
        <f>_xlfn.XLOOKUP(tblMaster[[#This Row],[Product_ID]],tblProducts[Product_ID],tblProducts[Price (INR)],"Not Found",0)</f>
        <v>751</v>
      </c>
      <c r="R548" s="19">
        <f>tblMaster[[#This Row],[Price]]*tblMaster[[#This Row],[Quantity]]</f>
        <v>3755</v>
      </c>
      <c r="S548" s="19">
        <f>tblMaster[[#This Row],[Price]]*0.7*tblMaster[[#This Row],[Quantity]]</f>
        <v>2628.4999999999995</v>
      </c>
      <c r="T548" s="19">
        <f>tblMaster[[#This Row],[Revenue]]-tblMaster[[#This Row],[Estimated Cost (at 70%) ]]</f>
        <v>1126.5000000000005</v>
      </c>
      <c r="U548" s="19">
        <f>tblMaster[[#This Row],[Profit]]/tblMaster[[#This Row],[Revenue]]</f>
        <v>0.3000000000000001</v>
      </c>
      <c r="V548" s="19">
        <f>tblMaster[[#This Row],[Delivery_Date]]-tblMaster[[#This Row],[Order_Date]]</f>
        <v>9</v>
      </c>
      <c r="W548" s="19" t="str">
        <f>TEXT(tblMaster[[#This Row],[Order_Date]],"mmmm")</f>
        <v>January</v>
      </c>
      <c r="X548" s="19">
        <f>MONTH(tblMaster[[#This Row],[Order_Date]])</f>
        <v>1</v>
      </c>
      <c r="Y548" s="19" t="str">
        <f>"Q"&amp;ROUNDUP(tblMaster[[#This Row],[Month Number]]/3,0)</f>
        <v>Q1</v>
      </c>
      <c r="Z548" s="19">
        <f>YEAR(tblMaster[[#This Row],[Order_Date]])</f>
        <v>2023</v>
      </c>
      <c r="AA548" s="19" t="str">
        <f>TEXT(DAY(tblMaster[[#This Row],[Order_Date]]),"dddd")</f>
        <v>Tuesday</v>
      </c>
      <c r="AB548" s="19" t="str">
        <f>IF(tblMaster[[#This Row],[Revenue]]&gt;=5000,"High",IF(tblMaster[[#This Row],[Revenue]]&lt;2000,"Low","Medium"))</f>
        <v>Medium</v>
      </c>
    </row>
    <row r="549" spans="1:28" x14ac:dyDescent="0.25">
      <c r="A549" s="10">
        <v>548</v>
      </c>
      <c r="B549" s="10" t="s">
        <v>172</v>
      </c>
      <c r="C549" s="5">
        <v>25</v>
      </c>
      <c r="D549" s="5">
        <v>2</v>
      </c>
      <c r="E549" s="11">
        <v>44978</v>
      </c>
      <c r="F549" s="12">
        <v>0.52280092592592597</v>
      </c>
      <c r="G549" s="11">
        <v>44979</v>
      </c>
      <c r="H549" s="12">
        <v>0.82481481481481478</v>
      </c>
      <c r="I549" s="10" t="s">
        <v>319</v>
      </c>
      <c r="J549" s="10" t="s">
        <v>30</v>
      </c>
      <c r="K549" s="18" t="str">
        <f>_xlfn.XLOOKUP(tblMaster[[#This Row],[Customer_ID]],tblCustomers[Customer_ID],tblCustomers[City],"Not Found",0)</f>
        <v>Bilaspur</v>
      </c>
      <c r="L549" s="18" t="str">
        <f>_xlfn.XLOOKUP(tblMaster[[#This Row],[Customer_ID]],tblCustomers[Customer_ID],tblCustomers[Name],"Not Found",0)</f>
        <v>Onkar Mangat</v>
      </c>
      <c r="M549" s="18" t="str">
        <f>_xlfn.XLOOKUP(tblMaster[[#This Row],[Customer_ID]],tblCustomers[Customer_ID],tblCustomers[Gender],"Not Found",0)</f>
        <v>Male</v>
      </c>
      <c r="N549" s="18" t="str">
        <f>_xlfn.XLOOKUP(tblMaster[[#This Row],[Product_ID]],tblProducts[Product_ID],tblProducts[Product_Name],"Not Found",0)</f>
        <v>Qui Gift</v>
      </c>
      <c r="O549" s="18" t="str">
        <f>_xlfn.XLOOKUP(tblMaster[[#This Row],[Product_ID]],tblProducts[Product_ID],tblProducts[Category],"Not Found",0)</f>
        <v>Plants</v>
      </c>
      <c r="P549" s="18" t="str">
        <f>_xlfn.XLOOKUP(tblMaster[[#This Row],[Product_ID]],tblProducts[Product_ID],tblProducts[Occasion],"Not Found",0)</f>
        <v>Anniversary</v>
      </c>
      <c r="Q549" s="18">
        <f>_xlfn.XLOOKUP(tblMaster[[#This Row],[Product_ID]],tblProducts[Product_ID],tblProducts[Price (INR)],"Not Found",0)</f>
        <v>1202</v>
      </c>
      <c r="R549" s="19">
        <f>tblMaster[[#This Row],[Price]]*tblMaster[[#This Row],[Quantity]]</f>
        <v>2404</v>
      </c>
      <c r="S549" s="19">
        <f>tblMaster[[#This Row],[Price]]*0.7*tblMaster[[#This Row],[Quantity]]</f>
        <v>1682.8</v>
      </c>
      <c r="T549" s="19">
        <f>tblMaster[[#This Row],[Revenue]]-tblMaster[[#This Row],[Estimated Cost (at 70%) ]]</f>
        <v>721.2</v>
      </c>
      <c r="U549" s="19">
        <f>tblMaster[[#This Row],[Profit]]/tblMaster[[#This Row],[Revenue]]</f>
        <v>0.30000000000000004</v>
      </c>
      <c r="V549" s="19">
        <f>tblMaster[[#This Row],[Delivery_Date]]-tblMaster[[#This Row],[Order_Date]]</f>
        <v>1</v>
      </c>
      <c r="W549" s="19" t="str">
        <f>TEXT(tblMaster[[#This Row],[Order_Date]],"mmmm")</f>
        <v>February</v>
      </c>
      <c r="X549" s="19">
        <f>MONTH(tblMaster[[#This Row],[Order_Date]])</f>
        <v>2</v>
      </c>
      <c r="Y549" s="19" t="str">
        <f>"Q"&amp;ROUNDUP(tblMaster[[#This Row],[Month Number]]/3,0)</f>
        <v>Q1</v>
      </c>
      <c r="Z549" s="19">
        <f>YEAR(tblMaster[[#This Row],[Order_Date]])</f>
        <v>2023</v>
      </c>
      <c r="AA549" s="19" t="str">
        <f>TEXT(DAY(tblMaster[[#This Row],[Order_Date]]),"dddd")</f>
        <v>Saturday</v>
      </c>
      <c r="AB549" s="19" t="str">
        <f>IF(tblMaster[[#This Row],[Revenue]]&gt;=5000,"High",IF(tblMaster[[#This Row],[Revenue]]&lt;2000,"Low","Medium"))</f>
        <v>Medium</v>
      </c>
    </row>
    <row r="550" spans="1:28" x14ac:dyDescent="0.25">
      <c r="A550" s="7">
        <v>549</v>
      </c>
      <c r="B550" s="7" t="s">
        <v>503</v>
      </c>
      <c r="C550" s="4">
        <v>64</v>
      </c>
      <c r="D550" s="4">
        <v>1</v>
      </c>
      <c r="E550" s="8">
        <v>45160</v>
      </c>
      <c r="F550" s="9">
        <v>0.81230324074074078</v>
      </c>
      <c r="G550" s="8">
        <v>45170</v>
      </c>
      <c r="H550" s="9">
        <v>0.10358796296296297</v>
      </c>
      <c r="I550" s="7" t="s">
        <v>453</v>
      </c>
      <c r="J550" s="7" t="s">
        <v>33</v>
      </c>
      <c r="K550" s="18" t="str">
        <f>_xlfn.XLOOKUP(tblMaster[[#This Row],[Customer_ID]],tblCustomers[Customer_ID],tblCustomers[City],"Not Found",0)</f>
        <v>Mehsana</v>
      </c>
      <c r="L550" s="18" t="str">
        <f>_xlfn.XLOOKUP(tblMaster[[#This Row],[Customer_ID]],tblCustomers[Customer_ID],tblCustomers[Name],"Not Found",0)</f>
        <v>Siya Talwar</v>
      </c>
      <c r="M550" s="18" t="str">
        <f>_xlfn.XLOOKUP(tblMaster[[#This Row],[Customer_ID]],tblCustomers[Customer_ID],tblCustomers[Gender],"Not Found",0)</f>
        <v>Male</v>
      </c>
      <c r="N550" s="18" t="str">
        <f>_xlfn.XLOOKUP(tblMaster[[#This Row],[Product_ID]],tblProducts[Product_ID],tblProducts[Product_Name],"Not Found",0)</f>
        <v>Nostrum Box</v>
      </c>
      <c r="O550" s="18" t="str">
        <f>_xlfn.XLOOKUP(tblMaster[[#This Row],[Product_ID]],tblProducts[Product_ID],tblProducts[Category],"Not Found",0)</f>
        <v>Soft Toys</v>
      </c>
      <c r="P550" s="18" t="str">
        <f>_xlfn.XLOOKUP(tblMaster[[#This Row],[Product_ID]],tblProducts[Product_ID],tblProducts[Occasion],"Not Found",0)</f>
        <v>Raksha Bandhan</v>
      </c>
      <c r="Q550" s="18">
        <f>_xlfn.XLOOKUP(tblMaster[[#This Row],[Product_ID]],tblProducts[Product_ID],tblProducts[Price (INR)],"Not Found",0)</f>
        <v>1878</v>
      </c>
      <c r="R550" s="19">
        <f>tblMaster[[#This Row],[Price]]*tblMaster[[#This Row],[Quantity]]</f>
        <v>1878</v>
      </c>
      <c r="S550" s="19">
        <f>tblMaster[[#This Row],[Price]]*0.7*tblMaster[[#This Row],[Quantity]]</f>
        <v>1314.6</v>
      </c>
      <c r="T550" s="19">
        <f>tblMaster[[#This Row],[Revenue]]-tblMaster[[#This Row],[Estimated Cost (at 70%) ]]</f>
        <v>563.40000000000009</v>
      </c>
      <c r="U550" s="19">
        <f>tblMaster[[#This Row],[Profit]]/tblMaster[[#This Row],[Revenue]]</f>
        <v>0.30000000000000004</v>
      </c>
      <c r="V550" s="19">
        <f>tblMaster[[#This Row],[Delivery_Date]]-tblMaster[[#This Row],[Order_Date]]</f>
        <v>10</v>
      </c>
      <c r="W550" s="19" t="str">
        <f>TEXT(tblMaster[[#This Row],[Order_Date]],"mmmm")</f>
        <v>August</v>
      </c>
      <c r="X550" s="19">
        <f>MONTH(tblMaster[[#This Row],[Order_Date]])</f>
        <v>8</v>
      </c>
      <c r="Y550" s="19" t="str">
        <f>"Q"&amp;ROUNDUP(tblMaster[[#This Row],[Month Number]]/3,0)</f>
        <v>Q3</v>
      </c>
      <c r="Z550" s="19">
        <f>YEAR(tblMaster[[#This Row],[Order_Date]])</f>
        <v>2023</v>
      </c>
      <c r="AA550" s="19" t="str">
        <f>TEXT(DAY(tblMaster[[#This Row],[Order_Date]]),"dddd")</f>
        <v>Sunday</v>
      </c>
      <c r="AB550" s="19" t="str">
        <f>IF(tblMaster[[#This Row],[Revenue]]&gt;=5000,"High",IF(tblMaster[[#This Row],[Revenue]]&lt;2000,"Low","Medium"))</f>
        <v>Low</v>
      </c>
    </row>
    <row r="551" spans="1:28" x14ac:dyDescent="0.25">
      <c r="A551" s="10">
        <v>550</v>
      </c>
      <c r="B551" s="10" t="s">
        <v>252</v>
      </c>
      <c r="C551" s="5">
        <v>29</v>
      </c>
      <c r="D551" s="5">
        <v>5</v>
      </c>
      <c r="E551" s="11">
        <v>44984</v>
      </c>
      <c r="F551" s="12">
        <v>0.81125000000000003</v>
      </c>
      <c r="G551" s="11">
        <v>44990</v>
      </c>
      <c r="H551" s="12">
        <v>0.71086805555555554</v>
      </c>
      <c r="I551" s="10" t="s">
        <v>527</v>
      </c>
      <c r="J551" s="10" t="s">
        <v>25</v>
      </c>
      <c r="K551" s="18" t="str">
        <f>_xlfn.XLOOKUP(tblMaster[[#This Row],[Customer_ID]],tblCustomers[Customer_ID],tblCustomers[City],"Not Found",0)</f>
        <v>Bidhannagar</v>
      </c>
      <c r="L551" s="18" t="str">
        <f>_xlfn.XLOOKUP(tblMaster[[#This Row],[Customer_ID]],tblCustomers[Customer_ID],tblCustomers[Name],"Not Found",0)</f>
        <v>Abram Sandhu</v>
      </c>
      <c r="M551" s="18" t="str">
        <f>_xlfn.XLOOKUP(tblMaster[[#This Row],[Customer_ID]],tblCustomers[Customer_ID],tblCustomers[Gender],"Not Found",0)</f>
        <v>Male</v>
      </c>
      <c r="N551" s="18" t="str">
        <f>_xlfn.XLOOKUP(tblMaster[[#This Row],[Product_ID]],tblProducts[Product_ID],tblProducts[Product_Name],"Not Found",0)</f>
        <v>In Set</v>
      </c>
      <c r="O551" s="18" t="str">
        <f>_xlfn.XLOOKUP(tblMaster[[#This Row],[Product_ID]],tblProducts[Product_ID],tblProducts[Category],"Not Found",0)</f>
        <v>Colors</v>
      </c>
      <c r="P551" s="18" t="str">
        <f>_xlfn.XLOOKUP(tblMaster[[#This Row],[Product_ID]],tblProducts[Product_ID],tblProducts[Occasion],"Not Found",0)</f>
        <v>Holi</v>
      </c>
      <c r="Q551" s="18">
        <f>_xlfn.XLOOKUP(tblMaster[[#This Row],[Product_ID]],tblProducts[Product_ID],tblProducts[Price (INR)],"Not Found",0)</f>
        <v>1252</v>
      </c>
      <c r="R551" s="19">
        <f>tblMaster[[#This Row],[Price]]*tblMaster[[#This Row],[Quantity]]</f>
        <v>6260</v>
      </c>
      <c r="S551" s="19">
        <f>tblMaster[[#This Row],[Price]]*0.7*tblMaster[[#This Row],[Quantity]]</f>
        <v>4382</v>
      </c>
      <c r="T551" s="19">
        <f>tblMaster[[#This Row],[Revenue]]-tblMaster[[#This Row],[Estimated Cost (at 70%) ]]</f>
        <v>1878</v>
      </c>
      <c r="U551" s="19">
        <f>tblMaster[[#This Row],[Profit]]/tblMaster[[#This Row],[Revenue]]</f>
        <v>0.3</v>
      </c>
      <c r="V551" s="19">
        <f>tblMaster[[#This Row],[Delivery_Date]]-tblMaster[[#This Row],[Order_Date]]</f>
        <v>6</v>
      </c>
      <c r="W551" s="19" t="str">
        <f>TEXT(tblMaster[[#This Row],[Order_Date]],"mmmm")</f>
        <v>February</v>
      </c>
      <c r="X551" s="19">
        <f>MONTH(tblMaster[[#This Row],[Order_Date]])</f>
        <v>2</v>
      </c>
      <c r="Y551" s="19" t="str">
        <f>"Q"&amp;ROUNDUP(tblMaster[[#This Row],[Month Number]]/3,0)</f>
        <v>Q1</v>
      </c>
      <c r="Z551" s="19">
        <f>YEAR(tblMaster[[#This Row],[Order_Date]])</f>
        <v>2023</v>
      </c>
      <c r="AA551" s="19" t="str">
        <f>TEXT(DAY(tblMaster[[#This Row],[Order_Date]]),"dddd")</f>
        <v>Friday</v>
      </c>
      <c r="AB551" s="19" t="str">
        <f>IF(tblMaster[[#This Row],[Revenue]]&gt;=5000,"High",IF(tblMaster[[#This Row],[Revenue]]&lt;2000,"Low","Medium"))</f>
        <v>High</v>
      </c>
    </row>
    <row r="552" spans="1:28" x14ac:dyDescent="0.25">
      <c r="A552" s="7">
        <v>551</v>
      </c>
      <c r="B552" s="7" t="s">
        <v>215</v>
      </c>
      <c r="C552" s="4">
        <v>67</v>
      </c>
      <c r="D552" s="4">
        <v>1</v>
      </c>
      <c r="E552" s="8">
        <v>45035</v>
      </c>
      <c r="F552" s="9">
        <v>0.86368055555555556</v>
      </c>
      <c r="G552" s="8">
        <v>45039</v>
      </c>
      <c r="H552" s="9">
        <v>0.64240740740740743</v>
      </c>
      <c r="I552" s="7" t="s">
        <v>502</v>
      </c>
      <c r="J552" s="7" t="s">
        <v>30</v>
      </c>
      <c r="K552" s="18" t="str">
        <f>_xlfn.XLOOKUP(tblMaster[[#This Row],[Customer_ID]],tblCustomers[Customer_ID],tblCustomers[City],"Not Found",0)</f>
        <v xml:space="preserve">Khora </v>
      </c>
      <c r="L552" s="18" t="str">
        <f>_xlfn.XLOOKUP(tblMaster[[#This Row],[Customer_ID]],tblCustomers[Customer_ID],tblCustomers[Name],"Not Found",0)</f>
        <v>Shalv Kulkarni</v>
      </c>
      <c r="M552" s="18" t="str">
        <f>_xlfn.XLOOKUP(tblMaster[[#This Row],[Customer_ID]],tblCustomers[Customer_ID],tblCustomers[Gender],"Not Found",0)</f>
        <v>Female</v>
      </c>
      <c r="N552" s="18" t="str">
        <f>_xlfn.XLOOKUP(tblMaster[[#This Row],[Product_ID]],tblProducts[Product_ID],tblProducts[Product_Name],"Not Found",0)</f>
        <v>Maiores Box</v>
      </c>
      <c r="O552" s="18" t="str">
        <f>_xlfn.XLOOKUP(tblMaster[[#This Row],[Product_ID]],tblProducts[Product_ID],tblProducts[Category],"Not Found",0)</f>
        <v>Raksha Bandhan</v>
      </c>
      <c r="P552" s="18" t="str">
        <f>_xlfn.XLOOKUP(tblMaster[[#This Row],[Product_ID]],tblProducts[Product_ID],tblProducts[Occasion],"Not Found",0)</f>
        <v>Anniversary</v>
      </c>
      <c r="Q552" s="18">
        <f>_xlfn.XLOOKUP(tblMaster[[#This Row],[Product_ID]],tblProducts[Product_ID],tblProducts[Price (INR)],"Not Found",0)</f>
        <v>1374</v>
      </c>
      <c r="R552" s="19">
        <f>tblMaster[[#This Row],[Price]]*tblMaster[[#This Row],[Quantity]]</f>
        <v>1374</v>
      </c>
      <c r="S552" s="19">
        <f>tblMaster[[#This Row],[Price]]*0.7*tblMaster[[#This Row],[Quantity]]</f>
        <v>961.8</v>
      </c>
      <c r="T552" s="19">
        <f>tblMaster[[#This Row],[Revenue]]-tblMaster[[#This Row],[Estimated Cost (at 70%) ]]</f>
        <v>412.20000000000005</v>
      </c>
      <c r="U552" s="19">
        <f>tblMaster[[#This Row],[Profit]]/tblMaster[[#This Row],[Revenue]]</f>
        <v>0.30000000000000004</v>
      </c>
      <c r="V552" s="19">
        <f>tblMaster[[#This Row],[Delivery_Date]]-tblMaster[[#This Row],[Order_Date]]</f>
        <v>4</v>
      </c>
      <c r="W552" s="19" t="str">
        <f>TEXT(tblMaster[[#This Row],[Order_Date]],"mmmm")</f>
        <v>April</v>
      </c>
      <c r="X552" s="19">
        <f>MONTH(tblMaster[[#This Row],[Order_Date]])</f>
        <v>4</v>
      </c>
      <c r="Y552" s="19" t="str">
        <f>"Q"&amp;ROUNDUP(tblMaster[[#This Row],[Month Number]]/3,0)</f>
        <v>Q2</v>
      </c>
      <c r="Z552" s="19">
        <f>YEAR(tblMaster[[#This Row],[Order_Date]])</f>
        <v>2023</v>
      </c>
      <c r="AA552" s="19" t="str">
        <f>TEXT(DAY(tblMaster[[#This Row],[Order_Date]]),"dddd")</f>
        <v>Thursday</v>
      </c>
      <c r="AB552" s="19" t="str">
        <f>IF(tblMaster[[#This Row],[Revenue]]&gt;=5000,"High",IF(tblMaster[[#This Row],[Revenue]]&lt;2000,"Low","Medium"))</f>
        <v>Low</v>
      </c>
    </row>
    <row r="553" spans="1:28" x14ac:dyDescent="0.25">
      <c r="A553" s="10">
        <v>552</v>
      </c>
      <c r="B553" s="10" t="s">
        <v>216</v>
      </c>
      <c r="C553" s="5">
        <v>31</v>
      </c>
      <c r="D553" s="5">
        <v>3</v>
      </c>
      <c r="E553" s="11">
        <v>45056</v>
      </c>
      <c r="F553" s="12">
        <v>0.7913310185185185</v>
      </c>
      <c r="G553" s="11">
        <v>45057</v>
      </c>
      <c r="H553" s="12">
        <v>0.71466435185185184</v>
      </c>
      <c r="I553" s="10" t="s">
        <v>457</v>
      </c>
      <c r="J553" s="10" t="s">
        <v>8</v>
      </c>
      <c r="K553" s="18" t="str">
        <f>_xlfn.XLOOKUP(tblMaster[[#This Row],[Customer_ID]],tblCustomers[Customer_ID],tblCustomers[City],"Not Found",0)</f>
        <v>Srikakulam</v>
      </c>
      <c r="L553" s="18" t="str">
        <f>_xlfn.XLOOKUP(tblMaster[[#This Row],[Customer_ID]],tblCustomers[Customer_ID],tblCustomers[Name],"Not Found",0)</f>
        <v>Indrajit Kale</v>
      </c>
      <c r="M553" s="18" t="str">
        <f>_xlfn.XLOOKUP(tblMaster[[#This Row],[Customer_ID]],tblCustomers[Customer_ID],tblCustomers[Gender],"Not Found",0)</f>
        <v>Male</v>
      </c>
      <c r="N553" s="18" t="str">
        <f>_xlfn.XLOOKUP(tblMaster[[#This Row],[Product_ID]],tblProducts[Product_ID],tblProducts[Product_Name],"Not Found",0)</f>
        <v>Nihil Box</v>
      </c>
      <c r="O553" s="18" t="str">
        <f>_xlfn.XLOOKUP(tblMaster[[#This Row],[Product_ID]],tblProducts[Product_ID],tblProducts[Category],"Not Found",0)</f>
        <v>Colors</v>
      </c>
      <c r="P553" s="18" t="str">
        <f>_xlfn.XLOOKUP(tblMaster[[#This Row],[Product_ID]],tblProducts[Product_ID],tblProducts[Occasion],"Not Found",0)</f>
        <v>All Occasions</v>
      </c>
      <c r="Q553" s="18">
        <f>_xlfn.XLOOKUP(tblMaster[[#This Row],[Product_ID]],tblProducts[Product_ID],tblProducts[Price (INR)],"Not Found",0)</f>
        <v>1804</v>
      </c>
      <c r="R553" s="19">
        <f>tblMaster[[#This Row],[Price]]*tblMaster[[#This Row],[Quantity]]</f>
        <v>5412</v>
      </c>
      <c r="S553" s="19">
        <f>tblMaster[[#This Row],[Price]]*0.7*tblMaster[[#This Row],[Quantity]]</f>
        <v>3788.3999999999996</v>
      </c>
      <c r="T553" s="19">
        <f>tblMaster[[#This Row],[Revenue]]-tblMaster[[#This Row],[Estimated Cost (at 70%) ]]</f>
        <v>1623.6000000000004</v>
      </c>
      <c r="U553" s="19">
        <f>tblMaster[[#This Row],[Profit]]/tblMaster[[#This Row],[Revenue]]</f>
        <v>0.30000000000000004</v>
      </c>
      <c r="V553" s="19">
        <f>tblMaster[[#This Row],[Delivery_Date]]-tblMaster[[#This Row],[Order_Date]]</f>
        <v>1</v>
      </c>
      <c r="W553" s="19" t="str">
        <f>TEXT(tblMaster[[#This Row],[Order_Date]],"mmmm")</f>
        <v>May</v>
      </c>
      <c r="X553" s="19">
        <f>MONTH(tblMaster[[#This Row],[Order_Date]])</f>
        <v>5</v>
      </c>
      <c r="Y553" s="19" t="str">
        <f>"Q"&amp;ROUNDUP(tblMaster[[#This Row],[Month Number]]/3,0)</f>
        <v>Q2</v>
      </c>
      <c r="Z553" s="19">
        <f>YEAR(tblMaster[[#This Row],[Order_Date]])</f>
        <v>2023</v>
      </c>
      <c r="AA553" s="19" t="str">
        <f>TEXT(DAY(tblMaster[[#This Row],[Order_Date]]),"dddd")</f>
        <v>Tuesday</v>
      </c>
      <c r="AB553" s="19" t="str">
        <f>IF(tblMaster[[#This Row],[Revenue]]&gt;=5000,"High",IF(tblMaster[[#This Row],[Revenue]]&lt;2000,"Low","Medium"))</f>
        <v>High</v>
      </c>
    </row>
    <row r="554" spans="1:28" x14ac:dyDescent="0.25">
      <c r="A554" s="7">
        <v>553</v>
      </c>
      <c r="B554" s="7" t="s">
        <v>364</v>
      </c>
      <c r="C554" s="4">
        <v>39</v>
      </c>
      <c r="D554" s="4">
        <v>2</v>
      </c>
      <c r="E554" s="8">
        <v>45160</v>
      </c>
      <c r="F554" s="9">
        <v>5.7418981481481481E-2</v>
      </c>
      <c r="G554" s="8">
        <v>45164</v>
      </c>
      <c r="H554" s="9">
        <v>0.32184027777777779</v>
      </c>
      <c r="I554" s="7" t="s">
        <v>439</v>
      </c>
      <c r="J554" s="7" t="s">
        <v>8</v>
      </c>
      <c r="K554" s="18" t="str">
        <f>_xlfn.XLOOKUP(tblMaster[[#This Row],[Customer_ID]],tblCustomers[Customer_ID],tblCustomers[City],"Not Found",0)</f>
        <v>Tiruchirappalli</v>
      </c>
      <c r="L554" s="18" t="str">
        <f>_xlfn.XLOOKUP(tblMaster[[#This Row],[Customer_ID]],tblCustomers[Customer_ID],tblCustomers[Name],"Not Found",0)</f>
        <v>Anahita Shankar</v>
      </c>
      <c r="M554" s="18" t="str">
        <f>_xlfn.XLOOKUP(tblMaster[[#This Row],[Customer_ID]],tblCustomers[Customer_ID],tblCustomers[Gender],"Not Found",0)</f>
        <v>Male</v>
      </c>
      <c r="N554" s="18" t="str">
        <f>_xlfn.XLOOKUP(tblMaster[[#This Row],[Product_ID]],tblProducts[Product_ID],tblProducts[Product_Name],"Not Found",0)</f>
        <v>Voluptate Set</v>
      </c>
      <c r="O554" s="18" t="str">
        <f>_xlfn.XLOOKUP(tblMaster[[#This Row],[Product_ID]],tblProducts[Product_ID],tblProducts[Category],"Not Found",0)</f>
        <v>Mugs</v>
      </c>
      <c r="P554" s="18" t="str">
        <f>_xlfn.XLOOKUP(tblMaster[[#This Row],[Product_ID]],tblProducts[Product_ID],tblProducts[Occasion],"Not Found",0)</f>
        <v>All Occasions</v>
      </c>
      <c r="Q554" s="18">
        <f>_xlfn.XLOOKUP(tblMaster[[#This Row],[Product_ID]],tblProducts[Product_ID],tblProducts[Price (INR)],"Not Found",0)</f>
        <v>387</v>
      </c>
      <c r="R554" s="19">
        <f>tblMaster[[#This Row],[Price]]*tblMaster[[#This Row],[Quantity]]</f>
        <v>774</v>
      </c>
      <c r="S554" s="19">
        <f>tblMaster[[#This Row],[Price]]*0.7*tblMaster[[#This Row],[Quantity]]</f>
        <v>541.79999999999995</v>
      </c>
      <c r="T554" s="19">
        <f>tblMaster[[#This Row],[Revenue]]-tblMaster[[#This Row],[Estimated Cost (at 70%) ]]</f>
        <v>232.20000000000005</v>
      </c>
      <c r="U554" s="19">
        <f>tblMaster[[#This Row],[Profit]]/tblMaster[[#This Row],[Revenue]]</f>
        <v>0.30000000000000004</v>
      </c>
      <c r="V554" s="19">
        <f>tblMaster[[#This Row],[Delivery_Date]]-tblMaster[[#This Row],[Order_Date]]</f>
        <v>4</v>
      </c>
      <c r="W554" s="19" t="str">
        <f>TEXT(tblMaster[[#This Row],[Order_Date]],"mmmm")</f>
        <v>August</v>
      </c>
      <c r="X554" s="19">
        <f>MONTH(tblMaster[[#This Row],[Order_Date]])</f>
        <v>8</v>
      </c>
      <c r="Y554" s="19" t="str">
        <f>"Q"&amp;ROUNDUP(tblMaster[[#This Row],[Month Number]]/3,0)</f>
        <v>Q3</v>
      </c>
      <c r="Z554" s="19">
        <f>YEAR(tblMaster[[#This Row],[Order_Date]])</f>
        <v>2023</v>
      </c>
      <c r="AA554" s="19" t="str">
        <f>TEXT(DAY(tblMaster[[#This Row],[Order_Date]]),"dddd")</f>
        <v>Sunday</v>
      </c>
      <c r="AB554" s="19" t="str">
        <f>IF(tblMaster[[#This Row],[Revenue]]&gt;=5000,"High",IF(tblMaster[[#This Row],[Revenue]]&lt;2000,"Low","Medium"))</f>
        <v>Low</v>
      </c>
    </row>
    <row r="555" spans="1:28" x14ac:dyDescent="0.25">
      <c r="A555" s="10">
        <v>554</v>
      </c>
      <c r="B555" s="10" t="s">
        <v>254</v>
      </c>
      <c r="C555" s="5">
        <v>29</v>
      </c>
      <c r="D555" s="5">
        <v>4</v>
      </c>
      <c r="E555" s="11">
        <v>44985</v>
      </c>
      <c r="F555" s="12">
        <v>0.85077546296296291</v>
      </c>
      <c r="G555" s="11">
        <v>44988</v>
      </c>
      <c r="H555" s="12">
        <v>0.70070601851851855</v>
      </c>
      <c r="I555" s="10" t="s">
        <v>528</v>
      </c>
      <c r="J555" s="10" t="s">
        <v>25</v>
      </c>
      <c r="K555" s="18" t="str">
        <f>_xlfn.XLOOKUP(tblMaster[[#This Row],[Customer_ID]],tblCustomers[Customer_ID],tblCustomers[City],"Not Found",0)</f>
        <v>Maheshtala</v>
      </c>
      <c r="L555" s="18" t="str">
        <f>_xlfn.XLOOKUP(tblMaster[[#This Row],[Customer_ID]],tblCustomers[Customer_ID],tblCustomers[Name],"Not Found",0)</f>
        <v>Divit Mahajan</v>
      </c>
      <c r="M555" s="18" t="str">
        <f>_xlfn.XLOOKUP(tblMaster[[#This Row],[Customer_ID]],tblCustomers[Customer_ID],tblCustomers[Gender],"Not Found",0)</f>
        <v>Female</v>
      </c>
      <c r="N555" s="18" t="str">
        <f>_xlfn.XLOOKUP(tblMaster[[#This Row],[Product_ID]],tblProducts[Product_ID],tblProducts[Product_Name],"Not Found",0)</f>
        <v>In Set</v>
      </c>
      <c r="O555" s="18" t="str">
        <f>_xlfn.XLOOKUP(tblMaster[[#This Row],[Product_ID]],tblProducts[Product_ID],tblProducts[Category],"Not Found",0)</f>
        <v>Colors</v>
      </c>
      <c r="P555" s="18" t="str">
        <f>_xlfn.XLOOKUP(tblMaster[[#This Row],[Product_ID]],tblProducts[Product_ID],tblProducts[Occasion],"Not Found",0)</f>
        <v>Holi</v>
      </c>
      <c r="Q555" s="18">
        <f>_xlfn.XLOOKUP(tblMaster[[#This Row],[Product_ID]],tblProducts[Product_ID],tblProducts[Price (INR)],"Not Found",0)</f>
        <v>1252</v>
      </c>
      <c r="R555" s="19">
        <f>tblMaster[[#This Row],[Price]]*tblMaster[[#This Row],[Quantity]]</f>
        <v>5008</v>
      </c>
      <c r="S555" s="19">
        <f>tblMaster[[#This Row],[Price]]*0.7*tblMaster[[#This Row],[Quantity]]</f>
        <v>3505.6</v>
      </c>
      <c r="T555" s="19">
        <f>tblMaster[[#This Row],[Revenue]]-tblMaster[[#This Row],[Estimated Cost (at 70%) ]]</f>
        <v>1502.4</v>
      </c>
      <c r="U555" s="19">
        <f>tblMaster[[#This Row],[Profit]]/tblMaster[[#This Row],[Revenue]]</f>
        <v>0.30000000000000004</v>
      </c>
      <c r="V555" s="19">
        <f>tblMaster[[#This Row],[Delivery_Date]]-tblMaster[[#This Row],[Order_Date]]</f>
        <v>3</v>
      </c>
      <c r="W555" s="19" t="str">
        <f>TEXT(tblMaster[[#This Row],[Order_Date]],"mmmm")</f>
        <v>February</v>
      </c>
      <c r="X555" s="19">
        <f>MONTH(tblMaster[[#This Row],[Order_Date]])</f>
        <v>2</v>
      </c>
      <c r="Y555" s="19" t="str">
        <f>"Q"&amp;ROUNDUP(tblMaster[[#This Row],[Month Number]]/3,0)</f>
        <v>Q1</v>
      </c>
      <c r="Z555" s="19">
        <f>YEAR(tblMaster[[#This Row],[Order_Date]])</f>
        <v>2023</v>
      </c>
      <c r="AA555" s="19" t="str">
        <f>TEXT(DAY(tblMaster[[#This Row],[Order_Date]]),"dddd")</f>
        <v>Saturday</v>
      </c>
      <c r="AB555" s="19" t="str">
        <f>IF(tblMaster[[#This Row],[Revenue]]&gt;=5000,"High",IF(tblMaster[[#This Row],[Revenue]]&lt;2000,"Low","Medium"))</f>
        <v>High</v>
      </c>
    </row>
    <row r="556" spans="1:28" x14ac:dyDescent="0.25">
      <c r="A556" s="7">
        <v>555</v>
      </c>
      <c r="B556" s="7" t="s">
        <v>304</v>
      </c>
      <c r="C556" s="4">
        <v>56</v>
      </c>
      <c r="D556" s="4">
        <v>4</v>
      </c>
      <c r="E556" s="8">
        <v>45105</v>
      </c>
      <c r="F556" s="9">
        <v>0.50396990740740744</v>
      </c>
      <c r="G556" s="8">
        <v>45107</v>
      </c>
      <c r="H556" s="9">
        <v>0.74875000000000003</v>
      </c>
      <c r="I556" s="7" t="s">
        <v>256</v>
      </c>
      <c r="J556" s="7" t="s">
        <v>30</v>
      </c>
      <c r="K556" s="18" t="str">
        <f>_xlfn.XLOOKUP(tblMaster[[#This Row],[Customer_ID]],tblCustomers[Customer_ID],tblCustomers[City],"Not Found",0)</f>
        <v>Phagwara</v>
      </c>
      <c r="L556" s="18" t="str">
        <f>_xlfn.XLOOKUP(tblMaster[[#This Row],[Customer_ID]],tblCustomers[Customer_ID],tblCustomers[Name],"Not Found",0)</f>
        <v>Pranay Chaudhary</v>
      </c>
      <c r="M556" s="18" t="str">
        <f>_xlfn.XLOOKUP(tblMaster[[#This Row],[Customer_ID]],tblCustomers[Customer_ID],tblCustomers[Gender],"Not Found",0)</f>
        <v>Female</v>
      </c>
      <c r="N556" s="18" t="str">
        <f>_xlfn.XLOOKUP(tblMaster[[#This Row],[Product_ID]],tblProducts[Product_ID],tblProducts[Product_Name],"Not Found",0)</f>
        <v>Quia Gift</v>
      </c>
      <c r="O556" s="18" t="str">
        <f>_xlfn.XLOOKUP(tblMaster[[#This Row],[Product_ID]],tblProducts[Product_ID],tblProducts[Category],"Not Found",0)</f>
        <v>Raksha Bandhan</v>
      </c>
      <c r="P556" s="18" t="str">
        <f>_xlfn.XLOOKUP(tblMaster[[#This Row],[Product_ID]],tblProducts[Product_ID],tblProducts[Occasion],"Not Found",0)</f>
        <v>Anniversary</v>
      </c>
      <c r="Q556" s="18">
        <f>_xlfn.XLOOKUP(tblMaster[[#This Row],[Product_ID]],tblProducts[Product_ID],tblProducts[Price (INR)],"Not Found",0)</f>
        <v>1272</v>
      </c>
      <c r="R556" s="19">
        <f>tblMaster[[#This Row],[Price]]*tblMaster[[#This Row],[Quantity]]</f>
        <v>5088</v>
      </c>
      <c r="S556" s="19">
        <f>tblMaster[[#This Row],[Price]]*0.7*tblMaster[[#This Row],[Quantity]]</f>
        <v>3561.6</v>
      </c>
      <c r="T556" s="19">
        <f>tblMaster[[#This Row],[Revenue]]-tblMaster[[#This Row],[Estimated Cost (at 70%) ]]</f>
        <v>1526.4</v>
      </c>
      <c r="U556" s="19">
        <f>tblMaster[[#This Row],[Profit]]/tblMaster[[#This Row],[Revenue]]</f>
        <v>0.30000000000000004</v>
      </c>
      <c r="V556" s="19">
        <f>tblMaster[[#This Row],[Delivery_Date]]-tblMaster[[#This Row],[Order_Date]]</f>
        <v>2</v>
      </c>
      <c r="W556" s="19" t="str">
        <f>TEXT(tblMaster[[#This Row],[Order_Date]],"mmmm")</f>
        <v>June</v>
      </c>
      <c r="X556" s="19">
        <f>MONTH(tblMaster[[#This Row],[Order_Date]])</f>
        <v>6</v>
      </c>
      <c r="Y556" s="19" t="str">
        <f>"Q"&amp;ROUNDUP(tblMaster[[#This Row],[Month Number]]/3,0)</f>
        <v>Q2</v>
      </c>
      <c r="Z556" s="19">
        <f>YEAR(tblMaster[[#This Row],[Order_Date]])</f>
        <v>2023</v>
      </c>
      <c r="AA556" s="19" t="str">
        <f>TEXT(DAY(tblMaster[[#This Row],[Order_Date]]),"dddd")</f>
        <v>Saturday</v>
      </c>
      <c r="AB556" s="19" t="str">
        <f>IF(tblMaster[[#This Row],[Revenue]]&gt;=5000,"High",IF(tblMaster[[#This Row],[Revenue]]&lt;2000,"Low","Medium"))</f>
        <v>High</v>
      </c>
    </row>
    <row r="557" spans="1:28" x14ac:dyDescent="0.25">
      <c r="A557" s="10">
        <v>556</v>
      </c>
      <c r="B557" s="10" t="s">
        <v>471</v>
      </c>
      <c r="C557" s="5">
        <v>17</v>
      </c>
      <c r="D557" s="5">
        <v>1</v>
      </c>
      <c r="E557" s="11">
        <v>45273</v>
      </c>
      <c r="F557" s="12">
        <v>0.64886574074074077</v>
      </c>
      <c r="G557" s="11">
        <v>45281</v>
      </c>
      <c r="H557" s="12">
        <v>0.6595833333333333</v>
      </c>
      <c r="I557" s="10" t="s">
        <v>529</v>
      </c>
      <c r="J557" s="10" t="s">
        <v>30</v>
      </c>
      <c r="K557" s="18" t="str">
        <f>_xlfn.XLOOKUP(tblMaster[[#This Row],[Customer_ID]],tblCustomers[Customer_ID],tblCustomers[City],"Not Found",0)</f>
        <v>Parbhani</v>
      </c>
      <c r="L557" s="18" t="str">
        <f>_xlfn.XLOOKUP(tblMaster[[#This Row],[Customer_ID]],tblCustomers[Customer_ID],tblCustomers[Name],"Not Found",0)</f>
        <v>Zeeshan Tailor</v>
      </c>
      <c r="M557" s="18" t="str">
        <f>_xlfn.XLOOKUP(tblMaster[[#This Row],[Customer_ID]],tblCustomers[Customer_ID],tblCustomers[Gender],"Not Found",0)</f>
        <v>Male</v>
      </c>
      <c r="N557" s="18" t="str">
        <f>_xlfn.XLOOKUP(tblMaster[[#This Row],[Product_ID]],tblProducts[Product_ID],tblProducts[Product_Name],"Not Found",0)</f>
        <v>Delectus Gift</v>
      </c>
      <c r="O557" s="18" t="str">
        <f>_xlfn.XLOOKUP(tblMaster[[#This Row],[Product_ID]],tblProducts[Product_ID],tblProducts[Category],"Not Found",0)</f>
        <v>Soft Toys</v>
      </c>
      <c r="P557" s="18" t="str">
        <f>_xlfn.XLOOKUP(tblMaster[[#This Row],[Product_ID]],tblProducts[Product_ID],tblProducts[Occasion],"Not Found",0)</f>
        <v>Anniversary</v>
      </c>
      <c r="Q557" s="18">
        <f>_xlfn.XLOOKUP(tblMaster[[#This Row],[Product_ID]],tblProducts[Product_ID],tblProducts[Price (INR)],"Not Found",0)</f>
        <v>1899</v>
      </c>
      <c r="R557" s="19">
        <f>tblMaster[[#This Row],[Price]]*tblMaster[[#This Row],[Quantity]]</f>
        <v>1899</v>
      </c>
      <c r="S557" s="19">
        <f>tblMaster[[#This Row],[Price]]*0.7*tblMaster[[#This Row],[Quantity]]</f>
        <v>1329.3</v>
      </c>
      <c r="T557" s="19">
        <f>tblMaster[[#This Row],[Revenue]]-tblMaster[[#This Row],[Estimated Cost (at 70%) ]]</f>
        <v>569.70000000000005</v>
      </c>
      <c r="U557" s="19">
        <f>tblMaster[[#This Row],[Profit]]/tblMaster[[#This Row],[Revenue]]</f>
        <v>0.30000000000000004</v>
      </c>
      <c r="V557" s="19">
        <f>tblMaster[[#This Row],[Delivery_Date]]-tblMaster[[#This Row],[Order_Date]]</f>
        <v>8</v>
      </c>
      <c r="W557" s="19" t="str">
        <f>TEXT(tblMaster[[#This Row],[Order_Date]],"mmmm")</f>
        <v>December</v>
      </c>
      <c r="X557" s="19">
        <f>MONTH(tblMaster[[#This Row],[Order_Date]])</f>
        <v>12</v>
      </c>
      <c r="Y557" s="19" t="str">
        <f>"Q"&amp;ROUNDUP(tblMaster[[#This Row],[Month Number]]/3,0)</f>
        <v>Q4</v>
      </c>
      <c r="Z557" s="19">
        <f>YEAR(tblMaster[[#This Row],[Order_Date]])</f>
        <v>2023</v>
      </c>
      <c r="AA557" s="19" t="str">
        <f>TEXT(DAY(tblMaster[[#This Row],[Order_Date]]),"dddd")</f>
        <v>Friday</v>
      </c>
      <c r="AB557" s="19" t="str">
        <f>IF(tblMaster[[#This Row],[Revenue]]&gt;=5000,"High",IF(tblMaster[[#This Row],[Revenue]]&lt;2000,"Low","Medium"))</f>
        <v>Low</v>
      </c>
    </row>
    <row r="558" spans="1:28" x14ac:dyDescent="0.25">
      <c r="A558" s="7">
        <v>557</v>
      </c>
      <c r="B558" s="7" t="s">
        <v>308</v>
      </c>
      <c r="C558" s="4">
        <v>47</v>
      </c>
      <c r="D558" s="4">
        <v>3</v>
      </c>
      <c r="E558" s="8">
        <v>44986</v>
      </c>
      <c r="F558" s="9">
        <v>0.1254861111111111</v>
      </c>
      <c r="G558" s="8">
        <v>44993</v>
      </c>
      <c r="H558" s="9">
        <v>9.0729166666666666E-2</v>
      </c>
      <c r="I558" s="7" t="s">
        <v>482</v>
      </c>
      <c r="J558" s="7" t="s">
        <v>25</v>
      </c>
      <c r="K558" s="18" t="str">
        <f>_xlfn.XLOOKUP(tblMaster[[#This Row],[Customer_ID]],tblCustomers[Customer_ID],tblCustomers[City],"Not Found",0)</f>
        <v>Kamarhati</v>
      </c>
      <c r="L558" s="18" t="str">
        <f>_xlfn.XLOOKUP(tblMaster[[#This Row],[Customer_ID]],tblCustomers[Customer_ID],tblCustomers[Name],"Not Found",0)</f>
        <v>Kaira Bahl</v>
      </c>
      <c r="M558" s="18" t="str">
        <f>_xlfn.XLOOKUP(tblMaster[[#This Row],[Customer_ID]],tblCustomers[Customer_ID],tblCustomers[Gender],"Not Found",0)</f>
        <v>Male</v>
      </c>
      <c r="N558" s="18" t="str">
        <f>_xlfn.XLOOKUP(tblMaster[[#This Row],[Product_ID]],tblProducts[Product_ID],tblProducts[Product_Name],"Not Found",0)</f>
        <v>Harum Pack</v>
      </c>
      <c r="O558" s="18" t="str">
        <f>_xlfn.XLOOKUP(tblMaster[[#This Row],[Product_ID]],tblProducts[Product_ID],tblProducts[Category],"Not Found",0)</f>
        <v>Colors</v>
      </c>
      <c r="P558" s="18" t="str">
        <f>_xlfn.XLOOKUP(tblMaster[[#This Row],[Product_ID]],tblProducts[Product_ID],tblProducts[Occasion],"Not Found",0)</f>
        <v>Holi</v>
      </c>
      <c r="Q558" s="18">
        <f>_xlfn.XLOOKUP(tblMaster[[#This Row],[Product_ID]],tblProducts[Product_ID],tblProducts[Price (INR)],"Not Found",0)</f>
        <v>1638</v>
      </c>
      <c r="R558" s="19">
        <f>tblMaster[[#This Row],[Price]]*tblMaster[[#This Row],[Quantity]]</f>
        <v>4914</v>
      </c>
      <c r="S558" s="19">
        <f>tblMaster[[#This Row],[Price]]*0.7*tblMaster[[#This Row],[Quantity]]</f>
        <v>3439.7999999999997</v>
      </c>
      <c r="T558" s="19">
        <f>tblMaster[[#This Row],[Revenue]]-tblMaster[[#This Row],[Estimated Cost (at 70%) ]]</f>
        <v>1474.2000000000003</v>
      </c>
      <c r="U558" s="19">
        <f>tblMaster[[#This Row],[Profit]]/tblMaster[[#This Row],[Revenue]]</f>
        <v>0.30000000000000004</v>
      </c>
      <c r="V558" s="19">
        <f>tblMaster[[#This Row],[Delivery_Date]]-tblMaster[[#This Row],[Order_Date]]</f>
        <v>7</v>
      </c>
      <c r="W558" s="19" t="str">
        <f>TEXT(tblMaster[[#This Row],[Order_Date]],"mmmm")</f>
        <v>March</v>
      </c>
      <c r="X558" s="19">
        <f>MONTH(tblMaster[[#This Row],[Order_Date]])</f>
        <v>3</v>
      </c>
      <c r="Y558" s="19" t="str">
        <f>"Q"&amp;ROUNDUP(tblMaster[[#This Row],[Month Number]]/3,0)</f>
        <v>Q1</v>
      </c>
      <c r="Z558" s="19">
        <f>YEAR(tblMaster[[#This Row],[Order_Date]])</f>
        <v>2023</v>
      </c>
      <c r="AA558" s="19" t="str">
        <f>TEXT(DAY(tblMaster[[#This Row],[Order_Date]]),"dddd")</f>
        <v>Sunday</v>
      </c>
      <c r="AB558" s="19" t="str">
        <f>IF(tblMaster[[#This Row],[Revenue]]&gt;=5000,"High",IF(tblMaster[[#This Row],[Revenue]]&lt;2000,"Low","Medium"))</f>
        <v>Medium</v>
      </c>
    </row>
    <row r="559" spans="1:28" x14ac:dyDescent="0.25">
      <c r="A559" s="10">
        <v>558</v>
      </c>
      <c r="B559" s="10" t="s">
        <v>210</v>
      </c>
      <c r="C559" s="5">
        <v>64</v>
      </c>
      <c r="D559" s="5">
        <v>3</v>
      </c>
      <c r="E559" s="11">
        <v>45160</v>
      </c>
      <c r="F559" s="12">
        <v>2.9837962962962962E-2</v>
      </c>
      <c r="G559" s="11">
        <v>45163</v>
      </c>
      <c r="H559" s="12">
        <v>1.726851851851852E-2</v>
      </c>
      <c r="I559" s="10" t="s">
        <v>451</v>
      </c>
      <c r="J559" s="10" t="s">
        <v>33</v>
      </c>
      <c r="K559" s="18" t="str">
        <f>_xlfn.XLOOKUP(tblMaster[[#This Row],[Customer_ID]],tblCustomers[Customer_ID],tblCustomers[City],"Not Found",0)</f>
        <v>New Delhi</v>
      </c>
      <c r="L559" s="18" t="str">
        <f>_xlfn.XLOOKUP(tblMaster[[#This Row],[Customer_ID]],tblCustomers[Customer_ID],tblCustomers[Name],"Not Found",0)</f>
        <v>Adira Rajan</v>
      </c>
      <c r="M559" s="18" t="str">
        <f>_xlfn.XLOOKUP(tblMaster[[#This Row],[Customer_ID]],tblCustomers[Customer_ID],tblCustomers[Gender],"Not Found",0)</f>
        <v>Female</v>
      </c>
      <c r="N559" s="18" t="str">
        <f>_xlfn.XLOOKUP(tblMaster[[#This Row],[Product_ID]],tblProducts[Product_ID],tblProducts[Product_Name],"Not Found",0)</f>
        <v>Nostrum Box</v>
      </c>
      <c r="O559" s="18" t="str">
        <f>_xlfn.XLOOKUP(tblMaster[[#This Row],[Product_ID]],tblProducts[Product_ID],tblProducts[Category],"Not Found",0)</f>
        <v>Soft Toys</v>
      </c>
      <c r="P559" s="18" t="str">
        <f>_xlfn.XLOOKUP(tblMaster[[#This Row],[Product_ID]],tblProducts[Product_ID],tblProducts[Occasion],"Not Found",0)</f>
        <v>Raksha Bandhan</v>
      </c>
      <c r="Q559" s="18">
        <f>_xlfn.XLOOKUP(tblMaster[[#This Row],[Product_ID]],tblProducts[Product_ID],tblProducts[Price (INR)],"Not Found",0)</f>
        <v>1878</v>
      </c>
      <c r="R559" s="19">
        <f>tblMaster[[#This Row],[Price]]*tblMaster[[#This Row],[Quantity]]</f>
        <v>5634</v>
      </c>
      <c r="S559" s="19">
        <f>tblMaster[[#This Row],[Price]]*0.7*tblMaster[[#This Row],[Quantity]]</f>
        <v>3943.7999999999997</v>
      </c>
      <c r="T559" s="19">
        <f>tblMaster[[#This Row],[Revenue]]-tblMaster[[#This Row],[Estimated Cost (at 70%) ]]</f>
        <v>1690.2000000000003</v>
      </c>
      <c r="U559" s="19">
        <f>tblMaster[[#This Row],[Profit]]/tblMaster[[#This Row],[Revenue]]</f>
        <v>0.30000000000000004</v>
      </c>
      <c r="V559" s="19">
        <f>tblMaster[[#This Row],[Delivery_Date]]-tblMaster[[#This Row],[Order_Date]]</f>
        <v>3</v>
      </c>
      <c r="W559" s="19" t="str">
        <f>TEXT(tblMaster[[#This Row],[Order_Date]],"mmmm")</f>
        <v>August</v>
      </c>
      <c r="X559" s="19">
        <f>MONTH(tblMaster[[#This Row],[Order_Date]])</f>
        <v>8</v>
      </c>
      <c r="Y559" s="19" t="str">
        <f>"Q"&amp;ROUNDUP(tblMaster[[#This Row],[Month Number]]/3,0)</f>
        <v>Q3</v>
      </c>
      <c r="Z559" s="19">
        <f>YEAR(tblMaster[[#This Row],[Order_Date]])</f>
        <v>2023</v>
      </c>
      <c r="AA559" s="19" t="str">
        <f>TEXT(DAY(tblMaster[[#This Row],[Order_Date]]),"dddd")</f>
        <v>Sunday</v>
      </c>
      <c r="AB559" s="19" t="str">
        <f>IF(tblMaster[[#This Row],[Revenue]]&gt;=5000,"High",IF(tblMaster[[#This Row],[Revenue]]&lt;2000,"Low","Medium"))</f>
        <v>High</v>
      </c>
    </row>
    <row r="560" spans="1:28" x14ac:dyDescent="0.25">
      <c r="A560" s="7">
        <v>559</v>
      </c>
      <c r="B560" s="7" t="s">
        <v>364</v>
      </c>
      <c r="C560" s="4">
        <v>45</v>
      </c>
      <c r="D560" s="4">
        <v>1</v>
      </c>
      <c r="E560" s="8">
        <v>45279</v>
      </c>
      <c r="F560" s="9">
        <v>0.69248842592592597</v>
      </c>
      <c r="G560" s="8">
        <v>45286</v>
      </c>
      <c r="H560" s="9">
        <v>0.7748032407407407</v>
      </c>
      <c r="I560" s="7" t="s">
        <v>530</v>
      </c>
      <c r="J560" s="7" t="s">
        <v>36</v>
      </c>
      <c r="K560" s="18" t="str">
        <f>_xlfn.XLOOKUP(tblMaster[[#This Row],[Customer_ID]],tblCustomers[Customer_ID],tblCustomers[City],"Not Found",0)</f>
        <v>Tiruchirappalli</v>
      </c>
      <c r="L560" s="18" t="str">
        <f>_xlfn.XLOOKUP(tblMaster[[#This Row],[Customer_ID]],tblCustomers[Customer_ID],tblCustomers[Name],"Not Found",0)</f>
        <v>Anahita Shankar</v>
      </c>
      <c r="M560" s="18" t="str">
        <f>_xlfn.XLOOKUP(tblMaster[[#This Row],[Customer_ID]],tblCustomers[Customer_ID],tblCustomers[Gender],"Not Found",0)</f>
        <v>Male</v>
      </c>
      <c r="N560" s="18" t="str">
        <f>_xlfn.XLOOKUP(tblMaster[[#This Row],[Product_ID]],tblProducts[Product_ID],tblProducts[Product_Name],"Not Found",0)</f>
        <v>Iusto Set</v>
      </c>
      <c r="O560" s="18" t="str">
        <f>_xlfn.XLOOKUP(tblMaster[[#This Row],[Product_ID]],tblProducts[Product_ID],tblProducts[Category],"Not Found",0)</f>
        <v>Raksha Bandhan</v>
      </c>
      <c r="P560" s="18" t="str">
        <f>_xlfn.XLOOKUP(tblMaster[[#This Row],[Product_ID]],tblProducts[Product_ID],tblProducts[Occasion],"Not Found",0)</f>
        <v>Birthday</v>
      </c>
      <c r="Q560" s="18">
        <f>_xlfn.XLOOKUP(tblMaster[[#This Row],[Product_ID]],tblProducts[Product_ID],tblProducts[Price (INR)],"Not Found",0)</f>
        <v>722</v>
      </c>
      <c r="R560" s="19">
        <f>tblMaster[[#This Row],[Price]]*tblMaster[[#This Row],[Quantity]]</f>
        <v>722</v>
      </c>
      <c r="S560" s="19">
        <f>tblMaster[[#This Row],[Price]]*0.7*tblMaster[[#This Row],[Quantity]]</f>
        <v>505.4</v>
      </c>
      <c r="T560" s="19">
        <f>tblMaster[[#This Row],[Revenue]]-tblMaster[[#This Row],[Estimated Cost (at 70%) ]]</f>
        <v>216.60000000000002</v>
      </c>
      <c r="U560" s="19">
        <f>tblMaster[[#This Row],[Profit]]/tblMaster[[#This Row],[Revenue]]</f>
        <v>0.30000000000000004</v>
      </c>
      <c r="V560" s="19">
        <f>tblMaster[[#This Row],[Delivery_Date]]-tblMaster[[#This Row],[Order_Date]]</f>
        <v>7</v>
      </c>
      <c r="W560" s="19" t="str">
        <f>TEXT(tblMaster[[#This Row],[Order_Date]],"mmmm")</f>
        <v>December</v>
      </c>
      <c r="X560" s="19">
        <f>MONTH(tblMaster[[#This Row],[Order_Date]])</f>
        <v>12</v>
      </c>
      <c r="Y560" s="19" t="str">
        <f>"Q"&amp;ROUNDUP(tblMaster[[#This Row],[Month Number]]/3,0)</f>
        <v>Q4</v>
      </c>
      <c r="Z560" s="19">
        <f>YEAR(tblMaster[[#This Row],[Order_Date]])</f>
        <v>2023</v>
      </c>
      <c r="AA560" s="19" t="str">
        <f>TEXT(DAY(tblMaster[[#This Row],[Order_Date]]),"dddd")</f>
        <v>Thursday</v>
      </c>
      <c r="AB560" s="19" t="str">
        <f>IF(tblMaster[[#This Row],[Revenue]]&gt;=5000,"High",IF(tblMaster[[#This Row],[Revenue]]&lt;2000,"Low","Medium"))</f>
        <v>Low</v>
      </c>
    </row>
    <row r="561" spans="1:28" x14ac:dyDescent="0.25">
      <c r="A561" s="10">
        <v>560</v>
      </c>
      <c r="B561" s="10" t="s">
        <v>168</v>
      </c>
      <c r="C561" s="5">
        <v>39</v>
      </c>
      <c r="D561" s="5">
        <v>2</v>
      </c>
      <c r="E561" s="11">
        <v>45142</v>
      </c>
      <c r="F561" s="12">
        <v>0.53634259259259254</v>
      </c>
      <c r="G561" s="11">
        <v>45147</v>
      </c>
      <c r="H561" s="12">
        <v>0.41033564814814816</v>
      </c>
      <c r="I561" s="10" t="s">
        <v>298</v>
      </c>
      <c r="J561" s="10" t="s">
        <v>8</v>
      </c>
      <c r="K561" s="18" t="str">
        <f>_xlfn.XLOOKUP(tblMaster[[#This Row],[Customer_ID]],tblCustomers[Customer_ID],tblCustomers[City],"Not Found",0)</f>
        <v>Danapur</v>
      </c>
      <c r="L561" s="18" t="str">
        <f>_xlfn.XLOOKUP(tblMaster[[#This Row],[Customer_ID]],tblCustomers[Customer_ID],tblCustomers[Name],"Not Found",0)</f>
        <v>Amira Sengupta</v>
      </c>
      <c r="M561" s="18" t="str">
        <f>_xlfn.XLOOKUP(tblMaster[[#This Row],[Customer_ID]],tblCustomers[Customer_ID],tblCustomers[Gender],"Not Found",0)</f>
        <v>Male</v>
      </c>
      <c r="N561" s="18" t="str">
        <f>_xlfn.XLOOKUP(tblMaster[[#This Row],[Product_ID]],tblProducts[Product_ID],tblProducts[Product_Name],"Not Found",0)</f>
        <v>Voluptate Set</v>
      </c>
      <c r="O561" s="18" t="str">
        <f>_xlfn.XLOOKUP(tblMaster[[#This Row],[Product_ID]],tblProducts[Product_ID],tblProducts[Category],"Not Found",0)</f>
        <v>Mugs</v>
      </c>
      <c r="P561" s="18" t="str">
        <f>_xlfn.XLOOKUP(tblMaster[[#This Row],[Product_ID]],tblProducts[Product_ID],tblProducts[Occasion],"Not Found",0)</f>
        <v>All Occasions</v>
      </c>
      <c r="Q561" s="18">
        <f>_xlfn.XLOOKUP(tblMaster[[#This Row],[Product_ID]],tblProducts[Product_ID],tblProducts[Price (INR)],"Not Found",0)</f>
        <v>387</v>
      </c>
      <c r="R561" s="19">
        <f>tblMaster[[#This Row],[Price]]*tblMaster[[#This Row],[Quantity]]</f>
        <v>774</v>
      </c>
      <c r="S561" s="19">
        <f>tblMaster[[#This Row],[Price]]*0.7*tblMaster[[#This Row],[Quantity]]</f>
        <v>541.79999999999995</v>
      </c>
      <c r="T561" s="19">
        <f>tblMaster[[#This Row],[Revenue]]-tblMaster[[#This Row],[Estimated Cost (at 70%) ]]</f>
        <v>232.20000000000005</v>
      </c>
      <c r="U561" s="19">
        <f>tblMaster[[#This Row],[Profit]]/tblMaster[[#This Row],[Revenue]]</f>
        <v>0.30000000000000004</v>
      </c>
      <c r="V561" s="19">
        <f>tblMaster[[#This Row],[Delivery_Date]]-tblMaster[[#This Row],[Order_Date]]</f>
        <v>5</v>
      </c>
      <c r="W561" s="19" t="str">
        <f>TEXT(tblMaster[[#This Row],[Order_Date]],"mmmm")</f>
        <v>August</v>
      </c>
      <c r="X561" s="19">
        <f>MONTH(tblMaster[[#This Row],[Order_Date]])</f>
        <v>8</v>
      </c>
      <c r="Y561" s="19" t="str">
        <f>"Q"&amp;ROUNDUP(tblMaster[[#This Row],[Month Number]]/3,0)</f>
        <v>Q3</v>
      </c>
      <c r="Z561" s="19">
        <f>YEAR(tblMaster[[#This Row],[Order_Date]])</f>
        <v>2023</v>
      </c>
      <c r="AA561" s="19" t="str">
        <f>TEXT(DAY(tblMaster[[#This Row],[Order_Date]]),"dddd")</f>
        <v>Wednesday</v>
      </c>
      <c r="AB561" s="19" t="str">
        <f>IF(tblMaster[[#This Row],[Revenue]]&gt;=5000,"High",IF(tblMaster[[#This Row],[Revenue]]&lt;2000,"Low","Medium"))</f>
        <v>Low</v>
      </c>
    </row>
    <row r="562" spans="1:28" x14ac:dyDescent="0.25">
      <c r="A562" s="7">
        <v>561</v>
      </c>
      <c r="B562" s="7" t="s">
        <v>183</v>
      </c>
      <c r="C562" s="4">
        <v>49</v>
      </c>
      <c r="D562" s="4">
        <v>5</v>
      </c>
      <c r="E562" s="8">
        <v>44969</v>
      </c>
      <c r="F562" s="9">
        <v>0.5170717592592593</v>
      </c>
      <c r="G562" s="8">
        <v>44978</v>
      </c>
      <c r="H562" s="9">
        <v>0.72469907407407408</v>
      </c>
      <c r="I562" s="7" t="s">
        <v>485</v>
      </c>
      <c r="J562" s="7" t="s">
        <v>12</v>
      </c>
      <c r="K562" s="18" t="str">
        <f>_xlfn.XLOOKUP(tblMaster[[#This Row],[Customer_ID]],tblCustomers[Customer_ID],tblCustomers[City],"Not Found",0)</f>
        <v>Dhanbad</v>
      </c>
      <c r="L562" s="18" t="str">
        <f>_xlfn.XLOOKUP(tblMaster[[#This Row],[Customer_ID]],tblCustomers[Customer_ID],tblCustomers[Name],"Not Found",0)</f>
        <v>Ranbir Loyal</v>
      </c>
      <c r="M562" s="18" t="str">
        <f>_xlfn.XLOOKUP(tblMaster[[#This Row],[Customer_ID]],tblCustomers[Customer_ID],tblCustomers[Gender],"Not Found",0)</f>
        <v>Female</v>
      </c>
      <c r="N562" s="18" t="str">
        <f>_xlfn.XLOOKUP(tblMaster[[#This Row],[Product_ID]],tblProducts[Product_ID],tblProducts[Product_Name],"Not Found",0)</f>
        <v>Voluptate Pack</v>
      </c>
      <c r="O562" s="18" t="str">
        <f>_xlfn.XLOOKUP(tblMaster[[#This Row],[Product_ID]],tblProducts[Product_ID],tblProducts[Category],"Not Found",0)</f>
        <v>Colors</v>
      </c>
      <c r="P562" s="18" t="str">
        <f>_xlfn.XLOOKUP(tblMaster[[#This Row],[Product_ID]],tblProducts[Product_ID],tblProducts[Occasion],"Not Found",0)</f>
        <v>Valentine's Day</v>
      </c>
      <c r="Q562" s="18">
        <f>_xlfn.XLOOKUP(tblMaster[[#This Row],[Product_ID]],tblProducts[Product_ID],tblProducts[Price (INR)],"Not Found",0)</f>
        <v>903</v>
      </c>
      <c r="R562" s="19">
        <f>tblMaster[[#This Row],[Price]]*tblMaster[[#This Row],[Quantity]]</f>
        <v>4515</v>
      </c>
      <c r="S562" s="19">
        <f>tblMaster[[#This Row],[Price]]*0.7*tblMaster[[#This Row],[Quantity]]</f>
        <v>3160.4999999999995</v>
      </c>
      <c r="T562" s="19">
        <f>tblMaster[[#This Row],[Revenue]]-tblMaster[[#This Row],[Estimated Cost (at 70%) ]]</f>
        <v>1354.5000000000005</v>
      </c>
      <c r="U562" s="19">
        <f>tblMaster[[#This Row],[Profit]]/tblMaster[[#This Row],[Revenue]]</f>
        <v>0.3000000000000001</v>
      </c>
      <c r="V562" s="19">
        <f>tblMaster[[#This Row],[Delivery_Date]]-tblMaster[[#This Row],[Order_Date]]</f>
        <v>9</v>
      </c>
      <c r="W562" s="19" t="str">
        <f>TEXT(tblMaster[[#This Row],[Order_Date]],"mmmm")</f>
        <v>February</v>
      </c>
      <c r="X562" s="19">
        <f>MONTH(tblMaster[[#This Row],[Order_Date]])</f>
        <v>2</v>
      </c>
      <c r="Y562" s="19" t="str">
        <f>"Q"&amp;ROUNDUP(tblMaster[[#This Row],[Month Number]]/3,0)</f>
        <v>Q1</v>
      </c>
      <c r="Z562" s="19">
        <f>YEAR(tblMaster[[#This Row],[Order_Date]])</f>
        <v>2023</v>
      </c>
      <c r="AA562" s="19" t="str">
        <f>TEXT(DAY(tblMaster[[#This Row],[Order_Date]]),"dddd")</f>
        <v>Thursday</v>
      </c>
      <c r="AB562" s="19" t="str">
        <f>IF(tblMaster[[#This Row],[Revenue]]&gt;=5000,"High",IF(tblMaster[[#This Row],[Revenue]]&lt;2000,"Low","Medium"))</f>
        <v>Medium</v>
      </c>
    </row>
    <row r="563" spans="1:28" x14ac:dyDescent="0.25">
      <c r="A563" s="10">
        <v>562</v>
      </c>
      <c r="B563" s="10" t="s">
        <v>232</v>
      </c>
      <c r="C563" s="5">
        <v>24</v>
      </c>
      <c r="D563" s="5">
        <v>4</v>
      </c>
      <c r="E563" s="11">
        <v>45147</v>
      </c>
      <c r="F563" s="12">
        <v>0.38773148148148145</v>
      </c>
      <c r="G563" s="11">
        <v>45154</v>
      </c>
      <c r="H563" s="12">
        <v>6.535879629629629E-2</v>
      </c>
      <c r="I563" s="10" t="s">
        <v>450</v>
      </c>
      <c r="J563" s="10" t="s">
        <v>36</v>
      </c>
      <c r="K563" s="18" t="str">
        <f>_xlfn.XLOOKUP(tblMaster[[#This Row],[Customer_ID]],tblCustomers[Customer_ID],tblCustomers[City],"Not Found",0)</f>
        <v>Malegaon</v>
      </c>
      <c r="L563" s="18" t="str">
        <f>_xlfn.XLOOKUP(tblMaster[[#This Row],[Customer_ID]],tblCustomers[Customer_ID],tblCustomers[Name],"Not Found",0)</f>
        <v>Eshani Buch</v>
      </c>
      <c r="M563" s="18" t="str">
        <f>_xlfn.XLOOKUP(tblMaster[[#This Row],[Customer_ID]],tblCustomers[Customer_ID],tblCustomers[Gender],"Not Found",0)</f>
        <v>Female</v>
      </c>
      <c r="N563" s="18" t="str">
        <f>_xlfn.XLOOKUP(tblMaster[[#This Row],[Product_ID]],tblProducts[Product_ID],tblProducts[Product_Name],"Not Found",0)</f>
        <v>Ad Box</v>
      </c>
      <c r="O563" s="18" t="str">
        <f>_xlfn.XLOOKUP(tblMaster[[#This Row],[Product_ID]],tblProducts[Product_ID],tblProducts[Category],"Not Found",0)</f>
        <v>Mugs</v>
      </c>
      <c r="P563" s="18" t="str">
        <f>_xlfn.XLOOKUP(tblMaster[[#This Row],[Product_ID]],tblProducts[Product_ID],tblProducts[Occasion],"Not Found",0)</f>
        <v>Birthday</v>
      </c>
      <c r="Q563" s="18">
        <f>_xlfn.XLOOKUP(tblMaster[[#This Row],[Product_ID]],tblProducts[Product_ID],tblProducts[Price (INR)],"Not Found",0)</f>
        <v>535</v>
      </c>
      <c r="R563" s="19">
        <f>tblMaster[[#This Row],[Price]]*tblMaster[[#This Row],[Quantity]]</f>
        <v>2140</v>
      </c>
      <c r="S563" s="19">
        <f>tblMaster[[#This Row],[Price]]*0.7*tblMaster[[#This Row],[Quantity]]</f>
        <v>1498</v>
      </c>
      <c r="T563" s="19">
        <f>tblMaster[[#This Row],[Revenue]]-tblMaster[[#This Row],[Estimated Cost (at 70%) ]]</f>
        <v>642</v>
      </c>
      <c r="U563" s="19">
        <f>tblMaster[[#This Row],[Profit]]/tblMaster[[#This Row],[Revenue]]</f>
        <v>0.3</v>
      </c>
      <c r="V563" s="19">
        <f>tblMaster[[#This Row],[Delivery_Date]]-tblMaster[[#This Row],[Order_Date]]</f>
        <v>7</v>
      </c>
      <c r="W563" s="19" t="str">
        <f>TEXT(tblMaster[[#This Row],[Order_Date]],"mmmm")</f>
        <v>August</v>
      </c>
      <c r="X563" s="19">
        <f>MONTH(tblMaster[[#This Row],[Order_Date]])</f>
        <v>8</v>
      </c>
      <c r="Y563" s="19" t="str">
        <f>"Q"&amp;ROUNDUP(tblMaster[[#This Row],[Month Number]]/3,0)</f>
        <v>Q3</v>
      </c>
      <c r="Z563" s="19">
        <f>YEAR(tblMaster[[#This Row],[Order_Date]])</f>
        <v>2023</v>
      </c>
      <c r="AA563" s="19" t="str">
        <f>TEXT(DAY(tblMaster[[#This Row],[Order_Date]]),"dddd")</f>
        <v>Monday</v>
      </c>
      <c r="AB563" s="19" t="str">
        <f>IF(tblMaster[[#This Row],[Revenue]]&gt;=5000,"High",IF(tblMaster[[#This Row],[Revenue]]&lt;2000,"Low","Medium"))</f>
        <v>Medium</v>
      </c>
    </row>
    <row r="564" spans="1:28" x14ac:dyDescent="0.25">
      <c r="A564" s="7">
        <v>563</v>
      </c>
      <c r="B564" s="7" t="s">
        <v>261</v>
      </c>
      <c r="C564" s="4">
        <v>58</v>
      </c>
      <c r="D564" s="4">
        <v>5</v>
      </c>
      <c r="E564" s="8">
        <v>44968</v>
      </c>
      <c r="F564" s="9">
        <v>0.4884027777777778</v>
      </c>
      <c r="G564" s="8">
        <v>44976</v>
      </c>
      <c r="H564" s="9">
        <v>0.21144675925925926</v>
      </c>
      <c r="I564" s="7" t="s">
        <v>268</v>
      </c>
      <c r="J564" s="7" t="s">
        <v>12</v>
      </c>
      <c r="K564" s="18" t="str">
        <f>_xlfn.XLOOKUP(tblMaster[[#This Row],[Customer_ID]],tblCustomers[Customer_ID],tblCustomers[City],"Not Found",0)</f>
        <v>Panchkula</v>
      </c>
      <c r="L564" s="18" t="str">
        <f>_xlfn.XLOOKUP(tblMaster[[#This Row],[Customer_ID]],tblCustomers[Customer_ID],tblCustomers[Name],"Not Found",0)</f>
        <v>Gokul Ahluwalia</v>
      </c>
      <c r="M564" s="18" t="str">
        <f>_xlfn.XLOOKUP(tblMaster[[#This Row],[Customer_ID]],tblCustomers[Customer_ID],tblCustomers[Gender],"Not Found",0)</f>
        <v>Female</v>
      </c>
      <c r="N564" s="18" t="str">
        <f>_xlfn.XLOOKUP(tblMaster[[#This Row],[Product_ID]],tblProducts[Product_ID],tblProducts[Product_Name],"Not Found",0)</f>
        <v>Sed Pack</v>
      </c>
      <c r="O564" s="18" t="str">
        <f>_xlfn.XLOOKUP(tblMaster[[#This Row],[Product_ID]],tblProducts[Product_ID],tblProducts[Category],"Not Found",0)</f>
        <v>Cake</v>
      </c>
      <c r="P564" s="18" t="str">
        <f>_xlfn.XLOOKUP(tblMaster[[#This Row],[Product_ID]],tblProducts[Product_ID],tblProducts[Occasion],"Not Found",0)</f>
        <v>Valentine's Day</v>
      </c>
      <c r="Q564" s="18">
        <f>_xlfn.XLOOKUP(tblMaster[[#This Row],[Product_ID]],tblProducts[Product_ID],tblProducts[Price (INR)],"Not Found",0)</f>
        <v>1492</v>
      </c>
      <c r="R564" s="19">
        <f>tblMaster[[#This Row],[Price]]*tblMaster[[#This Row],[Quantity]]</f>
        <v>7460</v>
      </c>
      <c r="S564" s="19">
        <f>tblMaster[[#This Row],[Price]]*0.7*tblMaster[[#This Row],[Quantity]]</f>
        <v>5221.9999999999991</v>
      </c>
      <c r="T564" s="19">
        <f>tblMaster[[#This Row],[Revenue]]-tblMaster[[#This Row],[Estimated Cost (at 70%) ]]</f>
        <v>2238.0000000000009</v>
      </c>
      <c r="U564" s="19">
        <f>tblMaster[[#This Row],[Profit]]/tblMaster[[#This Row],[Revenue]]</f>
        <v>0.3000000000000001</v>
      </c>
      <c r="V564" s="19">
        <f>tblMaster[[#This Row],[Delivery_Date]]-tblMaster[[#This Row],[Order_Date]]</f>
        <v>8</v>
      </c>
      <c r="W564" s="19" t="str">
        <f>TEXT(tblMaster[[#This Row],[Order_Date]],"mmmm")</f>
        <v>February</v>
      </c>
      <c r="X564" s="19">
        <f>MONTH(tblMaster[[#This Row],[Order_Date]])</f>
        <v>2</v>
      </c>
      <c r="Y564" s="19" t="str">
        <f>"Q"&amp;ROUNDUP(tblMaster[[#This Row],[Month Number]]/3,0)</f>
        <v>Q1</v>
      </c>
      <c r="Z564" s="19">
        <f>YEAR(tblMaster[[#This Row],[Order_Date]])</f>
        <v>2023</v>
      </c>
      <c r="AA564" s="19" t="str">
        <f>TEXT(DAY(tblMaster[[#This Row],[Order_Date]]),"dddd")</f>
        <v>Wednesday</v>
      </c>
      <c r="AB564" s="19" t="str">
        <f>IF(tblMaster[[#This Row],[Revenue]]&gt;=5000,"High",IF(tblMaster[[#This Row],[Revenue]]&lt;2000,"Low","Medium"))</f>
        <v>High</v>
      </c>
    </row>
    <row r="565" spans="1:28" x14ac:dyDescent="0.25">
      <c r="A565" s="10">
        <v>564</v>
      </c>
      <c r="B565" s="10" t="s">
        <v>369</v>
      </c>
      <c r="C565" s="5">
        <v>40</v>
      </c>
      <c r="D565" s="5">
        <v>1</v>
      </c>
      <c r="E565" s="11">
        <v>45023</v>
      </c>
      <c r="F565" s="12">
        <v>2.8009259259259258E-2</v>
      </c>
      <c r="G565" s="11">
        <v>45031</v>
      </c>
      <c r="H565" s="12">
        <v>0.25482638888888887</v>
      </c>
      <c r="I565" s="10" t="s">
        <v>531</v>
      </c>
      <c r="J565" s="10" t="s">
        <v>30</v>
      </c>
      <c r="K565" s="18" t="str">
        <f>_xlfn.XLOOKUP(tblMaster[[#This Row],[Customer_ID]],tblCustomers[Customer_ID],tblCustomers[City],"Not Found",0)</f>
        <v>Berhampore</v>
      </c>
      <c r="L565" s="18" t="str">
        <f>_xlfn.XLOOKUP(tblMaster[[#This Row],[Customer_ID]],tblCustomers[Customer_ID],tblCustomers[Name],"Not Found",0)</f>
        <v>Jayant Kamdar</v>
      </c>
      <c r="M565" s="18" t="str">
        <f>_xlfn.XLOOKUP(tblMaster[[#This Row],[Customer_ID]],tblCustomers[Customer_ID],tblCustomers[Gender],"Not Found",0)</f>
        <v>Male</v>
      </c>
      <c r="N565" s="18" t="str">
        <f>_xlfn.XLOOKUP(tblMaster[[#This Row],[Product_ID]],tblProducts[Product_ID],tblProducts[Product_Name],"Not Found",0)</f>
        <v>Provident Pack</v>
      </c>
      <c r="O565" s="18" t="str">
        <f>_xlfn.XLOOKUP(tblMaster[[#This Row],[Product_ID]],tblProducts[Product_ID],tblProducts[Category],"Not Found",0)</f>
        <v>Sweets</v>
      </c>
      <c r="P565" s="18" t="str">
        <f>_xlfn.XLOOKUP(tblMaster[[#This Row],[Product_ID]],tblProducts[Product_ID],tblProducts[Occasion],"Not Found",0)</f>
        <v>Anniversary</v>
      </c>
      <c r="Q565" s="18">
        <f>_xlfn.XLOOKUP(tblMaster[[#This Row],[Product_ID]],tblProducts[Product_ID],tblProducts[Price (INR)],"Not Found",0)</f>
        <v>1923</v>
      </c>
      <c r="R565" s="19">
        <f>tblMaster[[#This Row],[Price]]*tblMaster[[#This Row],[Quantity]]</f>
        <v>1923</v>
      </c>
      <c r="S565" s="19">
        <f>tblMaster[[#This Row],[Price]]*0.7*tblMaster[[#This Row],[Quantity]]</f>
        <v>1346.1</v>
      </c>
      <c r="T565" s="19">
        <f>tblMaster[[#This Row],[Revenue]]-tblMaster[[#This Row],[Estimated Cost (at 70%) ]]</f>
        <v>576.90000000000009</v>
      </c>
      <c r="U565" s="19">
        <f>tblMaster[[#This Row],[Profit]]/tblMaster[[#This Row],[Revenue]]</f>
        <v>0.30000000000000004</v>
      </c>
      <c r="V565" s="19">
        <f>tblMaster[[#This Row],[Delivery_Date]]-tblMaster[[#This Row],[Order_Date]]</f>
        <v>8</v>
      </c>
      <c r="W565" s="19" t="str">
        <f>TEXT(tblMaster[[#This Row],[Order_Date]],"mmmm")</f>
        <v>April</v>
      </c>
      <c r="X565" s="19">
        <f>MONTH(tblMaster[[#This Row],[Order_Date]])</f>
        <v>4</v>
      </c>
      <c r="Y565" s="19" t="str">
        <f>"Q"&amp;ROUNDUP(tblMaster[[#This Row],[Month Number]]/3,0)</f>
        <v>Q2</v>
      </c>
      <c r="Z565" s="19">
        <f>YEAR(tblMaster[[#This Row],[Order_Date]])</f>
        <v>2023</v>
      </c>
      <c r="AA565" s="19" t="str">
        <f>TEXT(DAY(tblMaster[[#This Row],[Order_Date]]),"dddd")</f>
        <v>Saturday</v>
      </c>
      <c r="AB565" s="19" t="str">
        <f>IF(tblMaster[[#This Row],[Revenue]]&gt;=5000,"High",IF(tblMaster[[#This Row],[Revenue]]&lt;2000,"Low","Medium"))</f>
        <v>Low</v>
      </c>
    </row>
    <row r="566" spans="1:28" x14ac:dyDescent="0.25">
      <c r="A566" s="7">
        <v>565</v>
      </c>
      <c r="B566" s="7" t="s">
        <v>200</v>
      </c>
      <c r="C566" s="4">
        <v>50</v>
      </c>
      <c r="D566" s="4">
        <v>3</v>
      </c>
      <c r="E566" s="8">
        <v>44991</v>
      </c>
      <c r="F566" s="9">
        <v>0.72796296296296292</v>
      </c>
      <c r="G566" s="8">
        <v>44999</v>
      </c>
      <c r="H566" s="9">
        <v>0.55054398148148154</v>
      </c>
      <c r="I566" s="7" t="s">
        <v>426</v>
      </c>
      <c r="J566" s="7" t="s">
        <v>25</v>
      </c>
      <c r="K566" s="18" t="str">
        <f>_xlfn.XLOOKUP(tblMaster[[#This Row],[Customer_ID]],tblCustomers[Customer_ID],tblCustomers[City],"Not Found",0)</f>
        <v>Orai</v>
      </c>
      <c r="L566" s="18" t="str">
        <f>_xlfn.XLOOKUP(tblMaster[[#This Row],[Customer_ID]],tblCustomers[Customer_ID],tblCustomers[Name],"Not Found",0)</f>
        <v>Lagan Kapoor</v>
      </c>
      <c r="M566" s="18" t="str">
        <f>_xlfn.XLOOKUP(tblMaster[[#This Row],[Customer_ID]],tblCustomers[Customer_ID],tblCustomers[Gender],"Not Found",0)</f>
        <v>Female</v>
      </c>
      <c r="N566" s="18" t="str">
        <f>_xlfn.XLOOKUP(tblMaster[[#This Row],[Product_ID]],tblProducts[Product_ID],tblProducts[Product_Name],"Not Found",0)</f>
        <v>Eligendi Set</v>
      </c>
      <c r="O566" s="18" t="str">
        <f>_xlfn.XLOOKUP(tblMaster[[#This Row],[Product_ID]],tblProducts[Product_ID],tblProducts[Category],"Not Found",0)</f>
        <v>Plants</v>
      </c>
      <c r="P566" s="18" t="str">
        <f>_xlfn.XLOOKUP(tblMaster[[#This Row],[Product_ID]],tblProducts[Product_ID],tblProducts[Occasion],"Not Found",0)</f>
        <v>Holi</v>
      </c>
      <c r="Q566" s="18">
        <f>_xlfn.XLOOKUP(tblMaster[[#This Row],[Product_ID]],tblProducts[Product_ID],tblProducts[Price (INR)],"Not Found",0)</f>
        <v>422</v>
      </c>
      <c r="R566" s="19">
        <f>tblMaster[[#This Row],[Price]]*tblMaster[[#This Row],[Quantity]]</f>
        <v>1266</v>
      </c>
      <c r="S566" s="19">
        <f>tblMaster[[#This Row],[Price]]*0.7*tblMaster[[#This Row],[Quantity]]</f>
        <v>886.19999999999993</v>
      </c>
      <c r="T566" s="19">
        <f>tblMaster[[#This Row],[Revenue]]-tblMaster[[#This Row],[Estimated Cost (at 70%) ]]</f>
        <v>379.80000000000007</v>
      </c>
      <c r="U566" s="19">
        <f>tblMaster[[#This Row],[Profit]]/tblMaster[[#This Row],[Revenue]]</f>
        <v>0.30000000000000004</v>
      </c>
      <c r="V566" s="19">
        <f>tblMaster[[#This Row],[Delivery_Date]]-tblMaster[[#This Row],[Order_Date]]</f>
        <v>8</v>
      </c>
      <c r="W566" s="19" t="str">
        <f>TEXT(tblMaster[[#This Row],[Order_Date]],"mmmm")</f>
        <v>March</v>
      </c>
      <c r="X566" s="19">
        <f>MONTH(tblMaster[[#This Row],[Order_Date]])</f>
        <v>3</v>
      </c>
      <c r="Y566" s="19" t="str">
        <f>"Q"&amp;ROUNDUP(tblMaster[[#This Row],[Month Number]]/3,0)</f>
        <v>Q1</v>
      </c>
      <c r="Z566" s="19">
        <f>YEAR(tblMaster[[#This Row],[Order_Date]])</f>
        <v>2023</v>
      </c>
      <c r="AA566" s="19" t="str">
        <f>TEXT(DAY(tblMaster[[#This Row],[Order_Date]]),"dddd")</f>
        <v>Friday</v>
      </c>
      <c r="AB566" s="19" t="str">
        <f>IF(tblMaster[[#This Row],[Revenue]]&gt;=5000,"High",IF(tblMaster[[#This Row],[Revenue]]&lt;2000,"Low","Medium"))</f>
        <v>Low</v>
      </c>
    </row>
    <row r="567" spans="1:28" x14ac:dyDescent="0.25">
      <c r="A567" s="10">
        <v>566</v>
      </c>
      <c r="B567" s="10" t="s">
        <v>204</v>
      </c>
      <c r="C567" s="5">
        <v>42</v>
      </c>
      <c r="D567" s="5">
        <v>4</v>
      </c>
      <c r="E567" s="11">
        <v>45058</v>
      </c>
      <c r="F567" s="12">
        <v>0.53336805555555555</v>
      </c>
      <c r="G567" s="11">
        <v>45060</v>
      </c>
      <c r="H567" s="12">
        <v>0.85870370370370375</v>
      </c>
      <c r="I567" s="10" t="s">
        <v>449</v>
      </c>
      <c r="J567" s="10" t="s">
        <v>8</v>
      </c>
      <c r="K567" s="18" t="str">
        <f>_xlfn.XLOOKUP(tblMaster[[#This Row],[Customer_ID]],tblCustomers[Customer_ID],tblCustomers[City],"Not Found",0)</f>
        <v>Bidhannagar</v>
      </c>
      <c r="L567" s="18" t="str">
        <f>_xlfn.XLOOKUP(tblMaster[[#This Row],[Customer_ID]],tblCustomers[Customer_ID],tblCustomers[Name],"Not Found",0)</f>
        <v>Umang Ahuja</v>
      </c>
      <c r="M567" s="18" t="str">
        <f>_xlfn.XLOOKUP(tblMaster[[#This Row],[Customer_ID]],tblCustomers[Customer_ID],tblCustomers[Gender],"Not Found",0)</f>
        <v>Female</v>
      </c>
      <c r="N567" s="18" t="str">
        <f>_xlfn.XLOOKUP(tblMaster[[#This Row],[Product_ID]],tblProducts[Product_ID],tblProducts[Product_Name],"Not Found",0)</f>
        <v>Expedita Gift</v>
      </c>
      <c r="O567" s="18" t="str">
        <f>_xlfn.XLOOKUP(tblMaster[[#This Row],[Product_ID]],tblProducts[Product_ID],tblProducts[Category],"Not Found",0)</f>
        <v>Sweets</v>
      </c>
      <c r="P567" s="18" t="str">
        <f>_xlfn.XLOOKUP(tblMaster[[#This Row],[Product_ID]],tblProducts[Product_ID],tblProducts[Occasion],"Not Found",0)</f>
        <v>All Occasions</v>
      </c>
      <c r="Q567" s="18">
        <f>_xlfn.XLOOKUP(tblMaster[[#This Row],[Product_ID]],tblProducts[Product_ID],tblProducts[Price (INR)],"Not Found",0)</f>
        <v>1744</v>
      </c>
      <c r="R567" s="19">
        <f>tblMaster[[#This Row],[Price]]*tblMaster[[#This Row],[Quantity]]</f>
        <v>6976</v>
      </c>
      <c r="S567" s="19">
        <f>tblMaster[[#This Row],[Price]]*0.7*tblMaster[[#This Row],[Quantity]]</f>
        <v>4883.2</v>
      </c>
      <c r="T567" s="19">
        <f>tblMaster[[#This Row],[Revenue]]-tblMaster[[#This Row],[Estimated Cost (at 70%) ]]</f>
        <v>2092.8000000000002</v>
      </c>
      <c r="U567" s="19">
        <f>tblMaster[[#This Row],[Profit]]/tblMaster[[#This Row],[Revenue]]</f>
        <v>0.30000000000000004</v>
      </c>
      <c r="V567" s="19">
        <f>tblMaster[[#This Row],[Delivery_Date]]-tblMaster[[#This Row],[Order_Date]]</f>
        <v>2</v>
      </c>
      <c r="W567" s="19" t="str">
        <f>TEXT(tblMaster[[#This Row],[Order_Date]],"mmmm")</f>
        <v>May</v>
      </c>
      <c r="X567" s="19">
        <f>MONTH(tblMaster[[#This Row],[Order_Date]])</f>
        <v>5</v>
      </c>
      <c r="Y567" s="19" t="str">
        <f>"Q"&amp;ROUNDUP(tblMaster[[#This Row],[Month Number]]/3,0)</f>
        <v>Q2</v>
      </c>
      <c r="Z567" s="19">
        <f>YEAR(tblMaster[[#This Row],[Order_Date]])</f>
        <v>2023</v>
      </c>
      <c r="AA567" s="19" t="str">
        <f>TEXT(DAY(tblMaster[[#This Row],[Order_Date]]),"dddd")</f>
        <v>Thursday</v>
      </c>
      <c r="AB567" s="19" t="str">
        <f>IF(tblMaster[[#This Row],[Revenue]]&gt;=5000,"High",IF(tblMaster[[#This Row],[Revenue]]&lt;2000,"Low","Medium"))</f>
        <v>High</v>
      </c>
    </row>
    <row r="568" spans="1:28" x14ac:dyDescent="0.25">
      <c r="A568" s="7">
        <v>567</v>
      </c>
      <c r="B568" s="7" t="s">
        <v>202</v>
      </c>
      <c r="C568" s="4">
        <v>66</v>
      </c>
      <c r="D568" s="4">
        <v>1</v>
      </c>
      <c r="E568" s="8">
        <v>44991</v>
      </c>
      <c r="F568" s="9">
        <v>0.25832175925925926</v>
      </c>
      <c r="G568" s="8">
        <v>45000</v>
      </c>
      <c r="H568" s="9">
        <v>0.78962962962962968</v>
      </c>
      <c r="I568" s="7" t="s">
        <v>521</v>
      </c>
      <c r="J568" s="7" t="s">
        <v>25</v>
      </c>
      <c r="K568" s="18" t="str">
        <f>_xlfn.XLOOKUP(tblMaster[[#This Row],[Customer_ID]],tblCustomers[Customer_ID],tblCustomers[City],"Not Found",0)</f>
        <v>Anantapuram</v>
      </c>
      <c r="L568" s="18" t="str">
        <f>_xlfn.XLOOKUP(tblMaster[[#This Row],[Customer_ID]],tblCustomers[Customer_ID],tblCustomers[Name],"Not Found",0)</f>
        <v>Drishya De</v>
      </c>
      <c r="M568" s="18" t="str">
        <f>_xlfn.XLOOKUP(tblMaster[[#This Row],[Customer_ID]],tblCustomers[Customer_ID],tblCustomers[Gender],"Not Found",0)</f>
        <v>Female</v>
      </c>
      <c r="N568" s="18" t="str">
        <f>_xlfn.XLOOKUP(tblMaster[[#This Row],[Product_ID]],tblProducts[Product_ID],tblProducts[Product_Name],"Not Found",0)</f>
        <v>Quas Box</v>
      </c>
      <c r="O568" s="18" t="str">
        <f>_xlfn.XLOOKUP(tblMaster[[#This Row],[Product_ID]],tblProducts[Product_ID],tblProducts[Category],"Not Found",0)</f>
        <v>Colors</v>
      </c>
      <c r="P568" s="18" t="str">
        <f>_xlfn.XLOOKUP(tblMaster[[#This Row],[Product_ID]],tblProducts[Product_ID],tblProducts[Occasion],"Not Found",0)</f>
        <v>Holi</v>
      </c>
      <c r="Q568" s="18">
        <f>_xlfn.XLOOKUP(tblMaster[[#This Row],[Product_ID]],tblProducts[Product_ID],tblProducts[Price (INR)],"Not Found",0)</f>
        <v>610</v>
      </c>
      <c r="R568" s="19">
        <f>tblMaster[[#This Row],[Price]]*tblMaster[[#This Row],[Quantity]]</f>
        <v>610</v>
      </c>
      <c r="S568" s="19">
        <f>tblMaster[[#This Row],[Price]]*0.7*tblMaster[[#This Row],[Quantity]]</f>
        <v>427</v>
      </c>
      <c r="T568" s="19">
        <f>tblMaster[[#This Row],[Revenue]]-tblMaster[[#This Row],[Estimated Cost (at 70%) ]]</f>
        <v>183</v>
      </c>
      <c r="U568" s="19">
        <f>tblMaster[[#This Row],[Profit]]/tblMaster[[#This Row],[Revenue]]</f>
        <v>0.3</v>
      </c>
      <c r="V568" s="19">
        <f>tblMaster[[#This Row],[Delivery_Date]]-tblMaster[[#This Row],[Order_Date]]</f>
        <v>9</v>
      </c>
      <c r="W568" s="19" t="str">
        <f>TEXT(tblMaster[[#This Row],[Order_Date]],"mmmm")</f>
        <v>March</v>
      </c>
      <c r="X568" s="19">
        <f>MONTH(tblMaster[[#This Row],[Order_Date]])</f>
        <v>3</v>
      </c>
      <c r="Y568" s="19" t="str">
        <f>"Q"&amp;ROUNDUP(tblMaster[[#This Row],[Month Number]]/3,0)</f>
        <v>Q1</v>
      </c>
      <c r="Z568" s="19">
        <f>YEAR(tblMaster[[#This Row],[Order_Date]])</f>
        <v>2023</v>
      </c>
      <c r="AA568" s="19" t="str">
        <f>TEXT(DAY(tblMaster[[#This Row],[Order_Date]]),"dddd")</f>
        <v>Friday</v>
      </c>
      <c r="AB568" s="19" t="str">
        <f>IF(tblMaster[[#This Row],[Revenue]]&gt;=5000,"High",IF(tblMaster[[#This Row],[Revenue]]&lt;2000,"Low","Medium"))</f>
        <v>Low</v>
      </c>
    </row>
    <row r="569" spans="1:28" x14ac:dyDescent="0.25">
      <c r="A569" s="10">
        <v>568</v>
      </c>
      <c r="B569" s="10" t="s">
        <v>195</v>
      </c>
      <c r="C569" s="5">
        <v>10</v>
      </c>
      <c r="D569" s="5">
        <v>1</v>
      </c>
      <c r="E569" s="11">
        <v>45106</v>
      </c>
      <c r="F569" s="12">
        <v>0.87197916666666664</v>
      </c>
      <c r="G569" s="11">
        <v>45115</v>
      </c>
      <c r="H569" s="12">
        <v>0.5529398148148148</v>
      </c>
      <c r="I569" s="10" t="s">
        <v>515</v>
      </c>
      <c r="J569" s="10" t="s">
        <v>36</v>
      </c>
      <c r="K569" s="18" t="str">
        <f>_xlfn.XLOOKUP(tblMaster[[#This Row],[Customer_ID]],tblCustomers[Customer_ID],tblCustomers[City],"Not Found",0)</f>
        <v>Haridwar</v>
      </c>
      <c r="L569" s="18" t="str">
        <f>_xlfn.XLOOKUP(tblMaster[[#This Row],[Customer_ID]],tblCustomers[Customer_ID],tblCustomers[Name],"Not Found",0)</f>
        <v>Pihu Choudhury</v>
      </c>
      <c r="M569" s="18" t="str">
        <f>_xlfn.XLOOKUP(tblMaster[[#This Row],[Customer_ID]],tblCustomers[Customer_ID],tblCustomers[Gender],"Not Found",0)</f>
        <v>Male</v>
      </c>
      <c r="N569" s="18" t="str">
        <f>_xlfn.XLOOKUP(tblMaster[[#This Row],[Product_ID]],tblProducts[Product_ID],tblProducts[Product_Name],"Not Found",0)</f>
        <v>Accusantium Gift</v>
      </c>
      <c r="O569" s="18" t="str">
        <f>_xlfn.XLOOKUP(tblMaster[[#This Row],[Product_ID]],tblProducts[Product_ID],tblProducts[Category],"Not Found",0)</f>
        <v>Cake</v>
      </c>
      <c r="P569" s="18" t="str">
        <f>_xlfn.XLOOKUP(tblMaster[[#This Row],[Product_ID]],tblProducts[Product_ID],tblProducts[Occasion],"Not Found",0)</f>
        <v>Birthday</v>
      </c>
      <c r="Q569" s="18">
        <f>_xlfn.XLOOKUP(tblMaster[[#This Row],[Product_ID]],tblProducts[Product_ID],tblProducts[Price (INR)],"Not Found",0)</f>
        <v>259</v>
      </c>
      <c r="R569" s="19">
        <f>tblMaster[[#This Row],[Price]]*tblMaster[[#This Row],[Quantity]]</f>
        <v>259</v>
      </c>
      <c r="S569" s="19">
        <f>tblMaster[[#This Row],[Price]]*0.7*tblMaster[[#This Row],[Quantity]]</f>
        <v>181.29999999999998</v>
      </c>
      <c r="T569" s="19">
        <f>tblMaster[[#This Row],[Revenue]]-tblMaster[[#This Row],[Estimated Cost (at 70%) ]]</f>
        <v>77.700000000000017</v>
      </c>
      <c r="U569" s="19">
        <f>tblMaster[[#This Row],[Profit]]/tblMaster[[#This Row],[Revenue]]</f>
        <v>0.30000000000000004</v>
      </c>
      <c r="V569" s="19">
        <f>tblMaster[[#This Row],[Delivery_Date]]-tblMaster[[#This Row],[Order_Date]]</f>
        <v>9</v>
      </c>
      <c r="W569" s="19" t="str">
        <f>TEXT(tblMaster[[#This Row],[Order_Date]],"mmmm")</f>
        <v>June</v>
      </c>
      <c r="X569" s="19">
        <f>MONTH(tblMaster[[#This Row],[Order_Date]])</f>
        <v>6</v>
      </c>
      <c r="Y569" s="19" t="str">
        <f>"Q"&amp;ROUNDUP(tblMaster[[#This Row],[Month Number]]/3,0)</f>
        <v>Q2</v>
      </c>
      <c r="Z569" s="19">
        <f>YEAR(tblMaster[[#This Row],[Order_Date]])</f>
        <v>2023</v>
      </c>
      <c r="AA569" s="19" t="str">
        <f>TEXT(DAY(tblMaster[[#This Row],[Order_Date]]),"dddd")</f>
        <v>Sunday</v>
      </c>
      <c r="AB569" s="19" t="str">
        <f>IF(tblMaster[[#This Row],[Revenue]]&gt;=5000,"High",IF(tblMaster[[#This Row],[Revenue]]&lt;2000,"Low","Medium"))</f>
        <v>Low</v>
      </c>
    </row>
    <row r="570" spans="1:28" x14ac:dyDescent="0.25">
      <c r="A570" s="7">
        <v>569</v>
      </c>
      <c r="B570" s="7" t="s">
        <v>387</v>
      </c>
      <c r="C570" s="4">
        <v>53</v>
      </c>
      <c r="D570" s="4">
        <v>2</v>
      </c>
      <c r="E570" s="8">
        <v>45166</v>
      </c>
      <c r="F570" s="9">
        <v>0.58383101851851849</v>
      </c>
      <c r="G570" s="8">
        <v>45173</v>
      </c>
      <c r="H570" s="9">
        <v>0.74747685185185186</v>
      </c>
      <c r="I570" s="7" t="s">
        <v>307</v>
      </c>
      <c r="J570" s="7" t="s">
        <v>33</v>
      </c>
      <c r="K570" s="18" t="str">
        <f>_xlfn.XLOOKUP(tblMaster[[#This Row],[Customer_ID]],tblCustomers[Customer_ID],tblCustomers[City],"Not Found",0)</f>
        <v>Serampore</v>
      </c>
      <c r="L570" s="18" t="str">
        <f>_xlfn.XLOOKUP(tblMaster[[#This Row],[Customer_ID]],tblCustomers[Customer_ID],tblCustomers[Name],"Not Found",0)</f>
        <v>Kashvi Sur</v>
      </c>
      <c r="M570" s="18" t="str">
        <f>_xlfn.XLOOKUP(tblMaster[[#This Row],[Customer_ID]],tblCustomers[Customer_ID],tblCustomers[Gender],"Not Found",0)</f>
        <v>Female</v>
      </c>
      <c r="N570" s="18" t="str">
        <f>_xlfn.XLOOKUP(tblMaster[[#This Row],[Product_ID]],tblProducts[Product_ID],tblProducts[Product_Name],"Not Found",0)</f>
        <v>Ipsam Set</v>
      </c>
      <c r="O570" s="18" t="str">
        <f>_xlfn.XLOOKUP(tblMaster[[#This Row],[Product_ID]],tblProducts[Product_ID],tblProducts[Category],"Not Found",0)</f>
        <v>Sweets</v>
      </c>
      <c r="P570" s="18" t="str">
        <f>_xlfn.XLOOKUP(tblMaster[[#This Row],[Product_ID]],tblProducts[Product_ID],tblProducts[Occasion],"Not Found",0)</f>
        <v>Raksha Bandhan</v>
      </c>
      <c r="Q570" s="18">
        <f>_xlfn.XLOOKUP(tblMaster[[#This Row],[Product_ID]],tblProducts[Product_ID],tblProducts[Price (INR)],"Not Found",0)</f>
        <v>1672</v>
      </c>
      <c r="R570" s="19">
        <f>tblMaster[[#This Row],[Price]]*tblMaster[[#This Row],[Quantity]]</f>
        <v>3344</v>
      </c>
      <c r="S570" s="19">
        <f>tblMaster[[#This Row],[Price]]*0.7*tblMaster[[#This Row],[Quantity]]</f>
        <v>2340.7999999999997</v>
      </c>
      <c r="T570" s="19">
        <f>tblMaster[[#This Row],[Revenue]]-tblMaster[[#This Row],[Estimated Cost (at 70%) ]]</f>
        <v>1003.2000000000003</v>
      </c>
      <c r="U570" s="19">
        <f>tblMaster[[#This Row],[Profit]]/tblMaster[[#This Row],[Revenue]]</f>
        <v>0.3000000000000001</v>
      </c>
      <c r="V570" s="19">
        <f>tblMaster[[#This Row],[Delivery_Date]]-tblMaster[[#This Row],[Order_Date]]</f>
        <v>7</v>
      </c>
      <c r="W570" s="19" t="str">
        <f>TEXT(tblMaster[[#This Row],[Order_Date]],"mmmm")</f>
        <v>August</v>
      </c>
      <c r="X570" s="19">
        <f>MONTH(tblMaster[[#This Row],[Order_Date]])</f>
        <v>8</v>
      </c>
      <c r="Y570" s="19" t="str">
        <f>"Q"&amp;ROUNDUP(tblMaster[[#This Row],[Month Number]]/3,0)</f>
        <v>Q3</v>
      </c>
      <c r="Z570" s="19">
        <f>YEAR(tblMaster[[#This Row],[Order_Date]])</f>
        <v>2023</v>
      </c>
      <c r="AA570" s="19" t="str">
        <f>TEXT(DAY(tblMaster[[#This Row],[Order_Date]]),"dddd")</f>
        <v>Saturday</v>
      </c>
      <c r="AB570" s="19" t="str">
        <f>IF(tblMaster[[#This Row],[Revenue]]&gt;=5000,"High",IF(tblMaster[[#This Row],[Revenue]]&lt;2000,"Low","Medium"))</f>
        <v>Medium</v>
      </c>
    </row>
    <row r="571" spans="1:28" x14ac:dyDescent="0.25">
      <c r="A571" s="10">
        <v>570</v>
      </c>
      <c r="B571" s="10" t="s">
        <v>195</v>
      </c>
      <c r="C571" s="5">
        <v>69</v>
      </c>
      <c r="D571" s="5">
        <v>3</v>
      </c>
      <c r="E571" s="11">
        <v>44985</v>
      </c>
      <c r="F571" s="12">
        <v>0.47574074074074074</v>
      </c>
      <c r="G571" s="11">
        <v>44994</v>
      </c>
      <c r="H571" s="12">
        <v>3.7442129629629631E-2</v>
      </c>
      <c r="I571" s="10" t="s">
        <v>532</v>
      </c>
      <c r="J571" s="10" t="s">
        <v>25</v>
      </c>
      <c r="K571" s="18" t="str">
        <f>_xlfn.XLOOKUP(tblMaster[[#This Row],[Customer_ID]],tblCustomers[Customer_ID],tblCustomers[City],"Not Found",0)</f>
        <v>Haridwar</v>
      </c>
      <c r="L571" s="18" t="str">
        <f>_xlfn.XLOOKUP(tblMaster[[#This Row],[Customer_ID]],tblCustomers[Customer_ID],tblCustomers[Name],"Not Found",0)</f>
        <v>Pihu Choudhury</v>
      </c>
      <c r="M571" s="18" t="str">
        <f>_xlfn.XLOOKUP(tblMaster[[#This Row],[Customer_ID]],tblCustomers[Customer_ID],tblCustomers[Gender],"Not Found",0)</f>
        <v>Male</v>
      </c>
      <c r="N571" s="18" t="str">
        <f>_xlfn.XLOOKUP(tblMaster[[#This Row],[Product_ID]],tblProducts[Product_ID],tblProducts[Product_Name],"Not Found",0)</f>
        <v>Id Box</v>
      </c>
      <c r="O571" s="18" t="str">
        <f>_xlfn.XLOOKUP(tblMaster[[#This Row],[Product_ID]],tblProducts[Product_ID],tblProducts[Category],"Not Found",0)</f>
        <v>Cake</v>
      </c>
      <c r="P571" s="18" t="str">
        <f>_xlfn.XLOOKUP(tblMaster[[#This Row],[Product_ID]],tblProducts[Product_ID],tblProducts[Occasion],"Not Found",0)</f>
        <v>Holi</v>
      </c>
      <c r="Q571" s="18">
        <f>_xlfn.XLOOKUP(tblMaster[[#This Row],[Product_ID]],tblProducts[Product_ID],tblProducts[Price (INR)],"Not Found",0)</f>
        <v>998</v>
      </c>
      <c r="R571" s="19">
        <f>tblMaster[[#This Row],[Price]]*tblMaster[[#This Row],[Quantity]]</f>
        <v>2994</v>
      </c>
      <c r="S571" s="19">
        <f>tblMaster[[#This Row],[Price]]*0.7*tblMaster[[#This Row],[Quantity]]</f>
        <v>2095.7999999999997</v>
      </c>
      <c r="T571" s="19">
        <f>tblMaster[[#This Row],[Revenue]]-tblMaster[[#This Row],[Estimated Cost (at 70%) ]]</f>
        <v>898.20000000000027</v>
      </c>
      <c r="U571" s="19">
        <f>tblMaster[[#This Row],[Profit]]/tblMaster[[#This Row],[Revenue]]</f>
        <v>0.3000000000000001</v>
      </c>
      <c r="V571" s="19">
        <f>tblMaster[[#This Row],[Delivery_Date]]-tblMaster[[#This Row],[Order_Date]]</f>
        <v>9</v>
      </c>
      <c r="W571" s="19" t="str">
        <f>TEXT(tblMaster[[#This Row],[Order_Date]],"mmmm")</f>
        <v>February</v>
      </c>
      <c r="X571" s="19">
        <f>MONTH(tblMaster[[#This Row],[Order_Date]])</f>
        <v>2</v>
      </c>
      <c r="Y571" s="19" t="str">
        <f>"Q"&amp;ROUNDUP(tblMaster[[#This Row],[Month Number]]/3,0)</f>
        <v>Q1</v>
      </c>
      <c r="Z571" s="19">
        <f>YEAR(tblMaster[[#This Row],[Order_Date]])</f>
        <v>2023</v>
      </c>
      <c r="AA571" s="19" t="str">
        <f>TEXT(DAY(tblMaster[[#This Row],[Order_Date]]),"dddd")</f>
        <v>Saturday</v>
      </c>
      <c r="AB571" s="19" t="str">
        <f>IF(tblMaster[[#This Row],[Revenue]]&gt;=5000,"High",IF(tblMaster[[#This Row],[Revenue]]&lt;2000,"Low","Medium"))</f>
        <v>Medium</v>
      </c>
    </row>
    <row r="572" spans="1:28" x14ac:dyDescent="0.25">
      <c r="A572" s="7">
        <v>571</v>
      </c>
      <c r="B572" s="7" t="s">
        <v>237</v>
      </c>
      <c r="C572" s="4">
        <v>6</v>
      </c>
      <c r="D572" s="4">
        <v>1</v>
      </c>
      <c r="E572" s="8">
        <v>44985</v>
      </c>
      <c r="F572" s="9">
        <v>0.40167824074074077</v>
      </c>
      <c r="G572" s="8">
        <v>44994</v>
      </c>
      <c r="H572" s="9">
        <v>0.1847337962962963</v>
      </c>
      <c r="I572" s="7" t="s">
        <v>414</v>
      </c>
      <c r="J572" s="7" t="s">
        <v>25</v>
      </c>
      <c r="K572" s="18" t="str">
        <f>_xlfn.XLOOKUP(tblMaster[[#This Row],[Customer_ID]],tblCustomers[Customer_ID],tblCustomers[City],"Not Found",0)</f>
        <v>Guna</v>
      </c>
      <c r="L572" s="18" t="str">
        <f>_xlfn.XLOOKUP(tblMaster[[#This Row],[Customer_ID]],tblCustomers[Customer_ID],tblCustomers[Name],"Not Found",0)</f>
        <v>Tara Kannan</v>
      </c>
      <c r="M572" s="18" t="str">
        <f>_xlfn.XLOOKUP(tblMaster[[#This Row],[Customer_ID]],tblCustomers[Customer_ID],tblCustomers[Gender],"Not Found",0)</f>
        <v>Male</v>
      </c>
      <c r="N572" s="18" t="str">
        <f>_xlfn.XLOOKUP(tblMaster[[#This Row],[Product_ID]],tblProducts[Product_ID],tblProducts[Product_Name],"Not Found",0)</f>
        <v>Quos Box</v>
      </c>
      <c r="O572" s="18" t="str">
        <f>_xlfn.XLOOKUP(tblMaster[[#This Row],[Product_ID]],tblProducts[Product_ID],tblProducts[Category],"Not Found",0)</f>
        <v>Cake</v>
      </c>
      <c r="P572" s="18" t="str">
        <f>_xlfn.XLOOKUP(tblMaster[[#This Row],[Product_ID]],tblProducts[Product_ID],tblProducts[Occasion],"Not Found",0)</f>
        <v>Holi</v>
      </c>
      <c r="Q572" s="18">
        <f>_xlfn.XLOOKUP(tblMaster[[#This Row],[Product_ID]],tblProducts[Product_ID],tblProducts[Price (INR)],"Not Found",0)</f>
        <v>1112</v>
      </c>
      <c r="R572" s="19">
        <f>tblMaster[[#This Row],[Price]]*tblMaster[[#This Row],[Quantity]]</f>
        <v>1112</v>
      </c>
      <c r="S572" s="19">
        <f>tblMaster[[#This Row],[Price]]*0.7*tblMaster[[#This Row],[Quantity]]</f>
        <v>778.4</v>
      </c>
      <c r="T572" s="19">
        <f>tblMaster[[#This Row],[Revenue]]-tblMaster[[#This Row],[Estimated Cost (at 70%) ]]</f>
        <v>333.6</v>
      </c>
      <c r="U572" s="19">
        <f>tblMaster[[#This Row],[Profit]]/tblMaster[[#This Row],[Revenue]]</f>
        <v>0.30000000000000004</v>
      </c>
      <c r="V572" s="19">
        <f>tblMaster[[#This Row],[Delivery_Date]]-tblMaster[[#This Row],[Order_Date]]</f>
        <v>9</v>
      </c>
      <c r="W572" s="19" t="str">
        <f>TEXT(tblMaster[[#This Row],[Order_Date]],"mmmm")</f>
        <v>February</v>
      </c>
      <c r="X572" s="19">
        <f>MONTH(tblMaster[[#This Row],[Order_Date]])</f>
        <v>2</v>
      </c>
      <c r="Y572" s="19" t="str">
        <f>"Q"&amp;ROUNDUP(tblMaster[[#This Row],[Month Number]]/3,0)</f>
        <v>Q1</v>
      </c>
      <c r="Z572" s="19">
        <f>YEAR(tblMaster[[#This Row],[Order_Date]])</f>
        <v>2023</v>
      </c>
      <c r="AA572" s="19" t="str">
        <f>TEXT(DAY(tblMaster[[#This Row],[Order_Date]]),"dddd")</f>
        <v>Saturday</v>
      </c>
      <c r="AB572" s="19" t="str">
        <f>IF(tblMaster[[#This Row],[Revenue]]&gt;=5000,"High",IF(tblMaster[[#This Row],[Revenue]]&lt;2000,"Low","Medium"))</f>
        <v>Low</v>
      </c>
    </row>
    <row r="573" spans="1:28" x14ac:dyDescent="0.25">
      <c r="A573" s="10">
        <v>572</v>
      </c>
      <c r="B573" s="10" t="s">
        <v>299</v>
      </c>
      <c r="C573" s="5">
        <v>25</v>
      </c>
      <c r="D573" s="5">
        <v>5</v>
      </c>
      <c r="E573" s="11">
        <v>45081</v>
      </c>
      <c r="F573" s="12">
        <v>0.6587615740740741</v>
      </c>
      <c r="G573" s="11">
        <v>45087</v>
      </c>
      <c r="H573" s="12">
        <v>0.42486111111111113</v>
      </c>
      <c r="I573" s="10" t="s">
        <v>377</v>
      </c>
      <c r="J573" s="10" t="s">
        <v>30</v>
      </c>
      <c r="K573" s="18" t="str">
        <f>_xlfn.XLOOKUP(tblMaster[[#This Row],[Customer_ID]],tblCustomers[Customer_ID],tblCustomers[City],"Not Found",0)</f>
        <v>Satara</v>
      </c>
      <c r="L573" s="18" t="str">
        <f>_xlfn.XLOOKUP(tblMaster[[#This Row],[Customer_ID]],tblCustomers[Customer_ID],tblCustomers[Name],"Not Found",0)</f>
        <v>Riya Wagle</v>
      </c>
      <c r="M573" s="18" t="str">
        <f>_xlfn.XLOOKUP(tblMaster[[#This Row],[Customer_ID]],tblCustomers[Customer_ID],tblCustomers[Gender],"Not Found",0)</f>
        <v>Male</v>
      </c>
      <c r="N573" s="18" t="str">
        <f>_xlfn.XLOOKUP(tblMaster[[#This Row],[Product_ID]],tblProducts[Product_ID],tblProducts[Product_Name],"Not Found",0)</f>
        <v>Qui Gift</v>
      </c>
      <c r="O573" s="18" t="str">
        <f>_xlfn.XLOOKUP(tblMaster[[#This Row],[Product_ID]],tblProducts[Product_ID],tblProducts[Category],"Not Found",0)</f>
        <v>Plants</v>
      </c>
      <c r="P573" s="18" t="str">
        <f>_xlfn.XLOOKUP(tblMaster[[#This Row],[Product_ID]],tblProducts[Product_ID],tblProducts[Occasion],"Not Found",0)</f>
        <v>Anniversary</v>
      </c>
      <c r="Q573" s="18">
        <f>_xlfn.XLOOKUP(tblMaster[[#This Row],[Product_ID]],tblProducts[Product_ID],tblProducts[Price (INR)],"Not Found",0)</f>
        <v>1202</v>
      </c>
      <c r="R573" s="19">
        <f>tblMaster[[#This Row],[Price]]*tblMaster[[#This Row],[Quantity]]</f>
        <v>6010</v>
      </c>
      <c r="S573" s="19">
        <f>tblMaster[[#This Row],[Price]]*0.7*tblMaster[[#This Row],[Quantity]]</f>
        <v>4207</v>
      </c>
      <c r="T573" s="19">
        <f>tblMaster[[#This Row],[Revenue]]-tblMaster[[#This Row],[Estimated Cost (at 70%) ]]</f>
        <v>1803</v>
      </c>
      <c r="U573" s="19">
        <f>tblMaster[[#This Row],[Profit]]/tblMaster[[#This Row],[Revenue]]</f>
        <v>0.3</v>
      </c>
      <c r="V573" s="19">
        <f>tblMaster[[#This Row],[Delivery_Date]]-tblMaster[[#This Row],[Order_Date]]</f>
        <v>6</v>
      </c>
      <c r="W573" s="19" t="str">
        <f>TEXT(tblMaster[[#This Row],[Order_Date]],"mmmm")</f>
        <v>June</v>
      </c>
      <c r="X573" s="19">
        <f>MONTH(tblMaster[[#This Row],[Order_Date]])</f>
        <v>6</v>
      </c>
      <c r="Y573" s="19" t="str">
        <f>"Q"&amp;ROUNDUP(tblMaster[[#This Row],[Month Number]]/3,0)</f>
        <v>Q2</v>
      </c>
      <c r="Z573" s="19">
        <f>YEAR(tblMaster[[#This Row],[Order_Date]])</f>
        <v>2023</v>
      </c>
      <c r="AA573" s="19" t="str">
        <f>TEXT(DAY(tblMaster[[#This Row],[Order_Date]]),"dddd")</f>
        <v>Wednesday</v>
      </c>
      <c r="AB573" s="19" t="str">
        <f>IF(tblMaster[[#This Row],[Revenue]]&gt;=5000,"High",IF(tblMaster[[#This Row],[Revenue]]&lt;2000,"Low","Medium"))</f>
        <v>High</v>
      </c>
    </row>
    <row r="574" spans="1:28" x14ac:dyDescent="0.25">
      <c r="A574" s="7">
        <v>573</v>
      </c>
      <c r="B574" s="7" t="s">
        <v>176</v>
      </c>
      <c r="C574" s="4">
        <v>3</v>
      </c>
      <c r="D574" s="4">
        <v>5</v>
      </c>
      <c r="E574" s="8">
        <v>44965</v>
      </c>
      <c r="F574" s="9">
        <v>0.11951388888888889</v>
      </c>
      <c r="G574" s="8">
        <v>44971</v>
      </c>
      <c r="H574" s="9">
        <v>0.12298611111111112</v>
      </c>
      <c r="I574" s="7" t="s">
        <v>465</v>
      </c>
      <c r="J574" s="7" t="s">
        <v>12</v>
      </c>
      <c r="K574" s="18" t="str">
        <f>_xlfn.XLOOKUP(tblMaster[[#This Row],[Customer_ID]],tblCustomers[Customer_ID],tblCustomers[City],"Not Found",0)</f>
        <v>Pallavaram</v>
      </c>
      <c r="L574" s="18" t="str">
        <f>_xlfn.XLOOKUP(tblMaster[[#This Row],[Customer_ID]],tblCustomers[Customer_ID],tblCustomers[Name],"Not Found",0)</f>
        <v>Hazel Mangat</v>
      </c>
      <c r="M574" s="18" t="str">
        <f>_xlfn.XLOOKUP(tblMaster[[#This Row],[Customer_ID]],tblCustomers[Customer_ID],tblCustomers[Gender],"Not Found",0)</f>
        <v>Female</v>
      </c>
      <c r="N574" s="18" t="str">
        <f>_xlfn.XLOOKUP(tblMaster[[#This Row],[Product_ID]],tblProducts[Product_ID],tblProducts[Product_Name],"Not Found",0)</f>
        <v>Eius Gift</v>
      </c>
      <c r="O574" s="18" t="str">
        <f>_xlfn.XLOOKUP(tblMaster[[#This Row],[Product_ID]],tblProducts[Product_ID],tblProducts[Category],"Not Found",0)</f>
        <v>Colors</v>
      </c>
      <c r="P574" s="18" t="str">
        <f>_xlfn.XLOOKUP(tblMaster[[#This Row],[Product_ID]],tblProducts[Product_ID],tblProducts[Occasion],"Not Found",0)</f>
        <v>Valentine's Day</v>
      </c>
      <c r="Q574" s="18">
        <f>_xlfn.XLOOKUP(tblMaster[[#This Row],[Product_ID]],tblProducts[Product_ID],tblProducts[Price (INR)],"Not Found",0)</f>
        <v>1534</v>
      </c>
      <c r="R574" s="19">
        <f>tblMaster[[#This Row],[Price]]*tblMaster[[#This Row],[Quantity]]</f>
        <v>7670</v>
      </c>
      <c r="S574" s="19">
        <f>tblMaster[[#This Row],[Price]]*0.7*tblMaster[[#This Row],[Quantity]]</f>
        <v>5369</v>
      </c>
      <c r="T574" s="19">
        <f>tblMaster[[#This Row],[Revenue]]-tblMaster[[#This Row],[Estimated Cost (at 70%) ]]</f>
        <v>2301</v>
      </c>
      <c r="U574" s="19">
        <f>tblMaster[[#This Row],[Profit]]/tblMaster[[#This Row],[Revenue]]</f>
        <v>0.3</v>
      </c>
      <c r="V574" s="19">
        <f>tblMaster[[#This Row],[Delivery_Date]]-tblMaster[[#This Row],[Order_Date]]</f>
        <v>6</v>
      </c>
      <c r="W574" s="19" t="str">
        <f>TEXT(tblMaster[[#This Row],[Order_Date]],"mmmm")</f>
        <v>February</v>
      </c>
      <c r="X574" s="19">
        <f>MONTH(tblMaster[[#This Row],[Order_Date]])</f>
        <v>2</v>
      </c>
      <c r="Y574" s="19" t="str">
        <f>"Q"&amp;ROUNDUP(tblMaster[[#This Row],[Month Number]]/3,0)</f>
        <v>Q1</v>
      </c>
      <c r="Z574" s="19">
        <f>YEAR(tblMaster[[#This Row],[Order_Date]])</f>
        <v>2023</v>
      </c>
      <c r="AA574" s="19" t="str">
        <f>TEXT(DAY(tblMaster[[#This Row],[Order_Date]]),"dddd")</f>
        <v>Sunday</v>
      </c>
      <c r="AB574" s="19" t="str">
        <f>IF(tblMaster[[#This Row],[Revenue]]&gt;=5000,"High",IF(tblMaster[[#This Row],[Revenue]]&lt;2000,"Low","Medium"))</f>
        <v>High</v>
      </c>
    </row>
    <row r="575" spans="1:28" x14ac:dyDescent="0.25">
      <c r="A575" s="10">
        <v>574</v>
      </c>
      <c r="B575" s="10" t="s">
        <v>216</v>
      </c>
      <c r="C575" s="5">
        <v>29</v>
      </c>
      <c r="D575" s="5">
        <v>3</v>
      </c>
      <c r="E575" s="11">
        <v>44987</v>
      </c>
      <c r="F575" s="12">
        <v>0.99798611111111113</v>
      </c>
      <c r="G575" s="11">
        <v>44991</v>
      </c>
      <c r="H575" s="12">
        <v>0.90638888888888891</v>
      </c>
      <c r="I575" s="10" t="s">
        <v>255</v>
      </c>
      <c r="J575" s="10" t="s">
        <v>25</v>
      </c>
      <c r="K575" s="18" t="str">
        <f>_xlfn.XLOOKUP(tblMaster[[#This Row],[Customer_ID]],tblCustomers[Customer_ID],tblCustomers[City],"Not Found",0)</f>
        <v>Srikakulam</v>
      </c>
      <c r="L575" s="18" t="str">
        <f>_xlfn.XLOOKUP(tblMaster[[#This Row],[Customer_ID]],tblCustomers[Customer_ID],tblCustomers[Name],"Not Found",0)</f>
        <v>Indrajit Kale</v>
      </c>
      <c r="M575" s="18" t="str">
        <f>_xlfn.XLOOKUP(tblMaster[[#This Row],[Customer_ID]],tblCustomers[Customer_ID],tblCustomers[Gender],"Not Found",0)</f>
        <v>Male</v>
      </c>
      <c r="N575" s="18" t="str">
        <f>_xlfn.XLOOKUP(tblMaster[[#This Row],[Product_ID]],tblProducts[Product_ID],tblProducts[Product_Name],"Not Found",0)</f>
        <v>In Set</v>
      </c>
      <c r="O575" s="18" t="str">
        <f>_xlfn.XLOOKUP(tblMaster[[#This Row],[Product_ID]],tblProducts[Product_ID],tblProducts[Category],"Not Found",0)</f>
        <v>Colors</v>
      </c>
      <c r="P575" s="18" t="str">
        <f>_xlfn.XLOOKUP(tblMaster[[#This Row],[Product_ID]],tblProducts[Product_ID],tblProducts[Occasion],"Not Found",0)</f>
        <v>Holi</v>
      </c>
      <c r="Q575" s="18">
        <f>_xlfn.XLOOKUP(tblMaster[[#This Row],[Product_ID]],tblProducts[Product_ID],tblProducts[Price (INR)],"Not Found",0)</f>
        <v>1252</v>
      </c>
      <c r="R575" s="19">
        <f>tblMaster[[#This Row],[Price]]*tblMaster[[#This Row],[Quantity]]</f>
        <v>3756</v>
      </c>
      <c r="S575" s="19">
        <f>tblMaster[[#This Row],[Price]]*0.7*tblMaster[[#This Row],[Quantity]]</f>
        <v>2629.2</v>
      </c>
      <c r="T575" s="19">
        <f>tblMaster[[#This Row],[Revenue]]-tblMaster[[#This Row],[Estimated Cost (at 70%) ]]</f>
        <v>1126.8000000000002</v>
      </c>
      <c r="U575" s="19">
        <f>tblMaster[[#This Row],[Profit]]/tblMaster[[#This Row],[Revenue]]</f>
        <v>0.30000000000000004</v>
      </c>
      <c r="V575" s="19">
        <f>tblMaster[[#This Row],[Delivery_Date]]-tblMaster[[#This Row],[Order_Date]]</f>
        <v>4</v>
      </c>
      <c r="W575" s="19" t="str">
        <f>TEXT(tblMaster[[#This Row],[Order_Date]],"mmmm")</f>
        <v>March</v>
      </c>
      <c r="X575" s="19">
        <f>MONTH(tblMaster[[#This Row],[Order_Date]])</f>
        <v>3</v>
      </c>
      <c r="Y575" s="19" t="str">
        <f>"Q"&amp;ROUNDUP(tblMaster[[#This Row],[Month Number]]/3,0)</f>
        <v>Q1</v>
      </c>
      <c r="Z575" s="19">
        <f>YEAR(tblMaster[[#This Row],[Order_Date]])</f>
        <v>2023</v>
      </c>
      <c r="AA575" s="19" t="str">
        <f>TEXT(DAY(tblMaster[[#This Row],[Order_Date]]),"dddd")</f>
        <v>Monday</v>
      </c>
      <c r="AB575" s="19" t="str">
        <f>IF(tblMaster[[#This Row],[Revenue]]&gt;=5000,"High",IF(tblMaster[[#This Row],[Revenue]]&lt;2000,"Low","Medium"))</f>
        <v>Medium</v>
      </c>
    </row>
    <row r="576" spans="1:28" x14ac:dyDescent="0.25">
      <c r="A576" s="7">
        <v>575</v>
      </c>
      <c r="B576" s="7" t="s">
        <v>417</v>
      </c>
      <c r="C576" s="4">
        <v>49</v>
      </c>
      <c r="D576" s="4">
        <v>2</v>
      </c>
      <c r="E576" s="8">
        <v>44963</v>
      </c>
      <c r="F576" s="9">
        <v>0.5587037037037037</v>
      </c>
      <c r="G576" s="8">
        <v>44966</v>
      </c>
      <c r="H576" s="9">
        <v>0.62162037037037032</v>
      </c>
      <c r="I576" s="7" t="s">
        <v>196</v>
      </c>
      <c r="J576" s="7" t="s">
        <v>12</v>
      </c>
      <c r="K576" s="18" t="str">
        <f>_xlfn.XLOOKUP(tblMaster[[#This Row],[Customer_ID]],tblCustomers[Customer_ID],tblCustomers[City],"Not Found",0)</f>
        <v>Gaya</v>
      </c>
      <c r="L576" s="18" t="str">
        <f>_xlfn.XLOOKUP(tblMaster[[#This Row],[Customer_ID]],tblCustomers[Customer_ID],tblCustomers[Name],"Not Found",0)</f>
        <v>Oorja Dayal</v>
      </c>
      <c r="M576" s="18" t="str">
        <f>_xlfn.XLOOKUP(tblMaster[[#This Row],[Customer_ID]],tblCustomers[Customer_ID],tblCustomers[Gender],"Not Found",0)</f>
        <v>Female</v>
      </c>
      <c r="N576" s="18" t="str">
        <f>_xlfn.XLOOKUP(tblMaster[[#This Row],[Product_ID]],tblProducts[Product_ID],tblProducts[Product_Name],"Not Found",0)</f>
        <v>Voluptate Pack</v>
      </c>
      <c r="O576" s="18" t="str">
        <f>_xlfn.XLOOKUP(tblMaster[[#This Row],[Product_ID]],tblProducts[Product_ID],tblProducts[Category],"Not Found",0)</f>
        <v>Colors</v>
      </c>
      <c r="P576" s="18" t="str">
        <f>_xlfn.XLOOKUP(tblMaster[[#This Row],[Product_ID]],tblProducts[Product_ID],tblProducts[Occasion],"Not Found",0)</f>
        <v>Valentine's Day</v>
      </c>
      <c r="Q576" s="18">
        <f>_xlfn.XLOOKUP(tblMaster[[#This Row],[Product_ID]],tblProducts[Product_ID],tblProducts[Price (INR)],"Not Found",0)</f>
        <v>903</v>
      </c>
      <c r="R576" s="19">
        <f>tblMaster[[#This Row],[Price]]*tblMaster[[#This Row],[Quantity]]</f>
        <v>1806</v>
      </c>
      <c r="S576" s="19">
        <f>tblMaster[[#This Row],[Price]]*0.7*tblMaster[[#This Row],[Quantity]]</f>
        <v>1264.1999999999998</v>
      </c>
      <c r="T576" s="19">
        <f>tblMaster[[#This Row],[Revenue]]-tblMaster[[#This Row],[Estimated Cost (at 70%) ]]</f>
        <v>541.80000000000018</v>
      </c>
      <c r="U576" s="19">
        <f>tblMaster[[#This Row],[Profit]]/tblMaster[[#This Row],[Revenue]]</f>
        <v>0.3000000000000001</v>
      </c>
      <c r="V576" s="19">
        <f>tblMaster[[#This Row],[Delivery_Date]]-tblMaster[[#This Row],[Order_Date]]</f>
        <v>3</v>
      </c>
      <c r="W576" s="19" t="str">
        <f>TEXT(tblMaster[[#This Row],[Order_Date]],"mmmm")</f>
        <v>February</v>
      </c>
      <c r="X576" s="19">
        <f>MONTH(tblMaster[[#This Row],[Order_Date]])</f>
        <v>2</v>
      </c>
      <c r="Y576" s="19" t="str">
        <f>"Q"&amp;ROUNDUP(tblMaster[[#This Row],[Month Number]]/3,0)</f>
        <v>Q1</v>
      </c>
      <c r="Z576" s="19">
        <f>YEAR(tblMaster[[#This Row],[Order_Date]])</f>
        <v>2023</v>
      </c>
      <c r="AA576" s="19" t="str">
        <f>TEXT(DAY(tblMaster[[#This Row],[Order_Date]]),"dddd")</f>
        <v>Friday</v>
      </c>
      <c r="AB576" s="19" t="str">
        <f>IF(tblMaster[[#This Row],[Revenue]]&gt;=5000,"High",IF(tblMaster[[#This Row],[Revenue]]&lt;2000,"Low","Medium"))</f>
        <v>Low</v>
      </c>
    </row>
    <row r="577" spans="1:28" x14ac:dyDescent="0.25">
      <c r="A577" s="10">
        <v>576</v>
      </c>
      <c r="B577" s="10" t="s">
        <v>267</v>
      </c>
      <c r="C577" s="5">
        <v>53</v>
      </c>
      <c r="D577" s="5">
        <v>4</v>
      </c>
      <c r="E577" s="11">
        <v>45158</v>
      </c>
      <c r="F577" s="12">
        <v>0.29487268518518517</v>
      </c>
      <c r="G577" s="11">
        <v>45164</v>
      </c>
      <c r="H577" s="12">
        <v>0.33471064814814816</v>
      </c>
      <c r="I577" s="10" t="s">
        <v>300</v>
      </c>
      <c r="J577" s="10" t="s">
        <v>33</v>
      </c>
      <c r="K577" s="18" t="str">
        <f>_xlfn.XLOOKUP(tblMaster[[#This Row],[Customer_ID]],tblCustomers[Customer_ID],tblCustomers[City],"Not Found",0)</f>
        <v>Sultan Pur Majra</v>
      </c>
      <c r="L577" s="18" t="str">
        <f>_xlfn.XLOOKUP(tblMaster[[#This Row],[Customer_ID]],tblCustomers[Customer_ID],tblCustomers[Name],"Not Found",0)</f>
        <v>Vanya Apte</v>
      </c>
      <c r="M577" s="18" t="str">
        <f>_xlfn.XLOOKUP(tblMaster[[#This Row],[Customer_ID]],tblCustomers[Customer_ID],tblCustomers[Gender],"Not Found",0)</f>
        <v>Female</v>
      </c>
      <c r="N577" s="18" t="str">
        <f>_xlfn.XLOOKUP(tblMaster[[#This Row],[Product_ID]],tblProducts[Product_ID],tblProducts[Product_Name],"Not Found",0)</f>
        <v>Ipsam Set</v>
      </c>
      <c r="O577" s="18" t="str">
        <f>_xlfn.XLOOKUP(tblMaster[[#This Row],[Product_ID]],tblProducts[Product_ID],tblProducts[Category],"Not Found",0)</f>
        <v>Sweets</v>
      </c>
      <c r="P577" s="18" t="str">
        <f>_xlfn.XLOOKUP(tblMaster[[#This Row],[Product_ID]],tblProducts[Product_ID],tblProducts[Occasion],"Not Found",0)</f>
        <v>Raksha Bandhan</v>
      </c>
      <c r="Q577" s="18">
        <f>_xlfn.XLOOKUP(tblMaster[[#This Row],[Product_ID]],tblProducts[Product_ID],tblProducts[Price (INR)],"Not Found",0)</f>
        <v>1672</v>
      </c>
      <c r="R577" s="19">
        <f>tblMaster[[#This Row],[Price]]*tblMaster[[#This Row],[Quantity]]</f>
        <v>6688</v>
      </c>
      <c r="S577" s="19">
        <f>tblMaster[[#This Row],[Price]]*0.7*tblMaster[[#This Row],[Quantity]]</f>
        <v>4681.5999999999995</v>
      </c>
      <c r="T577" s="19">
        <f>tblMaster[[#This Row],[Revenue]]-tblMaster[[#This Row],[Estimated Cost (at 70%) ]]</f>
        <v>2006.4000000000005</v>
      </c>
      <c r="U577" s="19">
        <f>tblMaster[[#This Row],[Profit]]/tblMaster[[#This Row],[Revenue]]</f>
        <v>0.3000000000000001</v>
      </c>
      <c r="V577" s="19">
        <f>tblMaster[[#This Row],[Delivery_Date]]-tblMaster[[#This Row],[Order_Date]]</f>
        <v>6</v>
      </c>
      <c r="W577" s="19" t="str">
        <f>TEXT(tblMaster[[#This Row],[Order_Date]],"mmmm")</f>
        <v>August</v>
      </c>
      <c r="X577" s="19">
        <f>MONTH(tblMaster[[#This Row],[Order_Date]])</f>
        <v>8</v>
      </c>
      <c r="Y577" s="19" t="str">
        <f>"Q"&amp;ROUNDUP(tblMaster[[#This Row],[Month Number]]/3,0)</f>
        <v>Q3</v>
      </c>
      <c r="Z577" s="19">
        <f>YEAR(tblMaster[[#This Row],[Order_Date]])</f>
        <v>2023</v>
      </c>
      <c r="AA577" s="19" t="str">
        <f>TEXT(DAY(tblMaster[[#This Row],[Order_Date]]),"dddd")</f>
        <v>Friday</v>
      </c>
      <c r="AB577" s="19" t="str">
        <f>IF(tblMaster[[#This Row],[Revenue]]&gt;=5000,"High",IF(tblMaster[[#This Row],[Revenue]]&lt;2000,"Low","Medium"))</f>
        <v>High</v>
      </c>
    </row>
    <row r="578" spans="1:28" x14ac:dyDescent="0.25">
      <c r="A578" s="7">
        <v>577</v>
      </c>
      <c r="B578" s="7" t="s">
        <v>289</v>
      </c>
      <c r="C578" s="4">
        <v>20</v>
      </c>
      <c r="D578" s="4">
        <v>4</v>
      </c>
      <c r="E578" s="8">
        <v>45227</v>
      </c>
      <c r="F578" s="9">
        <v>0.61905092592592592</v>
      </c>
      <c r="G578" s="8">
        <v>45235</v>
      </c>
      <c r="H578" s="9">
        <v>0.78524305555555551</v>
      </c>
      <c r="I578" s="7" t="s">
        <v>506</v>
      </c>
      <c r="J578" s="7" t="s">
        <v>30</v>
      </c>
      <c r="K578" s="18" t="str">
        <f>_xlfn.XLOOKUP(tblMaster[[#This Row],[Customer_ID]],tblCustomers[Customer_ID],tblCustomers[City],"Not Found",0)</f>
        <v>Chinsurah</v>
      </c>
      <c r="L578" s="18" t="str">
        <f>_xlfn.XLOOKUP(tblMaster[[#This Row],[Customer_ID]],tblCustomers[Customer_ID],tblCustomers[Name],"Not Found",0)</f>
        <v>Veer Ray</v>
      </c>
      <c r="M578" s="18" t="str">
        <f>_xlfn.XLOOKUP(tblMaster[[#This Row],[Customer_ID]],tblCustomers[Customer_ID],tblCustomers[Gender],"Not Found",0)</f>
        <v>Female</v>
      </c>
      <c r="N578" s="18" t="str">
        <f>_xlfn.XLOOKUP(tblMaster[[#This Row],[Product_ID]],tblProducts[Product_ID],tblProducts[Product_Name],"Not Found",0)</f>
        <v>Reiciendis Box</v>
      </c>
      <c r="O578" s="18" t="str">
        <f>_xlfn.XLOOKUP(tblMaster[[#This Row],[Product_ID]],tblProducts[Product_ID],tblProducts[Category],"Not Found",0)</f>
        <v>Colors</v>
      </c>
      <c r="P578" s="18" t="str">
        <f>_xlfn.XLOOKUP(tblMaster[[#This Row],[Product_ID]],tblProducts[Product_ID],tblProducts[Occasion],"Not Found",0)</f>
        <v>Anniversary</v>
      </c>
      <c r="Q578" s="18">
        <f>_xlfn.XLOOKUP(tblMaster[[#This Row],[Product_ID]],tblProducts[Product_ID],tblProducts[Price (INR)],"Not Found",0)</f>
        <v>697</v>
      </c>
      <c r="R578" s="19">
        <f>tblMaster[[#This Row],[Price]]*tblMaster[[#This Row],[Quantity]]</f>
        <v>2788</v>
      </c>
      <c r="S578" s="19">
        <f>tblMaster[[#This Row],[Price]]*0.7*tblMaster[[#This Row],[Quantity]]</f>
        <v>1951.6</v>
      </c>
      <c r="T578" s="19">
        <f>tblMaster[[#This Row],[Revenue]]-tblMaster[[#This Row],[Estimated Cost (at 70%) ]]</f>
        <v>836.40000000000009</v>
      </c>
      <c r="U578" s="19">
        <f>tblMaster[[#This Row],[Profit]]/tblMaster[[#This Row],[Revenue]]</f>
        <v>0.30000000000000004</v>
      </c>
      <c r="V578" s="19">
        <f>tblMaster[[#This Row],[Delivery_Date]]-tblMaster[[#This Row],[Order_Date]]</f>
        <v>8</v>
      </c>
      <c r="W578" s="19" t="str">
        <f>TEXT(tblMaster[[#This Row],[Order_Date]],"mmmm")</f>
        <v>October</v>
      </c>
      <c r="X578" s="19">
        <f>MONTH(tblMaster[[#This Row],[Order_Date]])</f>
        <v>10</v>
      </c>
      <c r="Y578" s="19" t="str">
        <f>"Q"&amp;ROUNDUP(tblMaster[[#This Row],[Month Number]]/3,0)</f>
        <v>Q4</v>
      </c>
      <c r="Z578" s="19">
        <f>YEAR(tblMaster[[#This Row],[Order_Date]])</f>
        <v>2023</v>
      </c>
      <c r="AA578" s="19" t="str">
        <f>TEXT(DAY(tblMaster[[#This Row],[Order_Date]]),"dddd")</f>
        <v>Saturday</v>
      </c>
      <c r="AB578" s="19" t="str">
        <f>IF(tblMaster[[#This Row],[Revenue]]&gt;=5000,"High",IF(tblMaster[[#This Row],[Revenue]]&lt;2000,"Low","Medium"))</f>
        <v>Medium</v>
      </c>
    </row>
    <row r="579" spans="1:28" x14ac:dyDescent="0.25">
      <c r="A579" s="10">
        <v>578</v>
      </c>
      <c r="B579" s="10" t="s">
        <v>289</v>
      </c>
      <c r="C579" s="5">
        <v>18</v>
      </c>
      <c r="D579" s="5">
        <v>4</v>
      </c>
      <c r="E579" s="11">
        <v>45138</v>
      </c>
      <c r="F579" s="12">
        <v>0.76921296296296293</v>
      </c>
      <c r="G579" s="11">
        <v>45144</v>
      </c>
      <c r="H579" s="12">
        <v>0.69681712962962961</v>
      </c>
      <c r="I579" s="10" t="s">
        <v>306</v>
      </c>
      <c r="J579" s="10" t="s">
        <v>36</v>
      </c>
      <c r="K579" s="18" t="str">
        <f>_xlfn.XLOOKUP(tblMaster[[#This Row],[Customer_ID]],tblCustomers[Customer_ID],tblCustomers[City],"Not Found",0)</f>
        <v>Chinsurah</v>
      </c>
      <c r="L579" s="18" t="str">
        <f>_xlfn.XLOOKUP(tblMaster[[#This Row],[Customer_ID]],tblCustomers[Customer_ID],tblCustomers[Name],"Not Found",0)</f>
        <v>Veer Ray</v>
      </c>
      <c r="M579" s="18" t="str">
        <f>_xlfn.XLOOKUP(tblMaster[[#This Row],[Customer_ID]],tblCustomers[Customer_ID],tblCustomers[Gender],"Not Found",0)</f>
        <v>Female</v>
      </c>
      <c r="N579" s="18" t="str">
        <f>_xlfn.XLOOKUP(tblMaster[[#This Row],[Product_ID]],tblProducts[Product_ID],tblProducts[Product_Name],"Not Found",0)</f>
        <v>Nemo Set</v>
      </c>
      <c r="O579" s="18" t="str">
        <f>_xlfn.XLOOKUP(tblMaster[[#This Row],[Product_ID]],tblProducts[Product_ID],tblProducts[Category],"Not Found",0)</f>
        <v>Plants</v>
      </c>
      <c r="P579" s="18" t="str">
        <f>_xlfn.XLOOKUP(tblMaster[[#This Row],[Product_ID]],tblProducts[Product_ID],tblProducts[Occasion],"Not Found",0)</f>
        <v>Birthday</v>
      </c>
      <c r="Q579" s="18">
        <f>_xlfn.XLOOKUP(tblMaster[[#This Row],[Product_ID]],tblProducts[Product_ID],tblProducts[Price (INR)],"Not Found",0)</f>
        <v>781</v>
      </c>
      <c r="R579" s="19">
        <f>tblMaster[[#This Row],[Price]]*tblMaster[[#This Row],[Quantity]]</f>
        <v>3124</v>
      </c>
      <c r="S579" s="19">
        <f>tblMaster[[#This Row],[Price]]*0.7*tblMaster[[#This Row],[Quantity]]</f>
        <v>2186.7999999999997</v>
      </c>
      <c r="T579" s="19">
        <f>tblMaster[[#This Row],[Revenue]]-tblMaster[[#This Row],[Estimated Cost (at 70%) ]]</f>
        <v>937.20000000000027</v>
      </c>
      <c r="U579" s="19">
        <f>tblMaster[[#This Row],[Profit]]/tblMaster[[#This Row],[Revenue]]</f>
        <v>0.3000000000000001</v>
      </c>
      <c r="V579" s="19">
        <f>tblMaster[[#This Row],[Delivery_Date]]-tblMaster[[#This Row],[Order_Date]]</f>
        <v>6</v>
      </c>
      <c r="W579" s="19" t="str">
        <f>TEXT(tblMaster[[#This Row],[Order_Date]],"mmmm")</f>
        <v>July</v>
      </c>
      <c r="X579" s="19">
        <f>MONTH(tblMaster[[#This Row],[Order_Date]])</f>
        <v>7</v>
      </c>
      <c r="Y579" s="19" t="str">
        <f>"Q"&amp;ROUNDUP(tblMaster[[#This Row],[Month Number]]/3,0)</f>
        <v>Q3</v>
      </c>
      <c r="Z579" s="19">
        <f>YEAR(tblMaster[[#This Row],[Order_Date]])</f>
        <v>2023</v>
      </c>
      <c r="AA579" s="19" t="str">
        <f>TEXT(DAY(tblMaster[[#This Row],[Order_Date]]),"dddd")</f>
        <v>Tuesday</v>
      </c>
      <c r="AB579" s="19" t="str">
        <f>IF(tblMaster[[#This Row],[Revenue]]&gt;=5000,"High",IF(tblMaster[[#This Row],[Revenue]]&lt;2000,"Low","Medium"))</f>
        <v>Medium</v>
      </c>
    </row>
    <row r="580" spans="1:28" x14ac:dyDescent="0.25">
      <c r="A580" s="7">
        <v>579</v>
      </c>
      <c r="B580" s="7" t="s">
        <v>361</v>
      </c>
      <c r="C580" s="4">
        <v>29</v>
      </c>
      <c r="D580" s="4">
        <v>2</v>
      </c>
      <c r="E580" s="8">
        <v>44992</v>
      </c>
      <c r="F580" s="9">
        <v>0.9018518518518519</v>
      </c>
      <c r="G580" s="8">
        <v>44999</v>
      </c>
      <c r="H580" s="9">
        <v>0.44798611111111108</v>
      </c>
      <c r="I580" s="7" t="s">
        <v>474</v>
      </c>
      <c r="J580" s="7" t="s">
        <v>25</v>
      </c>
      <c r="K580" s="18" t="str">
        <f>_xlfn.XLOOKUP(tblMaster[[#This Row],[Customer_ID]],tblCustomers[Customer_ID],tblCustomers[City],"Not Found",0)</f>
        <v>Dibrugarh</v>
      </c>
      <c r="L580" s="18" t="str">
        <f>_xlfn.XLOOKUP(tblMaster[[#This Row],[Customer_ID]],tblCustomers[Customer_ID],tblCustomers[Name],"Not Found",0)</f>
        <v>Zoya Mani</v>
      </c>
      <c r="M580" s="18" t="str">
        <f>_xlfn.XLOOKUP(tblMaster[[#This Row],[Customer_ID]],tblCustomers[Customer_ID],tblCustomers[Gender],"Not Found",0)</f>
        <v>Male</v>
      </c>
      <c r="N580" s="18" t="str">
        <f>_xlfn.XLOOKUP(tblMaster[[#This Row],[Product_ID]],tblProducts[Product_ID],tblProducts[Product_Name],"Not Found",0)</f>
        <v>In Set</v>
      </c>
      <c r="O580" s="18" t="str">
        <f>_xlfn.XLOOKUP(tblMaster[[#This Row],[Product_ID]],tblProducts[Product_ID],tblProducts[Category],"Not Found",0)</f>
        <v>Colors</v>
      </c>
      <c r="P580" s="18" t="str">
        <f>_xlfn.XLOOKUP(tblMaster[[#This Row],[Product_ID]],tblProducts[Product_ID],tblProducts[Occasion],"Not Found",0)</f>
        <v>Holi</v>
      </c>
      <c r="Q580" s="18">
        <f>_xlfn.XLOOKUP(tblMaster[[#This Row],[Product_ID]],tblProducts[Product_ID],tblProducts[Price (INR)],"Not Found",0)</f>
        <v>1252</v>
      </c>
      <c r="R580" s="19">
        <f>tblMaster[[#This Row],[Price]]*tblMaster[[#This Row],[Quantity]]</f>
        <v>2504</v>
      </c>
      <c r="S580" s="19">
        <f>tblMaster[[#This Row],[Price]]*0.7*tblMaster[[#This Row],[Quantity]]</f>
        <v>1752.8</v>
      </c>
      <c r="T580" s="19">
        <f>tblMaster[[#This Row],[Revenue]]-tblMaster[[#This Row],[Estimated Cost (at 70%) ]]</f>
        <v>751.2</v>
      </c>
      <c r="U580" s="19">
        <f>tblMaster[[#This Row],[Profit]]/tblMaster[[#This Row],[Revenue]]</f>
        <v>0.30000000000000004</v>
      </c>
      <c r="V580" s="19">
        <f>tblMaster[[#This Row],[Delivery_Date]]-tblMaster[[#This Row],[Order_Date]]</f>
        <v>7</v>
      </c>
      <c r="W580" s="19" t="str">
        <f>TEXT(tblMaster[[#This Row],[Order_Date]],"mmmm")</f>
        <v>March</v>
      </c>
      <c r="X580" s="19">
        <f>MONTH(tblMaster[[#This Row],[Order_Date]])</f>
        <v>3</v>
      </c>
      <c r="Y580" s="19" t="str">
        <f>"Q"&amp;ROUNDUP(tblMaster[[#This Row],[Month Number]]/3,0)</f>
        <v>Q1</v>
      </c>
      <c r="Z580" s="19">
        <f>YEAR(tblMaster[[#This Row],[Order_Date]])</f>
        <v>2023</v>
      </c>
      <c r="AA580" s="19" t="str">
        <f>TEXT(DAY(tblMaster[[#This Row],[Order_Date]]),"dddd")</f>
        <v>Saturday</v>
      </c>
      <c r="AB580" s="19" t="str">
        <f>IF(tblMaster[[#This Row],[Revenue]]&gt;=5000,"High",IF(tblMaster[[#This Row],[Revenue]]&lt;2000,"Low","Medium"))</f>
        <v>Medium</v>
      </c>
    </row>
    <row r="581" spans="1:28" x14ac:dyDescent="0.25">
      <c r="A581" s="10">
        <v>580</v>
      </c>
      <c r="B581" s="10" t="s">
        <v>398</v>
      </c>
      <c r="C581" s="5">
        <v>24</v>
      </c>
      <c r="D581" s="5">
        <v>4</v>
      </c>
      <c r="E581" s="11">
        <v>45093</v>
      </c>
      <c r="F581" s="12">
        <v>0.91888888888888887</v>
      </c>
      <c r="G581" s="11">
        <v>45097</v>
      </c>
      <c r="H581" s="12">
        <v>0.51784722222222224</v>
      </c>
      <c r="I581" s="10" t="s">
        <v>414</v>
      </c>
      <c r="J581" s="10" t="s">
        <v>36</v>
      </c>
      <c r="K581" s="18" t="str">
        <f>_xlfn.XLOOKUP(tblMaster[[#This Row],[Customer_ID]],tblCustomers[Customer_ID],tblCustomers[City],"Not Found",0)</f>
        <v>Tumkur</v>
      </c>
      <c r="L581" s="18" t="str">
        <f>_xlfn.XLOOKUP(tblMaster[[#This Row],[Customer_ID]],tblCustomers[Customer_ID],tblCustomers[Name],"Not Found",0)</f>
        <v>Mamooty Bawa</v>
      </c>
      <c r="M581" s="18" t="str">
        <f>_xlfn.XLOOKUP(tblMaster[[#This Row],[Customer_ID]],tblCustomers[Customer_ID],tblCustomers[Gender],"Not Found",0)</f>
        <v>Male</v>
      </c>
      <c r="N581" s="18" t="str">
        <f>_xlfn.XLOOKUP(tblMaster[[#This Row],[Product_ID]],tblProducts[Product_ID],tblProducts[Product_Name],"Not Found",0)</f>
        <v>Ad Box</v>
      </c>
      <c r="O581" s="18" t="str">
        <f>_xlfn.XLOOKUP(tblMaster[[#This Row],[Product_ID]],tblProducts[Product_ID],tblProducts[Category],"Not Found",0)</f>
        <v>Mugs</v>
      </c>
      <c r="P581" s="18" t="str">
        <f>_xlfn.XLOOKUP(tblMaster[[#This Row],[Product_ID]],tblProducts[Product_ID],tblProducts[Occasion],"Not Found",0)</f>
        <v>Birthday</v>
      </c>
      <c r="Q581" s="18">
        <f>_xlfn.XLOOKUP(tblMaster[[#This Row],[Product_ID]],tblProducts[Product_ID],tblProducts[Price (INR)],"Not Found",0)</f>
        <v>535</v>
      </c>
      <c r="R581" s="19">
        <f>tblMaster[[#This Row],[Price]]*tblMaster[[#This Row],[Quantity]]</f>
        <v>2140</v>
      </c>
      <c r="S581" s="19">
        <f>tblMaster[[#This Row],[Price]]*0.7*tblMaster[[#This Row],[Quantity]]</f>
        <v>1498</v>
      </c>
      <c r="T581" s="19">
        <f>tblMaster[[#This Row],[Revenue]]-tblMaster[[#This Row],[Estimated Cost (at 70%) ]]</f>
        <v>642</v>
      </c>
      <c r="U581" s="19">
        <f>tblMaster[[#This Row],[Profit]]/tblMaster[[#This Row],[Revenue]]</f>
        <v>0.3</v>
      </c>
      <c r="V581" s="19">
        <f>tblMaster[[#This Row],[Delivery_Date]]-tblMaster[[#This Row],[Order_Date]]</f>
        <v>4</v>
      </c>
      <c r="W581" s="19" t="str">
        <f>TEXT(tblMaster[[#This Row],[Order_Date]],"mmmm")</f>
        <v>June</v>
      </c>
      <c r="X581" s="19">
        <f>MONTH(tblMaster[[#This Row],[Order_Date]])</f>
        <v>6</v>
      </c>
      <c r="Y581" s="19" t="str">
        <f>"Q"&amp;ROUNDUP(tblMaster[[#This Row],[Month Number]]/3,0)</f>
        <v>Q2</v>
      </c>
      <c r="Z581" s="19">
        <f>YEAR(tblMaster[[#This Row],[Order_Date]])</f>
        <v>2023</v>
      </c>
      <c r="AA581" s="19" t="str">
        <f>TEXT(DAY(tblMaster[[#This Row],[Order_Date]]),"dddd")</f>
        <v>Monday</v>
      </c>
      <c r="AB581" s="19" t="str">
        <f>IF(tblMaster[[#This Row],[Revenue]]&gt;=5000,"High",IF(tblMaster[[#This Row],[Revenue]]&lt;2000,"Low","Medium"))</f>
        <v>Medium</v>
      </c>
    </row>
    <row r="582" spans="1:28" x14ac:dyDescent="0.25">
      <c r="A582" s="7">
        <v>581</v>
      </c>
      <c r="B582" s="7" t="s">
        <v>316</v>
      </c>
      <c r="C582" s="4">
        <v>18</v>
      </c>
      <c r="D582" s="4">
        <v>2</v>
      </c>
      <c r="E582" s="8">
        <v>45109</v>
      </c>
      <c r="F582" s="9">
        <v>8.9155092592592591E-2</v>
      </c>
      <c r="G582" s="8">
        <v>45118</v>
      </c>
      <c r="H582" s="9">
        <v>0.62290509259259264</v>
      </c>
      <c r="I582" s="7" t="s">
        <v>282</v>
      </c>
      <c r="J582" s="7" t="s">
        <v>36</v>
      </c>
      <c r="K582" s="18" t="str">
        <f>_xlfn.XLOOKUP(tblMaster[[#This Row],[Customer_ID]],tblCustomers[Customer_ID],tblCustomers[City],"Not Found",0)</f>
        <v>Ahmednagar</v>
      </c>
      <c r="L582" s="18" t="str">
        <f>_xlfn.XLOOKUP(tblMaster[[#This Row],[Customer_ID]],tblCustomers[Customer_ID],tblCustomers[Name],"Not Found",0)</f>
        <v>Anya Chaudhari</v>
      </c>
      <c r="M582" s="18" t="str">
        <f>_xlfn.XLOOKUP(tblMaster[[#This Row],[Customer_ID]],tblCustomers[Customer_ID],tblCustomers[Gender],"Not Found",0)</f>
        <v>Female</v>
      </c>
      <c r="N582" s="18" t="str">
        <f>_xlfn.XLOOKUP(tblMaster[[#This Row],[Product_ID]],tblProducts[Product_ID],tblProducts[Product_Name],"Not Found",0)</f>
        <v>Nemo Set</v>
      </c>
      <c r="O582" s="18" t="str">
        <f>_xlfn.XLOOKUP(tblMaster[[#This Row],[Product_ID]],tblProducts[Product_ID],tblProducts[Category],"Not Found",0)</f>
        <v>Plants</v>
      </c>
      <c r="P582" s="18" t="str">
        <f>_xlfn.XLOOKUP(tblMaster[[#This Row],[Product_ID]],tblProducts[Product_ID],tblProducts[Occasion],"Not Found",0)</f>
        <v>Birthday</v>
      </c>
      <c r="Q582" s="18">
        <f>_xlfn.XLOOKUP(tblMaster[[#This Row],[Product_ID]],tblProducts[Product_ID],tblProducts[Price (INR)],"Not Found",0)</f>
        <v>781</v>
      </c>
      <c r="R582" s="19">
        <f>tblMaster[[#This Row],[Price]]*tblMaster[[#This Row],[Quantity]]</f>
        <v>1562</v>
      </c>
      <c r="S582" s="19">
        <f>tblMaster[[#This Row],[Price]]*0.7*tblMaster[[#This Row],[Quantity]]</f>
        <v>1093.3999999999999</v>
      </c>
      <c r="T582" s="19">
        <f>tblMaster[[#This Row],[Revenue]]-tblMaster[[#This Row],[Estimated Cost (at 70%) ]]</f>
        <v>468.60000000000014</v>
      </c>
      <c r="U582" s="19">
        <f>tblMaster[[#This Row],[Profit]]/tblMaster[[#This Row],[Revenue]]</f>
        <v>0.3000000000000001</v>
      </c>
      <c r="V582" s="19">
        <f>tblMaster[[#This Row],[Delivery_Date]]-tblMaster[[#This Row],[Order_Date]]</f>
        <v>9</v>
      </c>
      <c r="W582" s="19" t="str">
        <f>TEXT(tblMaster[[#This Row],[Order_Date]],"mmmm")</f>
        <v>July</v>
      </c>
      <c r="X582" s="19">
        <f>MONTH(tblMaster[[#This Row],[Order_Date]])</f>
        <v>7</v>
      </c>
      <c r="Y582" s="19" t="str">
        <f>"Q"&amp;ROUNDUP(tblMaster[[#This Row],[Month Number]]/3,0)</f>
        <v>Q3</v>
      </c>
      <c r="Z582" s="19">
        <f>YEAR(tblMaster[[#This Row],[Order_Date]])</f>
        <v>2023</v>
      </c>
      <c r="AA582" s="19" t="str">
        <f>TEXT(DAY(tblMaster[[#This Row],[Order_Date]]),"dddd")</f>
        <v>Monday</v>
      </c>
      <c r="AB582" s="19" t="str">
        <f>IF(tblMaster[[#This Row],[Revenue]]&gt;=5000,"High",IF(tblMaster[[#This Row],[Revenue]]&lt;2000,"Low","Medium"))</f>
        <v>Low</v>
      </c>
    </row>
    <row r="583" spans="1:28" x14ac:dyDescent="0.25">
      <c r="A583" s="10">
        <v>582</v>
      </c>
      <c r="B583" s="10" t="s">
        <v>168</v>
      </c>
      <c r="C583" s="5">
        <v>3</v>
      </c>
      <c r="D583" s="5">
        <v>4</v>
      </c>
      <c r="E583" s="11">
        <v>44961</v>
      </c>
      <c r="F583" s="12">
        <v>0.77119212962962957</v>
      </c>
      <c r="G583" s="11">
        <v>44962</v>
      </c>
      <c r="H583" s="12">
        <v>0.80325231481481485</v>
      </c>
      <c r="I583" s="10" t="s">
        <v>310</v>
      </c>
      <c r="J583" s="10" t="s">
        <v>12</v>
      </c>
      <c r="K583" s="18" t="str">
        <f>_xlfn.XLOOKUP(tblMaster[[#This Row],[Customer_ID]],tblCustomers[Customer_ID],tblCustomers[City],"Not Found",0)</f>
        <v>Danapur</v>
      </c>
      <c r="L583" s="18" t="str">
        <f>_xlfn.XLOOKUP(tblMaster[[#This Row],[Customer_ID]],tblCustomers[Customer_ID],tblCustomers[Name],"Not Found",0)</f>
        <v>Amira Sengupta</v>
      </c>
      <c r="M583" s="18" t="str">
        <f>_xlfn.XLOOKUP(tblMaster[[#This Row],[Customer_ID]],tblCustomers[Customer_ID],tblCustomers[Gender],"Not Found",0)</f>
        <v>Male</v>
      </c>
      <c r="N583" s="18" t="str">
        <f>_xlfn.XLOOKUP(tblMaster[[#This Row],[Product_ID]],tblProducts[Product_ID],tblProducts[Product_Name],"Not Found",0)</f>
        <v>Eius Gift</v>
      </c>
      <c r="O583" s="18" t="str">
        <f>_xlfn.XLOOKUP(tblMaster[[#This Row],[Product_ID]],tblProducts[Product_ID],tblProducts[Category],"Not Found",0)</f>
        <v>Colors</v>
      </c>
      <c r="P583" s="18" t="str">
        <f>_xlfn.XLOOKUP(tblMaster[[#This Row],[Product_ID]],tblProducts[Product_ID],tblProducts[Occasion],"Not Found",0)</f>
        <v>Valentine's Day</v>
      </c>
      <c r="Q583" s="18">
        <f>_xlfn.XLOOKUP(tblMaster[[#This Row],[Product_ID]],tblProducts[Product_ID],tblProducts[Price (INR)],"Not Found",0)</f>
        <v>1534</v>
      </c>
      <c r="R583" s="19">
        <f>tblMaster[[#This Row],[Price]]*tblMaster[[#This Row],[Quantity]]</f>
        <v>6136</v>
      </c>
      <c r="S583" s="19">
        <f>tblMaster[[#This Row],[Price]]*0.7*tblMaster[[#This Row],[Quantity]]</f>
        <v>4295.2</v>
      </c>
      <c r="T583" s="19">
        <f>tblMaster[[#This Row],[Revenue]]-tblMaster[[#This Row],[Estimated Cost (at 70%) ]]</f>
        <v>1840.8000000000002</v>
      </c>
      <c r="U583" s="19">
        <f>tblMaster[[#This Row],[Profit]]/tblMaster[[#This Row],[Revenue]]</f>
        <v>0.30000000000000004</v>
      </c>
      <c r="V583" s="19">
        <f>tblMaster[[#This Row],[Delivery_Date]]-tblMaster[[#This Row],[Order_Date]]</f>
        <v>1</v>
      </c>
      <c r="W583" s="19" t="str">
        <f>TEXT(tblMaster[[#This Row],[Order_Date]],"mmmm")</f>
        <v>February</v>
      </c>
      <c r="X583" s="19">
        <f>MONTH(tblMaster[[#This Row],[Order_Date]])</f>
        <v>2</v>
      </c>
      <c r="Y583" s="19" t="str">
        <f>"Q"&amp;ROUNDUP(tblMaster[[#This Row],[Month Number]]/3,0)</f>
        <v>Q1</v>
      </c>
      <c r="Z583" s="19">
        <f>YEAR(tblMaster[[#This Row],[Order_Date]])</f>
        <v>2023</v>
      </c>
      <c r="AA583" s="19" t="str">
        <f>TEXT(DAY(tblMaster[[#This Row],[Order_Date]]),"dddd")</f>
        <v>Wednesday</v>
      </c>
      <c r="AB583" s="19" t="str">
        <f>IF(tblMaster[[#This Row],[Revenue]]&gt;=5000,"High",IF(tblMaster[[#This Row],[Revenue]]&lt;2000,"Low","Medium"))</f>
        <v>High</v>
      </c>
    </row>
    <row r="584" spans="1:28" x14ac:dyDescent="0.25">
      <c r="A584" s="7">
        <v>583</v>
      </c>
      <c r="B584" s="7" t="s">
        <v>492</v>
      </c>
      <c r="C584" s="4">
        <v>56</v>
      </c>
      <c r="D584" s="4">
        <v>4</v>
      </c>
      <c r="E584" s="8">
        <v>45187</v>
      </c>
      <c r="F584" s="9">
        <v>0.69959490740740737</v>
      </c>
      <c r="G584" s="8">
        <v>45191</v>
      </c>
      <c r="H584" s="9">
        <v>0.83232638888888888</v>
      </c>
      <c r="I584" s="7" t="s">
        <v>467</v>
      </c>
      <c r="J584" s="7" t="s">
        <v>30</v>
      </c>
      <c r="K584" s="18" t="str">
        <f>_xlfn.XLOOKUP(tblMaster[[#This Row],[Customer_ID]],tblCustomers[Customer_ID],tblCustomers[City],"Not Found",0)</f>
        <v>Singrauli</v>
      </c>
      <c r="L584" s="18" t="str">
        <f>_xlfn.XLOOKUP(tblMaster[[#This Row],[Customer_ID]],tblCustomers[Customer_ID],tblCustomers[Name],"Not Found",0)</f>
        <v>Ira Bava</v>
      </c>
      <c r="M584" s="18" t="str">
        <f>_xlfn.XLOOKUP(tblMaster[[#This Row],[Customer_ID]],tblCustomers[Customer_ID],tblCustomers[Gender],"Not Found",0)</f>
        <v>Female</v>
      </c>
      <c r="N584" s="18" t="str">
        <f>_xlfn.XLOOKUP(tblMaster[[#This Row],[Product_ID]],tblProducts[Product_ID],tblProducts[Product_Name],"Not Found",0)</f>
        <v>Quia Gift</v>
      </c>
      <c r="O584" s="18" t="str">
        <f>_xlfn.XLOOKUP(tblMaster[[#This Row],[Product_ID]],tblProducts[Product_ID],tblProducts[Category],"Not Found",0)</f>
        <v>Raksha Bandhan</v>
      </c>
      <c r="P584" s="18" t="str">
        <f>_xlfn.XLOOKUP(tblMaster[[#This Row],[Product_ID]],tblProducts[Product_ID],tblProducts[Occasion],"Not Found",0)</f>
        <v>Anniversary</v>
      </c>
      <c r="Q584" s="18">
        <f>_xlfn.XLOOKUP(tblMaster[[#This Row],[Product_ID]],tblProducts[Product_ID],tblProducts[Price (INR)],"Not Found",0)</f>
        <v>1272</v>
      </c>
      <c r="R584" s="19">
        <f>tblMaster[[#This Row],[Price]]*tblMaster[[#This Row],[Quantity]]</f>
        <v>5088</v>
      </c>
      <c r="S584" s="19">
        <f>tblMaster[[#This Row],[Price]]*0.7*tblMaster[[#This Row],[Quantity]]</f>
        <v>3561.6</v>
      </c>
      <c r="T584" s="19">
        <f>tblMaster[[#This Row],[Revenue]]-tblMaster[[#This Row],[Estimated Cost (at 70%) ]]</f>
        <v>1526.4</v>
      </c>
      <c r="U584" s="19">
        <f>tblMaster[[#This Row],[Profit]]/tblMaster[[#This Row],[Revenue]]</f>
        <v>0.30000000000000004</v>
      </c>
      <c r="V584" s="19">
        <f>tblMaster[[#This Row],[Delivery_Date]]-tblMaster[[#This Row],[Order_Date]]</f>
        <v>4</v>
      </c>
      <c r="W584" s="19" t="str">
        <f>TEXT(tblMaster[[#This Row],[Order_Date]],"mmmm")</f>
        <v>September</v>
      </c>
      <c r="X584" s="19">
        <f>MONTH(tblMaster[[#This Row],[Order_Date]])</f>
        <v>9</v>
      </c>
      <c r="Y584" s="19" t="str">
        <f>"Q"&amp;ROUNDUP(tblMaster[[#This Row],[Month Number]]/3,0)</f>
        <v>Q3</v>
      </c>
      <c r="Z584" s="19">
        <f>YEAR(tblMaster[[#This Row],[Order_Date]])</f>
        <v>2023</v>
      </c>
      <c r="AA584" s="19" t="str">
        <f>TEXT(DAY(tblMaster[[#This Row],[Order_Date]]),"dddd")</f>
        <v>Wednesday</v>
      </c>
      <c r="AB584" s="19" t="str">
        <f>IF(tblMaster[[#This Row],[Revenue]]&gt;=5000,"High",IF(tblMaster[[#This Row],[Revenue]]&lt;2000,"Low","Medium"))</f>
        <v>High</v>
      </c>
    </row>
    <row r="585" spans="1:28" x14ac:dyDescent="0.25">
      <c r="A585" s="10">
        <v>584</v>
      </c>
      <c r="B585" s="10" t="s">
        <v>402</v>
      </c>
      <c r="C585" s="5">
        <v>34</v>
      </c>
      <c r="D585" s="5">
        <v>2</v>
      </c>
      <c r="E585" s="11">
        <v>45161</v>
      </c>
      <c r="F585" s="12">
        <v>0.3190972222222222</v>
      </c>
      <c r="G585" s="11">
        <v>45165</v>
      </c>
      <c r="H585" s="12">
        <v>0.67393518518518514</v>
      </c>
      <c r="I585" s="10" t="s">
        <v>496</v>
      </c>
      <c r="J585" s="10" t="s">
        <v>33</v>
      </c>
      <c r="K585" s="18" t="str">
        <f>_xlfn.XLOOKUP(tblMaster[[#This Row],[Customer_ID]],tblCustomers[Customer_ID],tblCustomers[City],"Not Found",0)</f>
        <v>Nellore</v>
      </c>
      <c r="L585" s="18" t="str">
        <f>_xlfn.XLOOKUP(tblMaster[[#This Row],[Customer_ID]],tblCustomers[Customer_ID],tblCustomers[Name],"Not Found",0)</f>
        <v>Oorja Dey</v>
      </c>
      <c r="M585" s="18" t="str">
        <f>_xlfn.XLOOKUP(tblMaster[[#This Row],[Customer_ID]],tblCustomers[Customer_ID],tblCustomers[Gender],"Not Found",0)</f>
        <v>Female</v>
      </c>
      <c r="N585" s="18" t="str">
        <f>_xlfn.XLOOKUP(tblMaster[[#This Row],[Product_ID]],tblProducts[Product_ID],tblProducts[Product_Name],"Not Found",0)</f>
        <v>Placeat Pack</v>
      </c>
      <c r="O585" s="18" t="str">
        <f>_xlfn.XLOOKUP(tblMaster[[#This Row],[Product_ID]],tblProducts[Product_ID],tblProducts[Category],"Not Found",0)</f>
        <v>Soft Toys</v>
      </c>
      <c r="P585" s="18" t="str">
        <f>_xlfn.XLOOKUP(tblMaster[[#This Row],[Product_ID]],tblProducts[Product_ID],tblProducts[Occasion],"Not Found",0)</f>
        <v>Raksha Bandhan</v>
      </c>
      <c r="Q585" s="18">
        <f>_xlfn.XLOOKUP(tblMaster[[#This Row],[Product_ID]],tblProducts[Product_ID],tblProducts[Price (INR)],"Not Found",0)</f>
        <v>1335</v>
      </c>
      <c r="R585" s="19">
        <f>tblMaster[[#This Row],[Price]]*tblMaster[[#This Row],[Quantity]]</f>
        <v>2670</v>
      </c>
      <c r="S585" s="19">
        <f>tblMaster[[#This Row],[Price]]*0.7*tblMaster[[#This Row],[Quantity]]</f>
        <v>1868.9999999999998</v>
      </c>
      <c r="T585" s="19">
        <f>tblMaster[[#This Row],[Revenue]]-tblMaster[[#This Row],[Estimated Cost (at 70%) ]]</f>
        <v>801.00000000000023</v>
      </c>
      <c r="U585" s="19">
        <f>tblMaster[[#This Row],[Profit]]/tblMaster[[#This Row],[Revenue]]</f>
        <v>0.3000000000000001</v>
      </c>
      <c r="V585" s="19">
        <f>tblMaster[[#This Row],[Delivery_Date]]-tblMaster[[#This Row],[Order_Date]]</f>
        <v>4</v>
      </c>
      <c r="W585" s="19" t="str">
        <f>TEXT(tblMaster[[#This Row],[Order_Date]],"mmmm")</f>
        <v>August</v>
      </c>
      <c r="X585" s="19">
        <f>MONTH(tblMaster[[#This Row],[Order_Date]])</f>
        <v>8</v>
      </c>
      <c r="Y585" s="19" t="str">
        <f>"Q"&amp;ROUNDUP(tblMaster[[#This Row],[Month Number]]/3,0)</f>
        <v>Q3</v>
      </c>
      <c r="Z585" s="19">
        <f>YEAR(tblMaster[[#This Row],[Order_Date]])</f>
        <v>2023</v>
      </c>
      <c r="AA585" s="19" t="str">
        <f>TEXT(DAY(tblMaster[[#This Row],[Order_Date]]),"dddd")</f>
        <v>Monday</v>
      </c>
      <c r="AB585" s="19" t="str">
        <f>IF(tblMaster[[#This Row],[Revenue]]&gt;=5000,"High",IF(tblMaster[[#This Row],[Revenue]]&lt;2000,"Low","Medium"))</f>
        <v>Medium</v>
      </c>
    </row>
    <row r="586" spans="1:28" x14ac:dyDescent="0.25">
      <c r="A586" s="7">
        <v>585</v>
      </c>
      <c r="B586" s="7" t="s">
        <v>193</v>
      </c>
      <c r="C586" s="4">
        <v>63</v>
      </c>
      <c r="D586" s="4">
        <v>5</v>
      </c>
      <c r="E586" s="8">
        <v>45042</v>
      </c>
      <c r="F586" s="9">
        <v>0.77269675925925929</v>
      </c>
      <c r="G586" s="8">
        <v>45047</v>
      </c>
      <c r="H586" s="9">
        <v>7.784722222222222E-2</v>
      </c>
      <c r="I586" s="7" t="s">
        <v>515</v>
      </c>
      <c r="J586" s="7" t="s">
        <v>8</v>
      </c>
      <c r="K586" s="18" t="str">
        <f>_xlfn.XLOOKUP(tblMaster[[#This Row],[Customer_ID]],tblCustomers[Customer_ID],tblCustomers[City],"Not Found",0)</f>
        <v>Mangalore</v>
      </c>
      <c r="L586" s="18" t="str">
        <f>_xlfn.XLOOKUP(tblMaster[[#This Row],[Customer_ID]],tblCustomers[Customer_ID],tblCustomers[Name],"Not Found",0)</f>
        <v>Manikya Goswami</v>
      </c>
      <c r="M586" s="18" t="str">
        <f>_xlfn.XLOOKUP(tblMaster[[#This Row],[Customer_ID]],tblCustomers[Customer_ID],tblCustomers[Gender],"Not Found",0)</f>
        <v>Female</v>
      </c>
      <c r="N586" s="18" t="str">
        <f>_xlfn.XLOOKUP(tblMaster[[#This Row],[Product_ID]],tblProducts[Product_ID],tblProducts[Product_Name],"Not Found",0)</f>
        <v>Adipisci Set</v>
      </c>
      <c r="O586" s="18" t="str">
        <f>_xlfn.XLOOKUP(tblMaster[[#This Row],[Product_ID]],tblProducts[Product_ID],tblProducts[Category],"Not Found",0)</f>
        <v>Sweets</v>
      </c>
      <c r="P586" s="18" t="str">
        <f>_xlfn.XLOOKUP(tblMaster[[#This Row],[Product_ID]],tblProducts[Product_ID],tblProducts[Occasion],"Not Found",0)</f>
        <v>All Occasions</v>
      </c>
      <c r="Q586" s="18">
        <f>_xlfn.XLOOKUP(tblMaster[[#This Row],[Product_ID]],tblProducts[Product_ID],tblProducts[Price (INR)],"Not Found",0)</f>
        <v>1348</v>
      </c>
      <c r="R586" s="19">
        <f>tblMaster[[#This Row],[Price]]*tblMaster[[#This Row],[Quantity]]</f>
        <v>6740</v>
      </c>
      <c r="S586" s="19">
        <f>tblMaster[[#This Row],[Price]]*0.7*tblMaster[[#This Row],[Quantity]]</f>
        <v>4718</v>
      </c>
      <c r="T586" s="19">
        <f>tblMaster[[#This Row],[Revenue]]-tblMaster[[#This Row],[Estimated Cost (at 70%) ]]</f>
        <v>2022</v>
      </c>
      <c r="U586" s="19">
        <f>tblMaster[[#This Row],[Profit]]/tblMaster[[#This Row],[Revenue]]</f>
        <v>0.3</v>
      </c>
      <c r="V586" s="19">
        <f>tblMaster[[#This Row],[Delivery_Date]]-tblMaster[[#This Row],[Order_Date]]</f>
        <v>5</v>
      </c>
      <c r="W586" s="19" t="str">
        <f>TEXT(tblMaster[[#This Row],[Order_Date]],"mmmm")</f>
        <v>April</v>
      </c>
      <c r="X586" s="19">
        <f>MONTH(tblMaster[[#This Row],[Order_Date]])</f>
        <v>4</v>
      </c>
      <c r="Y586" s="19" t="str">
        <f>"Q"&amp;ROUNDUP(tblMaster[[#This Row],[Month Number]]/3,0)</f>
        <v>Q2</v>
      </c>
      <c r="Z586" s="19">
        <f>YEAR(tblMaster[[#This Row],[Order_Date]])</f>
        <v>2023</v>
      </c>
      <c r="AA586" s="19" t="str">
        <f>TEXT(DAY(tblMaster[[#This Row],[Order_Date]]),"dddd")</f>
        <v>Thursday</v>
      </c>
      <c r="AB586" s="19" t="str">
        <f>IF(tblMaster[[#This Row],[Revenue]]&gt;=5000,"High",IF(tblMaster[[#This Row],[Revenue]]&lt;2000,"Low","Medium"))</f>
        <v>High</v>
      </c>
    </row>
    <row r="587" spans="1:28" x14ac:dyDescent="0.25">
      <c r="A587" s="10">
        <v>586</v>
      </c>
      <c r="B587" s="10" t="s">
        <v>388</v>
      </c>
      <c r="C587" s="5">
        <v>64</v>
      </c>
      <c r="D587" s="5">
        <v>5</v>
      </c>
      <c r="E587" s="11">
        <v>45165</v>
      </c>
      <c r="F587" s="12">
        <v>0.87821759259259258</v>
      </c>
      <c r="G587" s="11">
        <v>45173</v>
      </c>
      <c r="H587" s="12">
        <v>0.68795138888888885</v>
      </c>
      <c r="I587" s="10" t="s">
        <v>171</v>
      </c>
      <c r="J587" s="10" t="s">
        <v>33</v>
      </c>
      <c r="K587" s="18" t="str">
        <f>_xlfn.XLOOKUP(tblMaster[[#This Row],[Customer_ID]],tblCustomers[Customer_ID],tblCustomers[City],"Not Found",0)</f>
        <v>Kalyan-Dombivli</v>
      </c>
      <c r="L587" s="18" t="str">
        <f>_xlfn.XLOOKUP(tblMaster[[#This Row],[Customer_ID]],tblCustomers[Customer_ID],tblCustomers[Name],"Not Found",0)</f>
        <v>Ritvik Garde</v>
      </c>
      <c r="M587" s="18" t="str">
        <f>_xlfn.XLOOKUP(tblMaster[[#This Row],[Customer_ID]],tblCustomers[Customer_ID],tblCustomers[Gender],"Not Found",0)</f>
        <v>Male</v>
      </c>
      <c r="N587" s="18" t="str">
        <f>_xlfn.XLOOKUP(tblMaster[[#This Row],[Product_ID]],tblProducts[Product_ID],tblProducts[Product_Name],"Not Found",0)</f>
        <v>Nostrum Box</v>
      </c>
      <c r="O587" s="18" t="str">
        <f>_xlfn.XLOOKUP(tblMaster[[#This Row],[Product_ID]],tblProducts[Product_ID],tblProducts[Category],"Not Found",0)</f>
        <v>Soft Toys</v>
      </c>
      <c r="P587" s="18" t="str">
        <f>_xlfn.XLOOKUP(tblMaster[[#This Row],[Product_ID]],tblProducts[Product_ID],tblProducts[Occasion],"Not Found",0)</f>
        <v>Raksha Bandhan</v>
      </c>
      <c r="Q587" s="18">
        <f>_xlfn.XLOOKUP(tblMaster[[#This Row],[Product_ID]],tblProducts[Product_ID],tblProducts[Price (INR)],"Not Found",0)</f>
        <v>1878</v>
      </c>
      <c r="R587" s="19">
        <f>tblMaster[[#This Row],[Price]]*tblMaster[[#This Row],[Quantity]]</f>
        <v>9390</v>
      </c>
      <c r="S587" s="19">
        <f>tblMaster[[#This Row],[Price]]*0.7*tblMaster[[#This Row],[Quantity]]</f>
        <v>6573</v>
      </c>
      <c r="T587" s="19">
        <f>tblMaster[[#This Row],[Revenue]]-tblMaster[[#This Row],[Estimated Cost (at 70%) ]]</f>
        <v>2817</v>
      </c>
      <c r="U587" s="19">
        <f>tblMaster[[#This Row],[Profit]]/tblMaster[[#This Row],[Revenue]]</f>
        <v>0.3</v>
      </c>
      <c r="V587" s="19">
        <f>tblMaster[[#This Row],[Delivery_Date]]-tblMaster[[#This Row],[Order_Date]]</f>
        <v>8</v>
      </c>
      <c r="W587" s="19" t="str">
        <f>TEXT(tblMaster[[#This Row],[Order_Date]],"mmmm")</f>
        <v>August</v>
      </c>
      <c r="X587" s="19">
        <f>MONTH(tblMaster[[#This Row],[Order_Date]])</f>
        <v>8</v>
      </c>
      <c r="Y587" s="19" t="str">
        <f>"Q"&amp;ROUNDUP(tblMaster[[#This Row],[Month Number]]/3,0)</f>
        <v>Q3</v>
      </c>
      <c r="Z587" s="19">
        <f>YEAR(tblMaster[[#This Row],[Order_Date]])</f>
        <v>2023</v>
      </c>
      <c r="AA587" s="19" t="str">
        <f>TEXT(DAY(tblMaster[[#This Row],[Order_Date]]),"dddd")</f>
        <v>Friday</v>
      </c>
      <c r="AB587" s="19" t="str">
        <f>IF(tblMaster[[#This Row],[Revenue]]&gt;=5000,"High",IF(tblMaster[[#This Row],[Revenue]]&lt;2000,"Low","Medium"))</f>
        <v>High</v>
      </c>
    </row>
    <row r="588" spans="1:28" x14ac:dyDescent="0.25">
      <c r="A588" s="7">
        <v>587</v>
      </c>
      <c r="B588" s="7" t="s">
        <v>208</v>
      </c>
      <c r="C588" s="4">
        <v>43</v>
      </c>
      <c r="D588" s="4">
        <v>1</v>
      </c>
      <c r="E588" s="8">
        <v>45232</v>
      </c>
      <c r="F588" s="9">
        <v>3.5694444444444445E-2</v>
      </c>
      <c r="G588" s="8">
        <v>45233</v>
      </c>
      <c r="H588" s="9">
        <v>0.44520833333333332</v>
      </c>
      <c r="I588" s="7" t="s">
        <v>473</v>
      </c>
      <c r="J588" s="7" t="s">
        <v>19</v>
      </c>
      <c r="K588" s="18" t="str">
        <f>_xlfn.XLOOKUP(tblMaster[[#This Row],[Customer_ID]],tblCustomers[Customer_ID],tblCustomers[City],"Not Found",0)</f>
        <v>Nizamabad</v>
      </c>
      <c r="L588" s="18" t="str">
        <f>_xlfn.XLOOKUP(tblMaster[[#This Row],[Customer_ID]],tblCustomers[Customer_ID],tblCustomers[Name],"Not Found",0)</f>
        <v>Eva Vaidya</v>
      </c>
      <c r="M588" s="18" t="str">
        <f>_xlfn.XLOOKUP(tblMaster[[#This Row],[Customer_ID]],tblCustomers[Customer_ID],tblCustomers[Gender],"Not Found",0)</f>
        <v>Male</v>
      </c>
      <c r="N588" s="18" t="str">
        <f>_xlfn.XLOOKUP(tblMaster[[#This Row],[Product_ID]],tblProducts[Product_ID],tblProducts[Product_Name],"Not Found",0)</f>
        <v>Quisquam Pack</v>
      </c>
      <c r="O588" s="18" t="str">
        <f>_xlfn.XLOOKUP(tblMaster[[#This Row],[Product_ID]],tblProducts[Product_ID],tblProducts[Category],"Not Found",0)</f>
        <v>Raksha Bandhan</v>
      </c>
      <c r="P588" s="18" t="str">
        <f>_xlfn.XLOOKUP(tblMaster[[#This Row],[Product_ID]],tblProducts[Product_ID],tblProducts[Occasion],"Not Found",0)</f>
        <v>Diwali</v>
      </c>
      <c r="Q588" s="18">
        <f>_xlfn.XLOOKUP(tblMaster[[#This Row],[Product_ID]],tblProducts[Product_ID],tblProducts[Price (INR)],"Not Found",0)</f>
        <v>750</v>
      </c>
      <c r="R588" s="19">
        <f>tblMaster[[#This Row],[Price]]*tblMaster[[#This Row],[Quantity]]</f>
        <v>750</v>
      </c>
      <c r="S588" s="19">
        <f>tblMaster[[#This Row],[Price]]*0.7*tblMaster[[#This Row],[Quantity]]</f>
        <v>525</v>
      </c>
      <c r="T588" s="19">
        <f>tblMaster[[#This Row],[Revenue]]-tblMaster[[#This Row],[Estimated Cost (at 70%) ]]</f>
        <v>225</v>
      </c>
      <c r="U588" s="19">
        <f>tblMaster[[#This Row],[Profit]]/tblMaster[[#This Row],[Revenue]]</f>
        <v>0.3</v>
      </c>
      <c r="V588" s="19">
        <f>tblMaster[[#This Row],[Delivery_Date]]-tblMaster[[#This Row],[Order_Date]]</f>
        <v>1</v>
      </c>
      <c r="W588" s="19" t="str">
        <f>TEXT(tblMaster[[#This Row],[Order_Date]],"mmmm")</f>
        <v>November</v>
      </c>
      <c r="X588" s="19">
        <f>MONTH(tblMaster[[#This Row],[Order_Date]])</f>
        <v>11</v>
      </c>
      <c r="Y588" s="19" t="str">
        <f>"Q"&amp;ROUNDUP(tblMaster[[#This Row],[Month Number]]/3,0)</f>
        <v>Q4</v>
      </c>
      <c r="Z588" s="19">
        <f>YEAR(tblMaster[[#This Row],[Order_Date]])</f>
        <v>2023</v>
      </c>
      <c r="AA588" s="19" t="str">
        <f>TEXT(DAY(tblMaster[[#This Row],[Order_Date]]),"dddd")</f>
        <v>Monday</v>
      </c>
      <c r="AB588" s="19" t="str">
        <f>IF(tblMaster[[#This Row],[Revenue]]&gt;=5000,"High",IF(tblMaster[[#This Row],[Revenue]]&lt;2000,"Low","Medium"))</f>
        <v>Low</v>
      </c>
    </row>
    <row r="589" spans="1:28" x14ac:dyDescent="0.25">
      <c r="A589" s="10">
        <v>588</v>
      </c>
      <c r="B589" s="10" t="s">
        <v>195</v>
      </c>
      <c r="C589" s="5">
        <v>49</v>
      </c>
      <c r="D589" s="5">
        <v>5</v>
      </c>
      <c r="E589" s="11">
        <v>44961</v>
      </c>
      <c r="F589" s="12">
        <v>0.27569444444444446</v>
      </c>
      <c r="G589" s="11">
        <v>44962</v>
      </c>
      <c r="H589" s="12">
        <v>0.89024305555555561</v>
      </c>
      <c r="I589" s="10" t="s">
        <v>322</v>
      </c>
      <c r="J589" s="10" t="s">
        <v>12</v>
      </c>
      <c r="K589" s="18" t="str">
        <f>_xlfn.XLOOKUP(tblMaster[[#This Row],[Customer_ID]],tblCustomers[Customer_ID],tblCustomers[City],"Not Found",0)</f>
        <v>Haridwar</v>
      </c>
      <c r="L589" s="18" t="str">
        <f>_xlfn.XLOOKUP(tblMaster[[#This Row],[Customer_ID]],tblCustomers[Customer_ID],tblCustomers[Name],"Not Found",0)</f>
        <v>Pihu Choudhury</v>
      </c>
      <c r="M589" s="18" t="str">
        <f>_xlfn.XLOOKUP(tblMaster[[#This Row],[Customer_ID]],tblCustomers[Customer_ID],tblCustomers[Gender],"Not Found",0)</f>
        <v>Male</v>
      </c>
      <c r="N589" s="18" t="str">
        <f>_xlfn.XLOOKUP(tblMaster[[#This Row],[Product_ID]],tblProducts[Product_ID],tblProducts[Product_Name],"Not Found",0)</f>
        <v>Voluptate Pack</v>
      </c>
      <c r="O589" s="18" t="str">
        <f>_xlfn.XLOOKUP(tblMaster[[#This Row],[Product_ID]],tblProducts[Product_ID],tblProducts[Category],"Not Found",0)</f>
        <v>Colors</v>
      </c>
      <c r="P589" s="18" t="str">
        <f>_xlfn.XLOOKUP(tblMaster[[#This Row],[Product_ID]],tblProducts[Product_ID],tblProducts[Occasion],"Not Found",0)</f>
        <v>Valentine's Day</v>
      </c>
      <c r="Q589" s="18">
        <f>_xlfn.XLOOKUP(tblMaster[[#This Row],[Product_ID]],tblProducts[Product_ID],tblProducts[Price (INR)],"Not Found",0)</f>
        <v>903</v>
      </c>
      <c r="R589" s="19">
        <f>tblMaster[[#This Row],[Price]]*tblMaster[[#This Row],[Quantity]]</f>
        <v>4515</v>
      </c>
      <c r="S589" s="19">
        <f>tblMaster[[#This Row],[Price]]*0.7*tblMaster[[#This Row],[Quantity]]</f>
        <v>3160.4999999999995</v>
      </c>
      <c r="T589" s="19">
        <f>tblMaster[[#This Row],[Revenue]]-tblMaster[[#This Row],[Estimated Cost (at 70%) ]]</f>
        <v>1354.5000000000005</v>
      </c>
      <c r="U589" s="19">
        <f>tblMaster[[#This Row],[Profit]]/tblMaster[[#This Row],[Revenue]]</f>
        <v>0.3000000000000001</v>
      </c>
      <c r="V589" s="19">
        <f>tblMaster[[#This Row],[Delivery_Date]]-tblMaster[[#This Row],[Order_Date]]</f>
        <v>1</v>
      </c>
      <c r="W589" s="19" t="str">
        <f>TEXT(tblMaster[[#This Row],[Order_Date]],"mmmm")</f>
        <v>February</v>
      </c>
      <c r="X589" s="19">
        <f>MONTH(tblMaster[[#This Row],[Order_Date]])</f>
        <v>2</v>
      </c>
      <c r="Y589" s="19" t="str">
        <f>"Q"&amp;ROUNDUP(tblMaster[[#This Row],[Month Number]]/3,0)</f>
        <v>Q1</v>
      </c>
      <c r="Z589" s="19">
        <f>YEAR(tblMaster[[#This Row],[Order_Date]])</f>
        <v>2023</v>
      </c>
      <c r="AA589" s="19" t="str">
        <f>TEXT(DAY(tblMaster[[#This Row],[Order_Date]]),"dddd")</f>
        <v>Wednesday</v>
      </c>
      <c r="AB589" s="19" t="str">
        <f>IF(tblMaster[[#This Row],[Revenue]]&gt;=5000,"High",IF(tblMaster[[#This Row],[Revenue]]&lt;2000,"Low","Medium"))</f>
        <v>Medium</v>
      </c>
    </row>
    <row r="590" spans="1:28" x14ac:dyDescent="0.25">
      <c r="A590" s="7">
        <v>589</v>
      </c>
      <c r="B590" s="7" t="s">
        <v>398</v>
      </c>
      <c r="C590" s="4">
        <v>40</v>
      </c>
      <c r="D590" s="4">
        <v>3</v>
      </c>
      <c r="E590" s="8">
        <v>45269</v>
      </c>
      <c r="F590" s="9">
        <v>0.89116898148148149</v>
      </c>
      <c r="G590" s="8">
        <v>45279</v>
      </c>
      <c r="H590" s="9">
        <v>5.6643518518518517E-2</v>
      </c>
      <c r="I590" s="7" t="s">
        <v>375</v>
      </c>
      <c r="J590" s="7" t="s">
        <v>30</v>
      </c>
      <c r="K590" s="18" t="str">
        <f>_xlfn.XLOOKUP(tblMaster[[#This Row],[Customer_ID]],tblCustomers[Customer_ID],tblCustomers[City],"Not Found",0)</f>
        <v>Tumkur</v>
      </c>
      <c r="L590" s="18" t="str">
        <f>_xlfn.XLOOKUP(tblMaster[[#This Row],[Customer_ID]],tblCustomers[Customer_ID],tblCustomers[Name],"Not Found",0)</f>
        <v>Mamooty Bawa</v>
      </c>
      <c r="M590" s="18" t="str">
        <f>_xlfn.XLOOKUP(tblMaster[[#This Row],[Customer_ID]],tblCustomers[Customer_ID],tblCustomers[Gender],"Not Found",0)</f>
        <v>Male</v>
      </c>
      <c r="N590" s="18" t="str">
        <f>_xlfn.XLOOKUP(tblMaster[[#This Row],[Product_ID]],tblProducts[Product_ID],tblProducts[Product_Name],"Not Found",0)</f>
        <v>Provident Pack</v>
      </c>
      <c r="O590" s="18" t="str">
        <f>_xlfn.XLOOKUP(tblMaster[[#This Row],[Product_ID]],tblProducts[Product_ID],tblProducts[Category],"Not Found",0)</f>
        <v>Sweets</v>
      </c>
      <c r="P590" s="18" t="str">
        <f>_xlfn.XLOOKUP(tblMaster[[#This Row],[Product_ID]],tblProducts[Product_ID],tblProducts[Occasion],"Not Found",0)</f>
        <v>Anniversary</v>
      </c>
      <c r="Q590" s="18">
        <f>_xlfn.XLOOKUP(tblMaster[[#This Row],[Product_ID]],tblProducts[Product_ID],tblProducts[Price (INR)],"Not Found",0)</f>
        <v>1923</v>
      </c>
      <c r="R590" s="19">
        <f>tblMaster[[#This Row],[Price]]*tblMaster[[#This Row],[Quantity]]</f>
        <v>5769</v>
      </c>
      <c r="S590" s="19">
        <f>tblMaster[[#This Row],[Price]]*0.7*tblMaster[[#This Row],[Quantity]]</f>
        <v>4038.2999999999997</v>
      </c>
      <c r="T590" s="19">
        <f>tblMaster[[#This Row],[Revenue]]-tblMaster[[#This Row],[Estimated Cost (at 70%) ]]</f>
        <v>1730.7000000000003</v>
      </c>
      <c r="U590" s="19">
        <f>tblMaster[[#This Row],[Profit]]/tblMaster[[#This Row],[Revenue]]</f>
        <v>0.30000000000000004</v>
      </c>
      <c r="V590" s="19">
        <f>tblMaster[[#This Row],[Delivery_Date]]-tblMaster[[#This Row],[Order_Date]]</f>
        <v>10</v>
      </c>
      <c r="W590" s="19" t="str">
        <f>TEXT(tblMaster[[#This Row],[Order_Date]],"mmmm")</f>
        <v>December</v>
      </c>
      <c r="X590" s="19">
        <f>MONTH(tblMaster[[#This Row],[Order_Date]])</f>
        <v>12</v>
      </c>
      <c r="Y590" s="19" t="str">
        <f>"Q"&amp;ROUNDUP(tblMaster[[#This Row],[Month Number]]/3,0)</f>
        <v>Q4</v>
      </c>
      <c r="Z590" s="19">
        <f>YEAR(tblMaster[[#This Row],[Order_Date]])</f>
        <v>2023</v>
      </c>
      <c r="AA590" s="19" t="str">
        <f>TEXT(DAY(tblMaster[[#This Row],[Order_Date]]),"dddd")</f>
        <v>Monday</v>
      </c>
      <c r="AB590" s="19" t="str">
        <f>IF(tblMaster[[#This Row],[Revenue]]&gt;=5000,"High",IF(tblMaster[[#This Row],[Revenue]]&lt;2000,"Low","Medium"))</f>
        <v>High</v>
      </c>
    </row>
    <row r="591" spans="1:28" x14ac:dyDescent="0.25">
      <c r="A591" s="10">
        <v>590</v>
      </c>
      <c r="B591" s="10" t="s">
        <v>239</v>
      </c>
      <c r="C591" s="5">
        <v>23</v>
      </c>
      <c r="D591" s="5">
        <v>2</v>
      </c>
      <c r="E591" s="11">
        <v>44945</v>
      </c>
      <c r="F591" s="12">
        <v>0.9002430555555555</v>
      </c>
      <c r="G591" s="11">
        <v>44949</v>
      </c>
      <c r="H591" s="12">
        <v>0.2457175925925926</v>
      </c>
      <c r="I591" s="10" t="s">
        <v>209</v>
      </c>
      <c r="J591" s="10" t="s">
        <v>30</v>
      </c>
      <c r="K591" s="18" t="str">
        <f>_xlfn.XLOOKUP(tblMaster[[#This Row],[Customer_ID]],tblCustomers[Customer_ID],tblCustomers[City],"Not Found",0)</f>
        <v>Karimnagar</v>
      </c>
      <c r="L591" s="18" t="str">
        <f>_xlfn.XLOOKUP(tblMaster[[#This Row],[Customer_ID]],tblCustomers[Customer_ID],tblCustomers[Name],"Not Found",0)</f>
        <v>Rania Mann</v>
      </c>
      <c r="M591" s="18" t="str">
        <f>_xlfn.XLOOKUP(tblMaster[[#This Row],[Customer_ID]],tblCustomers[Customer_ID],tblCustomers[Gender],"Not Found",0)</f>
        <v>Female</v>
      </c>
      <c r="N591" s="18" t="str">
        <f>_xlfn.XLOOKUP(tblMaster[[#This Row],[Product_ID]],tblProducts[Product_ID],tblProducts[Product_Name],"Not Found",0)</f>
        <v>Dignissimos Pack</v>
      </c>
      <c r="O591" s="18" t="str">
        <f>_xlfn.XLOOKUP(tblMaster[[#This Row],[Product_ID]],tblProducts[Product_ID],tblProducts[Category],"Not Found",0)</f>
        <v>Sweets</v>
      </c>
      <c r="P591" s="18" t="str">
        <f>_xlfn.XLOOKUP(tblMaster[[#This Row],[Product_ID]],tblProducts[Product_ID],tblProducts[Occasion],"Not Found",0)</f>
        <v>Anniversary</v>
      </c>
      <c r="Q591" s="18">
        <f>_xlfn.XLOOKUP(tblMaster[[#This Row],[Product_ID]],tblProducts[Product_ID],tblProducts[Price (INR)],"Not Found",0)</f>
        <v>1098</v>
      </c>
      <c r="R591" s="19">
        <f>tblMaster[[#This Row],[Price]]*tblMaster[[#This Row],[Quantity]]</f>
        <v>2196</v>
      </c>
      <c r="S591" s="19">
        <f>tblMaster[[#This Row],[Price]]*0.7*tblMaster[[#This Row],[Quantity]]</f>
        <v>1537.1999999999998</v>
      </c>
      <c r="T591" s="19">
        <f>tblMaster[[#This Row],[Revenue]]-tblMaster[[#This Row],[Estimated Cost (at 70%) ]]</f>
        <v>658.80000000000018</v>
      </c>
      <c r="U591" s="19">
        <f>tblMaster[[#This Row],[Profit]]/tblMaster[[#This Row],[Revenue]]</f>
        <v>0.3000000000000001</v>
      </c>
      <c r="V591" s="19">
        <f>tblMaster[[#This Row],[Delivery_Date]]-tblMaster[[#This Row],[Order_Date]]</f>
        <v>4</v>
      </c>
      <c r="W591" s="19" t="str">
        <f>TEXT(tblMaster[[#This Row],[Order_Date]],"mmmm")</f>
        <v>January</v>
      </c>
      <c r="X591" s="19">
        <f>MONTH(tblMaster[[#This Row],[Order_Date]])</f>
        <v>1</v>
      </c>
      <c r="Y591" s="19" t="str">
        <f>"Q"&amp;ROUNDUP(tblMaster[[#This Row],[Month Number]]/3,0)</f>
        <v>Q1</v>
      </c>
      <c r="Z591" s="19">
        <f>YEAR(tblMaster[[#This Row],[Order_Date]])</f>
        <v>2023</v>
      </c>
      <c r="AA591" s="19" t="str">
        <f>TEXT(DAY(tblMaster[[#This Row],[Order_Date]]),"dddd")</f>
        <v>Thursday</v>
      </c>
      <c r="AB591" s="19" t="str">
        <f>IF(tblMaster[[#This Row],[Revenue]]&gt;=5000,"High",IF(tblMaster[[#This Row],[Revenue]]&lt;2000,"Low","Medium"))</f>
        <v>Medium</v>
      </c>
    </row>
    <row r="592" spans="1:28" x14ac:dyDescent="0.25">
      <c r="A592" s="7">
        <v>591</v>
      </c>
      <c r="B592" s="7" t="s">
        <v>488</v>
      </c>
      <c r="C592" s="4">
        <v>31</v>
      </c>
      <c r="D592" s="4">
        <v>3</v>
      </c>
      <c r="E592" s="8">
        <v>45113</v>
      </c>
      <c r="F592" s="9">
        <v>0.53888888888888886</v>
      </c>
      <c r="G592" s="8">
        <v>45121</v>
      </c>
      <c r="H592" s="9">
        <v>5.9027777777777778E-4</v>
      </c>
      <c r="I592" s="7" t="s">
        <v>422</v>
      </c>
      <c r="J592" s="7" t="s">
        <v>8</v>
      </c>
      <c r="K592" s="18" t="str">
        <f>_xlfn.XLOOKUP(tblMaster[[#This Row],[Customer_ID]],tblCustomers[Customer_ID],tblCustomers[City],"Not Found",0)</f>
        <v>Bulandshahr</v>
      </c>
      <c r="L592" s="18" t="str">
        <f>_xlfn.XLOOKUP(tblMaster[[#This Row],[Customer_ID]],tblCustomers[Customer_ID],tblCustomers[Name],"Not Found",0)</f>
        <v>Myra Edwin</v>
      </c>
      <c r="M592" s="18" t="str">
        <f>_xlfn.XLOOKUP(tblMaster[[#This Row],[Customer_ID]],tblCustomers[Customer_ID],tblCustomers[Gender],"Not Found",0)</f>
        <v>Female</v>
      </c>
      <c r="N592" s="18" t="str">
        <f>_xlfn.XLOOKUP(tblMaster[[#This Row],[Product_ID]],tblProducts[Product_ID],tblProducts[Product_Name],"Not Found",0)</f>
        <v>Nihil Box</v>
      </c>
      <c r="O592" s="18" t="str">
        <f>_xlfn.XLOOKUP(tblMaster[[#This Row],[Product_ID]],tblProducts[Product_ID],tblProducts[Category],"Not Found",0)</f>
        <v>Colors</v>
      </c>
      <c r="P592" s="18" t="str">
        <f>_xlfn.XLOOKUP(tblMaster[[#This Row],[Product_ID]],tblProducts[Product_ID],tblProducts[Occasion],"Not Found",0)</f>
        <v>All Occasions</v>
      </c>
      <c r="Q592" s="18">
        <f>_xlfn.XLOOKUP(tblMaster[[#This Row],[Product_ID]],tblProducts[Product_ID],tblProducts[Price (INR)],"Not Found",0)</f>
        <v>1804</v>
      </c>
      <c r="R592" s="19">
        <f>tblMaster[[#This Row],[Price]]*tblMaster[[#This Row],[Quantity]]</f>
        <v>5412</v>
      </c>
      <c r="S592" s="19">
        <f>tblMaster[[#This Row],[Price]]*0.7*tblMaster[[#This Row],[Quantity]]</f>
        <v>3788.3999999999996</v>
      </c>
      <c r="T592" s="19">
        <f>tblMaster[[#This Row],[Revenue]]-tblMaster[[#This Row],[Estimated Cost (at 70%) ]]</f>
        <v>1623.6000000000004</v>
      </c>
      <c r="U592" s="19">
        <f>tblMaster[[#This Row],[Profit]]/tblMaster[[#This Row],[Revenue]]</f>
        <v>0.30000000000000004</v>
      </c>
      <c r="V592" s="19">
        <f>tblMaster[[#This Row],[Delivery_Date]]-tblMaster[[#This Row],[Order_Date]]</f>
        <v>8</v>
      </c>
      <c r="W592" s="19" t="str">
        <f>TEXT(tblMaster[[#This Row],[Order_Date]],"mmmm")</f>
        <v>July</v>
      </c>
      <c r="X592" s="19">
        <f>MONTH(tblMaster[[#This Row],[Order_Date]])</f>
        <v>7</v>
      </c>
      <c r="Y592" s="19" t="str">
        <f>"Q"&amp;ROUNDUP(tblMaster[[#This Row],[Month Number]]/3,0)</f>
        <v>Q3</v>
      </c>
      <c r="Z592" s="19">
        <f>YEAR(tblMaster[[#This Row],[Order_Date]])</f>
        <v>2023</v>
      </c>
      <c r="AA592" s="19" t="str">
        <f>TEXT(DAY(tblMaster[[#This Row],[Order_Date]]),"dddd")</f>
        <v>Friday</v>
      </c>
      <c r="AB592" s="19" t="str">
        <f>IF(tblMaster[[#This Row],[Revenue]]&gt;=5000,"High",IF(tblMaster[[#This Row],[Revenue]]&lt;2000,"Low","Medium"))</f>
        <v>High</v>
      </c>
    </row>
    <row r="593" spans="1:28" x14ac:dyDescent="0.25">
      <c r="A593" s="10">
        <v>592</v>
      </c>
      <c r="B593" s="10" t="s">
        <v>369</v>
      </c>
      <c r="C593" s="5">
        <v>47</v>
      </c>
      <c r="D593" s="5">
        <v>5</v>
      </c>
      <c r="E593" s="11">
        <v>44992</v>
      </c>
      <c r="F593" s="12">
        <v>0.14378472222222222</v>
      </c>
      <c r="G593" s="11">
        <v>44996</v>
      </c>
      <c r="H593" s="12">
        <v>0.9037384259259259</v>
      </c>
      <c r="I593" s="10" t="s">
        <v>533</v>
      </c>
      <c r="J593" s="10" t="s">
        <v>25</v>
      </c>
      <c r="K593" s="18" t="str">
        <f>_xlfn.XLOOKUP(tblMaster[[#This Row],[Customer_ID]],tblCustomers[Customer_ID],tblCustomers[City],"Not Found",0)</f>
        <v>Berhampore</v>
      </c>
      <c r="L593" s="18" t="str">
        <f>_xlfn.XLOOKUP(tblMaster[[#This Row],[Customer_ID]],tblCustomers[Customer_ID],tblCustomers[Name],"Not Found",0)</f>
        <v>Jayant Kamdar</v>
      </c>
      <c r="M593" s="18" t="str">
        <f>_xlfn.XLOOKUP(tblMaster[[#This Row],[Customer_ID]],tblCustomers[Customer_ID],tblCustomers[Gender],"Not Found",0)</f>
        <v>Male</v>
      </c>
      <c r="N593" s="18" t="str">
        <f>_xlfn.XLOOKUP(tblMaster[[#This Row],[Product_ID]],tblProducts[Product_ID],tblProducts[Product_Name],"Not Found",0)</f>
        <v>Harum Pack</v>
      </c>
      <c r="O593" s="18" t="str">
        <f>_xlfn.XLOOKUP(tblMaster[[#This Row],[Product_ID]],tblProducts[Product_ID],tblProducts[Category],"Not Found",0)</f>
        <v>Colors</v>
      </c>
      <c r="P593" s="18" t="str">
        <f>_xlfn.XLOOKUP(tblMaster[[#This Row],[Product_ID]],tblProducts[Product_ID],tblProducts[Occasion],"Not Found",0)</f>
        <v>Holi</v>
      </c>
      <c r="Q593" s="18">
        <f>_xlfn.XLOOKUP(tblMaster[[#This Row],[Product_ID]],tblProducts[Product_ID],tblProducts[Price (INR)],"Not Found",0)</f>
        <v>1638</v>
      </c>
      <c r="R593" s="19">
        <f>tblMaster[[#This Row],[Price]]*tblMaster[[#This Row],[Quantity]]</f>
        <v>8190</v>
      </c>
      <c r="S593" s="19">
        <f>tblMaster[[#This Row],[Price]]*0.7*tblMaster[[#This Row],[Quantity]]</f>
        <v>5733</v>
      </c>
      <c r="T593" s="19">
        <f>tblMaster[[#This Row],[Revenue]]-tblMaster[[#This Row],[Estimated Cost (at 70%) ]]</f>
        <v>2457</v>
      </c>
      <c r="U593" s="19">
        <f>tblMaster[[#This Row],[Profit]]/tblMaster[[#This Row],[Revenue]]</f>
        <v>0.3</v>
      </c>
      <c r="V593" s="19">
        <f>tblMaster[[#This Row],[Delivery_Date]]-tblMaster[[#This Row],[Order_Date]]</f>
        <v>4</v>
      </c>
      <c r="W593" s="19" t="str">
        <f>TEXT(tblMaster[[#This Row],[Order_Date]],"mmmm")</f>
        <v>March</v>
      </c>
      <c r="X593" s="19">
        <f>MONTH(tblMaster[[#This Row],[Order_Date]])</f>
        <v>3</v>
      </c>
      <c r="Y593" s="19" t="str">
        <f>"Q"&amp;ROUNDUP(tblMaster[[#This Row],[Month Number]]/3,0)</f>
        <v>Q1</v>
      </c>
      <c r="Z593" s="19">
        <f>YEAR(tblMaster[[#This Row],[Order_Date]])</f>
        <v>2023</v>
      </c>
      <c r="AA593" s="19" t="str">
        <f>TEXT(DAY(tblMaster[[#This Row],[Order_Date]]),"dddd")</f>
        <v>Saturday</v>
      </c>
      <c r="AB593" s="19" t="str">
        <f>IF(tblMaster[[#This Row],[Revenue]]&gt;=5000,"High",IF(tblMaster[[#This Row],[Revenue]]&lt;2000,"Low","Medium"))</f>
        <v>High</v>
      </c>
    </row>
    <row r="594" spans="1:28" x14ac:dyDescent="0.25">
      <c r="A594" s="7">
        <v>593</v>
      </c>
      <c r="B594" s="7" t="s">
        <v>392</v>
      </c>
      <c r="C594" s="4">
        <v>58</v>
      </c>
      <c r="D594" s="4">
        <v>3</v>
      </c>
      <c r="E594" s="8">
        <v>44962</v>
      </c>
      <c r="F594" s="9">
        <v>0.72962962962962963</v>
      </c>
      <c r="G594" s="8">
        <v>44969</v>
      </c>
      <c r="H594" s="9">
        <v>0.39864583333333331</v>
      </c>
      <c r="I594" s="7" t="s">
        <v>383</v>
      </c>
      <c r="J594" s="7" t="s">
        <v>12</v>
      </c>
      <c r="K594" s="18" t="str">
        <f>_xlfn.XLOOKUP(tblMaster[[#This Row],[Customer_ID]],tblCustomers[Customer_ID],tblCustomers[City],"Not Found",0)</f>
        <v>Tenali</v>
      </c>
      <c r="L594" s="18" t="str">
        <f>_xlfn.XLOOKUP(tblMaster[[#This Row],[Customer_ID]],tblCustomers[Customer_ID],tblCustomers[Name],"Not Found",0)</f>
        <v>Amani Ganesh</v>
      </c>
      <c r="M594" s="18" t="str">
        <f>_xlfn.XLOOKUP(tblMaster[[#This Row],[Customer_ID]],tblCustomers[Customer_ID],tblCustomers[Gender],"Not Found",0)</f>
        <v>Male</v>
      </c>
      <c r="N594" s="18" t="str">
        <f>_xlfn.XLOOKUP(tblMaster[[#This Row],[Product_ID]],tblProducts[Product_ID],tblProducts[Product_Name],"Not Found",0)</f>
        <v>Sed Pack</v>
      </c>
      <c r="O594" s="18" t="str">
        <f>_xlfn.XLOOKUP(tblMaster[[#This Row],[Product_ID]],tblProducts[Product_ID],tblProducts[Category],"Not Found",0)</f>
        <v>Cake</v>
      </c>
      <c r="P594" s="18" t="str">
        <f>_xlfn.XLOOKUP(tblMaster[[#This Row],[Product_ID]],tblProducts[Product_ID],tblProducts[Occasion],"Not Found",0)</f>
        <v>Valentine's Day</v>
      </c>
      <c r="Q594" s="18">
        <f>_xlfn.XLOOKUP(tblMaster[[#This Row],[Product_ID]],tblProducts[Product_ID],tblProducts[Price (INR)],"Not Found",0)</f>
        <v>1492</v>
      </c>
      <c r="R594" s="19">
        <f>tblMaster[[#This Row],[Price]]*tblMaster[[#This Row],[Quantity]]</f>
        <v>4476</v>
      </c>
      <c r="S594" s="19">
        <f>tblMaster[[#This Row],[Price]]*0.7*tblMaster[[#This Row],[Quantity]]</f>
        <v>3133.2</v>
      </c>
      <c r="T594" s="19">
        <f>tblMaster[[#This Row],[Revenue]]-tblMaster[[#This Row],[Estimated Cost (at 70%) ]]</f>
        <v>1342.8000000000002</v>
      </c>
      <c r="U594" s="19">
        <f>tblMaster[[#This Row],[Profit]]/tblMaster[[#This Row],[Revenue]]</f>
        <v>0.30000000000000004</v>
      </c>
      <c r="V594" s="19">
        <f>tblMaster[[#This Row],[Delivery_Date]]-tblMaster[[#This Row],[Order_Date]]</f>
        <v>7</v>
      </c>
      <c r="W594" s="19" t="str">
        <f>TEXT(tblMaster[[#This Row],[Order_Date]],"mmmm")</f>
        <v>February</v>
      </c>
      <c r="X594" s="19">
        <f>MONTH(tblMaster[[#This Row],[Order_Date]])</f>
        <v>2</v>
      </c>
      <c r="Y594" s="19" t="str">
        <f>"Q"&amp;ROUNDUP(tblMaster[[#This Row],[Month Number]]/3,0)</f>
        <v>Q1</v>
      </c>
      <c r="Z594" s="19">
        <f>YEAR(tblMaster[[#This Row],[Order_Date]])</f>
        <v>2023</v>
      </c>
      <c r="AA594" s="19" t="str">
        <f>TEXT(DAY(tblMaster[[#This Row],[Order_Date]]),"dddd")</f>
        <v>Thursday</v>
      </c>
      <c r="AB594" s="19" t="str">
        <f>IF(tblMaster[[#This Row],[Revenue]]&gt;=5000,"High",IF(tblMaster[[#This Row],[Revenue]]&lt;2000,"Low","Medium"))</f>
        <v>Medium</v>
      </c>
    </row>
    <row r="595" spans="1:28" x14ac:dyDescent="0.25">
      <c r="A595" s="10">
        <v>594</v>
      </c>
      <c r="B595" s="10" t="s">
        <v>299</v>
      </c>
      <c r="C595" s="5">
        <v>20</v>
      </c>
      <c r="D595" s="5">
        <v>2</v>
      </c>
      <c r="E595" s="11">
        <v>45072</v>
      </c>
      <c r="F595" s="12">
        <v>0.89309027777777783</v>
      </c>
      <c r="G595" s="11">
        <v>45078</v>
      </c>
      <c r="H595" s="12">
        <v>0.20796296296296296</v>
      </c>
      <c r="I595" s="10" t="s">
        <v>288</v>
      </c>
      <c r="J595" s="10" t="s">
        <v>30</v>
      </c>
      <c r="K595" s="18" t="str">
        <f>_xlfn.XLOOKUP(tblMaster[[#This Row],[Customer_ID]],tblCustomers[Customer_ID],tblCustomers[City],"Not Found",0)</f>
        <v>Satara</v>
      </c>
      <c r="L595" s="18" t="str">
        <f>_xlfn.XLOOKUP(tblMaster[[#This Row],[Customer_ID]],tblCustomers[Customer_ID],tblCustomers[Name],"Not Found",0)</f>
        <v>Riya Wagle</v>
      </c>
      <c r="M595" s="18" t="str">
        <f>_xlfn.XLOOKUP(tblMaster[[#This Row],[Customer_ID]],tblCustomers[Customer_ID],tblCustomers[Gender],"Not Found",0)</f>
        <v>Male</v>
      </c>
      <c r="N595" s="18" t="str">
        <f>_xlfn.XLOOKUP(tblMaster[[#This Row],[Product_ID]],tblProducts[Product_ID],tblProducts[Product_Name],"Not Found",0)</f>
        <v>Reiciendis Box</v>
      </c>
      <c r="O595" s="18" t="str">
        <f>_xlfn.XLOOKUP(tblMaster[[#This Row],[Product_ID]],tblProducts[Product_ID],tblProducts[Category],"Not Found",0)</f>
        <v>Colors</v>
      </c>
      <c r="P595" s="18" t="str">
        <f>_xlfn.XLOOKUP(tblMaster[[#This Row],[Product_ID]],tblProducts[Product_ID],tblProducts[Occasion],"Not Found",0)</f>
        <v>Anniversary</v>
      </c>
      <c r="Q595" s="18">
        <f>_xlfn.XLOOKUP(tblMaster[[#This Row],[Product_ID]],tblProducts[Product_ID],tblProducts[Price (INR)],"Not Found",0)</f>
        <v>697</v>
      </c>
      <c r="R595" s="19">
        <f>tblMaster[[#This Row],[Price]]*tblMaster[[#This Row],[Quantity]]</f>
        <v>1394</v>
      </c>
      <c r="S595" s="19">
        <f>tblMaster[[#This Row],[Price]]*0.7*tblMaster[[#This Row],[Quantity]]</f>
        <v>975.8</v>
      </c>
      <c r="T595" s="19">
        <f>tblMaster[[#This Row],[Revenue]]-tblMaster[[#This Row],[Estimated Cost (at 70%) ]]</f>
        <v>418.20000000000005</v>
      </c>
      <c r="U595" s="19">
        <f>tblMaster[[#This Row],[Profit]]/tblMaster[[#This Row],[Revenue]]</f>
        <v>0.30000000000000004</v>
      </c>
      <c r="V595" s="19">
        <f>tblMaster[[#This Row],[Delivery_Date]]-tblMaster[[#This Row],[Order_Date]]</f>
        <v>6</v>
      </c>
      <c r="W595" s="19" t="str">
        <f>TEXT(tblMaster[[#This Row],[Order_Date]],"mmmm")</f>
        <v>May</v>
      </c>
      <c r="X595" s="19">
        <f>MONTH(tblMaster[[#This Row],[Order_Date]])</f>
        <v>5</v>
      </c>
      <c r="Y595" s="19" t="str">
        <f>"Q"&amp;ROUNDUP(tblMaster[[#This Row],[Month Number]]/3,0)</f>
        <v>Q2</v>
      </c>
      <c r="Z595" s="19">
        <f>YEAR(tblMaster[[#This Row],[Order_Date]])</f>
        <v>2023</v>
      </c>
      <c r="AA595" s="19" t="str">
        <f>TEXT(DAY(tblMaster[[#This Row],[Order_Date]]),"dddd")</f>
        <v>Thursday</v>
      </c>
      <c r="AB595" s="19" t="str">
        <f>IF(tblMaster[[#This Row],[Revenue]]&gt;=5000,"High",IF(tblMaster[[#This Row],[Revenue]]&lt;2000,"Low","Medium"))</f>
        <v>Low</v>
      </c>
    </row>
    <row r="596" spans="1:28" x14ac:dyDescent="0.25">
      <c r="A596" s="7">
        <v>595</v>
      </c>
      <c r="B596" s="7" t="s">
        <v>349</v>
      </c>
      <c r="C596" s="4">
        <v>51</v>
      </c>
      <c r="D596" s="4">
        <v>4</v>
      </c>
      <c r="E596" s="8">
        <v>45238</v>
      </c>
      <c r="F596" s="9">
        <v>0.5759143518518518</v>
      </c>
      <c r="G596" s="8">
        <v>45245</v>
      </c>
      <c r="H596" s="9">
        <v>0.17119212962962962</v>
      </c>
      <c r="I596" s="7" t="s">
        <v>342</v>
      </c>
      <c r="J596" s="7" t="s">
        <v>8</v>
      </c>
      <c r="K596" s="18" t="str">
        <f>_xlfn.XLOOKUP(tblMaster[[#This Row],[Customer_ID]],tblCustomers[Customer_ID],tblCustomers[City],"Not Found",0)</f>
        <v>Khandwa</v>
      </c>
      <c r="L596" s="18" t="str">
        <f>_xlfn.XLOOKUP(tblMaster[[#This Row],[Customer_ID]],tblCustomers[Customer_ID],tblCustomers[Name],"Not Found",0)</f>
        <v>Ivana Rout</v>
      </c>
      <c r="M596" s="18" t="str">
        <f>_xlfn.XLOOKUP(tblMaster[[#This Row],[Customer_ID]],tblCustomers[Customer_ID],tblCustomers[Gender],"Not Found",0)</f>
        <v>Male</v>
      </c>
      <c r="N596" s="18" t="str">
        <f>_xlfn.XLOOKUP(tblMaster[[#This Row],[Product_ID]],tblProducts[Product_ID],tblProducts[Product_Name],"Not Found",0)</f>
        <v>Fugit Set</v>
      </c>
      <c r="O596" s="18" t="str">
        <f>_xlfn.XLOOKUP(tblMaster[[#This Row],[Product_ID]],tblProducts[Product_ID],tblProducts[Category],"Not Found",0)</f>
        <v>Soft Toys</v>
      </c>
      <c r="P596" s="18" t="str">
        <f>_xlfn.XLOOKUP(tblMaster[[#This Row],[Product_ID]],tblProducts[Product_ID],tblProducts[Occasion],"Not Found",0)</f>
        <v>All Occasions</v>
      </c>
      <c r="Q596" s="18">
        <f>_xlfn.XLOOKUP(tblMaster[[#This Row],[Product_ID]],tblProducts[Product_ID],tblProducts[Price (INR)],"Not Found",0)</f>
        <v>1084</v>
      </c>
      <c r="R596" s="19">
        <f>tblMaster[[#This Row],[Price]]*tblMaster[[#This Row],[Quantity]]</f>
        <v>4336</v>
      </c>
      <c r="S596" s="19">
        <f>tblMaster[[#This Row],[Price]]*0.7*tblMaster[[#This Row],[Quantity]]</f>
        <v>3035.2</v>
      </c>
      <c r="T596" s="19">
        <f>tblMaster[[#This Row],[Revenue]]-tblMaster[[#This Row],[Estimated Cost (at 70%) ]]</f>
        <v>1300.8000000000002</v>
      </c>
      <c r="U596" s="19">
        <f>tblMaster[[#This Row],[Profit]]/tblMaster[[#This Row],[Revenue]]</f>
        <v>0.30000000000000004</v>
      </c>
      <c r="V596" s="19">
        <f>tblMaster[[#This Row],[Delivery_Date]]-tblMaster[[#This Row],[Order_Date]]</f>
        <v>7</v>
      </c>
      <c r="W596" s="19" t="str">
        <f>TEXT(tblMaster[[#This Row],[Order_Date]],"mmmm")</f>
        <v>November</v>
      </c>
      <c r="X596" s="19">
        <f>MONTH(tblMaster[[#This Row],[Order_Date]])</f>
        <v>11</v>
      </c>
      <c r="Y596" s="19" t="str">
        <f>"Q"&amp;ROUNDUP(tblMaster[[#This Row],[Month Number]]/3,0)</f>
        <v>Q4</v>
      </c>
      <c r="Z596" s="19">
        <f>YEAR(tblMaster[[#This Row],[Order_Date]])</f>
        <v>2023</v>
      </c>
      <c r="AA596" s="19" t="str">
        <f>TEXT(DAY(tblMaster[[#This Row],[Order_Date]]),"dddd")</f>
        <v>Sunday</v>
      </c>
      <c r="AB596" s="19" t="str">
        <f>IF(tblMaster[[#This Row],[Revenue]]&gt;=5000,"High",IF(tblMaster[[#This Row],[Revenue]]&lt;2000,"Low","Medium"))</f>
        <v>Medium</v>
      </c>
    </row>
    <row r="597" spans="1:28" x14ac:dyDescent="0.25">
      <c r="A597" s="10">
        <v>596</v>
      </c>
      <c r="B597" s="10" t="s">
        <v>237</v>
      </c>
      <c r="C597" s="5">
        <v>50</v>
      </c>
      <c r="D597" s="5">
        <v>1</v>
      </c>
      <c r="E597" s="11">
        <v>44990</v>
      </c>
      <c r="F597" s="12">
        <v>0.62339120370370371</v>
      </c>
      <c r="G597" s="11">
        <v>44999</v>
      </c>
      <c r="H597" s="12">
        <v>0.74912037037037038</v>
      </c>
      <c r="I597" s="10" t="s">
        <v>346</v>
      </c>
      <c r="J597" s="10" t="s">
        <v>25</v>
      </c>
      <c r="K597" s="18" t="str">
        <f>_xlfn.XLOOKUP(tblMaster[[#This Row],[Customer_ID]],tblCustomers[Customer_ID],tblCustomers[City],"Not Found",0)</f>
        <v>Guna</v>
      </c>
      <c r="L597" s="18" t="str">
        <f>_xlfn.XLOOKUP(tblMaster[[#This Row],[Customer_ID]],tblCustomers[Customer_ID],tblCustomers[Name],"Not Found",0)</f>
        <v>Tara Kannan</v>
      </c>
      <c r="M597" s="18" t="str">
        <f>_xlfn.XLOOKUP(tblMaster[[#This Row],[Customer_ID]],tblCustomers[Customer_ID],tblCustomers[Gender],"Not Found",0)</f>
        <v>Male</v>
      </c>
      <c r="N597" s="18" t="str">
        <f>_xlfn.XLOOKUP(tblMaster[[#This Row],[Product_ID]],tblProducts[Product_ID],tblProducts[Product_Name],"Not Found",0)</f>
        <v>Eligendi Set</v>
      </c>
      <c r="O597" s="18" t="str">
        <f>_xlfn.XLOOKUP(tblMaster[[#This Row],[Product_ID]],tblProducts[Product_ID],tblProducts[Category],"Not Found",0)</f>
        <v>Plants</v>
      </c>
      <c r="P597" s="18" t="str">
        <f>_xlfn.XLOOKUP(tblMaster[[#This Row],[Product_ID]],tblProducts[Product_ID],tblProducts[Occasion],"Not Found",0)</f>
        <v>Holi</v>
      </c>
      <c r="Q597" s="18">
        <f>_xlfn.XLOOKUP(tblMaster[[#This Row],[Product_ID]],tblProducts[Product_ID],tblProducts[Price (INR)],"Not Found",0)</f>
        <v>422</v>
      </c>
      <c r="R597" s="19">
        <f>tblMaster[[#This Row],[Price]]*tblMaster[[#This Row],[Quantity]]</f>
        <v>422</v>
      </c>
      <c r="S597" s="19">
        <f>tblMaster[[#This Row],[Price]]*0.7*tblMaster[[#This Row],[Quantity]]</f>
        <v>295.39999999999998</v>
      </c>
      <c r="T597" s="19">
        <f>tblMaster[[#This Row],[Revenue]]-tblMaster[[#This Row],[Estimated Cost (at 70%) ]]</f>
        <v>126.60000000000002</v>
      </c>
      <c r="U597" s="19">
        <f>tblMaster[[#This Row],[Profit]]/tblMaster[[#This Row],[Revenue]]</f>
        <v>0.30000000000000004</v>
      </c>
      <c r="V597" s="19">
        <f>tblMaster[[#This Row],[Delivery_Date]]-tblMaster[[#This Row],[Order_Date]]</f>
        <v>9</v>
      </c>
      <c r="W597" s="19" t="str">
        <f>TEXT(tblMaster[[#This Row],[Order_Date]],"mmmm")</f>
        <v>March</v>
      </c>
      <c r="X597" s="19">
        <f>MONTH(tblMaster[[#This Row],[Order_Date]])</f>
        <v>3</v>
      </c>
      <c r="Y597" s="19" t="str">
        <f>"Q"&amp;ROUNDUP(tblMaster[[#This Row],[Month Number]]/3,0)</f>
        <v>Q1</v>
      </c>
      <c r="Z597" s="19">
        <f>YEAR(tblMaster[[#This Row],[Order_Date]])</f>
        <v>2023</v>
      </c>
      <c r="AA597" s="19" t="str">
        <f>TEXT(DAY(tblMaster[[#This Row],[Order_Date]]),"dddd")</f>
        <v>Thursday</v>
      </c>
      <c r="AB597" s="19" t="str">
        <f>IF(tblMaster[[#This Row],[Revenue]]&gt;=5000,"High",IF(tblMaster[[#This Row],[Revenue]]&lt;2000,"Low","Medium"))</f>
        <v>Low</v>
      </c>
    </row>
    <row r="598" spans="1:28" x14ac:dyDescent="0.25">
      <c r="A598" s="7">
        <v>597</v>
      </c>
      <c r="B598" s="7" t="s">
        <v>267</v>
      </c>
      <c r="C598" s="4">
        <v>16</v>
      </c>
      <c r="D598" s="4">
        <v>1</v>
      </c>
      <c r="E598" s="8">
        <v>44986</v>
      </c>
      <c r="F598" s="9">
        <v>4.5752314814814815E-2</v>
      </c>
      <c r="G598" s="8">
        <v>44991</v>
      </c>
      <c r="H598" s="9">
        <v>0.11787037037037038</v>
      </c>
      <c r="I598" s="7" t="s">
        <v>516</v>
      </c>
      <c r="J598" s="7" t="s">
        <v>25</v>
      </c>
      <c r="K598" s="18" t="str">
        <f>_xlfn.XLOOKUP(tblMaster[[#This Row],[Customer_ID]],tblCustomers[Customer_ID],tblCustomers[City],"Not Found",0)</f>
        <v>Sultan Pur Majra</v>
      </c>
      <c r="L598" s="18" t="str">
        <f>_xlfn.XLOOKUP(tblMaster[[#This Row],[Customer_ID]],tblCustomers[Customer_ID],tblCustomers[Name],"Not Found",0)</f>
        <v>Vanya Apte</v>
      </c>
      <c r="M598" s="18" t="str">
        <f>_xlfn.XLOOKUP(tblMaster[[#This Row],[Customer_ID]],tblCustomers[Customer_ID],tblCustomers[Gender],"Not Found",0)</f>
        <v>Female</v>
      </c>
      <c r="N598" s="18" t="str">
        <f>_xlfn.XLOOKUP(tblMaster[[#This Row],[Product_ID]],tblProducts[Product_ID],tblProducts[Product_Name],"Not Found",0)</f>
        <v>Ut Pack</v>
      </c>
      <c r="O598" s="18" t="str">
        <f>_xlfn.XLOOKUP(tblMaster[[#This Row],[Product_ID]],tblProducts[Product_ID],tblProducts[Category],"Not Found",0)</f>
        <v>Sweets</v>
      </c>
      <c r="P598" s="18" t="str">
        <f>_xlfn.XLOOKUP(tblMaster[[#This Row],[Product_ID]],tblProducts[Product_ID],tblProducts[Occasion],"Not Found",0)</f>
        <v>Holi</v>
      </c>
      <c r="Q598" s="18">
        <f>_xlfn.XLOOKUP(tblMaster[[#This Row],[Product_ID]],tblProducts[Product_ID],tblProducts[Price (INR)],"Not Found",0)</f>
        <v>1721</v>
      </c>
      <c r="R598" s="19">
        <f>tblMaster[[#This Row],[Price]]*tblMaster[[#This Row],[Quantity]]</f>
        <v>1721</v>
      </c>
      <c r="S598" s="19">
        <f>tblMaster[[#This Row],[Price]]*0.7*tblMaster[[#This Row],[Quantity]]</f>
        <v>1204.6999999999998</v>
      </c>
      <c r="T598" s="19">
        <f>tblMaster[[#This Row],[Revenue]]-tblMaster[[#This Row],[Estimated Cost (at 70%) ]]</f>
        <v>516.30000000000018</v>
      </c>
      <c r="U598" s="19">
        <f>tblMaster[[#This Row],[Profit]]/tblMaster[[#This Row],[Revenue]]</f>
        <v>0.3000000000000001</v>
      </c>
      <c r="V598" s="19">
        <f>tblMaster[[#This Row],[Delivery_Date]]-tblMaster[[#This Row],[Order_Date]]</f>
        <v>5</v>
      </c>
      <c r="W598" s="19" t="str">
        <f>TEXT(tblMaster[[#This Row],[Order_Date]],"mmmm")</f>
        <v>March</v>
      </c>
      <c r="X598" s="19">
        <f>MONTH(tblMaster[[#This Row],[Order_Date]])</f>
        <v>3</v>
      </c>
      <c r="Y598" s="19" t="str">
        <f>"Q"&amp;ROUNDUP(tblMaster[[#This Row],[Month Number]]/3,0)</f>
        <v>Q1</v>
      </c>
      <c r="Z598" s="19">
        <f>YEAR(tblMaster[[#This Row],[Order_Date]])</f>
        <v>2023</v>
      </c>
      <c r="AA598" s="19" t="str">
        <f>TEXT(DAY(tblMaster[[#This Row],[Order_Date]]),"dddd")</f>
        <v>Sunday</v>
      </c>
      <c r="AB598" s="19" t="str">
        <f>IF(tblMaster[[#This Row],[Revenue]]&gt;=5000,"High",IF(tblMaster[[#This Row],[Revenue]]&lt;2000,"Low","Medium"))</f>
        <v>Low</v>
      </c>
    </row>
    <row r="599" spans="1:28" x14ac:dyDescent="0.25">
      <c r="A599" s="10">
        <v>598</v>
      </c>
      <c r="B599" s="10" t="s">
        <v>204</v>
      </c>
      <c r="C599" s="5">
        <v>37</v>
      </c>
      <c r="D599" s="5">
        <v>3</v>
      </c>
      <c r="E599" s="11">
        <v>45241</v>
      </c>
      <c r="F599" s="12">
        <v>0.11901620370370371</v>
      </c>
      <c r="G599" s="11">
        <v>45248</v>
      </c>
      <c r="H599" s="12">
        <v>0.91211805555555558</v>
      </c>
      <c r="I599" s="10" t="s">
        <v>256</v>
      </c>
      <c r="J599" s="10" t="s">
        <v>19</v>
      </c>
      <c r="K599" s="18" t="str">
        <f>_xlfn.XLOOKUP(tblMaster[[#This Row],[Customer_ID]],tblCustomers[Customer_ID],tblCustomers[City],"Not Found",0)</f>
        <v>Bidhannagar</v>
      </c>
      <c r="L599" s="18" t="str">
        <f>_xlfn.XLOOKUP(tblMaster[[#This Row],[Customer_ID]],tblCustomers[Customer_ID],tblCustomers[Name],"Not Found",0)</f>
        <v>Umang Ahuja</v>
      </c>
      <c r="M599" s="18" t="str">
        <f>_xlfn.XLOOKUP(tblMaster[[#This Row],[Customer_ID]],tblCustomers[Customer_ID],tblCustomers[Gender],"Not Found",0)</f>
        <v>Female</v>
      </c>
      <c r="N599" s="18" t="str">
        <f>_xlfn.XLOOKUP(tblMaster[[#This Row],[Product_ID]],tblProducts[Product_ID],tblProducts[Product_Name],"Not Found",0)</f>
        <v>Officiis Pack</v>
      </c>
      <c r="O599" s="18" t="str">
        <f>_xlfn.XLOOKUP(tblMaster[[#This Row],[Product_ID]],tblProducts[Product_ID],tblProducts[Category],"Not Found",0)</f>
        <v>Colors</v>
      </c>
      <c r="P599" s="18" t="str">
        <f>_xlfn.XLOOKUP(tblMaster[[#This Row],[Product_ID]],tblProducts[Product_ID],tblProducts[Occasion],"Not Found",0)</f>
        <v>Diwali</v>
      </c>
      <c r="Q599" s="18">
        <f>_xlfn.XLOOKUP(tblMaster[[#This Row],[Product_ID]],tblProducts[Product_ID],tblProducts[Price (INR)],"Not Found",0)</f>
        <v>1428</v>
      </c>
      <c r="R599" s="19">
        <f>tblMaster[[#This Row],[Price]]*tblMaster[[#This Row],[Quantity]]</f>
        <v>4284</v>
      </c>
      <c r="S599" s="19">
        <f>tblMaster[[#This Row],[Price]]*0.7*tblMaster[[#This Row],[Quantity]]</f>
        <v>2998.7999999999997</v>
      </c>
      <c r="T599" s="19">
        <f>tblMaster[[#This Row],[Revenue]]-tblMaster[[#This Row],[Estimated Cost (at 70%) ]]</f>
        <v>1285.2000000000003</v>
      </c>
      <c r="U599" s="19">
        <f>tblMaster[[#This Row],[Profit]]/tblMaster[[#This Row],[Revenue]]</f>
        <v>0.30000000000000004</v>
      </c>
      <c r="V599" s="19">
        <f>tblMaster[[#This Row],[Delivery_Date]]-tblMaster[[#This Row],[Order_Date]]</f>
        <v>7</v>
      </c>
      <c r="W599" s="19" t="str">
        <f>TEXT(tblMaster[[#This Row],[Order_Date]],"mmmm")</f>
        <v>November</v>
      </c>
      <c r="X599" s="19">
        <f>MONTH(tblMaster[[#This Row],[Order_Date]])</f>
        <v>11</v>
      </c>
      <c r="Y599" s="19" t="str">
        <f>"Q"&amp;ROUNDUP(tblMaster[[#This Row],[Month Number]]/3,0)</f>
        <v>Q4</v>
      </c>
      <c r="Z599" s="19">
        <f>YEAR(tblMaster[[#This Row],[Order_Date]])</f>
        <v>2023</v>
      </c>
      <c r="AA599" s="19" t="str">
        <f>TEXT(DAY(tblMaster[[#This Row],[Order_Date]]),"dddd")</f>
        <v>Wednesday</v>
      </c>
      <c r="AB599" s="19" t="str">
        <f>IF(tblMaster[[#This Row],[Revenue]]&gt;=5000,"High",IF(tblMaster[[#This Row],[Revenue]]&lt;2000,"Low","Medium"))</f>
        <v>Medium</v>
      </c>
    </row>
    <row r="600" spans="1:28" x14ac:dyDescent="0.25">
      <c r="A600" s="7">
        <v>599</v>
      </c>
      <c r="B600" s="7" t="s">
        <v>400</v>
      </c>
      <c r="C600" s="4">
        <v>34</v>
      </c>
      <c r="D600" s="4">
        <v>1</v>
      </c>
      <c r="E600" s="8">
        <v>45159</v>
      </c>
      <c r="F600" s="9">
        <v>0.81416666666666671</v>
      </c>
      <c r="G600" s="8">
        <v>45162</v>
      </c>
      <c r="H600" s="9">
        <v>0.50962962962962965</v>
      </c>
      <c r="I600" s="7" t="s">
        <v>418</v>
      </c>
      <c r="J600" s="7" t="s">
        <v>33</v>
      </c>
      <c r="K600" s="18" t="str">
        <f>_xlfn.XLOOKUP(tblMaster[[#This Row],[Customer_ID]],tblCustomers[Customer_ID],tblCustomers[City],"Not Found",0)</f>
        <v>Miryalaguda</v>
      </c>
      <c r="L600" s="18" t="str">
        <f>_xlfn.XLOOKUP(tblMaster[[#This Row],[Customer_ID]],tblCustomers[Customer_ID],tblCustomers[Name],"Not Found",0)</f>
        <v>Tarini Bava</v>
      </c>
      <c r="M600" s="18" t="str">
        <f>_xlfn.XLOOKUP(tblMaster[[#This Row],[Customer_ID]],tblCustomers[Customer_ID],tblCustomers[Gender],"Not Found",0)</f>
        <v>Male</v>
      </c>
      <c r="N600" s="18" t="str">
        <f>_xlfn.XLOOKUP(tblMaster[[#This Row],[Product_ID]],tblProducts[Product_ID],tblProducts[Product_Name],"Not Found",0)</f>
        <v>Placeat Pack</v>
      </c>
      <c r="O600" s="18" t="str">
        <f>_xlfn.XLOOKUP(tblMaster[[#This Row],[Product_ID]],tblProducts[Product_ID],tblProducts[Category],"Not Found",0)</f>
        <v>Soft Toys</v>
      </c>
      <c r="P600" s="18" t="str">
        <f>_xlfn.XLOOKUP(tblMaster[[#This Row],[Product_ID]],tblProducts[Product_ID],tblProducts[Occasion],"Not Found",0)</f>
        <v>Raksha Bandhan</v>
      </c>
      <c r="Q600" s="18">
        <f>_xlfn.XLOOKUP(tblMaster[[#This Row],[Product_ID]],tblProducts[Product_ID],tblProducts[Price (INR)],"Not Found",0)</f>
        <v>1335</v>
      </c>
      <c r="R600" s="19">
        <f>tblMaster[[#This Row],[Price]]*tblMaster[[#This Row],[Quantity]]</f>
        <v>1335</v>
      </c>
      <c r="S600" s="19">
        <f>tblMaster[[#This Row],[Price]]*0.7*tblMaster[[#This Row],[Quantity]]</f>
        <v>934.49999999999989</v>
      </c>
      <c r="T600" s="19">
        <f>tblMaster[[#This Row],[Revenue]]-tblMaster[[#This Row],[Estimated Cost (at 70%) ]]</f>
        <v>400.50000000000011</v>
      </c>
      <c r="U600" s="19">
        <f>tblMaster[[#This Row],[Profit]]/tblMaster[[#This Row],[Revenue]]</f>
        <v>0.3000000000000001</v>
      </c>
      <c r="V600" s="19">
        <f>tblMaster[[#This Row],[Delivery_Date]]-tblMaster[[#This Row],[Order_Date]]</f>
        <v>3</v>
      </c>
      <c r="W600" s="19" t="str">
        <f>TEXT(tblMaster[[#This Row],[Order_Date]],"mmmm")</f>
        <v>August</v>
      </c>
      <c r="X600" s="19">
        <f>MONTH(tblMaster[[#This Row],[Order_Date]])</f>
        <v>8</v>
      </c>
      <c r="Y600" s="19" t="str">
        <f>"Q"&amp;ROUNDUP(tblMaster[[#This Row],[Month Number]]/3,0)</f>
        <v>Q3</v>
      </c>
      <c r="Z600" s="19">
        <f>YEAR(tblMaster[[#This Row],[Order_Date]])</f>
        <v>2023</v>
      </c>
      <c r="AA600" s="19" t="str">
        <f>TEXT(DAY(tblMaster[[#This Row],[Order_Date]]),"dddd")</f>
        <v>Saturday</v>
      </c>
      <c r="AB600" s="19" t="str">
        <f>IF(tblMaster[[#This Row],[Revenue]]&gt;=5000,"High",IF(tblMaster[[#This Row],[Revenue]]&lt;2000,"Low","Medium"))</f>
        <v>Low</v>
      </c>
    </row>
    <row r="601" spans="1:28" x14ac:dyDescent="0.25">
      <c r="A601" s="10">
        <v>600</v>
      </c>
      <c r="B601" s="10" t="s">
        <v>258</v>
      </c>
      <c r="C601" s="5">
        <v>47</v>
      </c>
      <c r="D601" s="5">
        <v>4</v>
      </c>
      <c r="E601" s="11">
        <v>44992</v>
      </c>
      <c r="F601" s="12">
        <v>0.89211805555555557</v>
      </c>
      <c r="G601" s="11">
        <v>44994</v>
      </c>
      <c r="H601" s="12">
        <v>0.63702546296296292</v>
      </c>
      <c r="I601" s="10" t="s">
        <v>534</v>
      </c>
      <c r="J601" s="10" t="s">
        <v>25</v>
      </c>
      <c r="K601" s="18" t="str">
        <f>_xlfn.XLOOKUP(tblMaster[[#This Row],[Customer_ID]],tblCustomers[Customer_ID],tblCustomers[City],"Not Found",0)</f>
        <v>Warangal</v>
      </c>
      <c r="L601" s="18" t="str">
        <f>_xlfn.XLOOKUP(tblMaster[[#This Row],[Customer_ID]],tblCustomers[Customer_ID],tblCustomers[Name],"Not Found",0)</f>
        <v>Mahika Cherian</v>
      </c>
      <c r="M601" s="18" t="str">
        <f>_xlfn.XLOOKUP(tblMaster[[#This Row],[Customer_ID]],tblCustomers[Customer_ID],tblCustomers[Gender],"Not Found",0)</f>
        <v>Female</v>
      </c>
      <c r="N601" s="18" t="str">
        <f>_xlfn.XLOOKUP(tblMaster[[#This Row],[Product_ID]],tblProducts[Product_ID],tblProducts[Product_Name],"Not Found",0)</f>
        <v>Harum Pack</v>
      </c>
      <c r="O601" s="18" t="str">
        <f>_xlfn.XLOOKUP(tblMaster[[#This Row],[Product_ID]],tblProducts[Product_ID],tblProducts[Category],"Not Found",0)</f>
        <v>Colors</v>
      </c>
      <c r="P601" s="18" t="str">
        <f>_xlfn.XLOOKUP(tblMaster[[#This Row],[Product_ID]],tblProducts[Product_ID],tblProducts[Occasion],"Not Found",0)</f>
        <v>Holi</v>
      </c>
      <c r="Q601" s="18">
        <f>_xlfn.XLOOKUP(tblMaster[[#This Row],[Product_ID]],tblProducts[Product_ID],tblProducts[Price (INR)],"Not Found",0)</f>
        <v>1638</v>
      </c>
      <c r="R601" s="19">
        <f>tblMaster[[#This Row],[Price]]*tblMaster[[#This Row],[Quantity]]</f>
        <v>6552</v>
      </c>
      <c r="S601" s="19">
        <f>tblMaster[[#This Row],[Price]]*0.7*tblMaster[[#This Row],[Quantity]]</f>
        <v>4586.3999999999996</v>
      </c>
      <c r="T601" s="19">
        <f>tblMaster[[#This Row],[Revenue]]-tblMaster[[#This Row],[Estimated Cost (at 70%) ]]</f>
        <v>1965.6000000000004</v>
      </c>
      <c r="U601" s="19">
        <f>tblMaster[[#This Row],[Profit]]/tblMaster[[#This Row],[Revenue]]</f>
        <v>0.30000000000000004</v>
      </c>
      <c r="V601" s="19">
        <f>tblMaster[[#This Row],[Delivery_Date]]-tblMaster[[#This Row],[Order_Date]]</f>
        <v>2</v>
      </c>
      <c r="W601" s="19" t="str">
        <f>TEXT(tblMaster[[#This Row],[Order_Date]],"mmmm")</f>
        <v>March</v>
      </c>
      <c r="X601" s="19">
        <f>MONTH(tblMaster[[#This Row],[Order_Date]])</f>
        <v>3</v>
      </c>
      <c r="Y601" s="19" t="str">
        <f>"Q"&amp;ROUNDUP(tblMaster[[#This Row],[Month Number]]/3,0)</f>
        <v>Q1</v>
      </c>
      <c r="Z601" s="19">
        <f>YEAR(tblMaster[[#This Row],[Order_Date]])</f>
        <v>2023</v>
      </c>
      <c r="AA601" s="19" t="str">
        <f>TEXT(DAY(tblMaster[[#This Row],[Order_Date]]),"dddd")</f>
        <v>Saturday</v>
      </c>
      <c r="AB601" s="19" t="str">
        <f>IF(tblMaster[[#This Row],[Revenue]]&gt;=5000,"High",IF(tblMaster[[#This Row],[Revenue]]&lt;2000,"Low","Medium"))</f>
        <v>High</v>
      </c>
    </row>
    <row r="602" spans="1:28" x14ac:dyDescent="0.25">
      <c r="A602" s="7">
        <v>601</v>
      </c>
      <c r="B602" s="7" t="s">
        <v>337</v>
      </c>
      <c r="C602" s="4">
        <v>1</v>
      </c>
      <c r="D602" s="4">
        <v>4</v>
      </c>
      <c r="E602" s="8">
        <v>44999</v>
      </c>
      <c r="F602" s="9">
        <v>0.10957175925925926</v>
      </c>
      <c r="G602" s="8">
        <v>45003</v>
      </c>
      <c r="H602" s="9">
        <v>0.15083333333333335</v>
      </c>
      <c r="I602" s="7" t="s">
        <v>389</v>
      </c>
      <c r="J602" s="7" t="s">
        <v>8</v>
      </c>
      <c r="K602" s="18" t="str">
        <f>_xlfn.XLOOKUP(tblMaster[[#This Row],[Customer_ID]],tblCustomers[Customer_ID],tblCustomers[City],"Not Found",0)</f>
        <v>Sambhal</v>
      </c>
      <c r="L602" s="18" t="str">
        <f>_xlfn.XLOOKUP(tblMaster[[#This Row],[Customer_ID]],tblCustomers[Customer_ID],tblCustomers[Name],"Not Found",0)</f>
        <v>Vardaniya Contractor</v>
      </c>
      <c r="M602" s="18" t="str">
        <f>_xlfn.XLOOKUP(tblMaster[[#This Row],[Customer_ID]],tblCustomers[Customer_ID],tblCustomers[Gender],"Not Found",0)</f>
        <v>Male</v>
      </c>
      <c r="N602" s="18" t="str">
        <f>_xlfn.XLOOKUP(tblMaster[[#This Row],[Product_ID]],tblProducts[Product_ID],tblProducts[Product_Name],"Not Found",0)</f>
        <v>Magnam Set</v>
      </c>
      <c r="O602" s="18" t="str">
        <f>_xlfn.XLOOKUP(tblMaster[[#This Row],[Product_ID]],tblProducts[Product_ID],tblProducts[Category],"Not Found",0)</f>
        <v>Soft Toys</v>
      </c>
      <c r="P602" s="18" t="str">
        <f>_xlfn.XLOOKUP(tblMaster[[#This Row],[Product_ID]],tblProducts[Product_ID],tblProducts[Occasion],"Not Found",0)</f>
        <v>All Occasions</v>
      </c>
      <c r="Q602" s="18">
        <f>_xlfn.XLOOKUP(tblMaster[[#This Row],[Product_ID]],tblProducts[Product_ID],tblProducts[Price (INR)],"Not Found",0)</f>
        <v>1935</v>
      </c>
      <c r="R602" s="19">
        <f>tblMaster[[#This Row],[Price]]*tblMaster[[#This Row],[Quantity]]</f>
        <v>7740</v>
      </c>
      <c r="S602" s="19">
        <f>tblMaster[[#This Row],[Price]]*0.7*tblMaster[[#This Row],[Quantity]]</f>
        <v>5418</v>
      </c>
      <c r="T602" s="19">
        <f>tblMaster[[#This Row],[Revenue]]-tblMaster[[#This Row],[Estimated Cost (at 70%) ]]</f>
        <v>2322</v>
      </c>
      <c r="U602" s="19">
        <f>tblMaster[[#This Row],[Profit]]/tblMaster[[#This Row],[Revenue]]</f>
        <v>0.3</v>
      </c>
      <c r="V602" s="19">
        <f>tblMaster[[#This Row],[Delivery_Date]]-tblMaster[[#This Row],[Order_Date]]</f>
        <v>4</v>
      </c>
      <c r="W602" s="19" t="str">
        <f>TEXT(tblMaster[[#This Row],[Order_Date]],"mmmm")</f>
        <v>March</v>
      </c>
      <c r="X602" s="19">
        <f>MONTH(tblMaster[[#This Row],[Order_Date]])</f>
        <v>3</v>
      </c>
      <c r="Y602" s="19" t="str">
        <f>"Q"&amp;ROUNDUP(tblMaster[[#This Row],[Month Number]]/3,0)</f>
        <v>Q1</v>
      </c>
      <c r="Z602" s="19">
        <f>YEAR(tblMaster[[#This Row],[Order_Date]])</f>
        <v>2023</v>
      </c>
      <c r="AA602" s="19" t="str">
        <f>TEXT(DAY(tblMaster[[#This Row],[Order_Date]]),"dddd")</f>
        <v>Saturday</v>
      </c>
      <c r="AB602" s="19" t="str">
        <f>IF(tblMaster[[#This Row],[Revenue]]&gt;=5000,"High",IF(tblMaster[[#This Row],[Revenue]]&lt;2000,"Low","Medium"))</f>
        <v>High</v>
      </c>
    </row>
    <row r="603" spans="1:28" x14ac:dyDescent="0.25">
      <c r="A603" s="10">
        <v>602</v>
      </c>
      <c r="B603" s="10" t="s">
        <v>190</v>
      </c>
      <c r="C603" s="5">
        <v>43</v>
      </c>
      <c r="D603" s="5">
        <v>5</v>
      </c>
      <c r="E603" s="11">
        <v>45232</v>
      </c>
      <c r="F603" s="12">
        <v>0.42876157407407406</v>
      </c>
      <c r="G603" s="11">
        <v>45241</v>
      </c>
      <c r="H603" s="12">
        <v>0.25138888888888888</v>
      </c>
      <c r="I603" s="10" t="s">
        <v>507</v>
      </c>
      <c r="J603" s="10" t="s">
        <v>19</v>
      </c>
      <c r="K603" s="18" t="str">
        <f>_xlfn.XLOOKUP(tblMaster[[#This Row],[Customer_ID]],tblCustomers[Customer_ID],tblCustomers[City],"Not Found",0)</f>
        <v>Ajmer</v>
      </c>
      <c r="L603" s="18" t="str">
        <f>_xlfn.XLOOKUP(tblMaster[[#This Row],[Customer_ID]],tblCustomers[Customer_ID],tblCustomers[Name],"Not Found",0)</f>
        <v>Eshani Sharma</v>
      </c>
      <c r="M603" s="18" t="str">
        <f>_xlfn.XLOOKUP(tblMaster[[#This Row],[Customer_ID]],tblCustomers[Customer_ID],tblCustomers[Gender],"Not Found",0)</f>
        <v>Male</v>
      </c>
      <c r="N603" s="18" t="str">
        <f>_xlfn.XLOOKUP(tblMaster[[#This Row],[Product_ID]],tblProducts[Product_ID],tblProducts[Product_Name],"Not Found",0)</f>
        <v>Quisquam Pack</v>
      </c>
      <c r="O603" s="18" t="str">
        <f>_xlfn.XLOOKUP(tblMaster[[#This Row],[Product_ID]],tblProducts[Product_ID],tblProducts[Category],"Not Found",0)</f>
        <v>Raksha Bandhan</v>
      </c>
      <c r="P603" s="18" t="str">
        <f>_xlfn.XLOOKUP(tblMaster[[#This Row],[Product_ID]],tblProducts[Product_ID],tblProducts[Occasion],"Not Found",0)</f>
        <v>Diwali</v>
      </c>
      <c r="Q603" s="18">
        <f>_xlfn.XLOOKUP(tblMaster[[#This Row],[Product_ID]],tblProducts[Product_ID],tblProducts[Price (INR)],"Not Found",0)</f>
        <v>750</v>
      </c>
      <c r="R603" s="19">
        <f>tblMaster[[#This Row],[Price]]*tblMaster[[#This Row],[Quantity]]</f>
        <v>3750</v>
      </c>
      <c r="S603" s="19">
        <f>tblMaster[[#This Row],[Price]]*0.7*tblMaster[[#This Row],[Quantity]]</f>
        <v>2625</v>
      </c>
      <c r="T603" s="19">
        <f>tblMaster[[#This Row],[Revenue]]-tblMaster[[#This Row],[Estimated Cost (at 70%) ]]</f>
        <v>1125</v>
      </c>
      <c r="U603" s="19">
        <f>tblMaster[[#This Row],[Profit]]/tblMaster[[#This Row],[Revenue]]</f>
        <v>0.3</v>
      </c>
      <c r="V603" s="19">
        <f>tblMaster[[#This Row],[Delivery_Date]]-tblMaster[[#This Row],[Order_Date]]</f>
        <v>9</v>
      </c>
      <c r="W603" s="19" t="str">
        <f>TEXT(tblMaster[[#This Row],[Order_Date]],"mmmm")</f>
        <v>November</v>
      </c>
      <c r="X603" s="19">
        <f>MONTH(tblMaster[[#This Row],[Order_Date]])</f>
        <v>11</v>
      </c>
      <c r="Y603" s="19" t="str">
        <f>"Q"&amp;ROUNDUP(tblMaster[[#This Row],[Month Number]]/3,0)</f>
        <v>Q4</v>
      </c>
      <c r="Z603" s="19">
        <f>YEAR(tblMaster[[#This Row],[Order_Date]])</f>
        <v>2023</v>
      </c>
      <c r="AA603" s="19" t="str">
        <f>TEXT(DAY(tblMaster[[#This Row],[Order_Date]]),"dddd")</f>
        <v>Monday</v>
      </c>
      <c r="AB603" s="19" t="str">
        <f>IF(tblMaster[[#This Row],[Revenue]]&gt;=5000,"High",IF(tblMaster[[#This Row],[Revenue]]&lt;2000,"Low","Medium"))</f>
        <v>Medium</v>
      </c>
    </row>
    <row r="604" spans="1:28" x14ac:dyDescent="0.25">
      <c r="A604" s="7">
        <v>603</v>
      </c>
      <c r="B604" s="7" t="s">
        <v>424</v>
      </c>
      <c r="C604" s="4">
        <v>8</v>
      </c>
      <c r="D604" s="4">
        <v>3</v>
      </c>
      <c r="E604" s="8">
        <v>45075</v>
      </c>
      <c r="F604" s="9">
        <v>0.22496527777777778</v>
      </c>
      <c r="G604" s="8">
        <v>45084</v>
      </c>
      <c r="H604" s="9">
        <v>0.6352430555555556</v>
      </c>
      <c r="I604" s="7" t="s">
        <v>378</v>
      </c>
      <c r="J604" s="7" t="s">
        <v>30</v>
      </c>
      <c r="K604" s="18" t="str">
        <f>_xlfn.XLOOKUP(tblMaster[[#This Row],[Customer_ID]],tblCustomers[Customer_ID],tblCustomers[City],"Not Found",0)</f>
        <v>Bhilai</v>
      </c>
      <c r="L604" s="18" t="str">
        <f>_xlfn.XLOOKUP(tblMaster[[#This Row],[Customer_ID]],tblCustomers[Customer_ID],tblCustomers[Name],"Not Found",0)</f>
        <v>Vedika Sankaran</v>
      </c>
      <c r="M604" s="18" t="str">
        <f>_xlfn.XLOOKUP(tblMaster[[#This Row],[Customer_ID]],tblCustomers[Customer_ID],tblCustomers[Gender],"Not Found",0)</f>
        <v>Female</v>
      </c>
      <c r="N604" s="18" t="str">
        <f>_xlfn.XLOOKUP(tblMaster[[#This Row],[Product_ID]],tblProducts[Product_ID],tblProducts[Product_Name],"Not Found",0)</f>
        <v>Qui Box</v>
      </c>
      <c r="O604" s="18" t="str">
        <f>_xlfn.XLOOKUP(tblMaster[[#This Row],[Product_ID]],tblProducts[Product_ID],tblProducts[Category],"Not Found",0)</f>
        <v>Sweets</v>
      </c>
      <c r="P604" s="18" t="str">
        <f>_xlfn.XLOOKUP(tblMaster[[#This Row],[Product_ID]],tblProducts[Product_ID],tblProducts[Occasion],"Not Found",0)</f>
        <v>Anniversary</v>
      </c>
      <c r="Q604" s="18">
        <f>_xlfn.XLOOKUP(tblMaster[[#This Row],[Product_ID]],tblProducts[Product_ID],tblProducts[Price (INR)],"Not Found",0)</f>
        <v>252</v>
      </c>
      <c r="R604" s="19">
        <f>tblMaster[[#This Row],[Price]]*tblMaster[[#This Row],[Quantity]]</f>
        <v>756</v>
      </c>
      <c r="S604" s="19">
        <f>tblMaster[[#This Row],[Price]]*0.7*tblMaster[[#This Row],[Quantity]]</f>
        <v>529.19999999999993</v>
      </c>
      <c r="T604" s="19">
        <f>tblMaster[[#This Row],[Revenue]]-tblMaster[[#This Row],[Estimated Cost (at 70%) ]]</f>
        <v>226.80000000000007</v>
      </c>
      <c r="U604" s="19">
        <f>tblMaster[[#This Row],[Profit]]/tblMaster[[#This Row],[Revenue]]</f>
        <v>0.3000000000000001</v>
      </c>
      <c r="V604" s="19">
        <f>tblMaster[[#This Row],[Delivery_Date]]-tblMaster[[#This Row],[Order_Date]]</f>
        <v>9</v>
      </c>
      <c r="W604" s="19" t="str">
        <f>TEXT(tblMaster[[#This Row],[Order_Date]],"mmmm")</f>
        <v>May</v>
      </c>
      <c r="X604" s="19">
        <f>MONTH(tblMaster[[#This Row],[Order_Date]])</f>
        <v>5</v>
      </c>
      <c r="Y604" s="19" t="str">
        <f>"Q"&amp;ROUNDUP(tblMaster[[#This Row],[Month Number]]/3,0)</f>
        <v>Q2</v>
      </c>
      <c r="Z604" s="19">
        <f>YEAR(tblMaster[[#This Row],[Order_Date]])</f>
        <v>2023</v>
      </c>
      <c r="AA604" s="19" t="str">
        <f>TEXT(DAY(tblMaster[[#This Row],[Order_Date]]),"dddd")</f>
        <v>Sunday</v>
      </c>
      <c r="AB604" s="19" t="str">
        <f>IF(tblMaster[[#This Row],[Revenue]]&gt;=5000,"High",IF(tblMaster[[#This Row],[Revenue]]&lt;2000,"Low","Medium"))</f>
        <v>Low</v>
      </c>
    </row>
    <row r="605" spans="1:28" x14ac:dyDescent="0.25">
      <c r="A605" s="10">
        <v>604</v>
      </c>
      <c r="B605" s="10" t="s">
        <v>191</v>
      </c>
      <c r="C605" s="5">
        <v>39</v>
      </c>
      <c r="D605" s="5">
        <v>3</v>
      </c>
      <c r="E605" s="11">
        <v>44957</v>
      </c>
      <c r="F605" s="12">
        <v>0.82981481481481478</v>
      </c>
      <c r="G605" s="11">
        <v>44960</v>
      </c>
      <c r="H605" s="12">
        <v>0.89210648148148153</v>
      </c>
      <c r="I605" s="10" t="s">
        <v>535</v>
      </c>
      <c r="J605" s="10" t="s">
        <v>8</v>
      </c>
      <c r="K605" s="18" t="str">
        <f>_xlfn.XLOOKUP(tblMaster[[#This Row],[Customer_ID]],tblCustomers[Customer_ID],tblCustomers[City],"Not Found",0)</f>
        <v>Madhyamgram</v>
      </c>
      <c r="L605" s="18" t="str">
        <f>_xlfn.XLOOKUP(tblMaster[[#This Row],[Customer_ID]],tblCustomers[Customer_ID],tblCustomers[Name],"Not Found",0)</f>
        <v>Hunar Tripathi</v>
      </c>
      <c r="M605" s="18" t="str">
        <f>_xlfn.XLOOKUP(tblMaster[[#This Row],[Customer_ID]],tblCustomers[Customer_ID],tblCustomers[Gender],"Not Found",0)</f>
        <v>Female</v>
      </c>
      <c r="N605" s="18" t="str">
        <f>_xlfn.XLOOKUP(tblMaster[[#This Row],[Product_ID]],tblProducts[Product_ID],tblProducts[Product_Name],"Not Found",0)</f>
        <v>Voluptate Set</v>
      </c>
      <c r="O605" s="18" t="str">
        <f>_xlfn.XLOOKUP(tblMaster[[#This Row],[Product_ID]],tblProducts[Product_ID],tblProducts[Category],"Not Found",0)</f>
        <v>Mugs</v>
      </c>
      <c r="P605" s="18" t="str">
        <f>_xlfn.XLOOKUP(tblMaster[[#This Row],[Product_ID]],tblProducts[Product_ID],tblProducts[Occasion],"Not Found",0)</f>
        <v>All Occasions</v>
      </c>
      <c r="Q605" s="18">
        <f>_xlfn.XLOOKUP(tblMaster[[#This Row],[Product_ID]],tblProducts[Product_ID],tblProducts[Price (INR)],"Not Found",0)</f>
        <v>387</v>
      </c>
      <c r="R605" s="19">
        <f>tblMaster[[#This Row],[Price]]*tblMaster[[#This Row],[Quantity]]</f>
        <v>1161</v>
      </c>
      <c r="S605" s="19">
        <f>tblMaster[[#This Row],[Price]]*0.7*tblMaster[[#This Row],[Quantity]]</f>
        <v>812.69999999999993</v>
      </c>
      <c r="T605" s="19">
        <f>tblMaster[[#This Row],[Revenue]]-tblMaster[[#This Row],[Estimated Cost (at 70%) ]]</f>
        <v>348.30000000000007</v>
      </c>
      <c r="U605" s="19">
        <f>tblMaster[[#This Row],[Profit]]/tblMaster[[#This Row],[Revenue]]</f>
        <v>0.30000000000000004</v>
      </c>
      <c r="V605" s="19">
        <f>tblMaster[[#This Row],[Delivery_Date]]-tblMaster[[#This Row],[Order_Date]]</f>
        <v>3</v>
      </c>
      <c r="W605" s="19" t="str">
        <f>TEXT(tblMaster[[#This Row],[Order_Date]],"mmmm")</f>
        <v>January</v>
      </c>
      <c r="X605" s="19">
        <f>MONTH(tblMaster[[#This Row],[Order_Date]])</f>
        <v>1</v>
      </c>
      <c r="Y605" s="19" t="str">
        <f>"Q"&amp;ROUNDUP(tblMaster[[#This Row],[Month Number]]/3,0)</f>
        <v>Q1</v>
      </c>
      <c r="Z605" s="19">
        <f>YEAR(tblMaster[[#This Row],[Order_Date]])</f>
        <v>2023</v>
      </c>
      <c r="AA605" s="19" t="str">
        <f>TEXT(DAY(tblMaster[[#This Row],[Order_Date]]),"dddd")</f>
        <v>Tuesday</v>
      </c>
      <c r="AB605" s="19" t="str">
        <f>IF(tblMaster[[#This Row],[Revenue]]&gt;=5000,"High",IF(tblMaster[[#This Row],[Revenue]]&lt;2000,"Low","Medium"))</f>
        <v>Low</v>
      </c>
    </row>
    <row r="606" spans="1:28" x14ac:dyDescent="0.25">
      <c r="A606" s="7">
        <v>605</v>
      </c>
      <c r="B606" s="7" t="s">
        <v>388</v>
      </c>
      <c r="C606" s="4">
        <v>45</v>
      </c>
      <c r="D606" s="4">
        <v>2</v>
      </c>
      <c r="E606" s="8">
        <v>45281</v>
      </c>
      <c r="F606" s="9">
        <v>0.93131944444444448</v>
      </c>
      <c r="G606" s="8">
        <v>45285</v>
      </c>
      <c r="H606" s="9">
        <v>0.86774305555555553</v>
      </c>
      <c r="I606" s="7" t="s">
        <v>536</v>
      </c>
      <c r="J606" s="7" t="s">
        <v>36</v>
      </c>
      <c r="K606" s="18" t="str">
        <f>_xlfn.XLOOKUP(tblMaster[[#This Row],[Customer_ID]],tblCustomers[Customer_ID],tblCustomers[City],"Not Found",0)</f>
        <v>Kalyan-Dombivli</v>
      </c>
      <c r="L606" s="18" t="str">
        <f>_xlfn.XLOOKUP(tblMaster[[#This Row],[Customer_ID]],tblCustomers[Customer_ID],tblCustomers[Name],"Not Found",0)</f>
        <v>Ritvik Garde</v>
      </c>
      <c r="M606" s="18" t="str">
        <f>_xlfn.XLOOKUP(tblMaster[[#This Row],[Customer_ID]],tblCustomers[Customer_ID],tblCustomers[Gender],"Not Found",0)</f>
        <v>Male</v>
      </c>
      <c r="N606" s="18" t="str">
        <f>_xlfn.XLOOKUP(tblMaster[[#This Row],[Product_ID]],tblProducts[Product_ID],tblProducts[Product_Name],"Not Found",0)</f>
        <v>Iusto Set</v>
      </c>
      <c r="O606" s="18" t="str">
        <f>_xlfn.XLOOKUP(tblMaster[[#This Row],[Product_ID]],tblProducts[Product_ID],tblProducts[Category],"Not Found",0)</f>
        <v>Raksha Bandhan</v>
      </c>
      <c r="P606" s="18" t="str">
        <f>_xlfn.XLOOKUP(tblMaster[[#This Row],[Product_ID]],tblProducts[Product_ID],tblProducts[Occasion],"Not Found",0)</f>
        <v>Birthday</v>
      </c>
      <c r="Q606" s="18">
        <f>_xlfn.XLOOKUP(tblMaster[[#This Row],[Product_ID]],tblProducts[Product_ID],tblProducts[Price (INR)],"Not Found",0)</f>
        <v>722</v>
      </c>
      <c r="R606" s="19">
        <f>tblMaster[[#This Row],[Price]]*tblMaster[[#This Row],[Quantity]]</f>
        <v>1444</v>
      </c>
      <c r="S606" s="19">
        <f>tblMaster[[#This Row],[Price]]*0.7*tblMaster[[#This Row],[Quantity]]</f>
        <v>1010.8</v>
      </c>
      <c r="T606" s="19">
        <f>tblMaster[[#This Row],[Revenue]]-tblMaster[[#This Row],[Estimated Cost (at 70%) ]]</f>
        <v>433.20000000000005</v>
      </c>
      <c r="U606" s="19">
        <f>tblMaster[[#This Row],[Profit]]/tblMaster[[#This Row],[Revenue]]</f>
        <v>0.30000000000000004</v>
      </c>
      <c r="V606" s="19">
        <f>tblMaster[[#This Row],[Delivery_Date]]-tblMaster[[#This Row],[Order_Date]]</f>
        <v>4</v>
      </c>
      <c r="W606" s="19" t="str">
        <f>TEXT(tblMaster[[#This Row],[Order_Date]],"mmmm")</f>
        <v>December</v>
      </c>
      <c r="X606" s="19">
        <f>MONTH(tblMaster[[#This Row],[Order_Date]])</f>
        <v>12</v>
      </c>
      <c r="Y606" s="19" t="str">
        <f>"Q"&amp;ROUNDUP(tblMaster[[#This Row],[Month Number]]/3,0)</f>
        <v>Q4</v>
      </c>
      <c r="Z606" s="19">
        <f>YEAR(tblMaster[[#This Row],[Order_Date]])</f>
        <v>2023</v>
      </c>
      <c r="AA606" s="19" t="str">
        <f>TEXT(DAY(tblMaster[[#This Row],[Order_Date]]),"dddd")</f>
        <v>Saturday</v>
      </c>
      <c r="AB606" s="19" t="str">
        <f>IF(tblMaster[[#This Row],[Revenue]]&gt;=5000,"High",IF(tblMaster[[#This Row],[Revenue]]&lt;2000,"Low","Medium"))</f>
        <v>Low</v>
      </c>
    </row>
    <row r="607" spans="1:28" x14ac:dyDescent="0.25">
      <c r="A607" s="10">
        <v>606</v>
      </c>
      <c r="B607" s="10" t="s">
        <v>221</v>
      </c>
      <c r="C607" s="5">
        <v>3</v>
      </c>
      <c r="D607" s="5">
        <v>5</v>
      </c>
      <c r="E607" s="11">
        <v>44965</v>
      </c>
      <c r="F607" s="12">
        <v>9.2511574074074079E-2</v>
      </c>
      <c r="G607" s="11">
        <v>44974</v>
      </c>
      <c r="H607" s="12">
        <v>0.3135648148148148</v>
      </c>
      <c r="I607" s="10" t="s">
        <v>238</v>
      </c>
      <c r="J607" s="10" t="s">
        <v>12</v>
      </c>
      <c r="K607" s="18" t="str">
        <f>_xlfn.XLOOKUP(tblMaster[[#This Row],[Customer_ID]],tblCustomers[Customer_ID],tblCustomers[City],"Not Found",0)</f>
        <v>Jorhat</v>
      </c>
      <c r="L607" s="18" t="str">
        <f>_xlfn.XLOOKUP(tblMaster[[#This Row],[Customer_ID]],tblCustomers[Customer_ID],tblCustomers[Name],"Not Found",0)</f>
        <v>Bhamini Ravi</v>
      </c>
      <c r="M607" s="18" t="str">
        <f>_xlfn.XLOOKUP(tblMaster[[#This Row],[Customer_ID]],tblCustomers[Customer_ID],tblCustomers[Gender],"Not Found",0)</f>
        <v>Male</v>
      </c>
      <c r="N607" s="18" t="str">
        <f>_xlfn.XLOOKUP(tblMaster[[#This Row],[Product_ID]],tblProducts[Product_ID],tblProducts[Product_Name],"Not Found",0)</f>
        <v>Eius Gift</v>
      </c>
      <c r="O607" s="18" t="str">
        <f>_xlfn.XLOOKUP(tblMaster[[#This Row],[Product_ID]],tblProducts[Product_ID],tblProducts[Category],"Not Found",0)</f>
        <v>Colors</v>
      </c>
      <c r="P607" s="18" t="str">
        <f>_xlfn.XLOOKUP(tblMaster[[#This Row],[Product_ID]],tblProducts[Product_ID],tblProducts[Occasion],"Not Found",0)</f>
        <v>Valentine's Day</v>
      </c>
      <c r="Q607" s="18">
        <f>_xlfn.XLOOKUP(tblMaster[[#This Row],[Product_ID]],tblProducts[Product_ID],tblProducts[Price (INR)],"Not Found",0)</f>
        <v>1534</v>
      </c>
      <c r="R607" s="19">
        <f>tblMaster[[#This Row],[Price]]*tblMaster[[#This Row],[Quantity]]</f>
        <v>7670</v>
      </c>
      <c r="S607" s="19">
        <f>tblMaster[[#This Row],[Price]]*0.7*tblMaster[[#This Row],[Quantity]]</f>
        <v>5369</v>
      </c>
      <c r="T607" s="19">
        <f>tblMaster[[#This Row],[Revenue]]-tblMaster[[#This Row],[Estimated Cost (at 70%) ]]</f>
        <v>2301</v>
      </c>
      <c r="U607" s="19">
        <f>tblMaster[[#This Row],[Profit]]/tblMaster[[#This Row],[Revenue]]</f>
        <v>0.3</v>
      </c>
      <c r="V607" s="19">
        <f>tblMaster[[#This Row],[Delivery_Date]]-tblMaster[[#This Row],[Order_Date]]</f>
        <v>9</v>
      </c>
      <c r="W607" s="19" t="str">
        <f>TEXT(tblMaster[[#This Row],[Order_Date]],"mmmm")</f>
        <v>February</v>
      </c>
      <c r="X607" s="19">
        <f>MONTH(tblMaster[[#This Row],[Order_Date]])</f>
        <v>2</v>
      </c>
      <c r="Y607" s="19" t="str">
        <f>"Q"&amp;ROUNDUP(tblMaster[[#This Row],[Month Number]]/3,0)</f>
        <v>Q1</v>
      </c>
      <c r="Z607" s="19">
        <f>YEAR(tblMaster[[#This Row],[Order_Date]])</f>
        <v>2023</v>
      </c>
      <c r="AA607" s="19" t="str">
        <f>TEXT(DAY(tblMaster[[#This Row],[Order_Date]]),"dddd")</f>
        <v>Sunday</v>
      </c>
      <c r="AB607" s="19" t="str">
        <f>IF(tblMaster[[#This Row],[Revenue]]&gt;=5000,"High",IF(tblMaster[[#This Row],[Revenue]]&lt;2000,"Low","Medium"))</f>
        <v>High</v>
      </c>
    </row>
    <row r="608" spans="1:28" x14ac:dyDescent="0.25">
      <c r="A608" s="7">
        <v>607</v>
      </c>
      <c r="B608" s="7" t="s">
        <v>283</v>
      </c>
      <c r="C608" s="4">
        <v>50</v>
      </c>
      <c r="D608" s="4">
        <v>3</v>
      </c>
      <c r="E608" s="8">
        <v>44988</v>
      </c>
      <c r="F608" s="9">
        <v>7.6678240740740741E-2</v>
      </c>
      <c r="G608" s="8">
        <v>44990</v>
      </c>
      <c r="H608" s="9">
        <v>0.41175925925925927</v>
      </c>
      <c r="I608" s="7" t="s">
        <v>487</v>
      </c>
      <c r="J608" s="7" t="s">
        <v>25</v>
      </c>
      <c r="K608" s="18" t="str">
        <f>_xlfn.XLOOKUP(tblMaster[[#This Row],[Customer_ID]],tblCustomers[Customer_ID],tblCustomers[City],"Not Found",0)</f>
        <v>Noida</v>
      </c>
      <c r="L608" s="18" t="str">
        <f>_xlfn.XLOOKUP(tblMaster[[#This Row],[Customer_ID]],tblCustomers[Customer_ID],tblCustomers[Name],"Not Found",0)</f>
        <v>Hridaan Rajagopalan</v>
      </c>
      <c r="M608" s="18" t="str">
        <f>_xlfn.XLOOKUP(tblMaster[[#This Row],[Customer_ID]],tblCustomers[Customer_ID],tblCustomers[Gender],"Not Found",0)</f>
        <v>Female</v>
      </c>
      <c r="N608" s="18" t="str">
        <f>_xlfn.XLOOKUP(tblMaster[[#This Row],[Product_ID]],tblProducts[Product_ID],tblProducts[Product_Name],"Not Found",0)</f>
        <v>Eligendi Set</v>
      </c>
      <c r="O608" s="18" t="str">
        <f>_xlfn.XLOOKUP(tblMaster[[#This Row],[Product_ID]],tblProducts[Product_ID],tblProducts[Category],"Not Found",0)</f>
        <v>Plants</v>
      </c>
      <c r="P608" s="18" t="str">
        <f>_xlfn.XLOOKUP(tblMaster[[#This Row],[Product_ID]],tblProducts[Product_ID],tblProducts[Occasion],"Not Found",0)</f>
        <v>Holi</v>
      </c>
      <c r="Q608" s="18">
        <f>_xlfn.XLOOKUP(tblMaster[[#This Row],[Product_ID]],tblProducts[Product_ID],tblProducts[Price (INR)],"Not Found",0)</f>
        <v>422</v>
      </c>
      <c r="R608" s="19">
        <f>tblMaster[[#This Row],[Price]]*tblMaster[[#This Row],[Quantity]]</f>
        <v>1266</v>
      </c>
      <c r="S608" s="19">
        <f>tblMaster[[#This Row],[Price]]*0.7*tblMaster[[#This Row],[Quantity]]</f>
        <v>886.19999999999993</v>
      </c>
      <c r="T608" s="19">
        <f>tblMaster[[#This Row],[Revenue]]-tblMaster[[#This Row],[Estimated Cost (at 70%) ]]</f>
        <v>379.80000000000007</v>
      </c>
      <c r="U608" s="19">
        <f>tblMaster[[#This Row],[Profit]]/tblMaster[[#This Row],[Revenue]]</f>
        <v>0.30000000000000004</v>
      </c>
      <c r="V608" s="19">
        <f>tblMaster[[#This Row],[Delivery_Date]]-tblMaster[[#This Row],[Order_Date]]</f>
        <v>2</v>
      </c>
      <c r="W608" s="19" t="str">
        <f>TEXT(tblMaster[[#This Row],[Order_Date]],"mmmm")</f>
        <v>March</v>
      </c>
      <c r="X608" s="19">
        <f>MONTH(tblMaster[[#This Row],[Order_Date]])</f>
        <v>3</v>
      </c>
      <c r="Y608" s="19" t="str">
        <f>"Q"&amp;ROUNDUP(tblMaster[[#This Row],[Month Number]]/3,0)</f>
        <v>Q1</v>
      </c>
      <c r="Z608" s="19">
        <f>YEAR(tblMaster[[#This Row],[Order_Date]])</f>
        <v>2023</v>
      </c>
      <c r="AA608" s="19" t="str">
        <f>TEXT(DAY(tblMaster[[#This Row],[Order_Date]]),"dddd")</f>
        <v>Tuesday</v>
      </c>
      <c r="AB608" s="19" t="str">
        <f>IF(tblMaster[[#This Row],[Revenue]]&gt;=5000,"High",IF(tblMaster[[#This Row],[Revenue]]&lt;2000,"Low","Medium"))</f>
        <v>Low</v>
      </c>
    </row>
    <row r="609" spans="1:28" x14ac:dyDescent="0.25">
      <c r="A609" s="10">
        <v>608</v>
      </c>
      <c r="B609" s="10" t="s">
        <v>337</v>
      </c>
      <c r="C609" s="5">
        <v>55</v>
      </c>
      <c r="D609" s="5">
        <v>5</v>
      </c>
      <c r="E609" s="11">
        <v>45166</v>
      </c>
      <c r="F609" s="12">
        <v>0.85434027777777777</v>
      </c>
      <c r="G609" s="11">
        <v>45170</v>
      </c>
      <c r="H609" s="12">
        <v>0.30162037037037037</v>
      </c>
      <c r="I609" s="10" t="s">
        <v>394</v>
      </c>
      <c r="J609" s="10" t="s">
        <v>33</v>
      </c>
      <c r="K609" s="18" t="str">
        <f>_xlfn.XLOOKUP(tblMaster[[#This Row],[Customer_ID]],tblCustomers[Customer_ID],tblCustomers[City],"Not Found",0)</f>
        <v>Sambhal</v>
      </c>
      <c r="L609" s="18" t="str">
        <f>_xlfn.XLOOKUP(tblMaster[[#This Row],[Customer_ID]],tblCustomers[Customer_ID],tblCustomers[Name],"Not Found",0)</f>
        <v>Vardaniya Contractor</v>
      </c>
      <c r="M609" s="18" t="str">
        <f>_xlfn.XLOOKUP(tblMaster[[#This Row],[Customer_ID]],tblCustomers[Customer_ID],tblCustomers[Gender],"Not Found",0)</f>
        <v>Male</v>
      </c>
      <c r="N609" s="18" t="str">
        <f>_xlfn.XLOOKUP(tblMaster[[#This Row],[Product_ID]],tblProducts[Product_ID],tblProducts[Product_Name],"Not Found",0)</f>
        <v>Dolores Gift</v>
      </c>
      <c r="O609" s="18" t="str">
        <f>_xlfn.XLOOKUP(tblMaster[[#This Row],[Product_ID]],tblProducts[Product_ID],tblProducts[Category],"Not Found",0)</f>
        <v>Soft Toys</v>
      </c>
      <c r="P609" s="18" t="str">
        <f>_xlfn.XLOOKUP(tblMaster[[#This Row],[Product_ID]],tblProducts[Product_ID],tblProducts[Occasion],"Not Found",0)</f>
        <v>Raksha Bandhan</v>
      </c>
      <c r="Q609" s="18">
        <f>_xlfn.XLOOKUP(tblMaster[[#This Row],[Product_ID]],tblProducts[Product_ID],tblProducts[Price (INR)],"Not Found",0)</f>
        <v>1904</v>
      </c>
      <c r="R609" s="19">
        <f>tblMaster[[#This Row],[Price]]*tblMaster[[#This Row],[Quantity]]</f>
        <v>9520</v>
      </c>
      <c r="S609" s="19">
        <f>tblMaster[[#This Row],[Price]]*0.7*tblMaster[[#This Row],[Quantity]]</f>
        <v>6664</v>
      </c>
      <c r="T609" s="19">
        <f>tblMaster[[#This Row],[Revenue]]-tblMaster[[#This Row],[Estimated Cost (at 70%) ]]</f>
        <v>2856</v>
      </c>
      <c r="U609" s="19">
        <f>tblMaster[[#This Row],[Profit]]/tblMaster[[#This Row],[Revenue]]</f>
        <v>0.3</v>
      </c>
      <c r="V609" s="19">
        <f>tblMaster[[#This Row],[Delivery_Date]]-tblMaster[[#This Row],[Order_Date]]</f>
        <v>4</v>
      </c>
      <c r="W609" s="19" t="str">
        <f>TEXT(tblMaster[[#This Row],[Order_Date]],"mmmm")</f>
        <v>August</v>
      </c>
      <c r="X609" s="19">
        <f>MONTH(tblMaster[[#This Row],[Order_Date]])</f>
        <v>8</v>
      </c>
      <c r="Y609" s="19" t="str">
        <f>"Q"&amp;ROUNDUP(tblMaster[[#This Row],[Month Number]]/3,0)</f>
        <v>Q3</v>
      </c>
      <c r="Z609" s="19">
        <f>YEAR(tblMaster[[#This Row],[Order_Date]])</f>
        <v>2023</v>
      </c>
      <c r="AA609" s="19" t="str">
        <f>TEXT(DAY(tblMaster[[#This Row],[Order_Date]]),"dddd")</f>
        <v>Saturday</v>
      </c>
      <c r="AB609" s="19" t="str">
        <f>IF(tblMaster[[#This Row],[Revenue]]&gt;=5000,"High",IF(tblMaster[[#This Row],[Revenue]]&lt;2000,"Low","Medium"))</f>
        <v>High</v>
      </c>
    </row>
    <row r="610" spans="1:28" x14ac:dyDescent="0.25">
      <c r="A610" s="7">
        <v>609</v>
      </c>
      <c r="B610" s="7" t="s">
        <v>188</v>
      </c>
      <c r="C610" s="4">
        <v>25</v>
      </c>
      <c r="D610" s="4">
        <v>5</v>
      </c>
      <c r="E610" s="8">
        <v>45226</v>
      </c>
      <c r="F610" s="9">
        <v>0.46453703703703703</v>
      </c>
      <c r="G610" s="8">
        <v>45227</v>
      </c>
      <c r="H610" s="9">
        <v>0.99091435185185184</v>
      </c>
      <c r="I610" s="7" t="s">
        <v>506</v>
      </c>
      <c r="J610" s="7" t="s">
        <v>30</v>
      </c>
      <c r="K610" s="18" t="str">
        <f>_xlfn.XLOOKUP(tblMaster[[#This Row],[Customer_ID]],tblCustomers[Customer_ID],tblCustomers[City],"Not Found",0)</f>
        <v>Kavali</v>
      </c>
      <c r="L610" s="18" t="str">
        <f>_xlfn.XLOOKUP(tblMaster[[#This Row],[Customer_ID]],tblCustomers[Customer_ID],tblCustomers[Name],"Not Found",0)</f>
        <v>Jhanvi Chowdhury</v>
      </c>
      <c r="M610" s="18" t="str">
        <f>_xlfn.XLOOKUP(tblMaster[[#This Row],[Customer_ID]],tblCustomers[Customer_ID],tblCustomers[Gender],"Not Found",0)</f>
        <v>Female</v>
      </c>
      <c r="N610" s="18" t="str">
        <f>_xlfn.XLOOKUP(tblMaster[[#This Row],[Product_ID]],tblProducts[Product_ID],tblProducts[Product_Name],"Not Found",0)</f>
        <v>Qui Gift</v>
      </c>
      <c r="O610" s="18" t="str">
        <f>_xlfn.XLOOKUP(tblMaster[[#This Row],[Product_ID]],tblProducts[Product_ID],tblProducts[Category],"Not Found",0)</f>
        <v>Plants</v>
      </c>
      <c r="P610" s="18" t="str">
        <f>_xlfn.XLOOKUP(tblMaster[[#This Row],[Product_ID]],tblProducts[Product_ID],tblProducts[Occasion],"Not Found",0)</f>
        <v>Anniversary</v>
      </c>
      <c r="Q610" s="18">
        <f>_xlfn.XLOOKUP(tblMaster[[#This Row],[Product_ID]],tblProducts[Product_ID],tblProducts[Price (INR)],"Not Found",0)</f>
        <v>1202</v>
      </c>
      <c r="R610" s="19">
        <f>tblMaster[[#This Row],[Price]]*tblMaster[[#This Row],[Quantity]]</f>
        <v>6010</v>
      </c>
      <c r="S610" s="19">
        <f>tblMaster[[#This Row],[Price]]*0.7*tblMaster[[#This Row],[Quantity]]</f>
        <v>4207</v>
      </c>
      <c r="T610" s="19">
        <f>tblMaster[[#This Row],[Revenue]]-tblMaster[[#This Row],[Estimated Cost (at 70%) ]]</f>
        <v>1803</v>
      </c>
      <c r="U610" s="19">
        <f>tblMaster[[#This Row],[Profit]]/tblMaster[[#This Row],[Revenue]]</f>
        <v>0.3</v>
      </c>
      <c r="V610" s="19">
        <f>tblMaster[[#This Row],[Delivery_Date]]-tblMaster[[#This Row],[Order_Date]]</f>
        <v>1</v>
      </c>
      <c r="W610" s="19" t="str">
        <f>TEXT(tblMaster[[#This Row],[Order_Date]],"mmmm")</f>
        <v>October</v>
      </c>
      <c r="X610" s="19">
        <f>MONTH(tblMaster[[#This Row],[Order_Date]])</f>
        <v>10</v>
      </c>
      <c r="Y610" s="19" t="str">
        <f>"Q"&amp;ROUNDUP(tblMaster[[#This Row],[Month Number]]/3,0)</f>
        <v>Q4</v>
      </c>
      <c r="Z610" s="19">
        <f>YEAR(tblMaster[[#This Row],[Order_Date]])</f>
        <v>2023</v>
      </c>
      <c r="AA610" s="19" t="str">
        <f>TEXT(DAY(tblMaster[[#This Row],[Order_Date]]),"dddd")</f>
        <v>Friday</v>
      </c>
      <c r="AB610" s="19" t="str">
        <f>IF(tblMaster[[#This Row],[Revenue]]&gt;=5000,"High",IF(tblMaster[[#This Row],[Revenue]]&lt;2000,"Low","Medium"))</f>
        <v>High</v>
      </c>
    </row>
    <row r="611" spans="1:28" x14ac:dyDescent="0.25">
      <c r="A611" s="10">
        <v>610</v>
      </c>
      <c r="B611" s="10" t="s">
        <v>388</v>
      </c>
      <c r="C611" s="5">
        <v>5</v>
      </c>
      <c r="D611" s="5">
        <v>3</v>
      </c>
      <c r="E611" s="11">
        <v>44929</v>
      </c>
      <c r="F611" s="12">
        <v>0.72616898148148146</v>
      </c>
      <c r="G611" s="11">
        <v>44931</v>
      </c>
      <c r="H611" s="12">
        <v>8.0555555555555554E-3</v>
      </c>
      <c r="I611" s="10" t="s">
        <v>177</v>
      </c>
      <c r="J611" s="10" t="s">
        <v>8</v>
      </c>
      <c r="K611" s="18" t="str">
        <f>_xlfn.XLOOKUP(tblMaster[[#This Row],[Customer_ID]],tblCustomers[Customer_ID],tblCustomers[City],"Not Found",0)</f>
        <v>Kalyan-Dombivli</v>
      </c>
      <c r="L611" s="18" t="str">
        <f>_xlfn.XLOOKUP(tblMaster[[#This Row],[Customer_ID]],tblCustomers[Customer_ID],tblCustomers[Name],"Not Found",0)</f>
        <v>Ritvik Garde</v>
      </c>
      <c r="M611" s="18" t="str">
        <f>_xlfn.XLOOKUP(tblMaster[[#This Row],[Customer_ID]],tblCustomers[Customer_ID],tblCustomers[Gender],"Not Found",0)</f>
        <v>Male</v>
      </c>
      <c r="N611" s="18" t="str">
        <f>_xlfn.XLOOKUP(tblMaster[[#This Row],[Product_ID]],tblProducts[Product_ID],tblProducts[Product_Name],"Not Found",0)</f>
        <v>Natus Gift</v>
      </c>
      <c r="O611" s="18" t="str">
        <f>_xlfn.XLOOKUP(tblMaster[[#This Row],[Product_ID]],tblProducts[Product_ID],tblProducts[Category],"Not Found",0)</f>
        <v>Colors</v>
      </c>
      <c r="P611" s="18" t="str">
        <f>_xlfn.XLOOKUP(tblMaster[[#This Row],[Product_ID]],tblProducts[Product_ID],tblProducts[Occasion],"Not Found",0)</f>
        <v>All Occasions</v>
      </c>
      <c r="Q611" s="18">
        <f>_xlfn.XLOOKUP(tblMaster[[#This Row],[Product_ID]],tblProducts[Product_ID],tblProducts[Price (INR)],"Not Found",0)</f>
        <v>1444</v>
      </c>
      <c r="R611" s="19">
        <f>tblMaster[[#This Row],[Price]]*tblMaster[[#This Row],[Quantity]]</f>
        <v>4332</v>
      </c>
      <c r="S611" s="19">
        <f>tblMaster[[#This Row],[Price]]*0.7*tblMaster[[#This Row],[Quantity]]</f>
        <v>3032.3999999999996</v>
      </c>
      <c r="T611" s="19">
        <f>tblMaster[[#This Row],[Revenue]]-tblMaster[[#This Row],[Estimated Cost (at 70%) ]]</f>
        <v>1299.6000000000004</v>
      </c>
      <c r="U611" s="19">
        <f>tblMaster[[#This Row],[Profit]]/tblMaster[[#This Row],[Revenue]]</f>
        <v>0.3000000000000001</v>
      </c>
      <c r="V611" s="19">
        <f>tblMaster[[#This Row],[Delivery_Date]]-tblMaster[[#This Row],[Order_Date]]</f>
        <v>2</v>
      </c>
      <c r="W611" s="19" t="str">
        <f>TEXT(tblMaster[[#This Row],[Order_Date]],"mmmm")</f>
        <v>January</v>
      </c>
      <c r="X611" s="19">
        <f>MONTH(tblMaster[[#This Row],[Order_Date]])</f>
        <v>1</v>
      </c>
      <c r="Y611" s="19" t="str">
        <f>"Q"&amp;ROUNDUP(tblMaster[[#This Row],[Month Number]]/3,0)</f>
        <v>Q1</v>
      </c>
      <c r="Z611" s="19">
        <f>YEAR(tblMaster[[#This Row],[Order_Date]])</f>
        <v>2023</v>
      </c>
      <c r="AA611" s="19" t="str">
        <f>TEXT(DAY(tblMaster[[#This Row],[Order_Date]]),"dddd")</f>
        <v>Tuesday</v>
      </c>
      <c r="AB611" s="19" t="str">
        <f>IF(tblMaster[[#This Row],[Revenue]]&gt;=5000,"High",IF(tblMaster[[#This Row],[Revenue]]&lt;2000,"Low","Medium"))</f>
        <v>Medium</v>
      </c>
    </row>
    <row r="612" spans="1:28" x14ac:dyDescent="0.25">
      <c r="A612" s="7">
        <v>611</v>
      </c>
      <c r="B612" s="7" t="s">
        <v>195</v>
      </c>
      <c r="C612" s="4">
        <v>28</v>
      </c>
      <c r="D612" s="4">
        <v>2</v>
      </c>
      <c r="E612" s="8">
        <v>45160</v>
      </c>
      <c r="F612" s="9">
        <v>0.88738425925925923</v>
      </c>
      <c r="G612" s="8">
        <v>45166</v>
      </c>
      <c r="H612" s="9">
        <v>0.14409722222222221</v>
      </c>
      <c r="I612" s="7" t="s">
        <v>310</v>
      </c>
      <c r="J612" s="7" t="s">
        <v>33</v>
      </c>
      <c r="K612" s="18" t="str">
        <f>_xlfn.XLOOKUP(tblMaster[[#This Row],[Customer_ID]],tblCustomers[Customer_ID],tblCustomers[City],"Not Found",0)</f>
        <v>Haridwar</v>
      </c>
      <c r="L612" s="18" t="str">
        <f>_xlfn.XLOOKUP(tblMaster[[#This Row],[Customer_ID]],tblCustomers[Customer_ID],tblCustomers[Name],"Not Found",0)</f>
        <v>Pihu Choudhury</v>
      </c>
      <c r="M612" s="18" t="str">
        <f>_xlfn.XLOOKUP(tblMaster[[#This Row],[Customer_ID]],tblCustomers[Customer_ID],tblCustomers[Gender],"Not Found",0)</f>
        <v>Male</v>
      </c>
      <c r="N612" s="18" t="str">
        <f>_xlfn.XLOOKUP(tblMaster[[#This Row],[Product_ID]],tblProducts[Product_ID],tblProducts[Product_Name],"Not Found",0)</f>
        <v>Velit Set</v>
      </c>
      <c r="O612" s="18" t="str">
        <f>_xlfn.XLOOKUP(tblMaster[[#This Row],[Product_ID]],tblProducts[Product_ID],tblProducts[Category],"Not Found",0)</f>
        <v>Sweets</v>
      </c>
      <c r="P612" s="18" t="str">
        <f>_xlfn.XLOOKUP(tblMaster[[#This Row],[Product_ID]],tblProducts[Product_ID],tblProducts[Occasion],"Not Found",0)</f>
        <v>Raksha Bandhan</v>
      </c>
      <c r="Q612" s="18">
        <f>_xlfn.XLOOKUP(tblMaster[[#This Row],[Product_ID]],tblProducts[Product_ID],tblProducts[Price (INR)],"Not Found",0)</f>
        <v>1778</v>
      </c>
      <c r="R612" s="19">
        <f>tblMaster[[#This Row],[Price]]*tblMaster[[#This Row],[Quantity]]</f>
        <v>3556</v>
      </c>
      <c r="S612" s="19">
        <f>tblMaster[[#This Row],[Price]]*0.7*tblMaster[[#This Row],[Quantity]]</f>
        <v>2489.1999999999998</v>
      </c>
      <c r="T612" s="19">
        <f>tblMaster[[#This Row],[Revenue]]-tblMaster[[#This Row],[Estimated Cost (at 70%) ]]</f>
        <v>1066.8000000000002</v>
      </c>
      <c r="U612" s="19">
        <f>tblMaster[[#This Row],[Profit]]/tblMaster[[#This Row],[Revenue]]</f>
        <v>0.30000000000000004</v>
      </c>
      <c r="V612" s="19">
        <f>tblMaster[[#This Row],[Delivery_Date]]-tblMaster[[#This Row],[Order_Date]]</f>
        <v>6</v>
      </c>
      <c r="W612" s="19" t="str">
        <f>TEXT(tblMaster[[#This Row],[Order_Date]],"mmmm")</f>
        <v>August</v>
      </c>
      <c r="X612" s="19">
        <f>MONTH(tblMaster[[#This Row],[Order_Date]])</f>
        <v>8</v>
      </c>
      <c r="Y612" s="19" t="str">
        <f>"Q"&amp;ROUNDUP(tblMaster[[#This Row],[Month Number]]/3,0)</f>
        <v>Q3</v>
      </c>
      <c r="Z612" s="19">
        <f>YEAR(tblMaster[[#This Row],[Order_Date]])</f>
        <v>2023</v>
      </c>
      <c r="AA612" s="19" t="str">
        <f>TEXT(DAY(tblMaster[[#This Row],[Order_Date]]),"dddd")</f>
        <v>Sunday</v>
      </c>
      <c r="AB612" s="19" t="str">
        <f>IF(tblMaster[[#This Row],[Revenue]]&gt;=5000,"High",IF(tblMaster[[#This Row],[Revenue]]&lt;2000,"Low","Medium"))</f>
        <v>Medium</v>
      </c>
    </row>
    <row r="613" spans="1:28" x14ac:dyDescent="0.25">
      <c r="A613" s="10">
        <v>612</v>
      </c>
      <c r="B613" s="10" t="s">
        <v>321</v>
      </c>
      <c r="C613" s="5">
        <v>26</v>
      </c>
      <c r="D613" s="5">
        <v>1</v>
      </c>
      <c r="E613" s="11">
        <v>44987</v>
      </c>
      <c r="F613" s="12">
        <v>0.43223379629629627</v>
      </c>
      <c r="G613" s="11">
        <v>44993</v>
      </c>
      <c r="H613" s="12">
        <v>0.52766203703703707</v>
      </c>
      <c r="I613" s="10" t="s">
        <v>281</v>
      </c>
      <c r="J613" s="10" t="s">
        <v>25</v>
      </c>
      <c r="K613" s="18" t="str">
        <f>_xlfn.XLOOKUP(tblMaster[[#This Row],[Customer_ID]],tblCustomers[Customer_ID],tblCustomers[City],"Not Found",0)</f>
        <v>Aligarh</v>
      </c>
      <c r="L613" s="18" t="str">
        <f>_xlfn.XLOOKUP(tblMaster[[#This Row],[Customer_ID]],tblCustomers[Customer_ID],tblCustomers[Name],"Not Found",0)</f>
        <v>Yashvi Bansal</v>
      </c>
      <c r="M613" s="18" t="str">
        <f>_xlfn.XLOOKUP(tblMaster[[#This Row],[Customer_ID]],tblCustomers[Customer_ID],tblCustomers[Gender],"Not Found",0)</f>
        <v>Female</v>
      </c>
      <c r="N613" s="18" t="str">
        <f>_xlfn.XLOOKUP(tblMaster[[#This Row],[Product_ID]],tblProducts[Product_ID],tblProducts[Product_Name],"Not Found",0)</f>
        <v>Aliquam Box</v>
      </c>
      <c r="O613" s="18" t="str">
        <f>_xlfn.XLOOKUP(tblMaster[[#This Row],[Product_ID]],tblProducts[Product_ID],tblProducts[Category],"Not Found",0)</f>
        <v>Colors</v>
      </c>
      <c r="P613" s="18" t="str">
        <f>_xlfn.XLOOKUP(tblMaster[[#This Row],[Product_ID]],tblProducts[Product_ID],tblProducts[Occasion],"Not Found",0)</f>
        <v>Holi</v>
      </c>
      <c r="Q613" s="18">
        <f>_xlfn.XLOOKUP(tblMaster[[#This Row],[Product_ID]],tblProducts[Product_ID],tblProducts[Price (INR)],"Not Found",0)</f>
        <v>289</v>
      </c>
      <c r="R613" s="19">
        <f>tblMaster[[#This Row],[Price]]*tblMaster[[#This Row],[Quantity]]</f>
        <v>289</v>
      </c>
      <c r="S613" s="19">
        <f>tblMaster[[#This Row],[Price]]*0.7*tblMaster[[#This Row],[Quantity]]</f>
        <v>202.29999999999998</v>
      </c>
      <c r="T613" s="19">
        <f>tblMaster[[#This Row],[Revenue]]-tblMaster[[#This Row],[Estimated Cost (at 70%) ]]</f>
        <v>86.700000000000017</v>
      </c>
      <c r="U613" s="19">
        <f>tblMaster[[#This Row],[Profit]]/tblMaster[[#This Row],[Revenue]]</f>
        <v>0.30000000000000004</v>
      </c>
      <c r="V613" s="19">
        <f>tblMaster[[#This Row],[Delivery_Date]]-tblMaster[[#This Row],[Order_Date]]</f>
        <v>6</v>
      </c>
      <c r="W613" s="19" t="str">
        <f>TEXT(tblMaster[[#This Row],[Order_Date]],"mmmm")</f>
        <v>March</v>
      </c>
      <c r="X613" s="19">
        <f>MONTH(tblMaster[[#This Row],[Order_Date]])</f>
        <v>3</v>
      </c>
      <c r="Y613" s="19" t="str">
        <f>"Q"&amp;ROUNDUP(tblMaster[[#This Row],[Month Number]]/3,0)</f>
        <v>Q1</v>
      </c>
      <c r="Z613" s="19">
        <f>YEAR(tblMaster[[#This Row],[Order_Date]])</f>
        <v>2023</v>
      </c>
      <c r="AA613" s="19" t="str">
        <f>TEXT(DAY(tblMaster[[#This Row],[Order_Date]]),"dddd")</f>
        <v>Monday</v>
      </c>
      <c r="AB613" s="19" t="str">
        <f>IF(tblMaster[[#This Row],[Revenue]]&gt;=5000,"High",IF(tblMaster[[#This Row],[Revenue]]&lt;2000,"Low","Medium"))</f>
        <v>Low</v>
      </c>
    </row>
    <row r="614" spans="1:28" x14ac:dyDescent="0.25">
      <c r="A614" s="7">
        <v>613</v>
      </c>
      <c r="B614" s="7" t="s">
        <v>213</v>
      </c>
      <c r="C614" s="4">
        <v>4</v>
      </c>
      <c r="D614" s="4">
        <v>5</v>
      </c>
      <c r="E614" s="8">
        <v>45240</v>
      </c>
      <c r="F614" s="9">
        <v>0.74622685185185189</v>
      </c>
      <c r="G614" s="8">
        <v>45244</v>
      </c>
      <c r="H614" s="9">
        <v>0.80447916666666663</v>
      </c>
      <c r="I614" s="7" t="s">
        <v>294</v>
      </c>
      <c r="J614" s="7" t="s">
        <v>19</v>
      </c>
      <c r="K614" s="18" t="str">
        <f>_xlfn.XLOOKUP(tblMaster[[#This Row],[Customer_ID]],tblCustomers[Customer_ID],tblCustomers[City],"Not Found",0)</f>
        <v>Jamnagar</v>
      </c>
      <c r="L614" s="18" t="str">
        <f>_xlfn.XLOOKUP(tblMaster[[#This Row],[Customer_ID]],tblCustomers[Customer_ID],tblCustomers[Name],"Not Found",0)</f>
        <v>Arhaan Ahluwalia</v>
      </c>
      <c r="M614" s="18" t="str">
        <f>_xlfn.XLOOKUP(tblMaster[[#This Row],[Customer_ID]],tblCustomers[Customer_ID],tblCustomers[Gender],"Not Found",0)</f>
        <v>Male</v>
      </c>
      <c r="N614" s="18" t="str">
        <f>_xlfn.XLOOKUP(tblMaster[[#This Row],[Product_ID]],tblProducts[Product_ID],tblProducts[Product_Name],"Not Found",0)</f>
        <v>Accusantium Set</v>
      </c>
      <c r="O614" s="18" t="str">
        <f>_xlfn.XLOOKUP(tblMaster[[#This Row],[Product_ID]],tblProducts[Product_ID],tblProducts[Category],"Not Found",0)</f>
        <v>Sweets</v>
      </c>
      <c r="P614" s="18" t="str">
        <f>_xlfn.XLOOKUP(tblMaster[[#This Row],[Product_ID]],tblProducts[Product_ID],tblProducts[Occasion],"Not Found",0)</f>
        <v>Diwali</v>
      </c>
      <c r="Q614" s="18">
        <f>_xlfn.XLOOKUP(tblMaster[[#This Row],[Product_ID]],tblProducts[Product_ID],tblProducts[Price (INR)],"Not Found",0)</f>
        <v>1199</v>
      </c>
      <c r="R614" s="19">
        <f>tblMaster[[#This Row],[Price]]*tblMaster[[#This Row],[Quantity]]</f>
        <v>5995</v>
      </c>
      <c r="S614" s="19">
        <f>tblMaster[[#This Row],[Price]]*0.7*tblMaster[[#This Row],[Quantity]]</f>
        <v>4196.5</v>
      </c>
      <c r="T614" s="19">
        <f>tblMaster[[#This Row],[Revenue]]-tblMaster[[#This Row],[Estimated Cost (at 70%) ]]</f>
        <v>1798.5</v>
      </c>
      <c r="U614" s="19">
        <f>tblMaster[[#This Row],[Profit]]/tblMaster[[#This Row],[Revenue]]</f>
        <v>0.3</v>
      </c>
      <c r="V614" s="19">
        <f>tblMaster[[#This Row],[Delivery_Date]]-tblMaster[[#This Row],[Order_Date]]</f>
        <v>4</v>
      </c>
      <c r="W614" s="19" t="str">
        <f>TEXT(tblMaster[[#This Row],[Order_Date]],"mmmm")</f>
        <v>November</v>
      </c>
      <c r="X614" s="19">
        <f>MONTH(tblMaster[[#This Row],[Order_Date]])</f>
        <v>11</v>
      </c>
      <c r="Y614" s="19" t="str">
        <f>"Q"&amp;ROUNDUP(tblMaster[[#This Row],[Month Number]]/3,0)</f>
        <v>Q4</v>
      </c>
      <c r="Z614" s="19">
        <f>YEAR(tblMaster[[#This Row],[Order_Date]])</f>
        <v>2023</v>
      </c>
      <c r="AA614" s="19" t="str">
        <f>TEXT(DAY(tblMaster[[#This Row],[Order_Date]]),"dddd")</f>
        <v>Tuesday</v>
      </c>
      <c r="AB614" s="19" t="str">
        <f>IF(tblMaster[[#This Row],[Revenue]]&gt;=5000,"High",IF(tblMaster[[#This Row],[Revenue]]&lt;2000,"Low","Medium"))</f>
        <v>High</v>
      </c>
    </row>
    <row r="615" spans="1:28" x14ac:dyDescent="0.25">
      <c r="A615" s="10">
        <v>614</v>
      </c>
      <c r="B615" s="10" t="s">
        <v>402</v>
      </c>
      <c r="C615" s="5">
        <v>26</v>
      </c>
      <c r="D615" s="5">
        <v>1</v>
      </c>
      <c r="E615" s="11">
        <v>44988</v>
      </c>
      <c r="F615" s="12">
        <v>0.65015046296296297</v>
      </c>
      <c r="G615" s="11">
        <v>44992</v>
      </c>
      <c r="H615" s="12">
        <v>0.78589120370370369</v>
      </c>
      <c r="I615" s="10" t="s">
        <v>537</v>
      </c>
      <c r="J615" s="10" t="s">
        <v>25</v>
      </c>
      <c r="K615" s="18" t="str">
        <f>_xlfn.XLOOKUP(tblMaster[[#This Row],[Customer_ID]],tblCustomers[Customer_ID],tblCustomers[City],"Not Found",0)</f>
        <v>Nellore</v>
      </c>
      <c r="L615" s="18" t="str">
        <f>_xlfn.XLOOKUP(tblMaster[[#This Row],[Customer_ID]],tblCustomers[Customer_ID],tblCustomers[Name],"Not Found",0)</f>
        <v>Oorja Dey</v>
      </c>
      <c r="M615" s="18" t="str">
        <f>_xlfn.XLOOKUP(tblMaster[[#This Row],[Customer_ID]],tblCustomers[Customer_ID],tblCustomers[Gender],"Not Found",0)</f>
        <v>Female</v>
      </c>
      <c r="N615" s="18" t="str">
        <f>_xlfn.XLOOKUP(tblMaster[[#This Row],[Product_ID]],tblProducts[Product_ID],tblProducts[Product_Name],"Not Found",0)</f>
        <v>Aliquam Box</v>
      </c>
      <c r="O615" s="18" t="str">
        <f>_xlfn.XLOOKUP(tblMaster[[#This Row],[Product_ID]],tblProducts[Product_ID],tblProducts[Category],"Not Found",0)</f>
        <v>Colors</v>
      </c>
      <c r="P615" s="18" t="str">
        <f>_xlfn.XLOOKUP(tblMaster[[#This Row],[Product_ID]],tblProducts[Product_ID],tblProducts[Occasion],"Not Found",0)</f>
        <v>Holi</v>
      </c>
      <c r="Q615" s="18">
        <f>_xlfn.XLOOKUP(tblMaster[[#This Row],[Product_ID]],tblProducts[Product_ID],tblProducts[Price (INR)],"Not Found",0)</f>
        <v>289</v>
      </c>
      <c r="R615" s="19">
        <f>tblMaster[[#This Row],[Price]]*tblMaster[[#This Row],[Quantity]]</f>
        <v>289</v>
      </c>
      <c r="S615" s="19">
        <f>tblMaster[[#This Row],[Price]]*0.7*tblMaster[[#This Row],[Quantity]]</f>
        <v>202.29999999999998</v>
      </c>
      <c r="T615" s="19">
        <f>tblMaster[[#This Row],[Revenue]]-tblMaster[[#This Row],[Estimated Cost (at 70%) ]]</f>
        <v>86.700000000000017</v>
      </c>
      <c r="U615" s="19">
        <f>tblMaster[[#This Row],[Profit]]/tblMaster[[#This Row],[Revenue]]</f>
        <v>0.30000000000000004</v>
      </c>
      <c r="V615" s="19">
        <f>tblMaster[[#This Row],[Delivery_Date]]-tblMaster[[#This Row],[Order_Date]]</f>
        <v>4</v>
      </c>
      <c r="W615" s="19" t="str">
        <f>TEXT(tblMaster[[#This Row],[Order_Date]],"mmmm")</f>
        <v>March</v>
      </c>
      <c r="X615" s="19">
        <f>MONTH(tblMaster[[#This Row],[Order_Date]])</f>
        <v>3</v>
      </c>
      <c r="Y615" s="19" t="str">
        <f>"Q"&amp;ROUNDUP(tblMaster[[#This Row],[Month Number]]/3,0)</f>
        <v>Q1</v>
      </c>
      <c r="Z615" s="19">
        <f>YEAR(tblMaster[[#This Row],[Order_Date]])</f>
        <v>2023</v>
      </c>
      <c r="AA615" s="19" t="str">
        <f>TEXT(DAY(tblMaster[[#This Row],[Order_Date]]),"dddd")</f>
        <v>Tuesday</v>
      </c>
      <c r="AB615" s="19" t="str">
        <f>IF(tblMaster[[#This Row],[Revenue]]&gt;=5000,"High",IF(tblMaster[[#This Row],[Revenue]]&lt;2000,"Low","Medium"))</f>
        <v>Low</v>
      </c>
    </row>
    <row r="616" spans="1:28" x14ac:dyDescent="0.25">
      <c r="A616" s="7">
        <v>615</v>
      </c>
      <c r="B616" s="7" t="s">
        <v>246</v>
      </c>
      <c r="C616" s="4">
        <v>28</v>
      </c>
      <c r="D616" s="4">
        <v>3</v>
      </c>
      <c r="E616" s="8">
        <v>45163</v>
      </c>
      <c r="F616" s="9">
        <v>0.88274305555555554</v>
      </c>
      <c r="G616" s="8">
        <v>45170</v>
      </c>
      <c r="H616" s="9">
        <v>0.25712962962962965</v>
      </c>
      <c r="I616" s="7" t="s">
        <v>353</v>
      </c>
      <c r="J616" s="7" t="s">
        <v>33</v>
      </c>
      <c r="K616" s="18" t="str">
        <f>_xlfn.XLOOKUP(tblMaster[[#This Row],[Customer_ID]],tblCustomers[Customer_ID],tblCustomers[City],"Not Found",0)</f>
        <v>Machilipatnam</v>
      </c>
      <c r="L616" s="18" t="str">
        <f>_xlfn.XLOOKUP(tblMaster[[#This Row],[Customer_ID]],tblCustomers[Customer_ID],tblCustomers[Name],"Not Found",0)</f>
        <v>Samaira Ganesh</v>
      </c>
      <c r="M616" s="18" t="str">
        <f>_xlfn.XLOOKUP(tblMaster[[#This Row],[Customer_ID]],tblCustomers[Customer_ID],tblCustomers[Gender],"Not Found",0)</f>
        <v>Male</v>
      </c>
      <c r="N616" s="18" t="str">
        <f>_xlfn.XLOOKUP(tblMaster[[#This Row],[Product_ID]],tblProducts[Product_ID],tblProducts[Product_Name],"Not Found",0)</f>
        <v>Velit Set</v>
      </c>
      <c r="O616" s="18" t="str">
        <f>_xlfn.XLOOKUP(tblMaster[[#This Row],[Product_ID]],tblProducts[Product_ID],tblProducts[Category],"Not Found",0)</f>
        <v>Sweets</v>
      </c>
      <c r="P616" s="18" t="str">
        <f>_xlfn.XLOOKUP(tblMaster[[#This Row],[Product_ID]],tblProducts[Product_ID],tblProducts[Occasion],"Not Found",0)</f>
        <v>Raksha Bandhan</v>
      </c>
      <c r="Q616" s="18">
        <f>_xlfn.XLOOKUP(tblMaster[[#This Row],[Product_ID]],tblProducts[Product_ID],tblProducts[Price (INR)],"Not Found",0)</f>
        <v>1778</v>
      </c>
      <c r="R616" s="19">
        <f>tblMaster[[#This Row],[Price]]*tblMaster[[#This Row],[Quantity]]</f>
        <v>5334</v>
      </c>
      <c r="S616" s="19">
        <f>tblMaster[[#This Row],[Price]]*0.7*tblMaster[[#This Row],[Quantity]]</f>
        <v>3733.7999999999997</v>
      </c>
      <c r="T616" s="19">
        <f>tblMaster[[#This Row],[Revenue]]-tblMaster[[#This Row],[Estimated Cost (at 70%) ]]</f>
        <v>1600.2000000000003</v>
      </c>
      <c r="U616" s="19">
        <f>tblMaster[[#This Row],[Profit]]/tblMaster[[#This Row],[Revenue]]</f>
        <v>0.30000000000000004</v>
      </c>
      <c r="V616" s="19">
        <f>tblMaster[[#This Row],[Delivery_Date]]-tblMaster[[#This Row],[Order_Date]]</f>
        <v>7</v>
      </c>
      <c r="W616" s="19" t="str">
        <f>TEXT(tblMaster[[#This Row],[Order_Date]],"mmmm")</f>
        <v>August</v>
      </c>
      <c r="X616" s="19">
        <f>MONTH(tblMaster[[#This Row],[Order_Date]])</f>
        <v>8</v>
      </c>
      <c r="Y616" s="19" t="str">
        <f>"Q"&amp;ROUNDUP(tblMaster[[#This Row],[Month Number]]/3,0)</f>
        <v>Q3</v>
      </c>
      <c r="Z616" s="19">
        <f>YEAR(tblMaster[[#This Row],[Order_Date]])</f>
        <v>2023</v>
      </c>
      <c r="AA616" s="19" t="str">
        <f>TEXT(DAY(tblMaster[[#This Row],[Order_Date]]),"dddd")</f>
        <v>Wednesday</v>
      </c>
      <c r="AB616" s="19" t="str">
        <f>IF(tblMaster[[#This Row],[Revenue]]&gt;=5000,"High",IF(tblMaster[[#This Row],[Revenue]]&lt;2000,"Low","Medium"))</f>
        <v>High</v>
      </c>
    </row>
    <row r="617" spans="1:28" x14ac:dyDescent="0.25">
      <c r="A617" s="10">
        <v>616</v>
      </c>
      <c r="B617" s="10" t="s">
        <v>239</v>
      </c>
      <c r="C617" s="5">
        <v>44</v>
      </c>
      <c r="D617" s="5">
        <v>5</v>
      </c>
      <c r="E617" s="11">
        <v>45238</v>
      </c>
      <c r="F617" s="12">
        <v>0.99857638888888889</v>
      </c>
      <c r="G617" s="11">
        <v>45242</v>
      </c>
      <c r="H617" s="12">
        <v>0.80623842592592587</v>
      </c>
      <c r="I617" s="10" t="s">
        <v>397</v>
      </c>
      <c r="J617" s="10" t="s">
        <v>19</v>
      </c>
      <c r="K617" s="18" t="str">
        <f>_xlfn.XLOOKUP(tblMaster[[#This Row],[Customer_ID]],tblCustomers[Customer_ID],tblCustomers[City],"Not Found",0)</f>
        <v>Karimnagar</v>
      </c>
      <c r="L617" s="18" t="str">
        <f>_xlfn.XLOOKUP(tblMaster[[#This Row],[Customer_ID]],tblCustomers[Customer_ID],tblCustomers[Name],"Not Found",0)</f>
        <v>Rania Mann</v>
      </c>
      <c r="M617" s="18" t="str">
        <f>_xlfn.XLOOKUP(tblMaster[[#This Row],[Customer_ID]],tblCustomers[Customer_ID],tblCustomers[Gender],"Not Found",0)</f>
        <v>Female</v>
      </c>
      <c r="N617" s="18" t="str">
        <f>_xlfn.XLOOKUP(tblMaster[[#This Row],[Product_ID]],tblProducts[Product_ID],tblProducts[Product_Name],"Not Found",0)</f>
        <v>Dolorum Set</v>
      </c>
      <c r="O617" s="18" t="str">
        <f>_xlfn.XLOOKUP(tblMaster[[#This Row],[Product_ID]],tblProducts[Product_ID],tblProducts[Category],"Not Found",0)</f>
        <v>Plants</v>
      </c>
      <c r="P617" s="18" t="str">
        <f>_xlfn.XLOOKUP(tblMaster[[#This Row],[Product_ID]],tblProducts[Product_ID],tblProducts[Occasion],"Not Found",0)</f>
        <v>Diwali</v>
      </c>
      <c r="Q617" s="18">
        <f>_xlfn.XLOOKUP(tblMaster[[#This Row],[Product_ID]],tblProducts[Product_ID],tblProducts[Price (INR)],"Not Found",0)</f>
        <v>794</v>
      </c>
      <c r="R617" s="19">
        <f>tblMaster[[#This Row],[Price]]*tblMaster[[#This Row],[Quantity]]</f>
        <v>3970</v>
      </c>
      <c r="S617" s="19">
        <f>tblMaster[[#This Row],[Price]]*0.7*tblMaster[[#This Row],[Quantity]]</f>
        <v>2779</v>
      </c>
      <c r="T617" s="19">
        <f>tblMaster[[#This Row],[Revenue]]-tblMaster[[#This Row],[Estimated Cost (at 70%) ]]</f>
        <v>1191</v>
      </c>
      <c r="U617" s="19">
        <f>tblMaster[[#This Row],[Profit]]/tblMaster[[#This Row],[Revenue]]</f>
        <v>0.3</v>
      </c>
      <c r="V617" s="19">
        <f>tblMaster[[#This Row],[Delivery_Date]]-tblMaster[[#This Row],[Order_Date]]</f>
        <v>4</v>
      </c>
      <c r="W617" s="19" t="str">
        <f>TEXT(tblMaster[[#This Row],[Order_Date]],"mmmm")</f>
        <v>November</v>
      </c>
      <c r="X617" s="19">
        <f>MONTH(tblMaster[[#This Row],[Order_Date]])</f>
        <v>11</v>
      </c>
      <c r="Y617" s="19" t="str">
        <f>"Q"&amp;ROUNDUP(tblMaster[[#This Row],[Month Number]]/3,0)</f>
        <v>Q4</v>
      </c>
      <c r="Z617" s="19">
        <f>YEAR(tblMaster[[#This Row],[Order_Date]])</f>
        <v>2023</v>
      </c>
      <c r="AA617" s="19" t="str">
        <f>TEXT(DAY(tblMaster[[#This Row],[Order_Date]]),"dddd")</f>
        <v>Sunday</v>
      </c>
      <c r="AB617" s="19" t="str">
        <f>IF(tblMaster[[#This Row],[Revenue]]&gt;=5000,"High",IF(tblMaster[[#This Row],[Revenue]]&lt;2000,"Low","Medium"))</f>
        <v>Medium</v>
      </c>
    </row>
    <row r="618" spans="1:28" x14ac:dyDescent="0.25">
      <c r="A618" s="7">
        <v>617</v>
      </c>
      <c r="B618" s="7" t="s">
        <v>333</v>
      </c>
      <c r="C618" s="4">
        <v>22</v>
      </c>
      <c r="D618" s="4">
        <v>1</v>
      </c>
      <c r="E618" s="8">
        <v>44976</v>
      </c>
      <c r="F618" s="9">
        <v>0.120625</v>
      </c>
      <c r="G618" s="8">
        <v>44985</v>
      </c>
      <c r="H618" s="9">
        <v>0.70942129629629624</v>
      </c>
      <c r="I618" s="7" t="s">
        <v>501</v>
      </c>
      <c r="J618" s="7" t="s">
        <v>8</v>
      </c>
      <c r="K618" s="18" t="str">
        <f>_xlfn.XLOOKUP(tblMaster[[#This Row],[Customer_ID]],tblCustomers[Customer_ID],tblCustomers[City],"Not Found",0)</f>
        <v>Raurkela Industrial Township</v>
      </c>
      <c r="L618" s="18" t="str">
        <f>_xlfn.XLOOKUP(tblMaster[[#This Row],[Customer_ID]],tblCustomers[Customer_ID],tblCustomers[Name],"Not Found",0)</f>
        <v>Aaryahi Sodhi</v>
      </c>
      <c r="M618" s="18" t="str">
        <f>_xlfn.XLOOKUP(tblMaster[[#This Row],[Customer_ID]],tblCustomers[Customer_ID],tblCustomers[Gender],"Not Found",0)</f>
        <v>Male</v>
      </c>
      <c r="N618" s="18" t="str">
        <f>_xlfn.XLOOKUP(tblMaster[[#This Row],[Product_ID]],tblProducts[Product_ID],tblProducts[Product_Name],"Not Found",0)</f>
        <v>Exercitationem Pack</v>
      </c>
      <c r="O618" s="18" t="str">
        <f>_xlfn.XLOOKUP(tblMaster[[#This Row],[Product_ID]],tblProducts[Product_ID],tblProducts[Category],"Not Found",0)</f>
        <v>Soft Toys</v>
      </c>
      <c r="P618" s="18" t="str">
        <f>_xlfn.XLOOKUP(tblMaster[[#This Row],[Product_ID]],tblProducts[Product_ID],tblProducts[Occasion],"Not Found",0)</f>
        <v>All Occasions</v>
      </c>
      <c r="Q618" s="18">
        <f>_xlfn.XLOOKUP(tblMaster[[#This Row],[Product_ID]],tblProducts[Product_ID],tblProducts[Price (INR)],"Not Found",0)</f>
        <v>1639</v>
      </c>
      <c r="R618" s="19">
        <f>tblMaster[[#This Row],[Price]]*tblMaster[[#This Row],[Quantity]]</f>
        <v>1639</v>
      </c>
      <c r="S618" s="19">
        <f>tblMaster[[#This Row],[Price]]*0.7*tblMaster[[#This Row],[Quantity]]</f>
        <v>1147.3</v>
      </c>
      <c r="T618" s="19">
        <f>tblMaster[[#This Row],[Revenue]]-tblMaster[[#This Row],[Estimated Cost (at 70%) ]]</f>
        <v>491.70000000000005</v>
      </c>
      <c r="U618" s="19">
        <f>tblMaster[[#This Row],[Profit]]/tblMaster[[#This Row],[Revenue]]</f>
        <v>0.30000000000000004</v>
      </c>
      <c r="V618" s="19">
        <f>tblMaster[[#This Row],[Delivery_Date]]-tblMaster[[#This Row],[Order_Date]]</f>
        <v>9</v>
      </c>
      <c r="W618" s="19" t="str">
        <f>TEXT(tblMaster[[#This Row],[Order_Date]],"mmmm")</f>
        <v>February</v>
      </c>
      <c r="X618" s="19">
        <f>MONTH(tblMaster[[#This Row],[Order_Date]])</f>
        <v>2</v>
      </c>
      <c r="Y618" s="19" t="str">
        <f>"Q"&amp;ROUNDUP(tblMaster[[#This Row],[Month Number]]/3,0)</f>
        <v>Q1</v>
      </c>
      <c r="Z618" s="19">
        <f>YEAR(tblMaster[[#This Row],[Order_Date]])</f>
        <v>2023</v>
      </c>
      <c r="AA618" s="19" t="str">
        <f>TEXT(DAY(tblMaster[[#This Row],[Order_Date]]),"dddd")</f>
        <v>Thursday</v>
      </c>
      <c r="AB618" s="19" t="str">
        <f>IF(tblMaster[[#This Row],[Revenue]]&gt;=5000,"High",IF(tblMaster[[#This Row],[Revenue]]&lt;2000,"Low","Medium"))</f>
        <v>Low</v>
      </c>
    </row>
    <row r="619" spans="1:28" x14ac:dyDescent="0.25">
      <c r="A619" s="10">
        <v>618</v>
      </c>
      <c r="B619" s="10" t="s">
        <v>471</v>
      </c>
      <c r="C619" s="5">
        <v>60</v>
      </c>
      <c r="D619" s="5">
        <v>4</v>
      </c>
      <c r="E619" s="11">
        <v>45235</v>
      </c>
      <c r="F619" s="12">
        <v>0.67306712962962967</v>
      </c>
      <c r="G619" s="11">
        <v>45245</v>
      </c>
      <c r="H619" s="12">
        <v>0.72333333333333338</v>
      </c>
      <c r="I619" s="10" t="s">
        <v>375</v>
      </c>
      <c r="J619" s="10" t="s">
        <v>19</v>
      </c>
      <c r="K619" s="18" t="str">
        <f>_xlfn.XLOOKUP(tblMaster[[#This Row],[Customer_ID]],tblCustomers[Customer_ID],tblCustomers[City],"Not Found",0)</f>
        <v>Parbhani</v>
      </c>
      <c r="L619" s="18" t="str">
        <f>_xlfn.XLOOKUP(tblMaster[[#This Row],[Customer_ID]],tblCustomers[Customer_ID],tblCustomers[Name],"Not Found",0)</f>
        <v>Zeeshan Tailor</v>
      </c>
      <c r="M619" s="18" t="str">
        <f>_xlfn.XLOOKUP(tblMaster[[#This Row],[Customer_ID]],tblCustomers[Customer_ID],tblCustomers[Gender],"Not Found",0)</f>
        <v>Male</v>
      </c>
      <c r="N619" s="18" t="str">
        <f>_xlfn.XLOOKUP(tblMaster[[#This Row],[Product_ID]],tblProducts[Product_ID],tblProducts[Product_Name],"Not Found",0)</f>
        <v>Ea Set</v>
      </c>
      <c r="O619" s="18" t="str">
        <f>_xlfn.XLOOKUP(tblMaster[[#This Row],[Product_ID]],tblProducts[Product_ID],tblProducts[Category],"Not Found",0)</f>
        <v>Sweets</v>
      </c>
      <c r="P619" s="18" t="str">
        <f>_xlfn.XLOOKUP(tblMaster[[#This Row],[Product_ID]],tblProducts[Product_ID],tblProducts[Occasion],"Not Found",0)</f>
        <v>Diwali</v>
      </c>
      <c r="Q619" s="18">
        <f>_xlfn.XLOOKUP(tblMaster[[#This Row],[Product_ID]],tblProducts[Product_ID],tblProducts[Price (INR)],"Not Found",0)</f>
        <v>827</v>
      </c>
      <c r="R619" s="19">
        <f>tblMaster[[#This Row],[Price]]*tblMaster[[#This Row],[Quantity]]</f>
        <v>3308</v>
      </c>
      <c r="S619" s="19">
        <f>tblMaster[[#This Row],[Price]]*0.7*tblMaster[[#This Row],[Quantity]]</f>
        <v>2315.6</v>
      </c>
      <c r="T619" s="19">
        <f>tblMaster[[#This Row],[Revenue]]-tblMaster[[#This Row],[Estimated Cost (at 70%) ]]</f>
        <v>992.40000000000009</v>
      </c>
      <c r="U619" s="19">
        <f>tblMaster[[#This Row],[Profit]]/tblMaster[[#This Row],[Revenue]]</f>
        <v>0.30000000000000004</v>
      </c>
      <c r="V619" s="19">
        <f>tblMaster[[#This Row],[Delivery_Date]]-tblMaster[[#This Row],[Order_Date]]</f>
        <v>10</v>
      </c>
      <c r="W619" s="19" t="str">
        <f>TEXT(tblMaster[[#This Row],[Order_Date]],"mmmm")</f>
        <v>November</v>
      </c>
      <c r="X619" s="19">
        <f>MONTH(tblMaster[[#This Row],[Order_Date]])</f>
        <v>11</v>
      </c>
      <c r="Y619" s="19" t="str">
        <f>"Q"&amp;ROUNDUP(tblMaster[[#This Row],[Month Number]]/3,0)</f>
        <v>Q4</v>
      </c>
      <c r="Z619" s="19">
        <f>YEAR(tblMaster[[#This Row],[Order_Date]])</f>
        <v>2023</v>
      </c>
      <c r="AA619" s="19" t="str">
        <f>TEXT(DAY(tblMaster[[#This Row],[Order_Date]]),"dddd")</f>
        <v>Thursday</v>
      </c>
      <c r="AB619" s="19" t="str">
        <f>IF(tblMaster[[#This Row],[Revenue]]&gt;=5000,"High",IF(tblMaster[[#This Row],[Revenue]]&lt;2000,"Low","Medium"))</f>
        <v>Medium</v>
      </c>
    </row>
    <row r="620" spans="1:28" x14ac:dyDescent="0.25">
      <c r="A620" s="7">
        <v>619</v>
      </c>
      <c r="B620" s="7" t="s">
        <v>210</v>
      </c>
      <c r="C620" s="4">
        <v>35</v>
      </c>
      <c r="D620" s="4">
        <v>1</v>
      </c>
      <c r="E620" s="8">
        <v>44991</v>
      </c>
      <c r="F620" s="9">
        <v>0.30469907407407409</v>
      </c>
      <c r="G620" s="8">
        <v>45001</v>
      </c>
      <c r="H620" s="9">
        <v>0.13718749999999999</v>
      </c>
      <c r="I620" s="7" t="s">
        <v>379</v>
      </c>
      <c r="J620" s="7" t="s">
        <v>25</v>
      </c>
      <c r="K620" s="18" t="str">
        <f>_xlfn.XLOOKUP(tblMaster[[#This Row],[Customer_ID]],tblCustomers[Customer_ID],tblCustomers[City],"Not Found",0)</f>
        <v>New Delhi</v>
      </c>
      <c r="L620" s="18" t="str">
        <f>_xlfn.XLOOKUP(tblMaster[[#This Row],[Customer_ID]],tblCustomers[Customer_ID],tblCustomers[Name],"Not Found",0)</f>
        <v>Adira Rajan</v>
      </c>
      <c r="M620" s="18" t="str">
        <f>_xlfn.XLOOKUP(tblMaster[[#This Row],[Customer_ID]],tblCustomers[Customer_ID],tblCustomers[Gender],"Not Found",0)</f>
        <v>Female</v>
      </c>
      <c r="N620" s="18" t="str">
        <f>_xlfn.XLOOKUP(tblMaster[[#This Row],[Product_ID]],tblProducts[Product_ID],tblProducts[Product_Name],"Not Found",0)</f>
        <v>Nam Gift</v>
      </c>
      <c r="O620" s="18" t="str">
        <f>_xlfn.XLOOKUP(tblMaster[[#This Row],[Product_ID]],tblProducts[Product_ID],tblProducts[Category],"Not Found",0)</f>
        <v>Colors</v>
      </c>
      <c r="P620" s="18" t="str">
        <f>_xlfn.XLOOKUP(tblMaster[[#This Row],[Product_ID]],tblProducts[Product_ID],tblProducts[Occasion],"Not Found",0)</f>
        <v>Holi</v>
      </c>
      <c r="Q620" s="18">
        <f>_xlfn.XLOOKUP(tblMaster[[#This Row],[Product_ID]],tblProducts[Product_ID],tblProducts[Price (INR)],"Not Found",0)</f>
        <v>1865</v>
      </c>
      <c r="R620" s="19">
        <f>tblMaster[[#This Row],[Price]]*tblMaster[[#This Row],[Quantity]]</f>
        <v>1865</v>
      </c>
      <c r="S620" s="19">
        <f>tblMaster[[#This Row],[Price]]*0.7*tblMaster[[#This Row],[Quantity]]</f>
        <v>1305.5</v>
      </c>
      <c r="T620" s="19">
        <f>tblMaster[[#This Row],[Revenue]]-tblMaster[[#This Row],[Estimated Cost (at 70%) ]]</f>
        <v>559.5</v>
      </c>
      <c r="U620" s="19">
        <f>tblMaster[[#This Row],[Profit]]/tblMaster[[#This Row],[Revenue]]</f>
        <v>0.3</v>
      </c>
      <c r="V620" s="19">
        <f>tblMaster[[#This Row],[Delivery_Date]]-tblMaster[[#This Row],[Order_Date]]</f>
        <v>10</v>
      </c>
      <c r="W620" s="19" t="str">
        <f>TEXT(tblMaster[[#This Row],[Order_Date]],"mmmm")</f>
        <v>March</v>
      </c>
      <c r="X620" s="19">
        <f>MONTH(tblMaster[[#This Row],[Order_Date]])</f>
        <v>3</v>
      </c>
      <c r="Y620" s="19" t="str">
        <f>"Q"&amp;ROUNDUP(tblMaster[[#This Row],[Month Number]]/3,0)</f>
        <v>Q1</v>
      </c>
      <c r="Z620" s="19">
        <f>YEAR(tblMaster[[#This Row],[Order_Date]])</f>
        <v>2023</v>
      </c>
      <c r="AA620" s="19" t="str">
        <f>TEXT(DAY(tblMaster[[#This Row],[Order_Date]]),"dddd")</f>
        <v>Friday</v>
      </c>
      <c r="AB620" s="19" t="str">
        <f>IF(tblMaster[[#This Row],[Revenue]]&gt;=5000,"High",IF(tblMaster[[#This Row],[Revenue]]&lt;2000,"Low","Medium"))</f>
        <v>Low</v>
      </c>
    </row>
    <row r="621" spans="1:28" x14ac:dyDescent="0.25">
      <c r="A621" s="10">
        <v>620</v>
      </c>
      <c r="B621" s="10" t="s">
        <v>267</v>
      </c>
      <c r="C621" s="5">
        <v>67</v>
      </c>
      <c r="D621" s="5">
        <v>3</v>
      </c>
      <c r="E621" s="11">
        <v>45118</v>
      </c>
      <c r="F621" s="12">
        <v>0.93265046296296295</v>
      </c>
      <c r="G621" s="11">
        <v>45125</v>
      </c>
      <c r="H621" s="12">
        <v>5.8912037037037034E-2</v>
      </c>
      <c r="I621" s="10" t="s">
        <v>491</v>
      </c>
      <c r="J621" s="10" t="s">
        <v>30</v>
      </c>
      <c r="K621" s="18" t="str">
        <f>_xlfn.XLOOKUP(tblMaster[[#This Row],[Customer_ID]],tblCustomers[Customer_ID],tblCustomers[City],"Not Found",0)</f>
        <v>Sultan Pur Majra</v>
      </c>
      <c r="L621" s="18" t="str">
        <f>_xlfn.XLOOKUP(tblMaster[[#This Row],[Customer_ID]],tblCustomers[Customer_ID],tblCustomers[Name],"Not Found",0)</f>
        <v>Vanya Apte</v>
      </c>
      <c r="M621" s="18" t="str">
        <f>_xlfn.XLOOKUP(tblMaster[[#This Row],[Customer_ID]],tblCustomers[Customer_ID],tblCustomers[Gender],"Not Found",0)</f>
        <v>Female</v>
      </c>
      <c r="N621" s="18" t="str">
        <f>_xlfn.XLOOKUP(tblMaster[[#This Row],[Product_ID]],tblProducts[Product_ID],tblProducts[Product_Name],"Not Found",0)</f>
        <v>Maiores Box</v>
      </c>
      <c r="O621" s="18" t="str">
        <f>_xlfn.XLOOKUP(tblMaster[[#This Row],[Product_ID]],tblProducts[Product_ID],tblProducts[Category],"Not Found",0)</f>
        <v>Raksha Bandhan</v>
      </c>
      <c r="P621" s="18" t="str">
        <f>_xlfn.XLOOKUP(tblMaster[[#This Row],[Product_ID]],tblProducts[Product_ID],tblProducts[Occasion],"Not Found",0)</f>
        <v>Anniversary</v>
      </c>
      <c r="Q621" s="18">
        <f>_xlfn.XLOOKUP(tblMaster[[#This Row],[Product_ID]],tblProducts[Product_ID],tblProducts[Price (INR)],"Not Found",0)</f>
        <v>1374</v>
      </c>
      <c r="R621" s="19">
        <f>tblMaster[[#This Row],[Price]]*tblMaster[[#This Row],[Quantity]]</f>
        <v>4122</v>
      </c>
      <c r="S621" s="19">
        <f>tblMaster[[#This Row],[Price]]*0.7*tblMaster[[#This Row],[Quantity]]</f>
        <v>2885.3999999999996</v>
      </c>
      <c r="T621" s="19">
        <f>tblMaster[[#This Row],[Revenue]]-tblMaster[[#This Row],[Estimated Cost (at 70%) ]]</f>
        <v>1236.6000000000004</v>
      </c>
      <c r="U621" s="19">
        <f>tblMaster[[#This Row],[Profit]]/tblMaster[[#This Row],[Revenue]]</f>
        <v>0.3000000000000001</v>
      </c>
      <c r="V621" s="19">
        <f>tblMaster[[#This Row],[Delivery_Date]]-tblMaster[[#This Row],[Order_Date]]</f>
        <v>7</v>
      </c>
      <c r="W621" s="19" t="str">
        <f>TEXT(tblMaster[[#This Row],[Order_Date]],"mmmm")</f>
        <v>July</v>
      </c>
      <c r="X621" s="19">
        <f>MONTH(tblMaster[[#This Row],[Order_Date]])</f>
        <v>7</v>
      </c>
      <c r="Y621" s="19" t="str">
        <f>"Q"&amp;ROUNDUP(tblMaster[[#This Row],[Month Number]]/3,0)</f>
        <v>Q3</v>
      </c>
      <c r="Z621" s="19">
        <f>YEAR(tblMaster[[#This Row],[Order_Date]])</f>
        <v>2023</v>
      </c>
      <c r="AA621" s="19" t="str">
        <f>TEXT(DAY(tblMaster[[#This Row],[Order_Date]]),"dddd")</f>
        <v>Wednesday</v>
      </c>
      <c r="AB621" s="19" t="str">
        <f>IF(tblMaster[[#This Row],[Revenue]]&gt;=5000,"High",IF(tblMaster[[#This Row],[Revenue]]&lt;2000,"Low","Medium"))</f>
        <v>Medium</v>
      </c>
    </row>
    <row r="622" spans="1:28" x14ac:dyDescent="0.25">
      <c r="A622" s="7">
        <v>621</v>
      </c>
      <c r="B622" s="7" t="s">
        <v>343</v>
      </c>
      <c r="C622" s="4">
        <v>64</v>
      </c>
      <c r="D622" s="4">
        <v>3</v>
      </c>
      <c r="E622" s="8">
        <v>45158</v>
      </c>
      <c r="F622" s="9">
        <v>0.30350694444444443</v>
      </c>
      <c r="G622" s="8">
        <v>45166</v>
      </c>
      <c r="H622" s="9">
        <v>6.4456018518518524E-2</v>
      </c>
      <c r="I622" s="7" t="s">
        <v>260</v>
      </c>
      <c r="J622" s="7" t="s">
        <v>33</v>
      </c>
      <c r="K622" s="18" t="str">
        <f>_xlfn.XLOOKUP(tblMaster[[#This Row],[Customer_ID]],tblCustomers[Customer_ID],tblCustomers[City],"Not Found",0)</f>
        <v>Bhatpara</v>
      </c>
      <c r="L622" s="18" t="str">
        <f>_xlfn.XLOOKUP(tblMaster[[#This Row],[Customer_ID]],tblCustomers[Customer_ID],tblCustomers[Name],"Not Found",0)</f>
        <v>Emir Gokhale</v>
      </c>
      <c r="M622" s="18" t="str">
        <f>_xlfn.XLOOKUP(tblMaster[[#This Row],[Customer_ID]],tblCustomers[Customer_ID],tblCustomers[Gender],"Not Found",0)</f>
        <v>Male</v>
      </c>
      <c r="N622" s="18" t="str">
        <f>_xlfn.XLOOKUP(tblMaster[[#This Row],[Product_ID]],tblProducts[Product_ID],tblProducts[Product_Name],"Not Found",0)</f>
        <v>Nostrum Box</v>
      </c>
      <c r="O622" s="18" t="str">
        <f>_xlfn.XLOOKUP(tblMaster[[#This Row],[Product_ID]],tblProducts[Product_ID],tblProducts[Category],"Not Found",0)</f>
        <v>Soft Toys</v>
      </c>
      <c r="P622" s="18" t="str">
        <f>_xlfn.XLOOKUP(tblMaster[[#This Row],[Product_ID]],tblProducts[Product_ID],tblProducts[Occasion],"Not Found",0)</f>
        <v>Raksha Bandhan</v>
      </c>
      <c r="Q622" s="18">
        <f>_xlfn.XLOOKUP(tblMaster[[#This Row],[Product_ID]],tblProducts[Product_ID],tblProducts[Price (INR)],"Not Found",0)</f>
        <v>1878</v>
      </c>
      <c r="R622" s="19">
        <f>tblMaster[[#This Row],[Price]]*tblMaster[[#This Row],[Quantity]]</f>
        <v>5634</v>
      </c>
      <c r="S622" s="19">
        <f>tblMaster[[#This Row],[Price]]*0.7*tblMaster[[#This Row],[Quantity]]</f>
        <v>3943.7999999999997</v>
      </c>
      <c r="T622" s="19">
        <f>tblMaster[[#This Row],[Revenue]]-tblMaster[[#This Row],[Estimated Cost (at 70%) ]]</f>
        <v>1690.2000000000003</v>
      </c>
      <c r="U622" s="19">
        <f>tblMaster[[#This Row],[Profit]]/tblMaster[[#This Row],[Revenue]]</f>
        <v>0.30000000000000004</v>
      </c>
      <c r="V622" s="19">
        <f>tblMaster[[#This Row],[Delivery_Date]]-tblMaster[[#This Row],[Order_Date]]</f>
        <v>8</v>
      </c>
      <c r="W622" s="19" t="str">
        <f>TEXT(tblMaster[[#This Row],[Order_Date]],"mmmm")</f>
        <v>August</v>
      </c>
      <c r="X622" s="19">
        <f>MONTH(tblMaster[[#This Row],[Order_Date]])</f>
        <v>8</v>
      </c>
      <c r="Y622" s="19" t="str">
        <f>"Q"&amp;ROUNDUP(tblMaster[[#This Row],[Month Number]]/3,0)</f>
        <v>Q3</v>
      </c>
      <c r="Z622" s="19">
        <f>YEAR(tblMaster[[#This Row],[Order_Date]])</f>
        <v>2023</v>
      </c>
      <c r="AA622" s="19" t="str">
        <f>TEXT(DAY(tblMaster[[#This Row],[Order_Date]]),"dddd")</f>
        <v>Friday</v>
      </c>
      <c r="AB622" s="19" t="str">
        <f>IF(tblMaster[[#This Row],[Revenue]]&gt;=5000,"High",IF(tblMaster[[#This Row],[Revenue]]&lt;2000,"Low","Medium"))</f>
        <v>High</v>
      </c>
    </row>
    <row r="623" spans="1:28" x14ac:dyDescent="0.25">
      <c r="A623" s="10">
        <v>622</v>
      </c>
      <c r="B623" s="10" t="s">
        <v>364</v>
      </c>
      <c r="C623" s="5">
        <v>4</v>
      </c>
      <c r="D623" s="5">
        <v>4</v>
      </c>
      <c r="E623" s="11">
        <v>45238</v>
      </c>
      <c r="F623" s="12">
        <v>0.59273148148148147</v>
      </c>
      <c r="G623" s="11">
        <v>45239</v>
      </c>
      <c r="H623" s="12">
        <v>0.66599537037037038</v>
      </c>
      <c r="I623" s="10" t="s">
        <v>514</v>
      </c>
      <c r="J623" s="10" t="s">
        <v>19</v>
      </c>
      <c r="K623" s="18" t="str">
        <f>_xlfn.XLOOKUP(tblMaster[[#This Row],[Customer_ID]],tblCustomers[Customer_ID],tblCustomers[City],"Not Found",0)</f>
        <v>Tiruchirappalli</v>
      </c>
      <c r="L623" s="18" t="str">
        <f>_xlfn.XLOOKUP(tblMaster[[#This Row],[Customer_ID]],tblCustomers[Customer_ID],tblCustomers[Name],"Not Found",0)</f>
        <v>Anahita Shankar</v>
      </c>
      <c r="M623" s="18" t="str">
        <f>_xlfn.XLOOKUP(tblMaster[[#This Row],[Customer_ID]],tblCustomers[Customer_ID],tblCustomers[Gender],"Not Found",0)</f>
        <v>Male</v>
      </c>
      <c r="N623" s="18" t="str">
        <f>_xlfn.XLOOKUP(tblMaster[[#This Row],[Product_ID]],tblProducts[Product_ID],tblProducts[Product_Name],"Not Found",0)</f>
        <v>Accusantium Set</v>
      </c>
      <c r="O623" s="18" t="str">
        <f>_xlfn.XLOOKUP(tblMaster[[#This Row],[Product_ID]],tblProducts[Product_ID],tblProducts[Category],"Not Found",0)</f>
        <v>Sweets</v>
      </c>
      <c r="P623" s="18" t="str">
        <f>_xlfn.XLOOKUP(tblMaster[[#This Row],[Product_ID]],tblProducts[Product_ID],tblProducts[Occasion],"Not Found",0)</f>
        <v>Diwali</v>
      </c>
      <c r="Q623" s="18">
        <f>_xlfn.XLOOKUP(tblMaster[[#This Row],[Product_ID]],tblProducts[Product_ID],tblProducts[Price (INR)],"Not Found",0)</f>
        <v>1199</v>
      </c>
      <c r="R623" s="19">
        <f>tblMaster[[#This Row],[Price]]*tblMaster[[#This Row],[Quantity]]</f>
        <v>4796</v>
      </c>
      <c r="S623" s="19">
        <f>tblMaster[[#This Row],[Price]]*0.7*tblMaster[[#This Row],[Quantity]]</f>
        <v>3357.2</v>
      </c>
      <c r="T623" s="19">
        <f>tblMaster[[#This Row],[Revenue]]-tblMaster[[#This Row],[Estimated Cost (at 70%) ]]</f>
        <v>1438.8000000000002</v>
      </c>
      <c r="U623" s="19">
        <f>tblMaster[[#This Row],[Profit]]/tblMaster[[#This Row],[Revenue]]</f>
        <v>0.30000000000000004</v>
      </c>
      <c r="V623" s="19">
        <f>tblMaster[[#This Row],[Delivery_Date]]-tblMaster[[#This Row],[Order_Date]]</f>
        <v>1</v>
      </c>
      <c r="W623" s="19" t="str">
        <f>TEXT(tblMaster[[#This Row],[Order_Date]],"mmmm")</f>
        <v>November</v>
      </c>
      <c r="X623" s="19">
        <f>MONTH(tblMaster[[#This Row],[Order_Date]])</f>
        <v>11</v>
      </c>
      <c r="Y623" s="19" t="str">
        <f>"Q"&amp;ROUNDUP(tblMaster[[#This Row],[Month Number]]/3,0)</f>
        <v>Q4</v>
      </c>
      <c r="Z623" s="19">
        <f>YEAR(tblMaster[[#This Row],[Order_Date]])</f>
        <v>2023</v>
      </c>
      <c r="AA623" s="19" t="str">
        <f>TEXT(DAY(tblMaster[[#This Row],[Order_Date]]),"dddd")</f>
        <v>Sunday</v>
      </c>
      <c r="AB623" s="19" t="str">
        <f>IF(tblMaster[[#This Row],[Revenue]]&gt;=5000,"High",IF(tblMaster[[#This Row],[Revenue]]&lt;2000,"Low","Medium"))</f>
        <v>Medium</v>
      </c>
    </row>
    <row r="624" spans="1:28" x14ac:dyDescent="0.25">
      <c r="A624" s="7">
        <v>623</v>
      </c>
      <c r="B624" s="7" t="s">
        <v>254</v>
      </c>
      <c r="C624" s="4">
        <v>37</v>
      </c>
      <c r="D624" s="4">
        <v>2</v>
      </c>
      <c r="E624" s="8">
        <v>45238</v>
      </c>
      <c r="F624" s="9">
        <v>0.56793981481481481</v>
      </c>
      <c r="G624" s="8">
        <v>45248</v>
      </c>
      <c r="H624" s="9">
        <v>0.60114583333333338</v>
      </c>
      <c r="I624" s="7" t="s">
        <v>375</v>
      </c>
      <c r="J624" s="7" t="s">
        <v>19</v>
      </c>
      <c r="K624" s="18" t="str">
        <f>_xlfn.XLOOKUP(tblMaster[[#This Row],[Customer_ID]],tblCustomers[Customer_ID],tblCustomers[City],"Not Found",0)</f>
        <v>Maheshtala</v>
      </c>
      <c r="L624" s="18" t="str">
        <f>_xlfn.XLOOKUP(tblMaster[[#This Row],[Customer_ID]],tblCustomers[Customer_ID],tblCustomers[Name],"Not Found",0)</f>
        <v>Divit Mahajan</v>
      </c>
      <c r="M624" s="18" t="str">
        <f>_xlfn.XLOOKUP(tblMaster[[#This Row],[Customer_ID]],tblCustomers[Customer_ID],tblCustomers[Gender],"Not Found",0)</f>
        <v>Female</v>
      </c>
      <c r="N624" s="18" t="str">
        <f>_xlfn.XLOOKUP(tblMaster[[#This Row],[Product_ID]],tblProducts[Product_ID],tblProducts[Product_Name],"Not Found",0)</f>
        <v>Officiis Pack</v>
      </c>
      <c r="O624" s="18" t="str">
        <f>_xlfn.XLOOKUP(tblMaster[[#This Row],[Product_ID]],tblProducts[Product_ID],tblProducts[Category],"Not Found",0)</f>
        <v>Colors</v>
      </c>
      <c r="P624" s="18" t="str">
        <f>_xlfn.XLOOKUP(tblMaster[[#This Row],[Product_ID]],tblProducts[Product_ID],tblProducts[Occasion],"Not Found",0)</f>
        <v>Diwali</v>
      </c>
      <c r="Q624" s="18">
        <f>_xlfn.XLOOKUP(tblMaster[[#This Row],[Product_ID]],tblProducts[Product_ID],tblProducts[Price (INR)],"Not Found",0)</f>
        <v>1428</v>
      </c>
      <c r="R624" s="19">
        <f>tblMaster[[#This Row],[Price]]*tblMaster[[#This Row],[Quantity]]</f>
        <v>2856</v>
      </c>
      <c r="S624" s="19">
        <f>tblMaster[[#This Row],[Price]]*0.7*tblMaster[[#This Row],[Quantity]]</f>
        <v>1999.1999999999998</v>
      </c>
      <c r="T624" s="19">
        <f>tblMaster[[#This Row],[Revenue]]-tblMaster[[#This Row],[Estimated Cost (at 70%) ]]</f>
        <v>856.80000000000018</v>
      </c>
      <c r="U624" s="19">
        <f>tblMaster[[#This Row],[Profit]]/tblMaster[[#This Row],[Revenue]]</f>
        <v>0.30000000000000004</v>
      </c>
      <c r="V624" s="19">
        <f>tblMaster[[#This Row],[Delivery_Date]]-tblMaster[[#This Row],[Order_Date]]</f>
        <v>10</v>
      </c>
      <c r="W624" s="19" t="str">
        <f>TEXT(tblMaster[[#This Row],[Order_Date]],"mmmm")</f>
        <v>November</v>
      </c>
      <c r="X624" s="19">
        <f>MONTH(tblMaster[[#This Row],[Order_Date]])</f>
        <v>11</v>
      </c>
      <c r="Y624" s="19" t="str">
        <f>"Q"&amp;ROUNDUP(tblMaster[[#This Row],[Month Number]]/3,0)</f>
        <v>Q4</v>
      </c>
      <c r="Z624" s="19">
        <f>YEAR(tblMaster[[#This Row],[Order_Date]])</f>
        <v>2023</v>
      </c>
      <c r="AA624" s="19" t="str">
        <f>TEXT(DAY(tblMaster[[#This Row],[Order_Date]]),"dddd")</f>
        <v>Sunday</v>
      </c>
      <c r="AB624" s="19" t="str">
        <f>IF(tblMaster[[#This Row],[Revenue]]&gt;=5000,"High",IF(tblMaster[[#This Row],[Revenue]]&lt;2000,"Low","Medium"))</f>
        <v>Medium</v>
      </c>
    </row>
    <row r="625" spans="1:28" x14ac:dyDescent="0.25">
      <c r="A625" s="10">
        <v>624</v>
      </c>
      <c r="B625" s="10" t="s">
        <v>188</v>
      </c>
      <c r="C625" s="5">
        <v>53</v>
      </c>
      <c r="D625" s="5">
        <v>5</v>
      </c>
      <c r="E625" s="11">
        <v>45167</v>
      </c>
      <c r="F625" s="12">
        <v>0.3888773148148148</v>
      </c>
      <c r="G625" s="11">
        <v>45170</v>
      </c>
      <c r="H625" s="12">
        <v>0.35409722222222223</v>
      </c>
      <c r="I625" s="10" t="s">
        <v>184</v>
      </c>
      <c r="J625" s="10" t="s">
        <v>33</v>
      </c>
      <c r="K625" s="18" t="str">
        <f>_xlfn.XLOOKUP(tblMaster[[#This Row],[Customer_ID]],tblCustomers[Customer_ID],tblCustomers[City],"Not Found",0)</f>
        <v>Kavali</v>
      </c>
      <c r="L625" s="18" t="str">
        <f>_xlfn.XLOOKUP(tblMaster[[#This Row],[Customer_ID]],tblCustomers[Customer_ID],tblCustomers[Name],"Not Found",0)</f>
        <v>Jhanvi Chowdhury</v>
      </c>
      <c r="M625" s="18" t="str">
        <f>_xlfn.XLOOKUP(tblMaster[[#This Row],[Customer_ID]],tblCustomers[Customer_ID],tblCustomers[Gender],"Not Found",0)</f>
        <v>Female</v>
      </c>
      <c r="N625" s="18" t="str">
        <f>_xlfn.XLOOKUP(tblMaster[[#This Row],[Product_ID]],tblProducts[Product_ID],tblProducts[Product_Name],"Not Found",0)</f>
        <v>Ipsam Set</v>
      </c>
      <c r="O625" s="18" t="str">
        <f>_xlfn.XLOOKUP(tblMaster[[#This Row],[Product_ID]],tblProducts[Product_ID],tblProducts[Category],"Not Found",0)</f>
        <v>Sweets</v>
      </c>
      <c r="P625" s="18" t="str">
        <f>_xlfn.XLOOKUP(tblMaster[[#This Row],[Product_ID]],tblProducts[Product_ID],tblProducts[Occasion],"Not Found",0)</f>
        <v>Raksha Bandhan</v>
      </c>
      <c r="Q625" s="18">
        <f>_xlfn.XLOOKUP(tblMaster[[#This Row],[Product_ID]],tblProducts[Product_ID],tblProducts[Price (INR)],"Not Found",0)</f>
        <v>1672</v>
      </c>
      <c r="R625" s="19">
        <f>tblMaster[[#This Row],[Price]]*tblMaster[[#This Row],[Quantity]]</f>
        <v>8360</v>
      </c>
      <c r="S625" s="19">
        <f>tblMaster[[#This Row],[Price]]*0.7*tblMaster[[#This Row],[Quantity]]</f>
        <v>5851.9999999999991</v>
      </c>
      <c r="T625" s="19">
        <f>tblMaster[[#This Row],[Revenue]]-tblMaster[[#This Row],[Estimated Cost (at 70%) ]]</f>
        <v>2508.0000000000009</v>
      </c>
      <c r="U625" s="19">
        <f>tblMaster[[#This Row],[Profit]]/tblMaster[[#This Row],[Revenue]]</f>
        <v>0.3000000000000001</v>
      </c>
      <c r="V625" s="19">
        <f>tblMaster[[#This Row],[Delivery_Date]]-tblMaster[[#This Row],[Order_Date]]</f>
        <v>3</v>
      </c>
      <c r="W625" s="19" t="str">
        <f>TEXT(tblMaster[[#This Row],[Order_Date]],"mmmm")</f>
        <v>August</v>
      </c>
      <c r="X625" s="19">
        <f>MONTH(tblMaster[[#This Row],[Order_Date]])</f>
        <v>8</v>
      </c>
      <c r="Y625" s="19" t="str">
        <f>"Q"&amp;ROUNDUP(tblMaster[[#This Row],[Month Number]]/3,0)</f>
        <v>Q3</v>
      </c>
      <c r="Z625" s="19">
        <f>YEAR(tblMaster[[#This Row],[Order_Date]])</f>
        <v>2023</v>
      </c>
      <c r="AA625" s="19" t="str">
        <f>TEXT(DAY(tblMaster[[#This Row],[Order_Date]]),"dddd")</f>
        <v>Sunday</v>
      </c>
      <c r="AB625" s="19" t="str">
        <f>IF(tblMaster[[#This Row],[Revenue]]&gt;=5000,"High",IF(tblMaster[[#This Row],[Revenue]]&lt;2000,"Low","Medium"))</f>
        <v>High</v>
      </c>
    </row>
    <row r="626" spans="1:28" x14ac:dyDescent="0.25">
      <c r="A626" s="7">
        <v>625</v>
      </c>
      <c r="B626" s="7" t="s">
        <v>402</v>
      </c>
      <c r="C626" s="4">
        <v>63</v>
      </c>
      <c r="D626" s="4">
        <v>5</v>
      </c>
      <c r="E626" s="8">
        <v>44980</v>
      </c>
      <c r="F626" s="9">
        <v>0.88590277777777782</v>
      </c>
      <c r="G626" s="8">
        <v>44989</v>
      </c>
      <c r="H626" s="9">
        <v>0.11534722222222223</v>
      </c>
      <c r="I626" s="7" t="s">
        <v>186</v>
      </c>
      <c r="J626" s="7" t="s">
        <v>8</v>
      </c>
      <c r="K626" s="18" t="str">
        <f>_xlfn.XLOOKUP(tblMaster[[#This Row],[Customer_ID]],tblCustomers[Customer_ID],tblCustomers[City],"Not Found",0)</f>
        <v>Nellore</v>
      </c>
      <c r="L626" s="18" t="str">
        <f>_xlfn.XLOOKUP(tblMaster[[#This Row],[Customer_ID]],tblCustomers[Customer_ID],tblCustomers[Name],"Not Found",0)</f>
        <v>Oorja Dey</v>
      </c>
      <c r="M626" s="18" t="str">
        <f>_xlfn.XLOOKUP(tblMaster[[#This Row],[Customer_ID]],tblCustomers[Customer_ID],tblCustomers[Gender],"Not Found",0)</f>
        <v>Female</v>
      </c>
      <c r="N626" s="18" t="str">
        <f>_xlfn.XLOOKUP(tblMaster[[#This Row],[Product_ID]],tblProducts[Product_ID],tblProducts[Product_Name],"Not Found",0)</f>
        <v>Adipisci Set</v>
      </c>
      <c r="O626" s="18" t="str">
        <f>_xlfn.XLOOKUP(tblMaster[[#This Row],[Product_ID]],tblProducts[Product_ID],tblProducts[Category],"Not Found",0)</f>
        <v>Sweets</v>
      </c>
      <c r="P626" s="18" t="str">
        <f>_xlfn.XLOOKUP(tblMaster[[#This Row],[Product_ID]],tblProducts[Product_ID],tblProducts[Occasion],"Not Found",0)</f>
        <v>All Occasions</v>
      </c>
      <c r="Q626" s="18">
        <f>_xlfn.XLOOKUP(tblMaster[[#This Row],[Product_ID]],tblProducts[Product_ID],tblProducts[Price (INR)],"Not Found",0)</f>
        <v>1348</v>
      </c>
      <c r="R626" s="19">
        <f>tblMaster[[#This Row],[Price]]*tblMaster[[#This Row],[Quantity]]</f>
        <v>6740</v>
      </c>
      <c r="S626" s="19">
        <f>tblMaster[[#This Row],[Price]]*0.7*tblMaster[[#This Row],[Quantity]]</f>
        <v>4718</v>
      </c>
      <c r="T626" s="19">
        <f>tblMaster[[#This Row],[Revenue]]-tblMaster[[#This Row],[Estimated Cost (at 70%) ]]</f>
        <v>2022</v>
      </c>
      <c r="U626" s="19">
        <f>tblMaster[[#This Row],[Profit]]/tblMaster[[#This Row],[Revenue]]</f>
        <v>0.3</v>
      </c>
      <c r="V626" s="19">
        <f>tblMaster[[#This Row],[Delivery_Date]]-tblMaster[[#This Row],[Order_Date]]</f>
        <v>9</v>
      </c>
      <c r="W626" s="19" t="str">
        <f>TEXT(tblMaster[[#This Row],[Order_Date]],"mmmm")</f>
        <v>February</v>
      </c>
      <c r="X626" s="19">
        <f>MONTH(tblMaster[[#This Row],[Order_Date]])</f>
        <v>2</v>
      </c>
      <c r="Y626" s="19" t="str">
        <f>"Q"&amp;ROUNDUP(tblMaster[[#This Row],[Month Number]]/3,0)</f>
        <v>Q1</v>
      </c>
      <c r="Z626" s="19">
        <f>YEAR(tblMaster[[#This Row],[Order_Date]])</f>
        <v>2023</v>
      </c>
      <c r="AA626" s="19" t="str">
        <f>TEXT(DAY(tblMaster[[#This Row],[Order_Date]]),"dddd")</f>
        <v>Monday</v>
      </c>
      <c r="AB626" s="19" t="str">
        <f>IF(tblMaster[[#This Row],[Revenue]]&gt;=5000,"High",IF(tblMaster[[#This Row],[Revenue]]&lt;2000,"Low","Medium"))</f>
        <v>High</v>
      </c>
    </row>
    <row r="627" spans="1:28" x14ac:dyDescent="0.25">
      <c r="A627" s="10">
        <v>626</v>
      </c>
      <c r="B627" s="10" t="s">
        <v>188</v>
      </c>
      <c r="C627" s="5">
        <v>40</v>
      </c>
      <c r="D627" s="5">
        <v>5</v>
      </c>
      <c r="E627" s="11">
        <v>45192</v>
      </c>
      <c r="F627" s="12">
        <v>0.63400462962962967</v>
      </c>
      <c r="G627" s="11">
        <v>45196</v>
      </c>
      <c r="H627" s="12">
        <v>0.34331018518518519</v>
      </c>
      <c r="I627" s="10" t="s">
        <v>462</v>
      </c>
      <c r="J627" s="10" t="s">
        <v>30</v>
      </c>
      <c r="K627" s="18" t="str">
        <f>_xlfn.XLOOKUP(tblMaster[[#This Row],[Customer_ID]],tblCustomers[Customer_ID],tblCustomers[City],"Not Found",0)</f>
        <v>Kavali</v>
      </c>
      <c r="L627" s="18" t="str">
        <f>_xlfn.XLOOKUP(tblMaster[[#This Row],[Customer_ID]],tblCustomers[Customer_ID],tblCustomers[Name],"Not Found",0)</f>
        <v>Jhanvi Chowdhury</v>
      </c>
      <c r="M627" s="18" t="str">
        <f>_xlfn.XLOOKUP(tblMaster[[#This Row],[Customer_ID]],tblCustomers[Customer_ID],tblCustomers[Gender],"Not Found",0)</f>
        <v>Female</v>
      </c>
      <c r="N627" s="18" t="str">
        <f>_xlfn.XLOOKUP(tblMaster[[#This Row],[Product_ID]],tblProducts[Product_ID],tblProducts[Product_Name],"Not Found",0)</f>
        <v>Provident Pack</v>
      </c>
      <c r="O627" s="18" t="str">
        <f>_xlfn.XLOOKUP(tblMaster[[#This Row],[Product_ID]],tblProducts[Product_ID],tblProducts[Category],"Not Found",0)</f>
        <v>Sweets</v>
      </c>
      <c r="P627" s="18" t="str">
        <f>_xlfn.XLOOKUP(tblMaster[[#This Row],[Product_ID]],tblProducts[Product_ID],tblProducts[Occasion],"Not Found",0)</f>
        <v>Anniversary</v>
      </c>
      <c r="Q627" s="18">
        <f>_xlfn.XLOOKUP(tblMaster[[#This Row],[Product_ID]],tblProducts[Product_ID],tblProducts[Price (INR)],"Not Found",0)</f>
        <v>1923</v>
      </c>
      <c r="R627" s="19">
        <f>tblMaster[[#This Row],[Price]]*tblMaster[[#This Row],[Quantity]]</f>
        <v>9615</v>
      </c>
      <c r="S627" s="19">
        <f>tblMaster[[#This Row],[Price]]*0.7*tblMaster[[#This Row],[Quantity]]</f>
        <v>6730.5</v>
      </c>
      <c r="T627" s="19">
        <f>tblMaster[[#This Row],[Revenue]]-tblMaster[[#This Row],[Estimated Cost (at 70%) ]]</f>
        <v>2884.5</v>
      </c>
      <c r="U627" s="19">
        <f>tblMaster[[#This Row],[Profit]]/tblMaster[[#This Row],[Revenue]]</f>
        <v>0.3</v>
      </c>
      <c r="V627" s="19">
        <f>tblMaster[[#This Row],[Delivery_Date]]-tblMaster[[#This Row],[Order_Date]]</f>
        <v>4</v>
      </c>
      <c r="W627" s="19" t="str">
        <f>TEXT(tblMaster[[#This Row],[Order_Date]],"mmmm")</f>
        <v>September</v>
      </c>
      <c r="X627" s="19">
        <f>MONTH(tblMaster[[#This Row],[Order_Date]])</f>
        <v>9</v>
      </c>
      <c r="Y627" s="19" t="str">
        <f>"Q"&amp;ROUNDUP(tblMaster[[#This Row],[Month Number]]/3,0)</f>
        <v>Q3</v>
      </c>
      <c r="Z627" s="19">
        <f>YEAR(tblMaster[[#This Row],[Order_Date]])</f>
        <v>2023</v>
      </c>
      <c r="AA627" s="19" t="str">
        <f>TEXT(DAY(tblMaster[[#This Row],[Order_Date]]),"dddd")</f>
        <v>Monday</v>
      </c>
      <c r="AB627" s="19" t="str">
        <f>IF(tblMaster[[#This Row],[Revenue]]&gt;=5000,"High",IF(tblMaster[[#This Row],[Revenue]]&lt;2000,"Low","Medium"))</f>
        <v>High</v>
      </c>
    </row>
    <row r="628" spans="1:28" x14ac:dyDescent="0.25">
      <c r="A628" s="7">
        <v>627</v>
      </c>
      <c r="B628" s="7" t="s">
        <v>188</v>
      </c>
      <c r="C628" s="4">
        <v>51</v>
      </c>
      <c r="D628" s="4">
        <v>4</v>
      </c>
      <c r="E628" s="8">
        <v>44962</v>
      </c>
      <c r="F628" s="9">
        <v>0.18778935185185186</v>
      </c>
      <c r="G628" s="8">
        <v>44965</v>
      </c>
      <c r="H628" s="9">
        <v>0.98486111111111108</v>
      </c>
      <c r="I628" s="7" t="s">
        <v>177</v>
      </c>
      <c r="J628" s="7" t="s">
        <v>8</v>
      </c>
      <c r="K628" s="18" t="str">
        <f>_xlfn.XLOOKUP(tblMaster[[#This Row],[Customer_ID]],tblCustomers[Customer_ID],tblCustomers[City],"Not Found",0)</f>
        <v>Kavali</v>
      </c>
      <c r="L628" s="18" t="str">
        <f>_xlfn.XLOOKUP(tblMaster[[#This Row],[Customer_ID]],tblCustomers[Customer_ID],tblCustomers[Name],"Not Found",0)</f>
        <v>Jhanvi Chowdhury</v>
      </c>
      <c r="M628" s="18" t="str">
        <f>_xlfn.XLOOKUP(tblMaster[[#This Row],[Customer_ID]],tblCustomers[Customer_ID],tblCustomers[Gender],"Not Found",0)</f>
        <v>Female</v>
      </c>
      <c r="N628" s="18" t="str">
        <f>_xlfn.XLOOKUP(tblMaster[[#This Row],[Product_ID]],tblProducts[Product_ID],tblProducts[Product_Name],"Not Found",0)</f>
        <v>Fugit Set</v>
      </c>
      <c r="O628" s="18" t="str">
        <f>_xlfn.XLOOKUP(tblMaster[[#This Row],[Product_ID]],tblProducts[Product_ID],tblProducts[Category],"Not Found",0)</f>
        <v>Soft Toys</v>
      </c>
      <c r="P628" s="18" t="str">
        <f>_xlfn.XLOOKUP(tblMaster[[#This Row],[Product_ID]],tblProducts[Product_ID],tblProducts[Occasion],"Not Found",0)</f>
        <v>All Occasions</v>
      </c>
      <c r="Q628" s="18">
        <f>_xlfn.XLOOKUP(tblMaster[[#This Row],[Product_ID]],tblProducts[Product_ID],tblProducts[Price (INR)],"Not Found",0)</f>
        <v>1084</v>
      </c>
      <c r="R628" s="19">
        <f>tblMaster[[#This Row],[Price]]*tblMaster[[#This Row],[Quantity]]</f>
        <v>4336</v>
      </c>
      <c r="S628" s="19">
        <f>tblMaster[[#This Row],[Price]]*0.7*tblMaster[[#This Row],[Quantity]]</f>
        <v>3035.2</v>
      </c>
      <c r="T628" s="19">
        <f>tblMaster[[#This Row],[Revenue]]-tblMaster[[#This Row],[Estimated Cost (at 70%) ]]</f>
        <v>1300.8000000000002</v>
      </c>
      <c r="U628" s="19">
        <f>tblMaster[[#This Row],[Profit]]/tblMaster[[#This Row],[Revenue]]</f>
        <v>0.30000000000000004</v>
      </c>
      <c r="V628" s="19">
        <f>tblMaster[[#This Row],[Delivery_Date]]-tblMaster[[#This Row],[Order_Date]]</f>
        <v>3</v>
      </c>
      <c r="W628" s="19" t="str">
        <f>TEXT(tblMaster[[#This Row],[Order_Date]],"mmmm")</f>
        <v>February</v>
      </c>
      <c r="X628" s="19">
        <f>MONTH(tblMaster[[#This Row],[Order_Date]])</f>
        <v>2</v>
      </c>
      <c r="Y628" s="19" t="str">
        <f>"Q"&amp;ROUNDUP(tblMaster[[#This Row],[Month Number]]/3,0)</f>
        <v>Q1</v>
      </c>
      <c r="Z628" s="19">
        <f>YEAR(tblMaster[[#This Row],[Order_Date]])</f>
        <v>2023</v>
      </c>
      <c r="AA628" s="19" t="str">
        <f>TEXT(DAY(tblMaster[[#This Row],[Order_Date]]),"dddd")</f>
        <v>Thursday</v>
      </c>
      <c r="AB628" s="19" t="str">
        <f>IF(tblMaster[[#This Row],[Revenue]]&gt;=5000,"High",IF(tblMaster[[#This Row],[Revenue]]&lt;2000,"Low","Medium"))</f>
        <v>Medium</v>
      </c>
    </row>
    <row r="629" spans="1:28" x14ac:dyDescent="0.25">
      <c r="A629" s="10">
        <v>628</v>
      </c>
      <c r="B629" s="10" t="s">
        <v>302</v>
      </c>
      <c r="C629" s="5">
        <v>11</v>
      </c>
      <c r="D629" s="5">
        <v>5</v>
      </c>
      <c r="E629" s="11">
        <v>44967</v>
      </c>
      <c r="F629" s="12">
        <v>0.91003472222222226</v>
      </c>
      <c r="G629" s="11">
        <v>44970</v>
      </c>
      <c r="H629" s="12">
        <v>0.88039351851851855</v>
      </c>
      <c r="I629" s="10" t="s">
        <v>478</v>
      </c>
      <c r="J629" s="10" t="s">
        <v>12</v>
      </c>
      <c r="K629" s="18" t="str">
        <f>_xlfn.XLOOKUP(tblMaster[[#This Row],[Customer_ID]],tblCustomers[Customer_ID],tblCustomers[City],"Not Found",0)</f>
        <v>Kavali</v>
      </c>
      <c r="L629" s="18" t="str">
        <f>_xlfn.XLOOKUP(tblMaster[[#This Row],[Customer_ID]],tblCustomers[Customer_ID],tblCustomers[Name],"Not Found",0)</f>
        <v>Akarsh Ramesh</v>
      </c>
      <c r="M629" s="18" t="str">
        <f>_xlfn.XLOOKUP(tblMaster[[#This Row],[Customer_ID]],tblCustomers[Customer_ID],tblCustomers[Gender],"Not Found",0)</f>
        <v>Female</v>
      </c>
      <c r="N629" s="18" t="str">
        <f>_xlfn.XLOOKUP(tblMaster[[#This Row],[Product_ID]],tblProducts[Product_ID],tblProducts[Product_Name],"Not Found",0)</f>
        <v>Maxime Set</v>
      </c>
      <c r="O629" s="18" t="str">
        <f>_xlfn.XLOOKUP(tblMaster[[#This Row],[Product_ID]],tblProducts[Product_ID],tblProducts[Category],"Not Found",0)</f>
        <v>Mugs</v>
      </c>
      <c r="P629" s="18" t="str">
        <f>_xlfn.XLOOKUP(tblMaster[[#This Row],[Product_ID]],tblProducts[Product_ID],tblProducts[Occasion],"Not Found",0)</f>
        <v>Valentine's Day</v>
      </c>
      <c r="Q629" s="18">
        <f>_xlfn.XLOOKUP(tblMaster[[#This Row],[Product_ID]],tblProducts[Product_ID],tblProducts[Price (INR)],"Not Found",0)</f>
        <v>1096</v>
      </c>
      <c r="R629" s="19">
        <f>tblMaster[[#This Row],[Price]]*tblMaster[[#This Row],[Quantity]]</f>
        <v>5480</v>
      </c>
      <c r="S629" s="19">
        <f>tblMaster[[#This Row],[Price]]*0.7*tblMaster[[#This Row],[Quantity]]</f>
        <v>3835.9999999999995</v>
      </c>
      <c r="T629" s="19">
        <f>tblMaster[[#This Row],[Revenue]]-tblMaster[[#This Row],[Estimated Cost (at 70%) ]]</f>
        <v>1644.0000000000005</v>
      </c>
      <c r="U629" s="19">
        <f>tblMaster[[#This Row],[Profit]]/tblMaster[[#This Row],[Revenue]]</f>
        <v>0.3000000000000001</v>
      </c>
      <c r="V629" s="19">
        <f>tblMaster[[#This Row],[Delivery_Date]]-tblMaster[[#This Row],[Order_Date]]</f>
        <v>3</v>
      </c>
      <c r="W629" s="19" t="str">
        <f>TEXT(tblMaster[[#This Row],[Order_Date]],"mmmm")</f>
        <v>February</v>
      </c>
      <c r="X629" s="19">
        <f>MONTH(tblMaster[[#This Row],[Order_Date]])</f>
        <v>2</v>
      </c>
      <c r="Y629" s="19" t="str">
        <f>"Q"&amp;ROUNDUP(tblMaster[[#This Row],[Month Number]]/3,0)</f>
        <v>Q1</v>
      </c>
      <c r="Z629" s="19">
        <f>YEAR(tblMaster[[#This Row],[Order_Date]])</f>
        <v>2023</v>
      </c>
      <c r="AA629" s="19" t="str">
        <f>TEXT(DAY(tblMaster[[#This Row],[Order_Date]]),"dddd")</f>
        <v>Tuesday</v>
      </c>
      <c r="AB629" s="19" t="str">
        <f>IF(tblMaster[[#This Row],[Revenue]]&gt;=5000,"High",IF(tblMaster[[#This Row],[Revenue]]&lt;2000,"Low","Medium"))</f>
        <v>High</v>
      </c>
    </row>
    <row r="630" spans="1:28" x14ac:dyDescent="0.25">
      <c r="A630" s="7">
        <v>629</v>
      </c>
      <c r="B630" s="7" t="s">
        <v>295</v>
      </c>
      <c r="C630" s="4">
        <v>28</v>
      </c>
      <c r="D630" s="4">
        <v>5</v>
      </c>
      <c r="E630" s="8">
        <v>45165</v>
      </c>
      <c r="F630" s="9">
        <v>0.38126157407407407</v>
      </c>
      <c r="G630" s="8">
        <v>45173</v>
      </c>
      <c r="H630" s="9">
        <v>0.64679398148148148</v>
      </c>
      <c r="I630" s="7" t="s">
        <v>528</v>
      </c>
      <c r="J630" s="7" t="s">
        <v>33</v>
      </c>
      <c r="K630" s="18" t="str">
        <f>_xlfn.XLOOKUP(tblMaster[[#This Row],[Customer_ID]],tblCustomers[Customer_ID],tblCustomers[City],"Not Found",0)</f>
        <v>Surat</v>
      </c>
      <c r="L630" s="18" t="str">
        <f>_xlfn.XLOOKUP(tblMaster[[#This Row],[Customer_ID]],tblCustomers[Customer_ID],tblCustomers[Name],"Not Found",0)</f>
        <v>Mannat Anand</v>
      </c>
      <c r="M630" s="18" t="str">
        <f>_xlfn.XLOOKUP(tblMaster[[#This Row],[Customer_ID]],tblCustomers[Customer_ID],tblCustomers[Gender],"Not Found",0)</f>
        <v>Male</v>
      </c>
      <c r="N630" s="18" t="str">
        <f>_xlfn.XLOOKUP(tblMaster[[#This Row],[Product_ID]],tblProducts[Product_ID],tblProducts[Product_Name],"Not Found",0)</f>
        <v>Velit Set</v>
      </c>
      <c r="O630" s="18" t="str">
        <f>_xlfn.XLOOKUP(tblMaster[[#This Row],[Product_ID]],tblProducts[Product_ID],tblProducts[Category],"Not Found",0)</f>
        <v>Sweets</v>
      </c>
      <c r="P630" s="18" t="str">
        <f>_xlfn.XLOOKUP(tblMaster[[#This Row],[Product_ID]],tblProducts[Product_ID],tblProducts[Occasion],"Not Found",0)</f>
        <v>Raksha Bandhan</v>
      </c>
      <c r="Q630" s="18">
        <f>_xlfn.XLOOKUP(tblMaster[[#This Row],[Product_ID]],tblProducts[Product_ID],tblProducts[Price (INR)],"Not Found",0)</f>
        <v>1778</v>
      </c>
      <c r="R630" s="19">
        <f>tblMaster[[#This Row],[Price]]*tblMaster[[#This Row],[Quantity]]</f>
        <v>8890</v>
      </c>
      <c r="S630" s="19">
        <f>tblMaster[[#This Row],[Price]]*0.7*tblMaster[[#This Row],[Quantity]]</f>
        <v>6223</v>
      </c>
      <c r="T630" s="19">
        <f>tblMaster[[#This Row],[Revenue]]-tblMaster[[#This Row],[Estimated Cost (at 70%) ]]</f>
        <v>2667</v>
      </c>
      <c r="U630" s="19">
        <f>tblMaster[[#This Row],[Profit]]/tblMaster[[#This Row],[Revenue]]</f>
        <v>0.3</v>
      </c>
      <c r="V630" s="19">
        <f>tblMaster[[#This Row],[Delivery_Date]]-tblMaster[[#This Row],[Order_Date]]</f>
        <v>8</v>
      </c>
      <c r="W630" s="19" t="str">
        <f>TEXT(tblMaster[[#This Row],[Order_Date]],"mmmm")</f>
        <v>August</v>
      </c>
      <c r="X630" s="19">
        <f>MONTH(tblMaster[[#This Row],[Order_Date]])</f>
        <v>8</v>
      </c>
      <c r="Y630" s="19" t="str">
        <f>"Q"&amp;ROUNDUP(tblMaster[[#This Row],[Month Number]]/3,0)</f>
        <v>Q3</v>
      </c>
      <c r="Z630" s="19">
        <f>YEAR(tblMaster[[#This Row],[Order_Date]])</f>
        <v>2023</v>
      </c>
      <c r="AA630" s="19" t="str">
        <f>TEXT(DAY(tblMaster[[#This Row],[Order_Date]]),"dddd")</f>
        <v>Friday</v>
      </c>
      <c r="AB630" s="19" t="str">
        <f>IF(tblMaster[[#This Row],[Revenue]]&gt;=5000,"High",IF(tblMaster[[#This Row],[Revenue]]&lt;2000,"Low","Medium"))</f>
        <v>High</v>
      </c>
    </row>
    <row r="631" spans="1:28" x14ac:dyDescent="0.25">
      <c r="A631" s="10">
        <v>630</v>
      </c>
      <c r="B631" s="10" t="s">
        <v>222</v>
      </c>
      <c r="C631" s="5">
        <v>67</v>
      </c>
      <c r="D631" s="5">
        <v>3</v>
      </c>
      <c r="E631" s="11">
        <v>44978</v>
      </c>
      <c r="F631" s="12">
        <v>0.90123842592592596</v>
      </c>
      <c r="G631" s="11">
        <v>44986</v>
      </c>
      <c r="H631" s="12">
        <v>0.78689814814814818</v>
      </c>
      <c r="I631" s="10" t="s">
        <v>495</v>
      </c>
      <c r="J631" s="10" t="s">
        <v>30</v>
      </c>
      <c r="K631" s="18" t="str">
        <f>_xlfn.XLOOKUP(tblMaster[[#This Row],[Customer_ID]],tblCustomers[Customer_ID],tblCustomers[City],"Not Found",0)</f>
        <v>Tiruppur</v>
      </c>
      <c r="L631" s="18" t="str">
        <f>_xlfn.XLOOKUP(tblMaster[[#This Row],[Customer_ID]],tblCustomers[Customer_ID],tblCustomers[Name],"Not Found",0)</f>
        <v>Purab Sheth</v>
      </c>
      <c r="M631" s="18" t="str">
        <f>_xlfn.XLOOKUP(tblMaster[[#This Row],[Customer_ID]],tblCustomers[Customer_ID],tblCustomers[Gender],"Not Found",0)</f>
        <v>Male</v>
      </c>
      <c r="N631" s="18" t="str">
        <f>_xlfn.XLOOKUP(tblMaster[[#This Row],[Product_ID]],tblProducts[Product_ID],tblProducts[Product_Name],"Not Found",0)</f>
        <v>Maiores Box</v>
      </c>
      <c r="O631" s="18" t="str">
        <f>_xlfn.XLOOKUP(tblMaster[[#This Row],[Product_ID]],tblProducts[Product_ID],tblProducts[Category],"Not Found",0)</f>
        <v>Raksha Bandhan</v>
      </c>
      <c r="P631" s="18" t="str">
        <f>_xlfn.XLOOKUP(tblMaster[[#This Row],[Product_ID]],tblProducts[Product_ID],tblProducts[Occasion],"Not Found",0)</f>
        <v>Anniversary</v>
      </c>
      <c r="Q631" s="18">
        <f>_xlfn.XLOOKUP(tblMaster[[#This Row],[Product_ID]],tblProducts[Product_ID],tblProducts[Price (INR)],"Not Found",0)</f>
        <v>1374</v>
      </c>
      <c r="R631" s="19">
        <f>tblMaster[[#This Row],[Price]]*tblMaster[[#This Row],[Quantity]]</f>
        <v>4122</v>
      </c>
      <c r="S631" s="19">
        <f>tblMaster[[#This Row],[Price]]*0.7*tblMaster[[#This Row],[Quantity]]</f>
        <v>2885.3999999999996</v>
      </c>
      <c r="T631" s="19">
        <f>tblMaster[[#This Row],[Revenue]]-tblMaster[[#This Row],[Estimated Cost (at 70%) ]]</f>
        <v>1236.6000000000004</v>
      </c>
      <c r="U631" s="19">
        <f>tblMaster[[#This Row],[Profit]]/tblMaster[[#This Row],[Revenue]]</f>
        <v>0.3000000000000001</v>
      </c>
      <c r="V631" s="19">
        <f>tblMaster[[#This Row],[Delivery_Date]]-tblMaster[[#This Row],[Order_Date]]</f>
        <v>8</v>
      </c>
      <c r="W631" s="19" t="str">
        <f>TEXT(tblMaster[[#This Row],[Order_Date]],"mmmm")</f>
        <v>February</v>
      </c>
      <c r="X631" s="19">
        <f>MONTH(tblMaster[[#This Row],[Order_Date]])</f>
        <v>2</v>
      </c>
      <c r="Y631" s="19" t="str">
        <f>"Q"&amp;ROUNDUP(tblMaster[[#This Row],[Month Number]]/3,0)</f>
        <v>Q1</v>
      </c>
      <c r="Z631" s="19">
        <f>YEAR(tblMaster[[#This Row],[Order_Date]])</f>
        <v>2023</v>
      </c>
      <c r="AA631" s="19" t="str">
        <f>TEXT(DAY(tblMaster[[#This Row],[Order_Date]]),"dddd")</f>
        <v>Saturday</v>
      </c>
      <c r="AB631" s="19" t="str">
        <f>IF(tblMaster[[#This Row],[Revenue]]&gt;=5000,"High",IF(tblMaster[[#This Row],[Revenue]]&lt;2000,"Low","Medium"))</f>
        <v>Medium</v>
      </c>
    </row>
    <row r="632" spans="1:28" x14ac:dyDescent="0.25">
      <c r="A632" s="7">
        <v>631</v>
      </c>
      <c r="B632" s="7" t="s">
        <v>182</v>
      </c>
      <c r="C632" s="4">
        <v>32</v>
      </c>
      <c r="D632" s="4">
        <v>4</v>
      </c>
      <c r="E632" s="8">
        <v>45029</v>
      </c>
      <c r="F632" s="9">
        <v>0.90405092592592595</v>
      </c>
      <c r="G632" s="8">
        <v>45033</v>
      </c>
      <c r="H632" s="9">
        <v>0.15628472222222223</v>
      </c>
      <c r="I632" s="7" t="s">
        <v>359</v>
      </c>
      <c r="J632" s="7" t="s">
        <v>36</v>
      </c>
      <c r="K632" s="18" t="str">
        <f>_xlfn.XLOOKUP(tblMaster[[#This Row],[Customer_ID]],tblCustomers[Customer_ID],tblCustomers[City],"Not Found",0)</f>
        <v>Agra</v>
      </c>
      <c r="L632" s="18" t="str">
        <f>_xlfn.XLOOKUP(tblMaster[[#This Row],[Customer_ID]],tblCustomers[Customer_ID],tblCustomers[Name],"Not Found",0)</f>
        <v>Seher Mann</v>
      </c>
      <c r="M632" s="18" t="str">
        <f>_xlfn.XLOOKUP(tblMaster[[#This Row],[Customer_ID]],tblCustomers[Customer_ID],tblCustomers[Gender],"Not Found",0)</f>
        <v>Male</v>
      </c>
      <c r="N632" s="18" t="str">
        <f>_xlfn.XLOOKUP(tblMaster[[#This Row],[Product_ID]],tblProducts[Product_ID],tblProducts[Product_Name],"Not Found",0)</f>
        <v>Fuga Set</v>
      </c>
      <c r="O632" s="18" t="str">
        <f>_xlfn.XLOOKUP(tblMaster[[#This Row],[Product_ID]],tblProducts[Product_ID],tblProducts[Category],"Not Found",0)</f>
        <v>Soft Toys</v>
      </c>
      <c r="P632" s="18" t="str">
        <f>_xlfn.XLOOKUP(tblMaster[[#This Row],[Product_ID]],tblProducts[Product_ID],tblProducts[Occasion],"Not Found",0)</f>
        <v>Birthday</v>
      </c>
      <c r="Q632" s="18">
        <f>_xlfn.XLOOKUP(tblMaster[[#This Row],[Product_ID]],tblProducts[Product_ID],tblProducts[Price (INR)],"Not Found",0)</f>
        <v>1792</v>
      </c>
      <c r="R632" s="19">
        <f>tblMaster[[#This Row],[Price]]*tblMaster[[#This Row],[Quantity]]</f>
        <v>7168</v>
      </c>
      <c r="S632" s="19">
        <f>tblMaster[[#This Row],[Price]]*0.7*tblMaster[[#This Row],[Quantity]]</f>
        <v>5017.5999999999995</v>
      </c>
      <c r="T632" s="19">
        <f>tblMaster[[#This Row],[Revenue]]-tblMaster[[#This Row],[Estimated Cost (at 70%) ]]</f>
        <v>2150.4000000000005</v>
      </c>
      <c r="U632" s="19">
        <f>tblMaster[[#This Row],[Profit]]/tblMaster[[#This Row],[Revenue]]</f>
        <v>0.3000000000000001</v>
      </c>
      <c r="V632" s="19">
        <f>tblMaster[[#This Row],[Delivery_Date]]-tblMaster[[#This Row],[Order_Date]]</f>
        <v>4</v>
      </c>
      <c r="W632" s="19" t="str">
        <f>TEXT(tblMaster[[#This Row],[Order_Date]],"mmmm")</f>
        <v>April</v>
      </c>
      <c r="X632" s="19">
        <f>MONTH(tblMaster[[#This Row],[Order_Date]])</f>
        <v>4</v>
      </c>
      <c r="Y632" s="19" t="str">
        <f>"Q"&amp;ROUNDUP(tblMaster[[#This Row],[Month Number]]/3,0)</f>
        <v>Q2</v>
      </c>
      <c r="Z632" s="19">
        <f>YEAR(tblMaster[[#This Row],[Order_Date]])</f>
        <v>2023</v>
      </c>
      <c r="AA632" s="19" t="str">
        <f>TEXT(DAY(tblMaster[[#This Row],[Order_Date]]),"dddd")</f>
        <v>Friday</v>
      </c>
      <c r="AB632" s="19" t="str">
        <f>IF(tblMaster[[#This Row],[Revenue]]&gt;=5000,"High",IF(tblMaster[[#This Row],[Revenue]]&lt;2000,"Low","Medium"))</f>
        <v>High</v>
      </c>
    </row>
    <row r="633" spans="1:28" x14ac:dyDescent="0.25">
      <c r="A633" s="10">
        <v>632</v>
      </c>
      <c r="B633" s="10" t="s">
        <v>321</v>
      </c>
      <c r="C633" s="5">
        <v>51</v>
      </c>
      <c r="D633" s="5">
        <v>1</v>
      </c>
      <c r="E633" s="11">
        <v>45118</v>
      </c>
      <c r="F633" s="12">
        <v>0.94098379629629625</v>
      </c>
      <c r="G633" s="11">
        <v>45119</v>
      </c>
      <c r="H633" s="12">
        <v>0.48113425925925923</v>
      </c>
      <c r="I633" s="10" t="s">
        <v>538</v>
      </c>
      <c r="J633" s="10" t="s">
        <v>8</v>
      </c>
      <c r="K633" s="18" t="str">
        <f>_xlfn.XLOOKUP(tblMaster[[#This Row],[Customer_ID]],tblCustomers[Customer_ID],tblCustomers[City],"Not Found",0)</f>
        <v>Aligarh</v>
      </c>
      <c r="L633" s="18" t="str">
        <f>_xlfn.XLOOKUP(tblMaster[[#This Row],[Customer_ID]],tblCustomers[Customer_ID],tblCustomers[Name],"Not Found",0)</f>
        <v>Yashvi Bansal</v>
      </c>
      <c r="M633" s="18" t="str">
        <f>_xlfn.XLOOKUP(tblMaster[[#This Row],[Customer_ID]],tblCustomers[Customer_ID],tblCustomers[Gender],"Not Found",0)</f>
        <v>Female</v>
      </c>
      <c r="N633" s="18" t="str">
        <f>_xlfn.XLOOKUP(tblMaster[[#This Row],[Product_ID]],tblProducts[Product_ID],tblProducts[Product_Name],"Not Found",0)</f>
        <v>Fugit Set</v>
      </c>
      <c r="O633" s="18" t="str">
        <f>_xlfn.XLOOKUP(tblMaster[[#This Row],[Product_ID]],tblProducts[Product_ID],tblProducts[Category],"Not Found",0)</f>
        <v>Soft Toys</v>
      </c>
      <c r="P633" s="18" t="str">
        <f>_xlfn.XLOOKUP(tblMaster[[#This Row],[Product_ID]],tblProducts[Product_ID],tblProducts[Occasion],"Not Found",0)</f>
        <v>All Occasions</v>
      </c>
      <c r="Q633" s="18">
        <f>_xlfn.XLOOKUP(tblMaster[[#This Row],[Product_ID]],tblProducts[Product_ID],tblProducts[Price (INR)],"Not Found",0)</f>
        <v>1084</v>
      </c>
      <c r="R633" s="19">
        <f>tblMaster[[#This Row],[Price]]*tblMaster[[#This Row],[Quantity]]</f>
        <v>1084</v>
      </c>
      <c r="S633" s="19">
        <f>tblMaster[[#This Row],[Price]]*0.7*tblMaster[[#This Row],[Quantity]]</f>
        <v>758.8</v>
      </c>
      <c r="T633" s="19">
        <f>tblMaster[[#This Row],[Revenue]]-tblMaster[[#This Row],[Estimated Cost (at 70%) ]]</f>
        <v>325.20000000000005</v>
      </c>
      <c r="U633" s="19">
        <f>tblMaster[[#This Row],[Profit]]/tblMaster[[#This Row],[Revenue]]</f>
        <v>0.30000000000000004</v>
      </c>
      <c r="V633" s="19">
        <f>tblMaster[[#This Row],[Delivery_Date]]-tblMaster[[#This Row],[Order_Date]]</f>
        <v>1</v>
      </c>
      <c r="W633" s="19" t="str">
        <f>TEXT(tblMaster[[#This Row],[Order_Date]],"mmmm")</f>
        <v>July</v>
      </c>
      <c r="X633" s="19">
        <f>MONTH(tblMaster[[#This Row],[Order_Date]])</f>
        <v>7</v>
      </c>
      <c r="Y633" s="19" t="str">
        <f>"Q"&amp;ROUNDUP(tblMaster[[#This Row],[Month Number]]/3,0)</f>
        <v>Q3</v>
      </c>
      <c r="Z633" s="19">
        <f>YEAR(tblMaster[[#This Row],[Order_Date]])</f>
        <v>2023</v>
      </c>
      <c r="AA633" s="19" t="str">
        <f>TEXT(DAY(tblMaster[[#This Row],[Order_Date]]),"dddd")</f>
        <v>Wednesday</v>
      </c>
      <c r="AB633" s="19" t="str">
        <f>IF(tblMaster[[#This Row],[Revenue]]&gt;=5000,"High",IF(tblMaster[[#This Row],[Revenue]]&lt;2000,"Low","Medium"))</f>
        <v>Low</v>
      </c>
    </row>
    <row r="634" spans="1:28" x14ac:dyDescent="0.25">
      <c r="A634" s="7">
        <v>633</v>
      </c>
      <c r="B634" s="7" t="s">
        <v>244</v>
      </c>
      <c r="C634" s="4">
        <v>52</v>
      </c>
      <c r="D634" s="4">
        <v>5</v>
      </c>
      <c r="E634" s="8">
        <v>44967</v>
      </c>
      <c r="F634" s="9">
        <v>0.614375</v>
      </c>
      <c r="G634" s="8">
        <v>44972</v>
      </c>
      <c r="H634" s="9">
        <v>0.21719907407407407</v>
      </c>
      <c r="I634" s="7" t="s">
        <v>422</v>
      </c>
      <c r="J634" s="7" t="s">
        <v>12</v>
      </c>
      <c r="K634" s="18" t="str">
        <f>_xlfn.XLOOKUP(tblMaster[[#This Row],[Customer_ID]],tblCustomers[Customer_ID],tblCustomers[City],"Not Found",0)</f>
        <v>Sasaram</v>
      </c>
      <c r="L634" s="18" t="str">
        <f>_xlfn.XLOOKUP(tblMaster[[#This Row],[Customer_ID]],tblCustomers[Customer_ID],tblCustomers[Name],"Not Found",0)</f>
        <v>Madhup Wable</v>
      </c>
      <c r="M634" s="18" t="str">
        <f>_xlfn.XLOOKUP(tblMaster[[#This Row],[Customer_ID]],tblCustomers[Customer_ID],tblCustomers[Gender],"Not Found",0)</f>
        <v>Female</v>
      </c>
      <c r="N634" s="18" t="str">
        <f>_xlfn.XLOOKUP(tblMaster[[#This Row],[Product_ID]],tblProducts[Product_ID],tblProducts[Product_Name],"Not Found",0)</f>
        <v>Dolorum Box</v>
      </c>
      <c r="O634" s="18" t="str">
        <f>_xlfn.XLOOKUP(tblMaster[[#This Row],[Product_ID]],tblProducts[Product_ID],tblProducts[Category],"Not Found",0)</f>
        <v>Raksha Bandhan</v>
      </c>
      <c r="P634" s="18" t="str">
        <f>_xlfn.XLOOKUP(tblMaster[[#This Row],[Product_ID]],tblProducts[Product_ID],tblProducts[Occasion],"Not Found",0)</f>
        <v>Valentine's Day</v>
      </c>
      <c r="Q634" s="18">
        <f>_xlfn.XLOOKUP(tblMaster[[#This Row],[Product_ID]],tblProducts[Product_ID],tblProducts[Price (INR)],"Not Found",0)</f>
        <v>236</v>
      </c>
      <c r="R634" s="19">
        <f>tblMaster[[#This Row],[Price]]*tblMaster[[#This Row],[Quantity]]</f>
        <v>1180</v>
      </c>
      <c r="S634" s="19">
        <f>tblMaster[[#This Row],[Price]]*0.7*tblMaster[[#This Row],[Quantity]]</f>
        <v>826</v>
      </c>
      <c r="T634" s="19">
        <f>tblMaster[[#This Row],[Revenue]]-tblMaster[[#This Row],[Estimated Cost (at 70%) ]]</f>
        <v>354</v>
      </c>
      <c r="U634" s="19">
        <f>tblMaster[[#This Row],[Profit]]/tblMaster[[#This Row],[Revenue]]</f>
        <v>0.3</v>
      </c>
      <c r="V634" s="19">
        <f>tblMaster[[#This Row],[Delivery_Date]]-tblMaster[[#This Row],[Order_Date]]</f>
        <v>5</v>
      </c>
      <c r="W634" s="19" t="str">
        <f>TEXT(tblMaster[[#This Row],[Order_Date]],"mmmm")</f>
        <v>February</v>
      </c>
      <c r="X634" s="19">
        <f>MONTH(tblMaster[[#This Row],[Order_Date]])</f>
        <v>2</v>
      </c>
      <c r="Y634" s="19" t="str">
        <f>"Q"&amp;ROUNDUP(tblMaster[[#This Row],[Month Number]]/3,0)</f>
        <v>Q1</v>
      </c>
      <c r="Z634" s="19">
        <f>YEAR(tblMaster[[#This Row],[Order_Date]])</f>
        <v>2023</v>
      </c>
      <c r="AA634" s="19" t="str">
        <f>TEXT(DAY(tblMaster[[#This Row],[Order_Date]]),"dddd")</f>
        <v>Tuesday</v>
      </c>
      <c r="AB634" s="19" t="str">
        <f>IF(tblMaster[[#This Row],[Revenue]]&gt;=5000,"High",IF(tblMaster[[#This Row],[Revenue]]&lt;2000,"Low","Medium"))</f>
        <v>Low</v>
      </c>
    </row>
    <row r="635" spans="1:28" x14ac:dyDescent="0.25">
      <c r="A635" s="10">
        <v>634</v>
      </c>
      <c r="B635" s="10" t="s">
        <v>293</v>
      </c>
      <c r="C635" s="5">
        <v>57</v>
      </c>
      <c r="D635" s="5">
        <v>3</v>
      </c>
      <c r="E635" s="11">
        <v>45053</v>
      </c>
      <c r="F635" s="12">
        <v>0.2751851851851852</v>
      </c>
      <c r="G635" s="11">
        <v>45057</v>
      </c>
      <c r="H635" s="12">
        <v>0.57209490740740743</v>
      </c>
      <c r="I635" s="10" t="s">
        <v>330</v>
      </c>
      <c r="J635" s="10" t="s">
        <v>36</v>
      </c>
      <c r="K635" s="18" t="str">
        <f>_xlfn.XLOOKUP(tblMaster[[#This Row],[Customer_ID]],tblCustomers[Customer_ID],tblCustomers[City],"Not Found",0)</f>
        <v>Aizawl</v>
      </c>
      <c r="L635" s="18" t="str">
        <f>_xlfn.XLOOKUP(tblMaster[[#This Row],[Customer_ID]],tblCustomers[Customer_ID],tblCustomers[Name],"Not Found",0)</f>
        <v>Yakshit Shah</v>
      </c>
      <c r="M635" s="18" t="str">
        <f>_xlfn.XLOOKUP(tblMaster[[#This Row],[Customer_ID]],tblCustomers[Customer_ID],tblCustomers[Gender],"Not Found",0)</f>
        <v>Female</v>
      </c>
      <c r="N635" s="18" t="str">
        <f>_xlfn.XLOOKUP(tblMaster[[#This Row],[Product_ID]],tblProducts[Product_ID],tblProducts[Product_Name],"Not Found",0)</f>
        <v>Voluptatem Box</v>
      </c>
      <c r="O635" s="18" t="str">
        <f>_xlfn.XLOOKUP(tblMaster[[#This Row],[Product_ID]],tblProducts[Product_ID],tblProducts[Category],"Not Found",0)</f>
        <v>Colors</v>
      </c>
      <c r="P635" s="18" t="str">
        <f>_xlfn.XLOOKUP(tblMaster[[#This Row],[Product_ID]],tblProducts[Product_ID],tblProducts[Occasion],"Not Found",0)</f>
        <v>Birthday</v>
      </c>
      <c r="Q635" s="18">
        <f>_xlfn.XLOOKUP(tblMaster[[#This Row],[Product_ID]],tblProducts[Product_ID],tblProducts[Price (INR)],"Not Found",0)</f>
        <v>1582</v>
      </c>
      <c r="R635" s="19">
        <f>tblMaster[[#This Row],[Price]]*tblMaster[[#This Row],[Quantity]]</f>
        <v>4746</v>
      </c>
      <c r="S635" s="19">
        <f>tblMaster[[#This Row],[Price]]*0.7*tblMaster[[#This Row],[Quantity]]</f>
        <v>3322.2</v>
      </c>
      <c r="T635" s="19">
        <f>tblMaster[[#This Row],[Revenue]]-tblMaster[[#This Row],[Estimated Cost (at 70%) ]]</f>
        <v>1423.8000000000002</v>
      </c>
      <c r="U635" s="19">
        <f>tblMaster[[#This Row],[Profit]]/tblMaster[[#This Row],[Revenue]]</f>
        <v>0.30000000000000004</v>
      </c>
      <c r="V635" s="19">
        <f>tblMaster[[#This Row],[Delivery_Date]]-tblMaster[[#This Row],[Order_Date]]</f>
        <v>4</v>
      </c>
      <c r="W635" s="19" t="str">
        <f>TEXT(tblMaster[[#This Row],[Order_Date]],"mmmm")</f>
        <v>May</v>
      </c>
      <c r="X635" s="19">
        <f>MONTH(tblMaster[[#This Row],[Order_Date]])</f>
        <v>5</v>
      </c>
      <c r="Y635" s="19" t="str">
        <f>"Q"&amp;ROUNDUP(tblMaster[[#This Row],[Month Number]]/3,0)</f>
        <v>Q2</v>
      </c>
      <c r="Z635" s="19">
        <f>YEAR(tblMaster[[#This Row],[Order_Date]])</f>
        <v>2023</v>
      </c>
      <c r="AA635" s="19" t="str">
        <f>TEXT(DAY(tblMaster[[#This Row],[Order_Date]]),"dddd")</f>
        <v>Saturday</v>
      </c>
      <c r="AB635" s="19" t="str">
        <f>IF(tblMaster[[#This Row],[Revenue]]&gt;=5000,"High",IF(tblMaster[[#This Row],[Revenue]]&lt;2000,"Low","Medium"))</f>
        <v>Medium</v>
      </c>
    </row>
    <row r="636" spans="1:28" x14ac:dyDescent="0.25">
      <c r="A636" s="7">
        <v>635</v>
      </c>
      <c r="B636" s="7" t="s">
        <v>258</v>
      </c>
      <c r="C636" s="4">
        <v>67</v>
      </c>
      <c r="D636" s="4">
        <v>1</v>
      </c>
      <c r="E636" s="8">
        <v>45242</v>
      </c>
      <c r="F636" s="9">
        <v>0.77582175925925922</v>
      </c>
      <c r="G636" s="8">
        <v>45252</v>
      </c>
      <c r="H636" s="9">
        <v>0.30800925925925926</v>
      </c>
      <c r="I636" s="7" t="s">
        <v>381</v>
      </c>
      <c r="J636" s="7" t="s">
        <v>30</v>
      </c>
      <c r="K636" s="18" t="str">
        <f>_xlfn.XLOOKUP(tblMaster[[#This Row],[Customer_ID]],tblCustomers[Customer_ID],tblCustomers[City],"Not Found",0)</f>
        <v>Warangal</v>
      </c>
      <c r="L636" s="18" t="str">
        <f>_xlfn.XLOOKUP(tblMaster[[#This Row],[Customer_ID]],tblCustomers[Customer_ID],tblCustomers[Name],"Not Found",0)</f>
        <v>Mahika Cherian</v>
      </c>
      <c r="M636" s="18" t="str">
        <f>_xlfn.XLOOKUP(tblMaster[[#This Row],[Customer_ID]],tblCustomers[Customer_ID],tblCustomers[Gender],"Not Found",0)</f>
        <v>Female</v>
      </c>
      <c r="N636" s="18" t="str">
        <f>_xlfn.XLOOKUP(tblMaster[[#This Row],[Product_ID]],tblProducts[Product_ID],tblProducts[Product_Name],"Not Found",0)</f>
        <v>Maiores Box</v>
      </c>
      <c r="O636" s="18" t="str">
        <f>_xlfn.XLOOKUP(tblMaster[[#This Row],[Product_ID]],tblProducts[Product_ID],tblProducts[Category],"Not Found",0)</f>
        <v>Raksha Bandhan</v>
      </c>
      <c r="P636" s="18" t="str">
        <f>_xlfn.XLOOKUP(tblMaster[[#This Row],[Product_ID]],tblProducts[Product_ID],tblProducts[Occasion],"Not Found",0)</f>
        <v>Anniversary</v>
      </c>
      <c r="Q636" s="18">
        <f>_xlfn.XLOOKUP(tblMaster[[#This Row],[Product_ID]],tblProducts[Product_ID],tblProducts[Price (INR)],"Not Found",0)</f>
        <v>1374</v>
      </c>
      <c r="R636" s="19">
        <f>tblMaster[[#This Row],[Price]]*tblMaster[[#This Row],[Quantity]]</f>
        <v>1374</v>
      </c>
      <c r="S636" s="19">
        <f>tblMaster[[#This Row],[Price]]*0.7*tblMaster[[#This Row],[Quantity]]</f>
        <v>961.8</v>
      </c>
      <c r="T636" s="19">
        <f>tblMaster[[#This Row],[Revenue]]-tblMaster[[#This Row],[Estimated Cost (at 70%) ]]</f>
        <v>412.20000000000005</v>
      </c>
      <c r="U636" s="19">
        <f>tblMaster[[#This Row],[Profit]]/tblMaster[[#This Row],[Revenue]]</f>
        <v>0.30000000000000004</v>
      </c>
      <c r="V636" s="19">
        <f>tblMaster[[#This Row],[Delivery_Date]]-tblMaster[[#This Row],[Order_Date]]</f>
        <v>10</v>
      </c>
      <c r="W636" s="19" t="str">
        <f>TEXT(tblMaster[[#This Row],[Order_Date]],"mmmm")</f>
        <v>November</v>
      </c>
      <c r="X636" s="19">
        <f>MONTH(tblMaster[[#This Row],[Order_Date]])</f>
        <v>11</v>
      </c>
      <c r="Y636" s="19" t="str">
        <f>"Q"&amp;ROUNDUP(tblMaster[[#This Row],[Month Number]]/3,0)</f>
        <v>Q4</v>
      </c>
      <c r="Z636" s="19">
        <f>YEAR(tblMaster[[#This Row],[Order_Date]])</f>
        <v>2023</v>
      </c>
      <c r="AA636" s="19" t="str">
        <f>TEXT(DAY(tblMaster[[#This Row],[Order_Date]]),"dddd")</f>
        <v>Thursday</v>
      </c>
      <c r="AB636" s="19" t="str">
        <f>IF(tblMaster[[#This Row],[Revenue]]&gt;=5000,"High",IF(tblMaster[[#This Row],[Revenue]]&lt;2000,"Low","Medium"))</f>
        <v>Low</v>
      </c>
    </row>
    <row r="637" spans="1:28" x14ac:dyDescent="0.25">
      <c r="A637" s="10">
        <v>636</v>
      </c>
      <c r="B637" s="10" t="s">
        <v>229</v>
      </c>
      <c r="C637" s="5">
        <v>53</v>
      </c>
      <c r="D637" s="5">
        <v>2</v>
      </c>
      <c r="E637" s="11">
        <v>45163</v>
      </c>
      <c r="F637" s="12">
        <v>0.3044675925925926</v>
      </c>
      <c r="G637" s="11">
        <v>45171</v>
      </c>
      <c r="H637" s="12">
        <v>0.1484375</v>
      </c>
      <c r="I637" s="10" t="s">
        <v>211</v>
      </c>
      <c r="J637" s="10" t="s">
        <v>33</v>
      </c>
      <c r="K637" s="18" t="str">
        <f>_xlfn.XLOOKUP(tblMaster[[#This Row],[Customer_ID]],tblCustomers[Customer_ID],tblCustomers[City],"Not Found",0)</f>
        <v>Anand</v>
      </c>
      <c r="L637" s="18" t="str">
        <f>_xlfn.XLOOKUP(tblMaster[[#This Row],[Customer_ID]],tblCustomers[Customer_ID],tblCustomers[Name],"Not Found",0)</f>
        <v>Eva Sankaran</v>
      </c>
      <c r="M637" s="18" t="str">
        <f>_xlfn.XLOOKUP(tblMaster[[#This Row],[Customer_ID]],tblCustomers[Customer_ID],tblCustomers[Gender],"Not Found",0)</f>
        <v>Male</v>
      </c>
      <c r="N637" s="18" t="str">
        <f>_xlfn.XLOOKUP(tblMaster[[#This Row],[Product_ID]],tblProducts[Product_ID],tblProducts[Product_Name],"Not Found",0)</f>
        <v>Ipsam Set</v>
      </c>
      <c r="O637" s="18" t="str">
        <f>_xlfn.XLOOKUP(tblMaster[[#This Row],[Product_ID]],tblProducts[Product_ID],tblProducts[Category],"Not Found",0)</f>
        <v>Sweets</v>
      </c>
      <c r="P637" s="18" t="str">
        <f>_xlfn.XLOOKUP(tblMaster[[#This Row],[Product_ID]],tblProducts[Product_ID],tblProducts[Occasion],"Not Found",0)</f>
        <v>Raksha Bandhan</v>
      </c>
      <c r="Q637" s="18">
        <f>_xlfn.XLOOKUP(tblMaster[[#This Row],[Product_ID]],tblProducts[Product_ID],tblProducts[Price (INR)],"Not Found",0)</f>
        <v>1672</v>
      </c>
      <c r="R637" s="19">
        <f>tblMaster[[#This Row],[Price]]*tblMaster[[#This Row],[Quantity]]</f>
        <v>3344</v>
      </c>
      <c r="S637" s="19">
        <f>tblMaster[[#This Row],[Price]]*0.7*tblMaster[[#This Row],[Quantity]]</f>
        <v>2340.7999999999997</v>
      </c>
      <c r="T637" s="19">
        <f>tblMaster[[#This Row],[Revenue]]-tblMaster[[#This Row],[Estimated Cost (at 70%) ]]</f>
        <v>1003.2000000000003</v>
      </c>
      <c r="U637" s="19">
        <f>tblMaster[[#This Row],[Profit]]/tblMaster[[#This Row],[Revenue]]</f>
        <v>0.3000000000000001</v>
      </c>
      <c r="V637" s="19">
        <f>tblMaster[[#This Row],[Delivery_Date]]-tblMaster[[#This Row],[Order_Date]]</f>
        <v>8</v>
      </c>
      <c r="W637" s="19" t="str">
        <f>TEXT(tblMaster[[#This Row],[Order_Date]],"mmmm")</f>
        <v>August</v>
      </c>
      <c r="X637" s="19">
        <f>MONTH(tblMaster[[#This Row],[Order_Date]])</f>
        <v>8</v>
      </c>
      <c r="Y637" s="19" t="str">
        <f>"Q"&amp;ROUNDUP(tblMaster[[#This Row],[Month Number]]/3,0)</f>
        <v>Q3</v>
      </c>
      <c r="Z637" s="19">
        <f>YEAR(tblMaster[[#This Row],[Order_Date]])</f>
        <v>2023</v>
      </c>
      <c r="AA637" s="19" t="str">
        <f>TEXT(DAY(tblMaster[[#This Row],[Order_Date]]),"dddd")</f>
        <v>Wednesday</v>
      </c>
      <c r="AB637" s="19" t="str">
        <f>IF(tblMaster[[#This Row],[Revenue]]&gt;=5000,"High",IF(tblMaster[[#This Row],[Revenue]]&lt;2000,"Low","Medium"))</f>
        <v>Medium</v>
      </c>
    </row>
    <row r="638" spans="1:28" x14ac:dyDescent="0.25">
      <c r="A638" s="7">
        <v>637</v>
      </c>
      <c r="B638" s="7" t="s">
        <v>195</v>
      </c>
      <c r="C638" s="4">
        <v>51</v>
      </c>
      <c r="D638" s="4">
        <v>3</v>
      </c>
      <c r="E638" s="8">
        <v>44997</v>
      </c>
      <c r="F638" s="9">
        <v>0.81210648148148146</v>
      </c>
      <c r="G638" s="8">
        <v>45005</v>
      </c>
      <c r="H638" s="9">
        <v>0.94043981481481487</v>
      </c>
      <c r="I638" s="7" t="s">
        <v>264</v>
      </c>
      <c r="J638" s="7" t="s">
        <v>8</v>
      </c>
      <c r="K638" s="18" t="str">
        <f>_xlfn.XLOOKUP(tblMaster[[#This Row],[Customer_ID]],tblCustomers[Customer_ID],tblCustomers[City],"Not Found",0)</f>
        <v>Haridwar</v>
      </c>
      <c r="L638" s="18" t="str">
        <f>_xlfn.XLOOKUP(tblMaster[[#This Row],[Customer_ID]],tblCustomers[Customer_ID],tblCustomers[Name],"Not Found",0)</f>
        <v>Pihu Choudhury</v>
      </c>
      <c r="M638" s="18" t="str">
        <f>_xlfn.XLOOKUP(tblMaster[[#This Row],[Customer_ID]],tblCustomers[Customer_ID],tblCustomers[Gender],"Not Found",0)</f>
        <v>Male</v>
      </c>
      <c r="N638" s="18" t="str">
        <f>_xlfn.XLOOKUP(tblMaster[[#This Row],[Product_ID]],tblProducts[Product_ID],tblProducts[Product_Name],"Not Found",0)</f>
        <v>Fugit Set</v>
      </c>
      <c r="O638" s="18" t="str">
        <f>_xlfn.XLOOKUP(tblMaster[[#This Row],[Product_ID]],tblProducts[Product_ID],tblProducts[Category],"Not Found",0)</f>
        <v>Soft Toys</v>
      </c>
      <c r="P638" s="18" t="str">
        <f>_xlfn.XLOOKUP(tblMaster[[#This Row],[Product_ID]],tblProducts[Product_ID],tblProducts[Occasion],"Not Found",0)</f>
        <v>All Occasions</v>
      </c>
      <c r="Q638" s="18">
        <f>_xlfn.XLOOKUP(tblMaster[[#This Row],[Product_ID]],tblProducts[Product_ID],tblProducts[Price (INR)],"Not Found",0)</f>
        <v>1084</v>
      </c>
      <c r="R638" s="19">
        <f>tblMaster[[#This Row],[Price]]*tblMaster[[#This Row],[Quantity]]</f>
        <v>3252</v>
      </c>
      <c r="S638" s="19">
        <f>tblMaster[[#This Row],[Price]]*0.7*tblMaster[[#This Row],[Quantity]]</f>
        <v>2276.3999999999996</v>
      </c>
      <c r="T638" s="19">
        <f>tblMaster[[#This Row],[Revenue]]-tblMaster[[#This Row],[Estimated Cost (at 70%) ]]</f>
        <v>975.60000000000036</v>
      </c>
      <c r="U638" s="19">
        <f>tblMaster[[#This Row],[Profit]]/tblMaster[[#This Row],[Revenue]]</f>
        <v>0.3000000000000001</v>
      </c>
      <c r="V638" s="19">
        <f>tblMaster[[#This Row],[Delivery_Date]]-tblMaster[[#This Row],[Order_Date]]</f>
        <v>8</v>
      </c>
      <c r="W638" s="19" t="str">
        <f>TEXT(tblMaster[[#This Row],[Order_Date]],"mmmm")</f>
        <v>March</v>
      </c>
      <c r="X638" s="19">
        <f>MONTH(tblMaster[[#This Row],[Order_Date]])</f>
        <v>3</v>
      </c>
      <c r="Y638" s="19" t="str">
        <f>"Q"&amp;ROUNDUP(tblMaster[[#This Row],[Month Number]]/3,0)</f>
        <v>Q1</v>
      </c>
      <c r="Z638" s="19">
        <f>YEAR(tblMaster[[#This Row],[Order_Date]])</f>
        <v>2023</v>
      </c>
      <c r="AA638" s="19" t="str">
        <f>TEXT(DAY(tblMaster[[#This Row],[Order_Date]]),"dddd")</f>
        <v>Thursday</v>
      </c>
      <c r="AB638" s="19" t="str">
        <f>IF(tblMaster[[#This Row],[Revenue]]&gt;=5000,"High",IF(tblMaster[[#This Row],[Revenue]]&lt;2000,"Low","Medium"))</f>
        <v>Medium</v>
      </c>
    </row>
    <row r="639" spans="1:28" x14ac:dyDescent="0.25">
      <c r="A639" s="10">
        <v>638</v>
      </c>
      <c r="B639" s="10" t="s">
        <v>299</v>
      </c>
      <c r="C639" s="5">
        <v>39</v>
      </c>
      <c r="D639" s="5">
        <v>1</v>
      </c>
      <c r="E639" s="11">
        <v>45039</v>
      </c>
      <c r="F639" s="12">
        <v>9.2743055555555551E-2</v>
      </c>
      <c r="G639" s="11">
        <v>45043</v>
      </c>
      <c r="H639" s="12">
        <v>0.11898148148148148</v>
      </c>
      <c r="I639" s="10" t="s">
        <v>500</v>
      </c>
      <c r="J639" s="10" t="s">
        <v>8</v>
      </c>
      <c r="K639" s="18" t="str">
        <f>_xlfn.XLOOKUP(tblMaster[[#This Row],[Customer_ID]],tblCustomers[Customer_ID],tblCustomers[City],"Not Found",0)</f>
        <v>Satara</v>
      </c>
      <c r="L639" s="18" t="str">
        <f>_xlfn.XLOOKUP(tblMaster[[#This Row],[Customer_ID]],tblCustomers[Customer_ID],tblCustomers[Name],"Not Found",0)</f>
        <v>Riya Wagle</v>
      </c>
      <c r="M639" s="18" t="str">
        <f>_xlfn.XLOOKUP(tblMaster[[#This Row],[Customer_ID]],tblCustomers[Customer_ID],tblCustomers[Gender],"Not Found",0)</f>
        <v>Male</v>
      </c>
      <c r="N639" s="18" t="str">
        <f>_xlfn.XLOOKUP(tblMaster[[#This Row],[Product_ID]],tblProducts[Product_ID],tblProducts[Product_Name],"Not Found",0)</f>
        <v>Voluptate Set</v>
      </c>
      <c r="O639" s="18" t="str">
        <f>_xlfn.XLOOKUP(tblMaster[[#This Row],[Product_ID]],tblProducts[Product_ID],tblProducts[Category],"Not Found",0)</f>
        <v>Mugs</v>
      </c>
      <c r="P639" s="18" t="str">
        <f>_xlfn.XLOOKUP(tblMaster[[#This Row],[Product_ID]],tblProducts[Product_ID],tblProducts[Occasion],"Not Found",0)</f>
        <v>All Occasions</v>
      </c>
      <c r="Q639" s="18">
        <f>_xlfn.XLOOKUP(tblMaster[[#This Row],[Product_ID]],tblProducts[Product_ID],tblProducts[Price (INR)],"Not Found",0)</f>
        <v>387</v>
      </c>
      <c r="R639" s="19">
        <f>tblMaster[[#This Row],[Price]]*tblMaster[[#This Row],[Quantity]]</f>
        <v>387</v>
      </c>
      <c r="S639" s="19">
        <f>tblMaster[[#This Row],[Price]]*0.7*tblMaster[[#This Row],[Quantity]]</f>
        <v>270.89999999999998</v>
      </c>
      <c r="T639" s="19">
        <f>tblMaster[[#This Row],[Revenue]]-tblMaster[[#This Row],[Estimated Cost (at 70%) ]]</f>
        <v>116.10000000000002</v>
      </c>
      <c r="U639" s="19">
        <f>tblMaster[[#This Row],[Profit]]/tblMaster[[#This Row],[Revenue]]</f>
        <v>0.30000000000000004</v>
      </c>
      <c r="V639" s="19">
        <f>tblMaster[[#This Row],[Delivery_Date]]-tblMaster[[#This Row],[Order_Date]]</f>
        <v>4</v>
      </c>
      <c r="W639" s="19" t="str">
        <f>TEXT(tblMaster[[#This Row],[Order_Date]],"mmmm")</f>
        <v>April</v>
      </c>
      <c r="X639" s="19">
        <f>MONTH(tblMaster[[#This Row],[Order_Date]])</f>
        <v>4</v>
      </c>
      <c r="Y639" s="19" t="str">
        <f>"Q"&amp;ROUNDUP(tblMaster[[#This Row],[Month Number]]/3,0)</f>
        <v>Q2</v>
      </c>
      <c r="Z639" s="19">
        <f>YEAR(tblMaster[[#This Row],[Order_Date]])</f>
        <v>2023</v>
      </c>
      <c r="AA639" s="19" t="str">
        <f>TEXT(DAY(tblMaster[[#This Row],[Order_Date]]),"dddd")</f>
        <v>Monday</v>
      </c>
      <c r="AB639" s="19" t="str">
        <f>IF(tblMaster[[#This Row],[Revenue]]&gt;=5000,"High",IF(tblMaster[[#This Row],[Revenue]]&lt;2000,"Low","Medium"))</f>
        <v>Low</v>
      </c>
    </row>
    <row r="640" spans="1:28" x14ac:dyDescent="0.25">
      <c r="A640" s="7">
        <v>639</v>
      </c>
      <c r="B640" s="7" t="s">
        <v>413</v>
      </c>
      <c r="C640" s="4">
        <v>24</v>
      </c>
      <c r="D640" s="4">
        <v>1</v>
      </c>
      <c r="E640" s="8">
        <v>45072</v>
      </c>
      <c r="F640" s="9">
        <v>0.10869212962962962</v>
      </c>
      <c r="G640" s="8">
        <v>45077</v>
      </c>
      <c r="H640" s="9">
        <v>0.13778935185185184</v>
      </c>
      <c r="I640" s="7" t="s">
        <v>539</v>
      </c>
      <c r="J640" s="7" t="s">
        <v>36</v>
      </c>
      <c r="K640" s="18" t="str">
        <f>_xlfn.XLOOKUP(tblMaster[[#This Row],[Customer_ID]],tblCustomers[Customer_ID],tblCustomers[City],"Not Found",0)</f>
        <v>Cuttack</v>
      </c>
      <c r="L640" s="18" t="str">
        <f>_xlfn.XLOOKUP(tblMaster[[#This Row],[Customer_ID]],tblCustomers[Customer_ID],tblCustomers[Name],"Not Found",0)</f>
        <v>Navya Golla</v>
      </c>
      <c r="M640" s="18" t="str">
        <f>_xlfn.XLOOKUP(tblMaster[[#This Row],[Customer_ID]],tblCustomers[Customer_ID],tblCustomers[Gender],"Not Found",0)</f>
        <v>Male</v>
      </c>
      <c r="N640" s="18" t="str">
        <f>_xlfn.XLOOKUP(tblMaster[[#This Row],[Product_ID]],tblProducts[Product_ID],tblProducts[Product_Name],"Not Found",0)</f>
        <v>Ad Box</v>
      </c>
      <c r="O640" s="18" t="str">
        <f>_xlfn.XLOOKUP(tblMaster[[#This Row],[Product_ID]],tblProducts[Product_ID],tblProducts[Category],"Not Found",0)</f>
        <v>Mugs</v>
      </c>
      <c r="P640" s="18" t="str">
        <f>_xlfn.XLOOKUP(tblMaster[[#This Row],[Product_ID]],tblProducts[Product_ID],tblProducts[Occasion],"Not Found",0)</f>
        <v>Birthday</v>
      </c>
      <c r="Q640" s="18">
        <f>_xlfn.XLOOKUP(tblMaster[[#This Row],[Product_ID]],tblProducts[Product_ID],tblProducts[Price (INR)],"Not Found",0)</f>
        <v>535</v>
      </c>
      <c r="R640" s="19">
        <f>tblMaster[[#This Row],[Price]]*tblMaster[[#This Row],[Quantity]]</f>
        <v>535</v>
      </c>
      <c r="S640" s="19">
        <f>tblMaster[[#This Row],[Price]]*0.7*tblMaster[[#This Row],[Quantity]]</f>
        <v>374.5</v>
      </c>
      <c r="T640" s="19">
        <f>tblMaster[[#This Row],[Revenue]]-tblMaster[[#This Row],[Estimated Cost (at 70%) ]]</f>
        <v>160.5</v>
      </c>
      <c r="U640" s="19">
        <f>tblMaster[[#This Row],[Profit]]/tblMaster[[#This Row],[Revenue]]</f>
        <v>0.3</v>
      </c>
      <c r="V640" s="19">
        <f>tblMaster[[#This Row],[Delivery_Date]]-tblMaster[[#This Row],[Order_Date]]</f>
        <v>5</v>
      </c>
      <c r="W640" s="19" t="str">
        <f>TEXT(tblMaster[[#This Row],[Order_Date]],"mmmm")</f>
        <v>May</v>
      </c>
      <c r="X640" s="19">
        <f>MONTH(tblMaster[[#This Row],[Order_Date]])</f>
        <v>5</v>
      </c>
      <c r="Y640" s="19" t="str">
        <f>"Q"&amp;ROUNDUP(tblMaster[[#This Row],[Month Number]]/3,0)</f>
        <v>Q2</v>
      </c>
      <c r="Z640" s="19">
        <f>YEAR(tblMaster[[#This Row],[Order_Date]])</f>
        <v>2023</v>
      </c>
      <c r="AA640" s="19" t="str">
        <f>TEXT(DAY(tblMaster[[#This Row],[Order_Date]]),"dddd")</f>
        <v>Thursday</v>
      </c>
      <c r="AB640" s="19" t="str">
        <f>IF(tblMaster[[#This Row],[Revenue]]&gt;=5000,"High",IF(tblMaster[[#This Row],[Revenue]]&lt;2000,"Low","Medium"))</f>
        <v>Low</v>
      </c>
    </row>
    <row r="641" spans="1:28" x14ac:dyDescent="0.25">
      <c r="A641" s="10">
        <v>640</v>
      </c>
      <c r="B641" s="10" t="s">
        <v>402</v>
      </c>
      <c r="C641" s="5">
        <v>59</v>
      </c>
      <c r="D641" s="5">
        <v>3</v>
      </c>
      <c r="E641" s="11">
        <v>45161</v>
      </c>
      <c r="F641" s="12">
        <v>0.26170138888888889</v>
      </c>
      <c r="G641" s="11">
        <v>45169</v>
      </c>
      <c r="H641" s="12">
        <v>0.79677083333333332</v>
      </c>
      <c r="I641" s="10" t="s">
        <v>203</v>
      </c>
      <c r="J641" s="10" t="s">
        <v>33</v>
      </c>
      <c r="K641" s="18" t="str">
        <f>_xlfn.XLOOKUP(tblMaster[[#This Row],[Customer_ID]],tblCustomers[Customer_ID],tblCustomers[City],"Not Found",0)</f>
        <v>Nellore</v>
      </c>
      <c r="L641" s="18" t="str">
        <f>_xlfn.XLOOKUP(tblMaster[[#This Row],[Customer_ID]],tblCustomers[Customer_ID],tblCustomers[Name],"Not Found",0)</f>
        <v>Oorja Dey</v>
      </c>
      <c r="M641" s="18" t="str">
        <f>_xlfn.XLOOKUP(tblMaster[[#This Row],[Customer_ID]],tblCustomers[Customer_ID],tblCustomers[Gender],"Not Found",0)</f>
        <v>Female</v>
      </c>
      <c r="N641" s="18" t="str">
        <f>_xlfn.XLOOKUP(tblMaster[[#This Row],[Product_ID]],tblProducts[Product_ID],tblProducts[Product_Name],"Not Found",0)</f>
        <v>Pariatur Box</v>
      </c>
      <c r="O641" s="18" t="str">
        <f>_xlfn.XLOOKUP(tblMaster[[#This Row],[Product_ID]],tblProducts[Product_ID],tblProducts[Category],"Not Found",0)</f>
        <v>Cake</v>
      </c>
      <c r="P641" s="18" t="str">
        <f>_xlfn.XLOOKUP(tblMaster[[#This Row],[Product_ID]],tblProducts[Product_ID],tblProducts[Occasion],"Not Found",0)</f>
        <v>Raksha Bandhan</v>
      </c>
      <c r="Q641" s="18">
        <f>_xlfn.XLOOKUP(tblMaster[[#This Row],[Product_ID]],tblProducts[Product_ID],tblProducts[Price (INR)],"Not Found",0)</f>
        <v>811</v>
      </c>
      <c r="R641" s="19">
        <f>tblMaster[[#This Row],[Price]]*tblMaster[[#This Row],[Quantity]]</f>
        <v>2433</v>
      </c>
      <c r="S641" s="19">
        <f>tblMaster[[#This Row],[Price]]*0.7*tblMaster[[#This Row],[Quantity]]</f>
        <v>1703.1</v>
      </c>
      <c r="T641" s="19">
        <f>tblMaster[[#This Row],[Revenue]]-tblMaster[[#This Row],[Estimated Cost (at 70%) ]]</f>
        <v>729.90000000000009</v>
      </c>
      <c r="U641" s="19">
        <f>tblMaster[[#This Row],[Profit]]/tblMaster[[#This Row],[Revenue]]</f>
        <v>0.30000000000000004</v>
      </c>
      <c r="V641" s="19">
        <f>tblMaster[[#This Row],[Delivery_Date]]-tblMaster[[#This Row],[Order_Date]]</f>
        <v>8</v>
      </c>
      <c r="W641" s="19" t="str">
        <f>TEXT(tblMaster[[#This Row],[Order_Date]],"mmmm")</f>
        <v>August</v>
      </c>
      <c r="X641" s="19">
        <f>MONTH(tblMaster[[#This Row],[Order_Date]])</f>
        <v>8</v>
      </c>
      <c r="Y641" s="19" t="str">
        <f>"Q"&amp;ROUNDUP(tblMaster[[#This Row],[Month Number]]/3,0)</f>
        <v>Q3</v>
      </c>
      <c r="Z641" s="19">
        <f>YEAR(tblMaster[[#This Row],[Order_Date]])</f>
        <v>2023</v>
      </c>
      <c r="AA641" s="19" t="str">
        <f>TEXT(DAY(tblMaster[[#This Row],[Order_Date]]),"dddd")</f>
        <v>Monday</v>
      </c>
      <c r="AB641" s="19" t="str">
        <f>IF(tblMaster[[#This Row],[Revenue]]&gt;=5000,"High",IF(tblMaster[[#This Row],[Revenue]]&lt;2000,"Low","Medium"))</f>
        <v>Medium</v>
      </c>
    </row>
    <row r="642" spans="1:28" x14ac:dyDescent="0.25">
      <c r="A642" s="7">
        <v>641</v>
      </c>
      <c r="B642" s="7" t="s">
        <v>213</v>
      </c>
      <c r="C642" s="4">
        <v>15</v>
      </c>
      <c r="D642" s="4">
        <v>4</v>
      </c>
      <c r="E642" s="8">
        <v>45064</v>
      </c>
      <c r="F642" s="9">
        <v>0.99995370370370373</v>
      </c>
      <c r="G642" s="8">
        <v>45072</v>
      </c>
      <c r="H642" s="9">
        <v>0.80202546296296295</v>
      </c>
      <c r="I642" s="7" t="s">
        <v>476</v>
      </c>
      <c r="J642" s="7" t="s">
        <v>30</v>
      </c>
      <c r="K642" s="18" t="str">
        <f>_xlfn.XLOOKUP(tblMaster[[#This Row],[Customer_ID]],tblCustomers[Customer_ID],tblCustomers[City],"Not Found",0)</f>
        <v>Jamnagar</v>
      </c>
      <c r="L642" s="18" t="str">
        <f>_xlfn.XLOOKUP(tblMaster[[#This Row],[Customer_ID]],tblCustomers[Customer_ID],tblCustomers[Name],"Not Found",0)</f>
        <v>Arhaan Ahluwalia</v>
      </c>
      <c r="M642" s="18" t="str">
        <f>_xlfn.XLOOKUP(tblMaster[[#This Row],[Customer_ID]],tblCustomers[Customer_ID],tblCustomers[Gender],"Not Found",0)</f>
        <v>Male</v>
      </c>
      <c r="N642" s="18" t="str">
        <f>_xlfn.XLOOKUP(tblMaster[[#This Row],[Product_ID]],tblProducts[Product_ID],tblProducts[Product_Name],"Not Found",0)</f>
        <v>Repudiandae Box</v>
      </c>
      <c r="O642" s="18" t="str">
        <f>_xlfn.XLOOKUP(tblMaster[[#This Row],[Product_ID]],tblProducts[Product_ID],tblProducts[Category],"Not Found",0)</f>
        <v>Raksha Bandhan</v>
      </c>
      <c r="P642" s="18" t="str">
        <f>_xlfn.XLOOKUP(tblMaster[[#This Row],[Product_ID]],tblProducts[Product_ID],tblProducts[Occasion],"Not Found",0)</f>
        <v>Anniversary</v>
      </c>
      <c r="Q642" s="18">
        <f>_xlfn.XLOOKUP(tblMaster[[#This Row],[Product_ID]],tblProducts[Product_ID],tblProducts[Price (INR)],"Not Found",0)</f>
        <v>1488</v>
      </c>
      <c r="R642" s="19">
        <f>tblMaster[[#This Row],[Price]]*tblMaster[[#This Row],[Quantity]]</f>
        <v>5952</v>
      </c>
      <c r="S642" s="19">
        <f>tblMaster[[#This Row],[Price]]*0.7*tblMaster[[#This Row],[Quantity]]</f>
        <v>4166.3999999999996</v>
      </c>
      <c r="T642" s="19">
        <f>tblMaster[[#This Row],[Revenue]]-tblMaster[[#This Row],[Estimated Cost (at 70%) ]]</f>
        <v>1785.6000000000004</v>
      </c>
      <c r="U642" s="19">
        <f>tblMaster[[#This Row],[Profit]]/tblMaster[[#This Row],[Revenue]]</f>
        <v>0.30000000000000004</v>
      </c>
      <c r="V642" s="19">
        <f>tblMaster[[#This Row],[Delivery_Date]]-tblMaster[[#This Row],[Order_Date]]</f>
        <v>8</v>
      </c>
      <c r="W642" s="19" t="str">
        <f>TEXT(tblMaster[[#This Row],[Order_Date]],"mmmm")</f>
        <v>May</v>
      </c>
      <c r="X642" s="19">
        <f>MONTH(tblMaster[[#This Row],[Order_Date]])</f>
        <v>5</v>
      </c>
      <c r="Y642" s="19" t="str">
        <f>"Q"&amp;ROUNDUP(tblMaster[[#This Row],[Month Number]]/3,0)</f>
        <v>Q2</v>
      </c>
      <c r="Z642" s="19">
        <f>YEAR(tblMaster[[#This Row],[Order_Date]])</f>
        <v>2023</v>
      </c>
      <c r="AA642" s="19" t="str">
        <f>TEXT(DAY(tblMaster[[#This Row],[Order_Date]]),"dddd")</f>
        <v>Wednesday</v>
      </c>
      <c r="AB642" s="19" t="str">
        <f>IF(tblMaster[[#This Row],[Revenue]]&gt;=5000,"High",IF(tblMaster[[#This Row],[Revenue]]&lt;2000,"Low","Medium"))</f>
        <v>High</v>
      </c>
    </row>
    <row r="643" spans="1:28" x14ac:dyDescent="0.25">
      <c r="A643" s="10">
        <v>642</v>
      </c>
      <c r="B643" s="10" t="s">
        <v>503</v>
      </c>
      <c r="C643" s="5">
        <v>44</v>
      </c>
      <c r="D643" s="5">
        <v>5</v>
      </c>
      <c r="E643" s="11">
        <v>45232</v>
      </c>
      <c r="F643" s="12">
        <v>0.22643518518518518</v>
      </c>
      <c r="G643" s="11">
        <v>45237</v>
      </c>
      <c r="H643" s="12">
        <v>2.0729166666666667E-2</v>
      </c>
      <c r="I643" s="10" t="s">
        <v>255</v>
      </c>
      <c r="J643" s="10" t="s">
        <v>19</v>
      </c>
      <c r="K643" s="18" t="str">
        <f>_xlfn.XLOOKUP(tblMaster[[#This Row],[Customer_ID]],tblCustomers[Customer_ID],tblCustomers[City],"Not Found",0)</f>
        <v>Mehsana</v>
      </c>
      <c r="L643" s="18" t="str">
        <f>_xlfn.XLOOKUP(tblMaster[[#This Row],[Customer_ID]],tblCustomers[Customer_ID],tblCustomers[Name],"Not Found",0)</f>
        <v>Siya Talwar</v>
      </c>
      <c r="M643" s="18" t="str">
        <f>_xlfn.XLOOKUP(tblMaster[[#This Row],[Customer_ID]],tblCustomers[Customer_ID],tblCustomers[Gender],"Not Found",0)</f>
        <v>Male</v>
      </c>
      <c r="N643" s="18" t="str">
        <f>_xlfn.XLOOKUP(tblMaster[[#This Row],[Product_ID]],tblProducts[Product_ID],tblProducts[Product_Name],"Not Found",0)</f>
        <v>Dolorum Set</v>
      </c>
      <c r="O643" s="18" t="str">
        <f>_xlfn.XLOOKUP(tblMaster[[#This Row],[Product_ID]],tblProducts[Product_ID],tblProducts[Category],"Not Found",0)</f>
        <v>Plants</v>
      </c>
      <c r="P643" s="18" t="str">
        <f>_xlfn.XLOOKUP(tblMaster[[#This Row],[Product_ID]],tblProducts[Product_ID],tblProducts[Occasion],"Not Found",0)</f>
        <v>Diwali</v>
      </c>
      <c r="Q643" s="18">
        <f>_xlfn.XLOOKUP(tblMaster[[#This Row],[Product_ID]],tblProducts[Product_ID],tblProducts[Price (INR)],"Not Found",0)</f>
        <v>794</v>
      </c>
      <c r="R643" s="19">
        <f>tblMaster[[#This Row],[Price]]*tblMaster[[#This Row],[Quantity]]</f>
        <v>3970</v>
      </c>
      <c r="S643" s="19">
        <f>tblMaster[[#This Row],[Price]]*0.7*tblMaster[[#This Row],[Quantity]]</f>
        <v>2779</v>
      </c>
      <c r="T643" s="19">
        <f>tblMaster[[#This Row],[Revenue]]-tblMaster[[#This Row],[Estimated Cost (at 70%) ]]</f>
        <v>1191</v>
      </c>
      <c r="U643" s="19">
        <f>tblMaster[[#This Row],[Profit]]/tblMaster[[#This Row],[Revenue]]</f>
        <v>0.3</v>
      </c>
      <c r="V643" s="19">
        <f>tblMaster[[#This Row],[Delivery_Date]]-tblMaster[[#This Row],[Order_Date]]</f>
        <v>5</v>
      </c>
      <c r="W643" s="19" t="str">
        <f>TEXT(tblMaster[[#This Row],[Order_Date]],"mmmm")</f>
        <v>November</v>
      </c>
      <c r="X643" s="19">
        <f>MONTH(tblMaster[[#This Row],[Order_Date]])</f>
        <v>11</v>
      </c>
      <c r="Y643" s="19" t="str">
        <f>"Q"&amp;ROUNDUP(tblMaster[[#This Row],[Month Number]]/3,0)</f>
        <v>Q4</v>
      </c>
      <c r="Z643" s="19">
        <f>YEAR(tblMaster[[#This Row],[Order_Date]])</f>
        <v>2023</v>
      </c>
      <c r="AA643" s="19" t="str">
        <f>TEXT(DAY(tblMaster[[#This Row],[Order_Date]]),"dddd")</f>
        <v>Monday</v>
      </c>
      <c r="AB643" s="19" t="str">
        <f>IF(tblMaster[[#This Row],[Revenue]]&gt;=5000,"High",IF(tblMaster[[#This Row],[Revenue]]&lt;2000,"Low","Medium"))</f>
        <v>Medium</v>
      </c>
    </row>
    <row r="644" spans="1:28" x14ac:dyDescent="0.25">
      <c r="A644" s="7">
        <v>643</v>
      </c>
      <c r="B644" s="7" t="s">
        <v>213</v>
      </c>
      <c r="C644" s="4">
        <v>35</v>
      </c>
      <c r="D644" s="4">
        <v>2</v>
      </c>
      <c r="E644" s="8">
        <v>44983</v>
      </c>
      <c r="F644" s="9">
        <v>0.54888888888888887</v>
      </c>
      <c r="G644" s="8">
        <v>44991</v>
      </c>
      <c r="H644" s="9">
        <v>0.8501157407407407</v>
      </c>
      <c r="I644" s="7" t="s">
        <v>297</v>
      </c>
      <c r="J644" s="7" t="s">
        <v>25</v>
      </c>
      <c r="K644" s="18" t="str">
        <f>_xlfn.XLOOKUP(tblMaster[[#This Row],[Customer_ID]],tblCustomers[Customer_ID],tblCustomers[City],"Not Found",0)</f>
        <v>Jamnagar</v>
      </c>
      <c r="L644" s="18" t="str">
        <f>_xlfn.XLOOKUP(tblMaster[[#This Row],[Customer_ID]],tblCustomers[Customer_ID],tblCustomers[Name],"Not Found",0)</f>
        <v>Arhaan Ahluwalia</v>
      </c>
      <c r="M644" s="18" t="str">
        <f>_xlfn.XLOOKUP(tblMaster[[#This Row],[Customer_ID]],tblCustomers[Customer_ID],tblCustomers[Gender],"Not Found",0)</f>
        <v>Male</v>
      </c>
      <c r="N644" s="18" t="str">
        <f>_xlfn.XLOOKUP(tblMaster[[#This Row],[Product_ID]],tblProducts[Product_ID],tblProducts[Product_Name],"Not Found",0)</f>
        <v>Nam Gift</v>
      </c>
      <c r="O644" s="18" t="str">
        <f>_xlfn.XLOOKUP(tblMaster[[#This Row],[Product_ID]],tblProducts[Product_ID],tblProducts[Category],"Not Found",0)</f>
        <v>Colors</v>
      </c>
      <c r="P644" s="18" t="str">
        <f>_xlfn.XLOOKUP(tblMaster[[#This Row],[Product_ID]],tblProducts[Product_ID],tblProducts[Occasion],"Not Found",0)</f>
        <v>Holi</v>
      </c>
      <c r="Q644" s="18">
        <f>_xlfn.XLOOKUP(tblMaster[[#This Row],[Product_ID]],tblProducts[Product_ID],tblProducts[Price (INR)],"Not Found",0)</f>
        <v>1865</v>
      </c>
      <c r="R644" s="19">
        <f>tblMaster[[#This Row],[Price]]*tblMaster[[#This Row],[Quantity]]</f>
        <v>3730</v>
      </c>
      <c r="S644" s="19">
        <f>tblMaster[[#This Row],[Price]]*0.7*tblMaster[[#This Row],[Quantity]]</f>
        <v>2611</v>
      </c>
      <c r="T644" s="19">
        <f>tblMaster[[#This Row],[Revenue]]-tblMaster[[#This Row],[Estimated Cost (at 70%) ]]</f>
        <v>1119</v>
      </c>
      <c r="U644" s="19">
        <f>tblMaster[[#This Row],[Profit]]/tblMaster[[#This Row],[Revenue]]</f>
        <v>0.3</v>
      </c>
      <c r="V644" s="19">
        <f>tblMaster[[#This Row],[Delivery_Date]]-tblMaster[[#This Row],[Order_Date]]</f>
        <v>8</v>
      </c>
      <c r="W644" s="19" t="str">
        <f>TEXT(tblMaster[[#This Row],[Order_Date]],"mmmm")</f>
        <v>February</v>
      </c>
      <c r="X644" s="19">
        <f>MONTH(tblMaster[[#This Row],[Order_Date]])</f>
        <v>2</v>
      </c>
      <c r="Y644" s="19" t="str">
        <f>"Q"&amp;ROUNDUP(tblMaster[[#This Row],[Month Number]]/3,0)</f>
        <v>Q1</v>
      </c>
      <c r="Z644" s="19">
        <f>YEAR(tblMaster[[#This Row],[Order_Date]])</f>
        <v>2023</v>
      </c>
      <c r="AA644" s="19" t="str">
        <f>TEXT(DAY(tblMaster[[#This Row],[Order_Date]]),"dddd")</f>
        <v>Thursday</v>
      </c>
      <c r="AB644" s="19" t="str">
        <f>IF(tblMaster[[#This Row],[Revenue]]&gt;=5000,"High",IF(tblMaster[[#This Row],[Revenue]]&lt;2000,"Low","Medium"))</f>
        <v>Medium</v>
      </c>
    </row>
    <row r="645" spans="1:28" x14ac:dyDescent="0.25">
      <c r="A645" s="10">
        <v>644</v>
      </c>
      <c r="B645" s="10" t="s">
        <v>276</v>
      </c>
      <c r="C645" s="5">
        <v>67</v>
      </c>
      <c r="D645" s="5">
        <v>1</v>
      </c>
      <c r="E645" s="11">
        <v>45170</v>
      </c>
      <c r="F645" s="12">
        <v>0.62124999999999997</v>
      </c>
      <c r="G645" s="11">
        <v>45180</v>
      </c>
      <c r="H645" s="12">
        <v>0.47312500000000002</v>
      </c>
      <c r="I645" s="10" t="s">
        <v>479</v>
      </c>
      <c r="J645" s="10" t="s">
        <v>30</v>
      </c>
      <c r="K645" s="18" t="str">
        <f>_xlfn.XLOOKUP(tblMaster[[#This Row],[Customer_ID]],tblCustomers[Customer_ID],tblCustomers[City],"Not Found",0)</f>
        <v>Imphal</v>
      </c>
      <c r="L645" s="18" t="str">
        <f>_xlfn.XLOOKUP(tblMaster[[#This Row],[Customer_ID]],tblCustomers[Customer_ID],tblCustomers[Name],"Not Found",0)</f>
        <v>Chirag Srinivas</v>
      </c>
      <c r="M645" s="18" t="str">
        <f>_xlfn.XLOOKUP(tblMaster[[#This Row],[Customer_ID]],tblCustomers[Customer_ID],tblCustomers[Gender],"Not Found",0)</f>
        <v>Female</v>
      </c>
      <c r="N645" s="18" t="str">
        <f>_xlfn.XLOOKUP(tblMaster[[#This Row],[Product_ID]],tblProducts[Product_ID],tblProducts[Product_Name],"Not Found",0)</f>
        <v>Maiores Box</v>
      </c>
      <c r="O645" s="18" t="str">
        <f>_xlfn.XLOOKUP(tblMaster[[#This Row],[Product_ID]],tblProducts[Product_ID],tblProducts[Category],"Not Found",0)</f>
        <v>Raksha Bandhan</v>
      </c>
      <c r="P645" s="18" t="str">
        <f>_xlfn.XLOOKUP(tblMaster[[#This Row],[Product_ID]],tblProducts[Product_ID],tblProducts[Occasion],"Not Found",0)</f>
        <v>Anniversary</v>
      </c>
      <c r="Q645" s="18">
        <f>_xlfn.XLOOKUP(tblMaster[[#This Row],[Product_ID]],tblProducts[Product_ID],tblProducts[Price (INR)],"Not Found",0)</f>
        <v>1374</v>
      </c>
      <c r="R645" s="19">
        <f>tblMaster[[#This Row],[Price]]*tblMaster[[#This Row],[Quantity]]</f>
        <v>1374</v>
      </c>
      <c r="S645" s="19">
        <f>tblMaster[[#This Row],[Price]]*0.7*tblMaster[[#This Row],[Quantity]]</f>
        <v>961.8</v>
      </c>
      <c r="T645" s="19">
        <f>tblMaster[[#This Row],[Revenue]]-tblMaster[[#This Row],[Estimated Cost (at 70%) ]]</f>
        <v>412.20000000000005</v>
      </c>
      <c r="U645" s="19">
        <f>tblMaster[[#This Row],[Profit]]/tblMaster[[#This Row],[Revenue]]</f>
        <v>0.30000000000000004</v>
      </c>
      <c r="V645" s="19">
        <f>tblMaster[[#This Row],[Delivery_Date]]-tblMaster[[#This Row],[Order_Date]]</f>
        <v>10</v>
      </c>
      <c r="W645" s="19" t="str">
        <f>TEXT(tblMaster[[#This Row],[Order_Date]],"mmmm")</f>
        <v>September</v>
      </c>
      <c r="X645" s="19">
        <f>MONTH(tblMaster[[#This Row],[Order_Date]])</f>
        <v>9</v>
      </c>
      <c r="Y645" s="19" t="str">
        <f>"Q"&amp;ROUNDUP(tblMaster[[#This Row],[Month Number]]/3,0)</f>
        <v>Q3</v>
      </c>
      <c r="Z645" s="19">
        <f>YEAR(tblMaster[[#This Row],[Order_Date]])</f>
        <v>2023</v>
      </c>
      <c r="AA645" s="19" t="str">
        <f>TEXT(DAY(tblMaster[[#This Row],[Order_Date]]),"dddd")</f>
        <v>Sunday</v>
      </c>
      <c r="AB645" s="19" t="str">
        <f>IF(tblMaster[[#This Row],[Revenue]]&gt;=5000,"High",IF(tblMaster[[#This Row],[Revenue]]&lt;2000,"Low","Medium"))</f>
        <v>Low</v>
      </c>
    </row>
    <row r="646" spans="1:28" x14ac:dyDescent="0.25">
      <c r="A646" s="7">
        <v>645</v>
      </c>
      <c r="B646" s="7" t="s">
        <v>272</v>
      </c>
      <c r="C646" s="4">
        <v>50</v>
      </c>
      <c r="D646" s="4">
        <v>3</v>
      </c>
      <c r="E646" s="8">
        <v>44984</v>
      </c>
      <c r="F646" s="9">
        <v>7.4062500000000003E-2</v>
      </c>
      <c r="G646" s="8">
        <v>44985</v>
      </c>
      <c r="H646" s="9">
        <v>8.8321759259259253E-2</v>
      </c>
      <c r="I646" s="7" t="s">
        <v>259</v>
      </c>
      <c r="J646" s="7" t="s">
        <v>25</v>
      </c>
      <c r="K646" s="18" t="str">
        <f>_xlfn.XLOOKUP(tblMaster[[#This Row],[Customer_ID]],tblCustomers[Customer_ID],tblCustomers[City],"Not Found",0)</f>
        <v>Indore</v>
      </c>
      <c r="L646" s="18" t="str">
        <f>_xlfn.XLOOKUP(tblMaster[[#This Row],[Customer_ID]],tblCustomers[Customer_ID],tblCustomers[Name],"Not Found",0)</f>
        <v>Suhana Kurian</v>
      </c>
      <c r="M646" s="18" t="str">
        <f>_xlfn.XLOOKUP(tblMaster[[#This Row],[Customer_ID]],tblCustomers[Customer_ID],tblCustomers[Gender],"Not Found",0)</f>
        <v>Female</v>
      </c>
      <c r="N646" s="18" t="str">
        <f>_xlfn.XLOOKUP(tblMaster[[#This Row],[Product_ID]],tblProducts[Product_ID],tblProducts[Product_Name],"Not Found",0)</f>
        <v>Eligendi Set</v>
      </c>
      <c r="O646" s="18" t="str">
        <f>_xlfn.XLOOKUP(tblMaster[[#This Row],[Product_ID]],tblProducts[Product_ID],tblProducts[Category],"Not Found",0)</f>
        <v>Plants</v>
      </c>
      <c r="P646" s="18" t="str">
        <f>_xlfn.XLOOKUP(tblMaster[[#This Row],[Product_ID]],tblProducts[Product_ID],tblProducts[Occasion],"Not Found",0)</f>
        <v>Holi</v>
      </c>
      <c r="Q646" s="18">
        <f>_xlfn.XLOOKUP(tblMaster[[#This Row],[Product_ID]],tblProducts[Product_ID],tblProducts[Price (INR)],"Not Found",0)</f>
        <v>422</v>
      </c>
      <c r="R646" s="19">
        <f>tblMaster[[#This Row],[Price]]*tblMaster[[#This Row],[Quantity]]</f>
        <v>1266</v>
      </c>
      <c r="S646" s="19">
        <f>tblMaster[[#This Row],[Price]]*0.7*tblMaster[[#This Row],[Quantity]]</f>
        <v>886.19999999999993</v>
      </c>
      <c r="T646" s="19">
        <f>tblMaster[[#This Row],[Revenue]]-tblMaster[[#This Row],[Estimated Cost (at 70%) ]]</f>
        <v>379.80000000000007</v>
      </c>
      <c r="U646" s="19">
        <f>tblMaster[[#This Row],[Profit]]/tblMaster[[#This Row],[Revenue]]</f>
        <v>0.30000000000000004</v>
      </c>
      <c r="V646" s="19">
        <f>tblMaster[[#This Row],[Delivery_Date]]-tblMaster[[#This Row],[Order_Date]]</f>
        <v>1</v>
      </c>
      <c r="W646" s="19" t="str">
        <f>TEXT(tblMaster[[#This Row],[Order_Date]],"mmmm")</f>
        <v>February</v>
      </c>
      <c r="X646" s="19">
        <f>MONTH(tblMaster[[#This Row],[Order_Date]])</f>
        <v>2</v>
      </c>
      <c r="Y646" s="19" t="str">
        <f>"Q"&amp;ROUNDUP(tblMaster[[#This Row],[Month Number]]/3,0)</f>
        <v>Q1</v>
      </c>
      <c r="Z646" s="19">
        <f>YEAR(tblMaster[[#This Row],[Order_Date]])</f>
        <v>2023</v>
      </c>
      <c r="AA646" s="19" t="str">
        <f>TEXT(DAY(tblMaster[[#This Row],[Order_Date]]),"dddd")</f>
        <v>Friday</v>
      </c>
      <c r="AB646" s="19" t="str">
        <f>IF(tblMaster[[#This Row],[Revenue]]&gt;=5000,"High",IF(tblMaster[[#This Row],[Revenue]]&lt;2000,"Low","Medium"))</f>
        <v>Low</v>
      </c>
    </row>
    <row r="647" spans="1:28" x14ac:dyDescent="0.25">
      <c r="A647" s="10">
        <v>646</v>
      </c>
      <c r="B647" s="10" t="s">
        <v>270</v>
      </c>
      <c r="C647" s="5">
        <v>38</v>
      </c>
      <c r="D647" s="5">
        <v>5</v>
      </c>
      <c r="E647" s="11">
        <v>45059</v>
      </c>
      <c r="F647" s="12">
        <v>0.68761574074074072</v>
      </c>
      <c r="G647" s="11">
        <v>45069</v>
      </c>
      <c r="H647" s="12">
        <v>0.38678240740740738</v>
      </c>
      <c r="I647" s="10" t="s">
        <v>525</v>
      </c>
      <c r="J647" s="10" t="s">
        <v>36</v>
      </c>
      <c r="K647" s="18" t="str">
        <f>_xlfn.XLOOKUP(tblMaster[[#This Row],[Customer_ID]],tblCustomers[Customer_ID],tblCustomers[City],"Not Found",0)</f>
        <v>Kolkata</v>
      </c>
      <c r="L647" s="18" t="str">
        <f>_xlfn.XLOOKUP(tblMaster[[#This Row],[Customer_ID]],tblCustomers[Customer_ID],tblCustomers[Name],"Not Found",0)</f>
        <v>Romil Bajwa</v>
      </c>
      <c r="M647" s="18" t="str">
        <f>_xlfn.XLOOKUP(tblMaster[[#This Row],[Customer_ID]],tblCustomers[Customer_ID],tblCustomers[Gender],"Not Found",0)</f>
        <v>Female</v>
      </c>
      <c r="N647" s="18" t="str">
        <f>_xlfn.XLOOKUP(tblMaster[[#This Row],[Product_ID]],tblProducts[Product_ID],tblProducts[Product_Name],"Not Found",0)</f>
        <v>Mollitia Set</v>
      </c>
      <c r="O647" s="18" t="str">
        <f>_xlfn.XLOOKUP(tblMaster[[#This Row],[Product_ID]],tblProducts[Product_ID],tblProducts[Category],"Not Found",0)</f>
        <v>Cake</v>
      </c>
      <c r="P647" s="18" t="str">
        <f>_xlfn.XLOOKUP(tblMaster[[#This Row],[Product_ID]],tblProducts[Product_ID],tblProducts[Occasion],"Not Found",0)</f>
        <v>Birthday</v>
      </c>
      <c r="Q647" s="18">
        <f>_xlfn.XLOOKUP(tblMaster[[#This Row],[Product_ID]],tblProducts[Product_ID],tblProducts[Price (INR)],"Not Found",0)</f>
        <v>562</v>
      </c>
      <c r="R647" s="19">
        <f>tblMaster[[#This Row],[Price]]*tblMaster[[#This Row],[Quantity]]</f>
        <v>2810</v>
      </c>
      <c r="S647" s="19">
        <f>tblMaster[[#This Row],[Price]]*0.7*tblMaster[[#This Row],[Quantity]]</f>
        <v>1967</v>
      </c>
      <c r="T647" s="19">
        <f>tblMaster[[#This Row],[Revenue]]-tblMaster[[#This Row],[Estimated Cost (at 70%) ]]</f>
        <v>843</v>
      </c>
      <c r="U647" s="19">
        <f>tblMaster[[#This Row],[Profit]]/tblMaster[[#This Row],[Revenue]]</f>
        <v>0.3</v>
      </c>
      <c r="V647" s="19">
        <f>tblMaster[[#This Row],[Delivery_Date]]-tblMaster[[#This Row],[Order_Date]]</f>
        <v>10</v>
      </c>
      <c r="W647" s="19" t="str">
        <f>TEXT(tblMaster[[#This Row],[Order_Date]],"mmmm")</f>
        <v>May</v>
      </c>
      <c r="X647" s="19">
        <f>MONTH(tblMaster[[#This Row],[Order_Date]])</f>
        <v>5</v>
      </c>
      <c r="Y647" s="19" t="str">
        <f>"Q"&amp;ROUNDUP(tblMaster[[#This Row],[Month Number]]/3,0)</f>
        <v>Q2</v>
      </c>
      <c r="Z647" s="19">
        <f>YEAR(tblMaster[[#This Row],[Order_Date]])</f>
        <v>2023</v>
      </c>
      <c r="AA647" s="19" t="str">
        <f>TEXT(DAY(tblMaster[[#This Row],[Order_Date]]),"dddd")</f>
        <v>Friday</v>
      </c>
      <c r="AB647" s="19" t="str">
        <f>IF(tblMaster[[#This Row],[Revenue]]&gt;=5000,"High",IF(tblMaster[[#This Row],[Revenue]]&lt;2000,"Low","Medium"))</f>
        <v>Medium</v>
      </c>
    </row>
    <row r="648" spans="1:28" x14ac:dyDescent="0.25">
      <c r="A648" s="7">
        <v>647</v>
      </c>
      <c r="B648" s="7" t="s">
        <v>191</v>
      </c>
      <c r="C648" s="4">
        <v>21</v>
      </c>
      <c r="D648" s="4">
        <v>5</v>
      </c>
      <c r="E648" s="8">
        <v>45163</v>
      </c>
      <c r="F648" s="9">
        <v>0.70862268518518523</v>
      </c>
      <c r="G648" s="8">
        <v>45164</v>
      </c>
      <c r="H648" s="9">
        <v>6.1851851851851852E-2</v>
      </c>
      <c r="I648" s="7" t="s">
        <v>540</v>
      </c>
      <c r="J648" s="7" t="s">
        <v>33</v>
      </c>
      <c r="K648" s="18" t="str">
        <f>_xlfn.XLOOKUP(tblMaster[[#This Row],[Customer_ID]],tblCustomers[Customer_ID],tblCustomers[City],"Not Found",0)</f>
        <v>Madhyamgram</v>
      </c>
      <c r="L648" s="18" t="str">
        <f>_xlfn.XLOOKUP(tblMaster[[#This Row],[Customer_ID]],tblCustomers[Customer_ID],tblCustomers[Name],"Not Found",0)</f>
        <v>Hunar Tripathi</v>
      </c>
      <c r="M648" s="18" t="str">
        <f>_xlfn.XLOOKUP(tblMaster[[#This Row],[Customer_ID]],tblCustomers[Customer_ID],tblCustomers[Gender],"Not Found",0)</f>
        <v>Female</v>
      </c>
      <c r="N648" s="18" t="str">
        <f>_xlfn.XLOOKUP(tblMaster[[#This Row],[Product_ID]],tblProducts[Product_ID],tblProducts[Product_Name],"Not Found",0)</f>
        <v>Quia Gift</v>
      </c>
      <c r="O648" s="18" t="str">
        <f>_xlfn.XLOOKUP(tblMaster[[#This Row],[Product_ID]],tblProducts[Product_ID],tblProducts[Category],"Not Found",0)</f>
        <v>Colors</v>
      </c>
      <c r="P648" s="18" t="str">
        <f>_xlfn.XLOOKUP(tblMaster[[#This Row],[Product_ID]],tblProducts[Product_ID],tblProducts[Occasion],"Not Found",0)</f>
        <v>Raksha Bandhan</v>
      </c>
      <c r="Q648" s="18">
        <f>_xlfn.XLOOKUP(tblMaster[[#This Row],[Product_ID]],tblProducts[Product_ID],tblProducts[Price (INR)],"Not Found",0)</f>
        <v>1561</v>
      </c>
      <c r="R648" s="19">
        <f>tblMaster[[#This Row],[Price]]*tblMaster[[#This Row],[Quantity]]</f>
        <v>7805</v>
      </c>
      <c r="S648" s="19">
        <f>tblMaster[[#This Row],[Price]]*0.7*tblMaster[[#This Row],[Quantity]]</f>
        <v>5463.4999999999991</v>
      </c>
      <c r="T648" s="19">
        <f>tblMaster[[#This Row],[Revenue]]-tblMaster[[#This Row],[Estimated Cost (at 70%) ]]</f>
        <v>2341.5000000000009</v>
      </c>
      <c r="U648" s="19">
        <f>tblMaster[[#This Row],[Profit]]/tblMaster[[#This Row],[Revenue]]</f>
        <v>0.3000000000000001</v>
      </c>
      <c r="V648" s="19">
        <f>tblMaster[[#This Row],[Delivery_Date]]-tblMaster[[#This Row],[Order_Date]]</f>
        <v>1</v>
      </c>
      <c r="W648" s="19" t="str">
        <f>TEXT(tblMaster[[#This Row],[Order_Date]],"mmmm")</f>
        <v>August</v>
      </c>
      <c r="X648" s="19">
        <f>MONTH(tblMaster[[#This Row],[Order_Date]])</f>
        <v>8</v>
      </c>
      <c r="Y648" s="19" t="str">
        <f>"Q"&amp;ROUNDUP(tblMaster[[#This Row],[Month Number]]/3,0)</f>
        <v>Q3</v>
      </c>
      <c r="Z648" s="19">
        <f>YEAR(tblMaster[[#This Row],[Order_Date]])</f>
        <v>2023</v>
      </c>
      <c r="AA648" s="19" t="str">
        <f>TEXT(DAY(tblMaster[[#This Row],[Order_Date]]),"dddd")</f>
        <v>Wednesday</v>
      </c>
      <c r="AB648" s="19" t="str">
        <f>IF(tblMaster[[#This Row],[Revenue]]&gt;=5000,"High",IF(tblMaster[[#This Row],[Revenue]]&lt;2000,"Low","Medium"))</f>
        <v>High</v>
      </c>
    </row>
    <row r="649" spans="1:28" x14ac:dyDescent="0.25">
      <c r="A649" s="10">
        <v>648</v>
      </c>
      <c r="B649" s="10" t="s">
        <v>176</v>
      </c>
      <c r="C649" s="5">
        <v>41</v>
      </c>
      <c r="D649" s="5">
        <v>3</v>
      </c>
      <c r="E649" s="11">
        <v>45235</v>
      </c>
      <c r="F649" s="12">
        <v>0.79601851851851857</v>
      </c>
      <c r="G649" s="11">
        <v>45239</v>
      </c>
      <c r="H649" s="12">
        <v>0.35069444444444442</v>
      </c>
      <c r="I649" s="10" t="s">
        <v>271</v>
      </c>
      <c r="J649" s="10" t="s">
        <v>19</v>
      </c>
      <c r="K649" s="18" t="str">
        <f>_xlfn.XLOOKUP(tblMaster[[#This Row],[Customer_ID]],tblCustomers[Customer_ID],tblCustomers[City],"Not Found",0)</f>
        <v>Pallavaram</v>
      </c>
      <c r="L649" s="18" t="str">
        <f>_xlfn.XLOOKUP(tblMaster[[#This Row],[Customer_ID]],tblCustomers[Customer_ID],tblCustomers[Name],"Not Found",0)</f>
        <v>Hazel Mangat</v>
      </c>
      <c r="M649" s="18" t="str">
        <f>_xlfn.XLOOKUP(tblMaster[[#This Row],[Customer_ID]],tblCustomers[Customer_ID],tblCustomers[Gender],"Not Found",0)</f>
        <v>Female</v>
      </c>
      <c r="N649" s="18" t="str">
        <f>_xlfn.XLOOKUP(tblMaster[[#This Row],[Product_ID]],tblProducts[Product_ID],tblProducts[Product_Name],"Not Found",0)</f>
        <v>Aut Box</v>
      </c>
      <c r="O649" s="18" t="str">
        <f>_xlfn.XLOOKUP(tblMaster[[#This Row],[Product_ID]],tblProducts[Product_ID],tblProducts[Category],"Not Found",0)</f>
        <v>Sweets</v>
      </c>
      <c r="P649" s="18" t="str">
        <f>_xlfn.XLOOKUP(tblMaster[[#This Row],[Product_ID]],tblProducts[Product_ID],tblProducts[Occasion],"Not Found",0)</f>
        <v>Diwali</v>
      </c>
      <c r="Q649" s="18">
        <f>_xlfn.XLOOKUP(tblMaster[[#This Row],[Product_ID]],tblProducts[Product_ID],tblProducts[Price (INR)],"Not Found",0)</f>
        <v>1977</v>
      </c>
      <c r="R649" s="19">
        <f>tblMaster[[#This Row],[Price]]*tblMaster[[#This Row],[Quantity]]</f>
        <v>5931</v>
      </c>
      <c r="S649" s="19">
        <f>tblMaster[[#This Row],[Price]]*0.7*tblMaster[[#This Row],[Quantity]]</f>
        <v>4151.7</v>
      </c>
      <c r="T649" s="19">
        <f>tblMaster[[#This Row],[Revenue]]-tblMaster[[#This Row],[Estimated Cost (at 70%) ]]</f>
        <v>1779.3000000000002</v>
      </c>
      <c r="U649" s="19">
        <f>tblMaster[[#This Row],[Profit]]/tblMaster[[#This Row],[Revenue]]</f>
        <v>0.30000000000000004</v>
      </c>
      <c r="V649" s="19">
        <f>tblMaster[[#This Row],[Delivery_Date]]-tblMaster[[#This Row],[Order_Date]]</f>
        <v>4</v>
      </c>
      <c r="W649" s="19" t="str">
        <f>TEXT(tblMaster[[#This Row],[Order_Date]],"mmmm")</f>
        <v>November</v>
      </c>
      <c r="X649" s="19">
        <f>MONTH(tblMaster[[#This Row],[Order_Date]])</f>
        <v>11</v>
      </c>
      <c r="Y649" s="19" t="str">
        <f>"Q"&amp;ROUNDUP(tblMaster[[#This Row],[Month Number]]/3,0)</f>
        <v>Q4</v>
      </c>
      <c r="Z649" s="19">
        <f>YEAR(tblMaster[[#This Row],[Order_Date]])</f>
        <v>2023</v>
      </c>
      <c r="AA649" s="19" t="str">
        <f>TEXT(DAY(tblMaster[[#This Row],[Order_Date]]),"dddd")</f>
        <v>Thursday</v>
      </c>
      <c r="AB649" s="19" t="str">
        <f>IF(tblMaster[[#This Row],[Revenue]]&gt;=5000,"High",IF(tblMaster[[#This Row],[Revenue]]&lt;2000,"Low","Medium"))</f>
        <v>High</v>
      </c>
    </row>
    <row r="650" spans="1:28" x14ac:dyDescent="0.25">
      <c r="A650" s="7">
        <v>649</v>
      </c>
      <c r="B650" s="7" t="s">
        <v>291</v>
      </c>
      <c r="C650" s="4">
        <v>43</v>
      </c>
      <c r="D650" s="4">
        <v>3</v>
      </c>
      <c r="E650" s="8">
        <v>45232</v>
      </c>
      <c r="F650" s="9">
        <v>0.12894675925925925</v>
      </c>
      <c r="G650" s="8">
        <v>45241</v>
      </c>
      <c r="H650" s="9">
        <v>0.37170138888888887</v>
      </c>
      <c r="I650" s="7" t="s">
        <v>418</v>
      </c>
      <c r="J650" s="7" t="s">
        <v>19</v>
      </c>
      <c r="K650" s="18" t="str">
        <f>_xlfn.XLOOKUP(tblMaster[[#This Row],[Customer_ID]],tblCustomers[Customer_ID],tblCustomers[City],"Not Found",0)</f>
        <v>Bharatpur</v>
      </c>
      <c r="L650" s="18" t="str">
        <f>_xlfn.XLOOKUP(tblMaster[[#This Row],[Customer_ID]],tblCustomers[Customer_ID],tblCustomers[Name],"Not Found",0)</f>
        <v>Kismat Kapadia</v>
      </c>
      <c r="M650" s="18" t="str">
        <f>_xlfn.XLOOKUP(tblMaster[[#This Row],[Customer_ID]],tblCustomers[Customer_ID],tblCustomers[Gender],"Not Found",0)</f>
        <v>Female</v>
      </c>
      <c r="N650" s="18" t="str">
        <f>_xlfn.XLOOKUP(tblMaster[[#This Row],[Product_ID]],tblProducts[Product_ID],tblProducts[Product_Name],"Not Found",0)</f>
        <v>Quisquam Pack</v>
      </c>
      <c r="O650" s="18" t="str">
        <f>_xlfn.XLOOKUP(tblMaster[[#This Row],[Product_ID]],tblProducts[Product_ID],tblProducts[Category],"Not Found",0)</f>
        <v>Raksha Bandhan</v>
      </c>
      <c r="P650" s="18" t="str">
        <f>_xlfn.XLOOKUP(tblMaster[[#This Row],[Product_ID]],tblProducts[Product_ID],tblProducts[Occasion],"Not Found",0)</f>
        <v>Diwali</v>
      </c>
      <c r="Q650" s="18">
        <f>_xlfn.XLOOKUP(tblMaster[[#This Row],[Product_ID]],tblProducts[Product_ID],tblProducts[Price (INR)],"Not Found",0)</f>
        <v>750</v>
      </c>
      <c r="R650" s="19">
        <f>tblMaster[[#This Row],[Price]]*tblMaster[[#This Row],[Quantity]]</f>
        <v>2250</v>
      </c>
      <c r="S650" s="19">
        <f>tblMaster[[#This Row],[Price]]*0.7*tblMaster[[#This Row],[Quantity]]</f>
        <v>1575</v>
      </c>
      <c r="T650" s="19">
        <f>tblMaster[[#This Row],[Revenue]]-tblMaster[[#This Row],[Estimated Cost (at 70%) ]]</f>
        <v>675</v>
      </c>
      <c r="U650" s="19">
        <f>tblMaster[[#This Row],[Profit]]/tblMaster[[#This Row],[Revenue]]</f>
        <v>0.3</v>
      </c>
      <c r="V650" s="19">
        <f>tblMaster[[#This Row],[Delivery_Date]]-tblMaster[[#This Row],[Order_Date]]</f>
        <v>9</v>
      </c>
      <c r="W650" s="19" t="str">
        <f>TEXT(tblMaster[[#This Row],[Order_Date]],"mmmm")</f>
        <v>November</v>
      </c>
      <c r="X650" s="19">
        <f>MONTH(tblMaster[[#This Row],[Order_Date]])</f>
        <v>11</v>
      </c>
      <c r="Y650" s="19" t="str">
        <f>"Q"&amp;ROUNDUP(tblMaster[[#This Row],[Month Number]]/3,0)</f>
        <v>Q4</v>
      </c>
      <c r="Z650" s="19">
        <f>YEAR(tblMaster[[#This Row],[Order_Date]])</f>
        <v>2023</v>
      </c>
      <c r="AA650" s="19" t="str">
        <f>TEXT(DAY(tblMaster[[#This Row],[Order_Date]]),"dddd")</f>
        <v>Monday</v>
      </c>
      <c r="AB650" s="19" t="str">
        <f>IF(tblMaster[[#This Row],[Revenue]]&gt;=5000,"High",IF(tblMaster[[#This Row],[Revenue]]&lt;2000,"Low","Medium"))</f>
        <v>Medium</v>
      </c>
    </row>
    <row r="651" spans="1:28" x14ac:dyDescent="0.25">
      <c r="A651" s="10">
        <v>650</v>
      </c>
      <c r="B651" s="10" t="s">
        <v>261</v>
      </c>
      <c r="C651" s="5">
        <v>32</v>
      </c>
      <c r="D651" s="5">
        <v>3</v>
      </c>
      <c r="E651" s="11">
        <v>44980</v>
      </c>
      <c r="F651" s="12">
        <v>7.9664351851851847E-2</v>
      </c>
      <c r="G651" s="11">
        <v>44987</v>
      </c>
      <c r="H651" s="12">
        <v>0.13166666666666665</v>
      </c>
      <c r="I651" s="10" t="s">
        <v>173</v>
      </c>
      <c r="J651" s="10" t="s">
        <v>36</v>
      </c>
      <c r="K651" s="18" t="str">
        <f>_xlfn.XLOOKUP(tblMaster[[#This Row],[Customer_ID]],tblCustomers[Customer_ID],tblCustomers[City],"Not Found",0)</f>
        <v>Panchkula</v>
      </c>
      <c r="L651" s="18" t="str">
        <f>_xlfn.XLOOKUP(tblMaster[[#This Row],[Customer_ID]],tblCustomers[Customer_ID],tblCustomers[Name],"Not Found",0)</f>
        <v>Gokul Ahluwalia</v>
      </c>
      <c r="M651" s="18" t="str">
        <f>_xlfn.XLOOKUP(tblMaster[[#This Row],[Customer_ID]],tblCustomers[Customer_ID],tblCustomers[Gender],"Not Found",0)</f>
        <v>Female</v>
      </c>
      <c r="N651" s="18" t="str">
        <f>_xlfn.XLOOKUP(tblMaster[[#This Row],[Product_ID]],tblProducts[Product_ID],tblProducts[Product_Name],"Not Found",0)</f>
        <v>Fuga Set</v>
      </c>
      <c r="O651" s="18" t="str">
        <f>_xlfn.XLOOKUP(tblMaster[[#This Row],[Product_ID]],tblProducts[Product_ID],tblProducts[Category],"Not Found",0)</f>
        <v>Soft Toys</v>
      </c>
      <c r="P651" s="18" t="str">
        <f>_xlfn.XLOOKUP(tblMaster[[#This Row],[Product_ID]],tblProducts[Product_ID],tblProducts[Occasion],"Not Found",0)</f>
        <v>Birthday</v>
      </c>
      <c r="Q651" s="18">
        <f>_xlfn.XLOOKUP(tblMaster[[#This Row],[Product_ID]],tblProducts[Product_ID],tblProducts[Price (INR)],"Not Found",0)</f>
        <v>1792</v>
      </c>
      <c r="R651" s="19">
        <f>tblMaster[[#This Row],[Price]]*tblMaster[[#This Row],[Quantity]]</f>
        <v>5376</v>
      </c>
      <c r="S651" s="19">
        <f>tblMaster[[#This Row],[Price]]*0.7*tblMaster[[#This Row],[Quantity]]</f>
        <v>3763.2</v>
      </c>
      <c r="T651" s="19">
        <f>tblMaster[[#This Row],[Revenue]]-tblMaster[[#This Row],[Estimated Cost (at 70%) ]]</f>
        <v>1612.8000000000002</v>
      </c>
      <c r="U651" s="19">
        <f>tblMaster[[#This Row],[Profit]]/tblMaster[[#This Row],[Revenue]]</f>
        <v>0.30000000000000004</v>
      </c>
      <c r="V651" s="19">
        <f>tblMaster[[#This Row],[Delivery_Date]]-tblMaster[[#This Row],[Order_Date]]</f>
        <v>7</v>
      </c>
      <c r="W651" s="19" t="str">
        <f>TEXT(tblMaster[[#This Row],[Order_Date]],"mmmm")</f>
        <v>February</v>
      </c>
      <c r="X651" s="19">
        <f>MONTH(tblMaster[[#This Row],[Order_Date]])</f>
        <v>2</v>
      </c>
      <c r="Y651" s="19" t="str">
        <f>"Q"&amp;ROUNDUP(tblMaster[[#This Row],[Month Number]]/3,0)</f>
        <v>Q1</v>
      </c>
      <c r="Z651" s="19">
        <f>YEAR(tblMaster[[#This Row],[Order_Date]])</f>
        <v>2023</v>
      </c>
      <c r="AA651" s="19" t="str">
        <f>TEXT(DAY(tblMaster[[#This Row],[Order_Date]]),"dddd")</f>
        <v>Monday</v>
      </c>
      <c r="AB651" s="19" t="str">
        <f>IF(tblMaster[[#This Row],[Revenue]]&gt;=5000,"High",IF(tblMaster[[#This Row],[Revenue]]&lt;2000,"Low","Medium"))</f>
        <v>High</v>
      </c>
    </row>
    <row r="652" spans="1:28" x14ac:dyDescent="0.25">
      <c r="A652" s="7">
        <v>651</v>
      </c>
      <c r="B652" s="7" t="s">
        <v>274</v>
      </c>
      <c r="C652" s="4">
        <v>11</v>
      </c>
      <c r="D652" s="4">
        <v>4</v>
      </c>
      <c r="E652" s="8">
        <v>44970</v>
      </c>
      <c r="F652" s="9">
        <v>9.4768518518518516E-2</v>
      </c>
      <c r="G652" s="8">
        <v>44976</v>
      </c>
      <c r="H652" s="9">
        <v>0.49715277777777778</v>
      </c>
      <c r="I652" s="7" t="s">
        <v>266</v>
      </c>
      <c r="J652" s="7" t="s">
        <v>12</v>
      </c>
      <c r="K652" s="18" t="str">
        <f>_xlfn.XLOOKUP(tblMaster[[#This Row],[Customer_ID]],tblCustomers[Customer_ID],tblCustomers[City],"Not Found",0)</f>
        <v>Gangtok</v>
      </c>
      <c r="L652" s="18" t="str">
        <f>_xlfn.XLOOKUP(tblMaster[[#This Row],[Customer_ID]],tblCustomers[Customer_ID],tblCustomers[Name],"Not Found",0)</f>
        <v>Advika Dhar</v>
      </c>
      <c r="M652" s="18" t="str">
        <f>_xlfn.XLOOKUP(tblMaster[[#This Row],[Customer_ID]],tblCustomers[Customer_ID],tblCustomers[Gender],"Not Found",0)</f>
        <v>Male</v>
      </c>
      <c r="N652" s="18" t="str">
        <f>_xlfn.XLOOKUP(tblMaster[[#This Row],[Product_ID]],tblProducts[Product_ID],tblProducts[Product_Name],"Not Found",0)</f>
        <v>Maxime Set</v>
      </c>
      <c r="O652" s="18" t="str">
        <f>_xlfn.XLOOKUP(tblMaster[[#This Row],[Product_ID]],tblProducts[Product_ID],tblProducts[Category],"Not Found",0)</f>
        <v>Mugs</v>
      </c>
      <c r="P652" s="18" t="str">
        <f>_xlfn.XLOOKUP(tblMaster[[#This Row],[Product_ID]],tblProducts[Product_ID],tblProducts[Occasion],"Not Found",0)</f>
        <v>Valentine's Day</v>
      </c>
      <c r="Q652" s="18">
        <f>_xlfn.XLOOKUP(tblMaster[[#This Row],[Product_ID]],tblProducts[Product_ID],tblProducts[Price (INR)],"Not Found",0)</f>
        <v>1096</v>
      </c>
      <c r="R652" s="19">
        <f>tblMaster[[#This Row],[Price]]*tblMaster[[#This Row],[Quantity]]</f>
        <v>4384</v>
      </c>
      <c r="S652" s="19">
        <f>tblMaster[[#This Row],[Price]]*0.7*tblMaster[[#This Row],[Quantity]]</f>
        <v>3068.7999999999997</v>
      </c>
      <c r="T652" s="19">
        <f>tblMaster[[#This Row],[Revenue]]-tblMaster[[#This Row],[Estimated Cost (at 70%) ]]</f>
        <v>1315.2000000000003</v>
      </c>
      <c r="U652" s="19">
        <f>tblMaster[[#This Row],[Profit]]/tblMaster[[#This Row],[Revenue]]</f>
        <v>0.30000000000000004</v>
      </c>
      <c r="V652" s="19">
        <f>tblMaster[[#This Row],[Delivery_Date]]-tblMaster[[#This Row],[Order_Date]]</f>
        <v>6</v>
      </c>
      <c r="W652" s="19" t="str">
        <f>TEXT(tblMaster[[#This Row],[Order_Date]],"mmmm")</f>
        <v>February</v>
      </c>
      <c r="X652" s="19">
        <f>MONTH(tblMaster[[#This Row],[Order_Date]])</f>
        <v>2</v>
      </c>
      <c r="Y652" s="19" t="str">
        <f>"Q"&amp;ROUNDUP(tblMaster[[#This Row],[Month Number]]/3,0)</f>
        <v>Q1</v>
      </c>
      <c r="Z652" s="19">
        <f>YEAR(tblMaster[[#This Row],[Order_Date]])</f>
        <v>2023</v>
      </c>
      <c r="AA652" s="19" t="str">
        <f>TEXT(DAY(tblMaster[[#This Row],[Order_Date]]),"dddd")</f>
        <v>Friday</v>
      </c>
      <c r="AB652" s="19" t="str">
        <f>IF(tblMaster[[#This Row],[Revenue]]&gt;=5000,"High",IF(tblMaster[[#This Row],[Revenue]]&lt;2000,"Low","Medium"))</f>
        <v>Medium</v>
      </c>
    </row>
    <row r="653" spans="1:28" x14ac:dyDescent="0.25">
      <c r="A653" s="10">
        <v>652</v>
      </c>
      <c r="B653" s="10" t="s">
        <v>295</v>
      </c>
      <c r="C653" s="5">
        <v>21</v>
      </c>
      <c r="D653" s="5">
        <v>2</v>
      </c>
      <c r="E653" s="11">
        <v>45166</v>
      </c>
      <c r="F653" s="12">
        <v>0.82024305555555554</v>
      </c>
      <c r="G653" s="11">
        <v>45172</v>
      </c>
      <c r="H653" s="12">
        <v>1.0532407407407407E-3</v>
      </c>
      <c r="I653" s="10" t="s">
        <v>397</v>
      </c>
      <c r="J653" s="10" t="s">
        <v>33</v>
      </c>
      <c r="K653" s="18" t="str">
        <f>_xlfn.XLOOKUP(tblMaster[[#This Row],[Customer_ID]],tblCustomers[Customer_ID],tblCustomers[City],"Not Found",0)</f>
        <v>Surat</v>
      </c>
      <c r="L653" s="18" t="str">
        <f>_xlfn.XLOOKUP(tblMaster[[#This Row],[Customer_ID]],tblCustomers[Customer_ID],tblCustomers[Name],"Not Found",0)</f>
        <v>Mannat Anand</v>
      </c>
      <c r="M653" s="18" t="str">
        <f>_xlfn.XLOOKUP(tblMaster[[#This Row],[Customer_ID]],tblCustomers[Customer_ID],tblCustomers[Gender],"Not Found",0)</f>
        <v>Male</v>
      </c>
      <c r="N653" s="18" t="str">
        <f>_xlfn.XLOOKUP(tblMaster[[#This Row],[Product_ID]],tblProducts[Product_ID],tblProducts[Product_Name],"Not Found",0)</f>
        <v>Quia Gift</v>
      </c>
      <c r="O653" s="18" t="str">
        <f>_xlfn.XLOOKUP(tblMaster[[#This Row],[Product_ID]],tblProducts[Product_ID],tblProducts[Category],"Not Found",0)</f>
        <v>Colors</v>
      </c>
      <c r="P653" s="18" t="str">
        <f>_xlfn.XLOOKUP(tblMaster[[#This Row],[Product_ID]],tblProducts[Product_ID],tblProducts[Occasion],"Not Found",0)</f>
        <v>Raksha Bandhan</v>
      </c>
      <c r="Q653" s="18">
        <f>_xlfn.XLOOKUP(tblMaster[[#This Row],[Product_ID]],tblProducts[Product_ID],tblProducts[Price (INR)],"Not Found",0)</f>
        <v>1561</v>
      </c>
      <c r="R653" s="19">
        <f>tblMaster[[#This Row],[Price]]*tblMaster[[#This Row],[Quantity]]</f>
        <v>3122</v>
      </c>
      <c r="S653" s="19">
        <f>tblMaster[[#This Row],[Price]]*0.7*tblMaster[[#This Row],[Quantity]]</f>
        <v>2185.3999999999996</v>
      </c>
      <c r="T653" s="19">
        <f>tblMaster[[#This Row],[Revenue]]-tblMaster[[#This Row],[Estimated Cost (at 70%) ]]</f>
        <v>936.60000000000036</v>
      </c>
      <c r="U653" s="19">
        <f>tblMaster[[#This Row],[Profit]]/tblMaster[[#This Row],[Revenue]]</f>
        <v>0.3000000000000001</v>
      </c>
      <c r="V653" s="19">
        <f>tblMaster[[#This Row],[Delivery_Date]]-tblMaster[[#This Row],[Order_Date]]</f>
        <v>6</v>
      </c>
      <c r="W653" s="19" t="str">
        <f>TEXT(tblMaster[[#This Row],[Order_Date]],"mmmm")</f>
        <v>August</v>
      </c>
      <c r="X653" s="19">
        <f>MONTH(tblMaster[[#This Row],[Order_Date]])</f>
        <v>8</v>
      </c>
      <c r="Y653" s="19" t="str">
        <f>"Q"&amp;ROUNDUP(tblMaster[[#This Row],[Month Number]]/3,0)</f>
        <v>Q3</v>
      </c>
      <c r="Z653" s="19">
        <f>YEAR(tblMaster[[#This Row],[Order_Date]])</f>
        <v>2023</v>
      </c>
      <c r="AA653" s="19" t="str">
        <f>TEXT(DAY(tblMaster[[#This Row],[Order_Date]]),"dddd")</f>
        <v>Saturday</v>
      </c>
      <c r="AB653" s="19" t="str">
        <f>IF(tblMaster[[#This Row],[Revenue]]&gt;=5000,"High",IF(tblMaster[[#This Row],[Revenue]]&lt;2000,"Low","Medium"))</f>
        <v>Medium</v>
      </c>
    </row>
    <row r="654" spans="1:28" x14ac:dyDescent="0.25">
      <c r="A654" s="7">
        <v>653</v>
      </c>
      <c r="B654" s="7" t="s">
        <v>417</v>
      </c>
      <c r="C654" s="4">
        <v>17</v>
      </c>
      <c r="D654" s="4">
        <v>4</v>
      </c>
      <c r="E654" s="8">
        <v>45259</v>
      </c>
      <c r="F654" s="9">
        <v>0.56813657407407403</v>
      </c>
      <c r="G654" s="8">
        <v>45261</v>
      </c>
      <c r="H654" s="9">
        <v>0.24457175925925925</v>
      </c>
      <c r="I654" s="7" t="s">
        <v>338</v>
      </c>
      <c r="J654" s="7" t="s">
        <v>30</v>
      </c>
      <c r="K654" s="18" t="str">
        <f>_xlfn.XLOOKUP(tblMaster[[#This Row],[Customer_ID]],tblCustomers[Customer_ID],tblCustomers[City],"Not Found",0)</f>
        <v>Gaya</v>
      </c>
      <c r="L654" s="18" t="str">
        <f>_xlfn.XLOOKUP(tblMaster[[#This Row],[Customer_ID]],tblCustomers[Customer_ID],tblCustomers[Name],"Not Found",0)</f>
        <v>Oorja Dayal</v>
      </c>
      <c r="M654" s="18" t="str">
        <f>_xlfn.XLOOKUP(tblMaster[[#This Row],[Customer_ID]],tblCustomers[Customer_ID],tblCustomers[Gender],"Not Found",0)</f>
        <v>Female</v>
      </c>
      <c r="N654" s="18" t="str">
        <f>_xlfn.XLOOKUP(tblMaster[[#This Row],[Product_ID]],tblProducts[Product_ID],tblProducts[Product_Name],"Not Found",0)</f>
        <v>Delectus Gift</v>
      </c>
      <c r="O654" s="18" t="str">
        <f>_xlfn.XLOOKUP(tblMaster[[#This Row],[Product_ID]],tblProducts[Product_ID],tblProducts[Category],"Not Found",0)</f>
        <v>Soft Toys</v>
      </c>
      <c r="P654" s="18" t="str">
        <f>_xlfn.XLOOKUP(tblMaster[[#This Row],[Product_ID]],tblProducts[Product_ID],tblProducts[Occasion],"Not Found",0)</f>
        <v>Anniversary</v>
      </c>
      <c r="Q654" s="18">
        <f>_xlfn.XLOOKUP(tblMaster[[#This Row],[Product_ID]],tblProducts[Product_ID],tblProducts[Price (INR)],"Not Found",0)</f>
        <v>1899</v>
      </c>
      <c r="R654" s="19">
        <f>tblMaster[[#This Row],[Price]]*tblMaster[[#This Row],[Quantity]]</f>
        <v>7596</v>
      </c>
      <c r="S654" s="19">
        <f>tblMaster[[#This Row],[Price]]*0.7*tblMaster[[#This Row],[Quantity]]</f>
        <v>5317.2</v>
      </c>
      <c r="T654" s="19">
        <f>tblMaster[[#This Row],[Revenue]]-tblMaster[[#This Row],[Estimated Cost (at 70%) ]]</f>
        <v>2278.8000000000002</v>
      </c>
      <c r="U654" s="19">
        <f>tblMaster[[#This Row],[Profit]]/tblMaster[[#This Row],[Revenue]]</f>
        <v>0.30000000000000004</v>
      </c>
      <c r="V654" s="19">
        <f>tblMaster[[#This Row],[Delivery_Date]]-tblMaster[[#This Row],[Order_Date]]</f>
        <v>2</v>
      </c>
      <c r="W654" s="19" t="str">
        <f>TEXT(tblMaster[[#This Row],[Order_Date]],"mmmm")</f>
        <v>November</v>
      </c>
      <c r="X654" s="19">
        <f>MONTH(tblMaster[[#This Row],[Order_Date]])</f>
        <v>11</v>
      </c>
      <c r="Y654" s="19" t="str">
        <f>"Q"&amp;ROUNDUP(tblMaster[[#This Row],[Month Number]]/3,0)</f>
        <v>Q4</v>
      </c>
      <c r="Z654" s="19">
        <f>YEAR(tblMaster[[#This Row],[Order_Date]])</f>
        <v>2023</v>
      </c>
      <c r="AA654" s="19" t="str">
        <f>TEXT(DAY(tblMaster[[#This Row],[Order_Date]]),"dddd")</f>
        <v>Sunday</v>
      </c>
      <c r="AB654" s="19" t="str">
        <f>IF(tblMaster[[#This Row],[Revenue]]&gt;=5000,"High",IF(tblMaster[[#This Row],[Revenue]]&lt;2000,"Low","Medium"))</f>
        <v>High</v>
      </c>
    </row>
    <row r="655" spans="1:28" x14ac:dyDescent="0.25">
      <c r="A655" s="10">
        <v>654</v>
      </c>
      <c r="B655" s="10" t="s">
        <v>168</v>
      </c>
      <c r="C655" s="5">
        <v>64</v>
      </c>
      <c r="D655" s="5">
        <v>2</v>
      </c>
      <c r="E655" s="11">
        <v>45167</v>
      </c>
      <c r="F655" s="12">
        <v>0.20364583333333333</v>
      </c>
      <c r="G655" s="11">
        <v>45171</v>
      </c>
      <c r="H655" s="12">
        <v>2.8622685185185185E-2</v>
      </c>
      <c r="I655" s="10" t="s">
        <v>326</v>
      </c>
      <c r="J655" s="10" t="s">
        <v>33</v>
      </c>
      <c r="K655" s="18" t="str">
        <f>_xlfn.XLOOKUP(tblMaster[[#This Row],[Customer_ID]],tblCustomers[Customer_ID],tblCustomers[City],"Not Found",0)</f>
        <v>Danapur</v>
      </c>
      <c r="L655" s="18" t="str">
        <f>_xlfn.XLOOKUP(tblMaster[[#This Row],[Customer_ID]],tblCustomers[Customer_ID],tblCustomers[Name],"Not Found",0)</f>
        <v>Amira Sengupta</v>
      </c>
      <c r="M655" s="18" t="str">
        <f>_xlfn.XLOOKUP(tblMaster[[#This Row],[Customer_ID]],tblCustomers[Customer_ID],tblCustomers[Gender],"Not Found",0)</f>
        <v>Male</v>
      </c>
      <c r="N655" s="18" t="str">
        <f>_xlfn.XLOOKUP(tblMaster[[#This Row],[Product_ID]],tblProducts[Product_ID],tblProducts[Product_Name],"Not Found",0)</f>
        <v>Nostrum Box</v>
      </c>
      <c r="O655" s="18" t="str">
        <f>_xlfn.XLOOKUP(tblMaster[[#This Row],[Product_ID]],tblProducts[Product_ID],tblProducts[Category],"Not Found",0)</f>
        <v>Soft Toys</v>
      </c>
      <c r="P655" s="18" t="str">
        <f>_xlfn.XLOOKUP(tblMaster[[#This Row],[Product_ID]],tblProducts[Product_ID],tblProducts[Occasion],"Not Found",0)</f>
        <v>Raksha Bandhan</v>
      </c>
      <c r="Q655" s="18">
        <f>_xlfn.XLOOKUP(tblMaster[[#This Row],[Product_ID]],tblProducts[Product_ID],tblProducts[Price (INR)],"Not Found",0)</f>
        <v>1878</v>
      </c>
      <c r="R655" s="19">
        <f>tblMaster[[#This Row],[Price]]*tblMaster[[#This Row],[Quantity]]</f>
        <v>3756</v>
      </c>
      <c r="S655" s="19">
        <f>tblMaster[[#This Row],[Price]]*0.7*tblMaster[[#This Row],[Quantity]]</f>
        <v>2629.2</v>
      </c>
      <c r="T655" s="19">
        <f>tblMaster[[#This Row],[Revenue]]-tblMaster[[#This Row],[Estimated Cost (at 70%) ]]</f>
        <v>1126.8000000000002</v>
      </c>
      <c r="U655" s="19">
        <f>tblMaster[[#This Row],[Profit]]/tblMaster[[#This Row],[Revenue]]</f>
        <v>0.30000000000000004</v>
      </c>
      <c r="V655" s="19">
        <f>tblMaster[[#This Row],[Delivery_Date]]-tblMaster[[#This Row],[Order_Date]]</f>
        <v>4</v>
      </c>
      <c r="W655" s="19" t="str">
        <f>TEXT(tblMaster[[#This Row],[Order_Date]],"mmmm")</f>
        <v>August</v>
      </c>
      <c r="X655" s="19">
        <f>MONTH(tblMaster[[#This Row],[Order_Date]])</f>
        <v>8</v>
      </c>
      <c r="Y655" s="19" t="str">
        <f>"Q"&amp;ROUNDUP(tblMaster[[#This Row],[Month Number]]/3,0)</f>
        <v>Q3</v>
      </c>
      <c r="Z655" s="19">
        <f>YEAR(tblMaster[[#This Row],[Order_Date]])</f>
        <v>2023</v>
      </c>
      <c r="AA655" s="19" t="str">
        <f>TEXT(DAY(tblMaster[[#This Row],[Order_Date]]),"dddd")</f>
        <v>Sunday</v>
      </c>
      <c r="AB655" s="19" t="str">
        <f>IF(tblMaster[[#This Row],[Revenue]]&gt;=5000,"High",IF(tblMaster[[#This Row],[Revenue]]&lt;2000,"Low","Medium"))</f>
        <v>Medium</v>
      </c>
    </row>
    <row r="656" spans="1:28" x14ac:dyDescent="0.25">
      <c r="A656" s="7">
        <v>655</v>
      </c>
      <c r="B656" s="7" t="s">
        <v>270</v>
      </c>
      <c r="C656" s="4">
        <v>17</v>
      </c>
      <c r="D656" s="4">
        <v>1</v>
      </c>
      <c r="E656" s="8">
        <v>45238</v>
      </c>
      <c r="F656" s="9">
        <v>0.88824074074074078</v>
      </c>
      <c r="G656" s="8">
        <v>45247</v>
      </c>
      <c r="H656" s="9">
        <v>0.79001157407407407</v>
      </c>
      <c r="I656" s="7" t="s">
        <v>363</v>
      </c>
      <c r="J656" s="7" t="s">
        <v>30</v>
      </c>
      <c r="K656" s="18" t="str">
        <f>_xlfn.XLOOKUP(tblMaster[[#This Row],[Customer_ID]],tblCustomers[Customer_ID],tblCustomers[City],"Not Found",0)</f>
        <v>Kolkata</v>
      </c>
      <c r="L656" s="18" t="str">
        <f>_xlfn.XLOOKUP(tblMaster[[#This Row],[Customer_ID]],tblCustomers[Customer_ID],tblCustomers[Name],"Not Found",0)</f>
        <v>Romil Bajwa</v>
      </c>
      <c r="M656" s="18" t="str">
        <f>_xlfn.XLOOKUP(tblMaster[[#This Row],[Customer_ID]],tblCustomers[Customer_ID],tblCustomers[Gender],"Not Found",0)</f>
        <v>Female</v>
      </c>
      <c r="N656" s="18" t="str">
        <f>_xlfn.XLOOKUP(tblMaster[[#This Row],[Product_ID]],tblProducts[Product_ID],tblProducts[Product_Name],"Not Found",0)</f>
        <v>Delectus Gift</v>
      </c>
      <c r="O656" s="18" t="str">
        <f>_xlfn.XLOOKUP(tblMaster[[#This Row],[Product_ID]],tblProducts[Product_ID],tblProducts[Category],"Not Found",0)</f>
        <v>Soft Toys</v>
      </c>
      <c r="P656" s="18" t="str">
        <f>_xlfn.XLOOKUP(tblMaster[[#This Row],[Product_ID]],tblProducts[Product_ID],tblProducts[Occasion],"Not Found",0)</f>
        <v>Anniversary</v>
      </c>
      <c r="Q656" s="18">
        <f>_xlfn.XLOOKUP(tblMaster[[#This Row],[Product_ID]],tblProducts[Product_ID],tblProducts[Price (INR)],"Not Found",0)</f>
        <v>1899</v>
      </c>
      <c r="R656" s="19">
        <f>tblMaster[[#This Row],[Price]]*tblMaster[[#This Row],[Quantity]]</f>
        <v>1899</v>
      </c>
      <c r="S656" s="19">
        <f>tblMaster[[#This Row],[Price]]*0.7*tblMaster[[#This Row],[Quantity]]</f>
        <v>1329.3</v>
      </c>
      <c r="T656" s="19">
        <f>tblMaster[[#This Row],[Revenue]]-tblMaster[[#This Row],[Estimated Cost (at 70%) ]]</f>
        <v>569.70000000000005</v>
      </c>
      <c r="U656" s="19">
        <f>tblMaster[[#This Row],[Profit]]/tblMaster[[#This Row],[Revenue]]</f>
        <v>0.30000000000000004</v>
      </c>
      <c r="V656" s="19">
        <f>tblMaster[[#This Row],[Delivery_Date]]-tblMaster[[#This Row],[Order_Date]]</f>
        <v>9</v>
      </c>
      <c r="W656" s="19" t="str">
        <f>TEXT(tblMaster[[#This Row],[Order_Date]],"mmmm")</f>
        <v>November</v>
      </c>
      <c r="X656" s="19">
        <f>MONTH(tblMaster[[#This Row],[Order_Date]])</f>
        <v>11</v>
      </c>
      <c r="Y656" s="19" t="str">
        <f>"Q"&amp;ROUNDUP(tblMaster[[#This Row],[Month Number]]/3,0)</f>
        <v>Q4</v>
      </c>
      <c r="Z656" s="19">
        <f>YEAR(tblMaster[[#This Row],[Order_Date]])</f>
        <v>2023</v>
      </c>
      <c r="AA656" s="19" t="str">
        <f>TEXT(DAY(tblMaster[[#This Row],[Order_Date]]),"dddd")</f>
        <v>Sunday</v>
      </c>
      <c r="AB656" s="19" t="str">
        <f>IF(tblMaster[[#This Row],[Revenue]]&gt;=5000,"High",IF(tblMaster[[#This Row],[Revenue]]&lt;2000,"Low","Medium"))</f>
        <v>Low</v>
      </c>
    </row>
    <row r="657" spans="1:28" x14ac:dyDescent="0.25">
      <c r="A657" s="10">
        <v>656</v>
      </c>
      <c r="B657" s="10" t="s">
        <v>295</v>
      </c>
      <c r="C657" s="5">
        <v>68</v>
      </c>
      <c r="D657" s="5">
        <v>2</v>
      </c>
      <c r="E657" s="11">
        <v>44962</v>
      </c>
      <c r="F657" s="12">
        <v>0.77408564814814818</v>
      </c>
      <c r="G657" s="11">
        <v>44963</v>
      </c>
      <c r="H657" s="12">
        <v>0.1986111111111111</v>
      </c>
      <c r="I657" s="10" t="s">
        <v>519</v>
      </c>
      <c r="J657" s="10" t="s">
        <v>12</v>
      </c>
      <c r="K657" s="18" t="str">
        <f>_xlfn.XLOOKUP(tblMaster[[#This Row],[Customer_ID]],tblCustomers[Customer_ID],tblCustomers[City],"Not Found",0)</f>
        <v>Surat</v>
      </c>
      <c r="L657" s="18" t="str">
        <f>_xlfn.XLOOKUP(tblMaster[[#This Row],[Customer_ID]],tblCustomers[Customer_ID],tblCustomers[Name],"Not Found",0)</f>
        <v>Mannat Anand</v>
      </c>
      <c r="M657" s="18" t="str">
        <f>_xlfn.XLOOKUP(tblMaster[[#This Row],[Customer_ID]],tblCustomers[Customer_ID],tblCustomers[Gender],"Not Found",0)</f>
        <v>Male</v>
      </c>
      <c r="N657" s="18" t="str">
        <f>_xlfn.XLOOKUP(tblMaster[[#This Row],[Product_ID]],tblProducts[Product_ID],tblProducts[Product_Name],"Not Found",0)</f>
        <v>Quas Gift</v>
      </c>
      <c r="O657" s="18" t="str">
        <f>_xlfn.XLOOKUP(tblMaster[[#This Row],[Product_ID]],tblProducts[Product_ID],tblProducts[Category],"Not Found",0)</f>
        <v>Soft Toys</v>
      </c>
      <c r="P657" s="18" t="str">
        <f>_xlfn.XLOOKUP(tblMaster[[#This Row],[Product_ID]],tblProducts[Product_ID],tblProducts[Occasion],"Not Found",0)</f>
        <v>Valentine's Day</v>
      </c>
      <c r="Q657" s="18">
        <f>_xlfn.XLOOKUP(tblMaster[[#This Row],[Product_ID]],tblProducts[Product_ID],tblProducts[Price (INR)],"Not Found",0)</f>
        <v>597</v>
      </c>
      <c r="R657" s="19">
        <f>tblMaster[[#This Row],[Price]]*tblMaster[[#This Row],[Quantity]]</f>
        <v>1194</v>
      </c>
      <c r="S657" s="19">
        <f>tblMaster[[#This Row],[Price]]*0.7*tblMaster[[#This Row],[Quantity]]</f>
        <v>835.8</v>
      </c>
      <c r="T657" s="19">
        <f>tblMaster[[#This Row],[Revenue]]-tblMaster[[#This Row],[Estimated Cost (at 70%) ]]</f>
        <v>358.20000000000005</v>
      </c>
      <c r="U657" s="19">
        <f>tblMaster[[#This Row],[Profit]]/tblMaster[[#This Row],[Revenue]]</f>
        <v>0.30000000000000004</v>
      </c>
      <c r="V657" s="19">
        <f>tblMaster[[#This Row],[Delivery_Date]]-tblMaster[[#This Row],[Order_Date]]</f>
        <v>1</v>
      </c>
      <c r="W657" s="19" t="str">
        <f>TEXT(tblMaster[[#This Row],[Order_Date]],"mmmm")</f>
        <v>February</v>
      </c>
      <c r="X657" s="19">
        <f>MONTH(tblMaster[[#This Row],[Order_Date]])</f>
        <v>2</v>
      </c>
      <c r="Y657" s="19" t="str">
        <f>"Q"&amp;ROUNDUP(tblMaster[[#This Row],[Month Number]]/3,0)</f>
        <v>Q1</v>
      </c>
      <c r="Z657" s="19">
        <f>YEAR(tblMaster[[#This Row],[Order_Date]])</f>
        <v>2023</v>
      </c>
      <c r="AA657" s="19" t="str">
        <f>TEXT(DAY(tblMaster[[#This Row],[Order_Date]]),"dddd")</f>
        <v>Thursday</v>
      </c>
      <c r="AB657" s="19" t="str">
        <f>IF(tblMaster[[#This Row],[Revenue]]&gt;=5000,"High",IF(tblMaster[[#This Row],[Revenue]]&lt;2000,"Low","Medium"))</f>
        <v>Low</v>
      </c>
    </row>
    <row r="658" spans="1:28" x14ac:dyDescent="0.25">
      <c r="A658" s="7">
        <v>657</v>
      </c>
      <c r="B658" s="7" t="s">
        <v>224</v>
      </c>
      <c r="C658" s="4">
        <v>13</v>
      </c>
      <c r="D658" s="4">
        <v>3</v>
      </c>
      <c r="E658" s="8">
        <v>44988</v>
      </c>
      <c r="F658" s="9">
        <v>0.40130787037037036</v>
      </c>
      <c r="G658" s="8">
        <v>44993</v>
      </c>
      <c r="H658" s="9">
        <v>0.61707175925925928</v>
      </c>
      <c r="I658" s="7" t="s">
        <v>324</v>
      </c>
      <c r="J658" s="7" t="s">
        <v>25</v>
      </c>
      <c r="K658" s="18" t="str">
        <f>_xlfn.XLOOKUP(tblMaster[[#This Row],[Customer_ID]],tblCustomers[Customer_ID],tblCustomers[City],"Not Found",0)</f>
        <v>Imphal</v>
      </c>
      <c r="L658" s="18" t="str">
        <f>_xlfn.XLOOKUP(tblMaster[[#This Row],[Customer_ID]],tblCustomers[Customer_ID],tblCustomers[Name],"Not Found",0)</f>
        <v>Umang Luthra</v>
      </c>
      <c r="M658" s="18" t="str">
        <f>_xlfn.XLOOKUP(tblMaster[[#This Row],[Customer_ID]],tblCustomers[Customer_ID],tblCustomers[Gender],"Not Found",0)</f>
        <v>Male</v>
      </c>
      <c r="N658" s="18" t="str">
        <f>_xlfn.XLOOKUP(tblMaster[[#This Row],[Product_ID]],tblProducts[Product_ID],tblProducts[Product_Name],"Not Found",0)</f>
        <v>Et Set</v>
      </c>
      <c r="O658" s="18" t="str">
        <f>_xlfn.XLOOKUP(tblMaster[[#This Row],[Product_ID]],tblProducts[Product_ID],tblProducts[Category],"Not Found",0)</f>
        <v>Mugs</v>
      </c>
      <c r="P658" s="18" t="str">
        <f>_xlfn.XLOOKUP(tblMaster[[#This Row],[Product_ID]],tblProducts[Product_ID],tblProducts[Occasion],"Not Found",0)</f>
        <v>Holi</v>
      </c>
      <c r="Q658" s="18">
        <f>_xlfn.XLOOKUP(tblMaster[[#This Row],[Product_ID]],tblProducts[Product_ID],tblProducts[Price (INR)],"Not Found",0)</f>
        <v>1141</v>
      </c>
      <c r="R658" s="19">
        <f>tblMaster[[#This Row],[Price]]*tblMaster[[#This Row],[Quantity]]</f>
        <v>3423</v>
      </c>
      <c r="S658" s="19">
        <f>tblMaster[[#This Row],[Price]]*0.7*tblMaster[[#This Row],[Quantity]]</f>
        <v>2396.1</v>
      </c>
      <c r="T658" s="19">
        <f>tblMaster[[#This Row],[Revenue]]-tblMaster[[#This Row],[Estimated Cost (at 70%) ]]</f>
        <v>1026.9000000000001</v>
      </c>
      <c r="U658" s="19">
        <f>tblMaster[[#This Row],[Profit]]/tblMaster[[#This Row],[Revenue]]</f>
        <v>0.30000000000000004</v>
      </c>
      <c r="V658" s="19">
        <f>tblMaster[[#This Row],[Delivery_Date]]-tblMaster[[#This Row],[Order_Date]]</f>
        <v>5</v>
      </c>
      <c r="W658" s="19" t="str">
        <f>TEXT(tblMaster[[#This Row],[Order_Date]],"mmmm")</f>
        <v>March</v>
      </c>
      <c r="X658" s="19">
        <f>MONTH(tblMaster[[#This Row],[Order_Date]])</f>
        <v>3</v>
      </c>
      <c r="Y658" s="19" t="str">
        <f>"Q"&amp;ROUNDUP(tblMaster[[#This Row],[Month Number]]/3,0)</f>
        <v>Q1</v>
      </c>
      <c r="Z658" s="19">
        <f>YEAR(tblMaster[[#This Row],[Order_Date]])</f>
        <v>2023</v>
      </c>
      <c r="AA658" s="19" t="str">
        <f>TEXT(DAY(tblMaster[[#This Row],[Order_Date]]),"dddd")</f>
        <v>Tuesday</v>
      </c>
      <c r="AB658" s="19" t="str">
        <f>IF(tblMaster[[#This Row],[Revenue]]&gt;=5000,"High",IF(tblMaster[[#This Row],[Revenue]]&lt;2000,"Low","Medium"))</f>
        <v>Medium</v>
      </c>
    </row>
    <row r="659" spans="1:28" x14ac:dyDescent="0.25">
      <c r="A659" s="10">
        <v>658</v>
      </c>
      <c r="B659" s="10" t="s">
        <v>302</v>
      </c>
      <c r="C659" s="5">
        <v>21</v>
      </c>
      <c r="D659" s="5">
        <v>3</v>
      </c>
      <c r="E659" s="11">
        <v>45160</v>
      </c>
      <c r="F659" s="12">
        <v>0.87148148148148152</v>
      </c>
      <c r="G659" s="11">
        <v>45169</v>
      </c>
      <c r="H659" s="12">
        <v>0.3709027777777778</v>
      </c>
      <c r="I659" s="10" t="s">
        <v>393</v>
      </c>
      <c r="J659" s="10" t="s">
        <v>33</v>
      </c>
      <c r="K659" s="18" t="str">
        <f>_xlfn.XLOOKUP(tblMaster[[#This Row],[Customer_ID]],tblCustomers[Customer_ID],tblCustomers[City],"Not Found",0)</f>
        <v>Kavali</v>
      </c>
      <c r="L659" s="18" t="str">
        <f>_xlfn.XLOOKUP(tblMaster[[#This Row],[Customer_ID]],tblCustomers[Customer_ID],tblCustomers[Name],"Not Found",0)</f>
        <v>Akarsh Ramesh</v>
      </c>
      <c r="M659" s="18" t="str">
        <f>_xlfn.XLOOKUP(tblMaster[[#This Row],[Customer_ID]],tblCustomers[Customer_ID],tblCustomers[Gender],"Not Found",0)</f>
        <v>Female</v>
      </c>
      <c r="N659" s="18" t="str">
        <f>_xlfn.XLOOKUP(tblMaster[[#This Row],[Product_ID]],tblProducts[Product_ID],tblProducts[Product_Name],"Not Found",0)</f>
        <v>Quia Gift</v>
      </c>
      <c r="O659" s="18" t="str">
        <f>_xlfn.XLOOKUP(tblMaster[[#This Row],[Product_ID]],tblProducts[Product_ID],tblProducts[Category],"Not Found",0)</f>
        <v>Colors</v>
      </c>
      <c r="P659" s="18" t="str">
        <f>_xlfn.XLOOKUP(tblMaster[[#This Row],[Product_ID]],tblProducts[Product_ID],tblProducts[Occasion],"Not Found",0)</f>
        <v>Raksha Bandhan</v>
      </c>
      <c r="Q659" s="18">
        <f>_xlfn.XLOOKUP(tblMaster[[#This Row],[Product_ID]],tblProducts[Product_ID],tblProducts[Price (INR)],"Not Found",0)</f>
        <v>1561</v>
      </c>
      <c r="R659" s="19">
        <f>tblMaster[[#This Row],[Price]]*tblMaster[[#This Row],[Quantity]]</f>
        <v>4683</v>
      </c>
      <c r="S659" s="19">
        <f>tblMaster[[#This Row],[Price]]*0.7*tblMaster[[#This Row],[Quantity]]</f>
        <v>3278.0999999999995</v>
      </c>
      <c r="T659" s="19">
        <f>tblMaster[[#This Row],[Revenue]]-tblMaster[[#This Row],[Estimated Cost (at 70%) ]]</f>
        <v>1404.9000000000005</v>
      </c>
      <c r="U659" s="19">
        <f>tblMaster[[#This Row],[Profit]]/tblMaster[[#This Row],[Revenue]]</f>
        <v>0.3000000000000001</v>
      </c>
      <c r="V659" s="19">
        <f>tblMaster[[#This Row],[Delivery_Date]]-tblMaster[[#This Row],[Order_Date]]</f>
        <v>9</v>
      </c>
      <c r="W659" s="19" t="str">
        <f>TEXT(tblMaster[[#This Row],[Order_Date]],"mmmm")</f>
        <v>August</v>
      </c>
      <c r="X659" s="19">
        <f>MONTH(tblMaster[[#This Row],[Order_Date]])</f>
        <v>8</v>
      </c>
      <c r="Y659" s="19" t="str">
        <f>"Q"&amp;ROUNDUP(tblMaster[[#This Row],[Month Number]]/3,0)</f>
        <v>Q3</v>
      </c>
      <c r="Z659" s="19">
        <f>YEAR(tblMaster[[#This Row],[Order_Date]])</f>
        <v>2023</v>
      </c>
      <c r="AA659" s="19" t="str">
        <f>TEXT(DAY(tblMaster[[#This Row],[Order_Date]]),"dddd")</f>
        <v>Sunday</v>
      </c>
      <c r="AB659" s="19" t="str">
        <f>IF(tblMaster[[#This Row],[Revenue]]&gt;=5000,"High",IF(tblMaster[[#This Row],[Revenue]]&lt;2000,"Low","Medium"))</f>
        <v>Medium</v>
      </c>
    </row>
    <row r="660" spans="1:28" x14ac:dyDescent="0.25">
      <c r="A660" s="7">
        <v>659</v>
      </c>
      <c r="B660" s="7" t="s">
        <v>331</v>
      </c>
      <c r="C660" s="4">
        <v>19</v>
      </c>
      <c r="D660" s="4">
        <v>5</v>
      </c>
      <c r="E660" s="8">
        <v>44962</v>
      </c>
      <c r="F660" s="9">
        <v>0.73953703703703699</v>
      </c>
      <c r="G660" s="8">
        <v>44969</v>
      </c>
      <c r="H660" s="9">
        <v>0.94285879629629632</v>
      </c>
      <c r="I660" s="7" t="s">
        <v>541</v>
      </c>
      <c r="J660" s="7" t="s">
        <v>12</v>
      </c>
      <c r="K660" s="18" t="str">
        <f>_xlfn.XLOOKUP(tblMaster[[#This Row],[Customer_ID]],tblCustomers[Customer_ID],tblCustomers[City],"Not Found",0)</f>
        <v>Guntakal</v>
      </c>
      <c r="L660" s="18" t="str">
        <f>_xlfn.XLOOKUP(tblMaster[[#This Row],[Customer_ID]],tblCustomers[Customer_ID],tblCustomers[Name],"Not Found",0)</f>
        <v>Aradhya Kale</v>
      </c>
      <c r="M660" s="18" t="str">
        <f>_xlfn.XLOOKUP(tblMaster[[#This Row],[Customer_ID]],tblCustomers[Customer_ID],tblCustomers[Gender],"Not Found",0)</f>
        <v>Male</v>
      </c>
      <c r="N660" s="18" t="str">
        <f>_xlfn.XLOOKUP(tblMaster[[#This Row],[Product_ID]],tblProducts[Product_ID],tblProducts[Product_Name],"Not Found",0)</f>
        <v>Iure Gift</v>
      </c>
      <c r="O660" s="18" t="str">
        <f>_xlfn.XLOOKUP(tblMaster[[#This Row],[Product_ID]],tblProducts[Product_ID],tblProducts[Category],"Not Found",0)</f>
        <v>Mugs</v>
      </c>
      <c r="P660" s="18" t="str">
        <f>_xlfn.XLOOKUP(tblMaster[[#This Row],[Product_ID]],tblProducts[Product_ID],tblProducts[Occasion],"Not Found",0)</f>
        <v>Valentine's Day</v>
      </c>
      <c r="Q660" s="18">
        <f>_xlfn.XLOOKUP(tblMaster[[#This Row],[Product_ID]],tblProducts[Product_ID],tblProducts[Price (INR)],"Not Found",0)</f>
        <v>1234</v>
      </c>
      <c r="R660" s="19">
        <f>tblMaster[[#This Row],[Price]]*tblMaster[[#This Row],[Quantity]]</f>
        <v>6170</v>
      </c>
      <c r="S660" s="19">
        <f>tblMaster[[#This Row],[Price]]*0.7*tblMaster[[#This Row],[Quantity]]</f>
        <v>4319</v>
      </c>
      <c r="T660" s="19">
        <f>tblMaster[[#This Row],[Revenue]]-tblMaster[[#This Row],[Estimated Cost (at 70%) ]]</f>
        <v>1851</v>
      </c>
      <c r="U660" s="19">
        <f>tblMaster[[#This Row],[Profit]]/tblMaster[[#This Row],[Revenue]]</f>
        <v>0.3</v>
      </c>
      <c r="V660" s="19">
        <f>tblMaster[[#This Row],[Delivery_Date]]-tblMaster[[#This Row],[Order_Date]]</f>
        <v>7</v>
      </c>
      <c r="W660" s="19" t="str">
        <f>TEXT(tblMaster[[#This Row],[Order_Date]],"mmmm")</f>
        <v>February</v>
      </c>
      <c r="X660" s="19">
        <f>MONTH(tblMaster[[#This Row],[Order_Date]])</f>
        <v>2</v>
      </c>
      <c r="Y660" s="19" t="str">
        <f>"Q"&amp;ROUNDUP(tblMaster[[#This Row],[Month Number]]/3,0)</f>
        <v>Q1</v>
      </c>
      <c r="Z660" s="19">
        <f>YEAR(tblMaster[[#This Row],[Order_Date]])</f>
        <v>2023</v>
      </c>
      <c r="AA660" s="19" t="str">
        <f>TEXT(DAY(tblMaster[[#This Row],[Order_Date]]),"dddd")</f>
        <v>Thursday</v>
      </c>
      <c r="AB660" s="19" t="str">
        <f>IF(tblMaster[[#This Row],[Revenue]]&gt;=5000,"High",IF(tblMaster[[#This Row],[Revenue]]&lt;2000,"Low","Medium"))</f>
        <v>High</v>
      </c>
    </row>
    <row r="661" spans="1:28" x14ac:dyDescent="0.25">
      <c r="A661" s="10">
        <v>660</v>
      </c>
      <c r="B661" s="10" t="s">
        <v>291</v>
      </c>
      <c r="C661" s="5">
        <v>58</v>
      </c>
      <c r="D661" s="5">
        <v>3</v>
      </c>
      <c r="E661" s="11">
        <v>44968</v>
      </c>
      <c r="F661" s="12">
        <v>0.25608796296296299</v>
      </c>
      <c r="G661" s="11">
        <v>44978</v>
      </c>
      <c r="H661" s="12">
        <v>0.86707175925925928</v>
      </c>
      <c r="I661" s="10" t="s">
        <v>262</v>
      </c>
      <c r="J661" s="10" t="s">
        <v>12</v>
      </c>
      <c r="K661" s="18" t="str">
        <f>_xlfn.XLOOKUP(tblMaster[[#This Row],[Customer_ID]],tblCustomers[Customer_ID],tblCustomers[City],"Not Found",0)</f>
        <v>Bharatpur</v>
      </c>
      <c r="L661" s="18" t="str">
        <f>_xlfn.XLOOKUP(tblMaster[[#This Row],[Customer_ID]],tblCustomers[Customer_ID],tblCustomers[Name],"Not Found",0)</f>
        <v>Kismat Kapadia</v>
      </c>
      <c r="M661" s="18" t="str">
        <f>_xlfn.XLOOKUP(tblMaster[[#This Row],[Customer_ID]],tblCustomers[Customer_ID],tblCustomers[Gender],"Not Found",0)</f>
        <v>Female</v>
      </c>
      <c r="N661" s="18" t="str">
        <f>_xlfn.XLOOKUP(tblMaster[[#This Row],[Product_ID]],tblProducts[Product_ID],tblProducts[Product_Name],"Not Found",0)</f>
        <v>Sed Pack</v>
      </c>
      <c r="O661" s="18" t="str">
        <f>_xlfn.XLOOKUP(tblMaster[[#This Row],[Product_ID]],tblProducts[Product_ID],tblProducts[Category],"Not Found",0)</f>
        <v>Cake</v>
      </c>
      <c r="P661" s="18" t="str">
        <f>_xlfn.XLOOKUP(tblMaster[[#This Row],[Product_ID]],tblProducts[Product_ID],tblProducts[Occasion],"Not Found",0)</f>
        <v>Valentine's Day</v>
      </c>
      <c r="Q661" s="18">
        <f>_xlfn.XLOOKUP(tblMaster[[#This Row],[Product_ID]],tblProducts[Product_ID],tblProducts[Price (INR)],"Not Found",0)</f>
        <v>1492</v>
      </c>
      <c r="R661" s="19">
        <f>tblMaster[[#This Row],[Price]]*tblMaster[[#This Row],[Quantity]]</f>
        <v>4476</v>
      </c>
      <c r="S661" s="19">
        <f>tblMaster[[#This Row],[Price]]*0.7*tblMaster[[#This Row],[Quantity]]</f>
        <v>3133.2</v>
      </c>
      <c r="T661" s="19">
        <f>tblMaster[[#This Row],[Revenue]]-tblMaster[[#This Row],[Estimated Cost (at 70%) ]]</f>
        <v>1342.8000000000002</v>
      </c>
      <c r="U661" s="19">
        <f>tblMaster[[#This Row],[Profit]]/tblMaster[[#This Row],[Revenue]]</f>
        <v>0.30000000000000004</v>
      </c>
      <c r="V661" s="19">
        <f>tblMaster[[#This Row],[Delivery_Date]]-tblMaster[[#This Row],[Order_Date]]</f>
        <v>10</v>
      </c>
      <c r="W661" s="19" t="str">
        <f>TEXT(tblMaster[[#This Row],[Order_Date]],"mmmm")</f>
        <v>February</v>
      </c>
      <c r="X661" s="19">
        <f>MONTH(tblMaster[[#This Row],[Order_Date]])</f>
        <v>2</v>
      </c>
      <c r="Y661" s="19" t="str">
        <f>"Q"&amp;ROUNDUP(tblMaster[[#This Row],[Month Number]]/3,0)</f>
        <v>Q1</v>
      </c>
      <c r="Z661" s="19">
        <f>YEAR(tblMaster[[#This Row],[Order_Date]])</f>
        <v>2023</v>
      </c>
      <c r="AA661" s="19" t="str">
        <f>TEXT(DAY(tblMaster[[#This Row],[Order_Date]]),"dddd")</f>
        <v>Wednesday</v>
      </c>
      <c r="AB661" s="19" t="str">
        <f>IF(tblMaster[[#This Row],[Revenue]]&gt;=5000,"High",IF(tblMaster[[#This Row],[Revenue]]&lt;2000,"Low","Medium"))</f>
        <v>Medium</v>
      </c>
    </row>
    <row r="662" spans="1:28" x14ac:dyDescent="0.25">
      <c r="A662" s="7">
        <v>661</v>
      </c>
      <c r="B662" s="7" t="s">
        <v>208</v>
      </c>
      <c r="C662" s="4">
        <v>22</v>
      </c>
      <c r="D662" s="4">
        <v>2</v>
      </c>
      <c r="E662" s="8">
        <v>44940</v>
      </c>
      <c r="F662" s="9">
        <v>0.99406249999999996</v>
      </c>
      <c r="G662" s="8">
        <v>44945</v>
      </c>
      <c r="H662" s="9">
        <v>0.41025462962962961</v>
      </c>
      <c r="I662" s="7" t="s">
        <v>173</v>
      </c>
      <c r="J662" s="7" t="s">
        <v>8</v>
      </c>
      <c r="K662" s="18" t="str">
        <f>_xlfn.XLOOKUP(tblMaster[[#This Row],[Customer_ID]],tblCustomers[Customer_ID],tblCustomers[City],"Not Found",0)</f>
        <v>Nizamabad</v>
      </c>
      <c r="L662" s="18" t="str">
        <f>_xlfn.XLOOKUP(tblMaster[[#This Row],[Customer_ID]],tblCustomers[Customer_ID],tblCustomers[Name],"Not Found",0)</f>
        <v>Eva Vaidya</v>
      </c>
      <c r="M662" s="18" t="str">
        <f>_xlfn.XLOOKUP(tblMaster[[#This Row],[Customer_ID]],tblCustomers[Customer_ID],tblCustomers[Gender],"Not Found",0)</f>
        <v>Male</v>
      </c>
      <c r="N662" s="18" t="str">
        <f>_xlfn.XLOOKUP(tblMaster[[#This Row],[Product_ID]],tblProducts[Product_ID],tblProducts[Product_Name],"Not Found",0)</f>
        <v>Exercitationem Pack</v>
      </c>
      <c r="O662" s="18" t="str">
        <f>_xlfn.XLOOKUP(tblMaster[[#This Row],[Product_ID]],tblProducts[Product_ID],tblProducts[Category],"Not Found",0)</f>
        <v>Soft Toys</v>
      </c>
      <c r="P662" s="18" t="str">
        <f>_xlfn.XLOOKUP(tblMaster[[#This Row],[Product_ID]],tblProducts[Product_ID],tblProducts[Occasion],"Not Found",0)</f>
        <v>All Occasions</v>
      </c>
      <c r="Q662" s="18">
        <f>_xlfn.XLOOKUP(tblMaster[[#This Row],[Product_ID]],tblProducts[Product_ID],tblProducts[Price (INR)],"Not Found",0)</f>
        <v>1639</v>
      </c>
      <c r="R662" s="19">
        <f>tblMaster[[#This Row],[Price]]*tblMaster[[#This Row],[Quantity]]</f>
        <v>3278</v>
      </c>
      <c r="S662" s="19">
        <f>tblMaster[[#This Row],[Price]]*0.7*tblMaster[[#This Row],[Quantity]]</f>
        <v>2294.6</v>
      </c>
      <c r="T662" s="19">
        <f>tblMaster[[#This Row],[Revenue]]-tblMaster[[#This Row],[Estimated Cost (at 70%) ]]</f>
        <v>983.40000000000009</v>
      </c>
      <c r="U662" s="19">
        <f>tblMaster[[#This Row],[Profit]]/tblMaster[[#This Row],[Revenue]]</f>
        <v>0.30000000000000004</v>
      </c>
      <c r="V662" s="19">
        <f>tblMaster[[#This Row],[Delivery_Date]]-tblMaster[[#This Row],[Order_Date]]</f>
        <v>5</v>
      </c>
      <c r="W662" s="19" t="str">
        <f>TEXT(tblMaster[[#This Row],[Order_Date]],"mmmm")</f>
        <v>January</v>
      </c>
      <c r="X662" s="19">
        <f>MONTH(tblMaster[[#This Row],[Order_Date]])</f>
        <v>1</v>
      </c>
      <c r="Y662" s="19" t="str">
        <f>"Q"&amp;ROUNDUP(tblMaster[[#This Row],[Month Number]]/3,0)</f>
        <v>Q1</v>
      </c>
      <c r="Z662" s="19">
        <f>YEAR(tblMaster[[#This Row],[Order_Date]])</f>
        <v>2023</v>
      </c>
      <c r="AA662" s="19" t="str">
        <f>TEXT(DAY(tblMaster[[#This Row],[Order_Date]]),"dddd")</f>
        <v>Saturday</v>
      </c>
      <c r="AB662" s="19" t="str">
        <f>IF(tblMaster[[#This Row],[Revenue]]&gt;=5000,"High",IF(tblMaster[[#This Row],[Revenue]]&lt;2000,"Low","Medium"))</f>
        <v>Medium</v>
      </c>
    </row>
    <row r="663" spans="1:28" x14ac:dyDescent="0.25">
      <c r="A663" s="10">
        <v>662</v>
      </c>
      <c r="B663" s="10" t="s">
        <v>388</v>
      </c>
      <c r="C663" s="5">
        <v>20</v>
      </c>
      <c r="D663" s="5">
        <v>3</v>
      </c>
      <c r="E663" s="11">
        <v>44966</v>
      </c>
      <c r="F663" s="12">
        <v>0.77074074074074073</v>
      </c>
      <c r="G663" s="11">
        <v>44975</v>
      </c>
      <c r="H663" s="12">
        <v>0.35269675925925925</v>
      </c>
      <c r="I663" s="10" t="s">
        <v>506</v>
      </c>
      <c r="J663" s="10" t="s">
        <v>30</v>
      </c>
      <c r="K663" s="18" t="str">
        <f>_xlfn.XLOOKUP(tblMaster[[#This Row],[Customer_ID]],tblCustomers[Customer_ID],tblCustomers[City],"Not Found",0)</f>
        <v>Kalyan-Dombivli</v>
      </c>
      <c r="L663" s="18" t="str">
        <f>_xlfn.XLOOKUP(tblMaster[[#This Row],[Customer_ID]],tblCustomers[Customer_ID],tblCustomers[Name],"Not Found",0)</f>
        <v>Ritvik Garde</v>
      </c>
      <c r="M663" s="18" t="str">
        <f>_xlfn.XLOOKUP(tblMaster[[#This Row],[Customer_ID]],tblCustomers[Customer_ID],tblCustomers[Gender],"Not Found",0)</f>
        <v>Male</v>
      </c>
      <c r="N663" s="18" t="str">
        <f>_xlfn.XLOOKUP(tblMaster[[#This Row],[Product_ID]],tblProducts[Product_ID],tblProducts[Product_Name],"Not Found",0)</f>
        <v>Reiciendis Box</v>
      </c>
      <c r="O663" s="18" t="str">
        <f>_xlfn.XLOOKUP(tblMaster[[#This Row],[Product_ID]],tblProducts[Product_ID],tblProducts[Category],"Not Found",0)</f>
        <v>Colors</v>
      </c>
      <c r="P663" s="18" t="str">
        <f>_xlfn.XLOOKUP(tblMaster[[#This Row],[Product_ID]],tblProducts[Product_ID],tblProducts[Occasion],"Not Found",0)</f>
        <v>Anniversary</v>
      </c>
      <c r="Q663" s="18">
        <f>_xlfn.XLOOKUP(tblMaster[[#This Row],[Product_ID]],tblProducts[Product_ID],tblProducts[Price (INR)],"Not Found",0)</f>
        <v>697</v>
      </c>
      <c r="R663" s="19">
        <f>tblMaster[[#This Row],[Price]]*tblMaster[[#This Row],[Quantity]]</f>
        <v>2091</v>
      </c>
      <c r="S663" s="19">
        <f>tblMaster[[#This Row],[Price]]*0.7*tblMaster[[#This Row],[Quantity]]</f>
        <v>1463.6999999999998</v>
      </c>
      <c r="T663" s="19">
        <f>tblMaster[[#This Row],[Revenue]]-tblMaster[[#This Row],[Estimated Cost (at 70%) ]]</f>
        <v>627.30000000000018</v>
      </c>
      <c r="U663" s="19">
        <f>tblMaster[[#This Row],[Profit]]/tblMaster[[#This Row],[Revenue]]</f>
        <v>0.3000000000000001</v>
      </c>
      <c r="V663" s="19">
        <f>tblMaster[[#This Row],[Delivery_Date]]-tblMaster[[#This Row],[Order_Date]]</f>
        <v>9</v>
      </c>
      <c r="W663" s="19" t="str">
        <f>TEXT(tblMaster[[#This Row],[Order_Date]],"mmmm")</f>
        <v>February</v>
      </c>
      <c r="X663" s="19">
        <f>MONTH(tblMaster[[#This Row],[Order_Date]])</f>
        <v>2</v>
      </c>
      <c r="Y663" s="19" t="str">
        <f>"Q"&amp;ROUNDUP(tblMaster[[#This Row],[Month Number]]/3,0)</f>
        <v>Q1</v>
      </c>
      <c r="Z663" s="19">
        <f>YEAR(tblMaster[[#This Row],[Order_Date]])</f>
        <v>2023</v>
      </c>
      <c r="AA663" s="19" t="str">
        <f>TEXT(DAY(tblMaster[[#This Row],[Order_Date]]),"dddd")</f>
        <v>Monday</v>
      </c>
      <c r="AB663" s="19" t="str">
        <f>IF(tblMaster[[#This Row],[Revenue]]&gt;=5000,"High",IF(tblMaster[[#This Row],[Revenue]]&lt;2000,"Low","Medium"))</f>
        <v>Medium</v>
      </c>
    </row>
    <row r="664" spans="1:28" x14ac:dyDescent="0.25">
      <c r="A664" s="7">
        <v>663</v>
      </c>
      <c r="B664" s="7" t="s">
        <v>365</v>
      </c>
      <c r="C664" s="4">
        <v>15</v>
      </c>
      <c r="D664" s="4">
        <v>2</v>
      </c>
      <c r="E664" s="8">
        <v>45210</v>
      </c>
      <c r="F664" s="9">
        <v>0.61606481481481479</v>
      </c>
      <c r="G664" s="8">
        <v>45211</v>
      </c>
      <c r="H664" s="9">
        <v>0.9389467592592593</v>
      </c>
      <c r="I664" s="7" t="s">
        <v>467</v>
      </c>
      <c r="J664" s="7" t="s">
        <v>30</v>
      </c>
      <c r="K664" s="18" t="str">
        <f>_xlfn.XLOOKUP(tblMaster[[#This Row],[Customer_ID]],tblCustomers[Customer_ID],tblCustomers[City],"Not Found",0)</f>
        <v>Deoghar</v>
      </c>
      <c r="L664" s="18" t="str">
        <f>_xlfn.XLOOKUP(tblMaster[[#This Row],[Customer_ID]],tblCustomers[Customer_ID],tblCustomers[Name],"Not Found",0)</f>
        <v>Raghav Babu</v>
      </c>
      <c r="M664" s="18" t="str">
        <f>_xlfn.XLOOKUP(tblMaster[[#This Row],[Customer_ID]],tblCustomers[Customer_ID],tblCustomers[Gender],"Not Found",0)</f>
        <v>Female</v>
      </c>
      <c r="N664" s="18" t="str">
        <f>_xlfn.XLOOKUP(tblMaster[[#This Row],[Product_ID]],tblProducts[Product_ID],tblProducts[Product_Name],"Not Found",0)</f>
        <v>Repudiandae Box</v>
      </c>
      <c r="O664" s="18" t="str">
        <f>_xlfn.XLOOKUP(tblMaster[[#This Row],[Product_ID]],tblProducts[Product_ID],tblProducts[Category],"Not Found",0)</f>
        <v>Raksha Bandhan</v>
      </c>
      <c r="P664" s="18" t="str">
        <f>_xlfn.XLOOKUP(tblMaster[[#This Row],[Product_ID]],tblProducts[Product_ID],tblProducts[Occasion],"Not Found",0)</f>
        <v>Anniversary</v>
      </c>
      <c r="Q664" s="18">
        <f>_xlfn.XLOOKUP(tblMaster[[#This Row],[Product_ID]],tblProducts[Product_ID],tblProducts[Price (INR)],"Not Found",0)</f>
        <v>1488</v>
      </c>
      <c r="R664" s="19">
        <f>tblMaster[[#This Row],[Price]]*tblMaster[[#This Row],[Quantity]]</f>
        <v>2976</v>
      </c>
      <c r="S664" s="19">
        <f>tblMaster[[#This Row],[Price]]*0.7*tblMaster[[#This Row],[Quantity]]</f>
        <v>2083.1999999999998</v>
      </c>
      <c r="T664" s="19">
        <f>tblMaster[[#This Row],[Revenue]]-tblMaster[[#This Row],[Estimated Cost (at 70%) ]]</f>
        <v>892.80000000000018</v>
      </c>
      <c r="U664" s="19">
        <f>tblMaster[[#This Row],[Profit]]/tblMaster[[#This Row],[Revenue]]</f>
        <v>0.30000000000000004</v>
      </c>
      <c r="V664" s="19">
        <f>tblMaster[[#This Row],[Delivery_Date]]-tblMaster[[#This Row],[Order_Date]]</f>
        <v>1</v>
      </c>
      <c r="W664" s="19" t="str">
        <f>TEXT(tblMaster[[#This Row],[Order_Date]],"mmmm")</f>
        <v>October</v>
      </c>
      <c r="X664" s="19">
        <f>MONTH(tblMaster[[#This Row],[Order_Date]])</f>
        <v>10</v>
      </c>
      <c r="Y664" s="19" t="str">
        <f>"Q"&amp;ROUNDUP(tblMaster[[#This Row],[Month Number]]/3,0)</f>
        <v>Q4</v>
      </c>
      <c r="Z664" s="19">
        <f>YEAR(tblMaster[[#This Row],[Order_Date]])</f>
        <v>2023</v>
      </c>
      <c r="AA664" s="19" t="str">
        <f>TEXT(DAY(tblMaster[[#This Row],[Order_Date]]),"dddd")</f>
        <v>Wednesday</v>
      </c>
      <c r="AB664" s="19" t="str">
        <f>IF(tblMaster[[#This Row],[Revenue]]&gt;=5000,"High",IF(tblMaster[[#This Row],[Revenue]]&lt;2000,"Low","Medium"))</f>
        <v>Medium</v>
      </c>
    </row>
    <row r="665" spans="1:28" x14ac:dyDescent="0.25">
      <c r="A665" s="10">
        <v>664</v>
      </c>
      <c r="B665" s="10" t="s">
        <v>252</v>
      </c>
      <c r="C665" s="5">
        <v>24</v>
      </c>
      <c r="D665" s="5">
        <v>2</v>
      </c>
      <c r="E665" s="11">
        <v>44944</v>
      </c>
      <c r="F665" s="12">
        <v>0.49622685185185184</v>
      </c>
      <c r="G665" s="11">
        <v>44954</v>
      </c>
      <c r="H665" s="12">
        <v>0.84870370370370374</v>
      </c>
      <c r="I665" s="10" t="s">
        <v>407</v>
      </c>
      <c r="J665" s="10" t="s">
        <v>36</v>
      </c>
      <c r="K665" s="18" t="str">
        <f>_xlfn.XLOOKUP(tblMaster[[#This Row],[Customer_ID]],tblCustomers[Customer_ID],tblCustomers[City],"Not Found",0)</f>
        <v>Bidhannagar</v>
      </c>
      <c r="L665" s="18" t="str">
        <f>_xlfn.XLOOKUP(tblMaster[[#This Row],[Customer_ID]],tblCustomers[Customer_ID],tblCustomers[Name],"Not Found",0)</f>
        <v>Abram Sandhu</v>
      </c>
      <c r="M665" s="18" t="str">
        <f>_xlfn.XLOOKUP(tblMaster[[#This Row],[Customer_ID]],tblCustomers[Customer_ID],tblCustomers[Gender],"Not Found",0)</f>
        <v>Male</v>
      </c>
      <c r="N665" s="18" t="str">
        <f>_xlfn.XLOOKUP(tblMaster[[#This Row],[Product_ID]],tblProducts[Product_ID],tblProducts[Product_Name],"Not Found",0)</f>
        <v>Ad Box</v>
      </c>
      <c r="O665" s="18" t="str">
        <f>_xlfn.XLOOKUP(tblMaster[[#This Row],[Product_ID]],tblProducts[Product_ID],tblProducts[Category],"Not Found",0)</f>
        <v>Mugs</v>
      </c>
      <c r="P665" s="18" t="str">
        <f>_xlfn.XLOOKUP(tblMaster[[#This Row],[Product_ID]],tblProducts[Product_ID],tblProducts[Occasion],"Not Found",0)</f>
        <v>Birthday</v>
      </c>
      <c r="Q665" s="18">
        <f>_xlfn.XLOOKUP(tblMaster[[#This Row],[Product_ID]],tblProducts[Product_ID],tblProducts[Price (INR)],"Not Found",0)</f>
        <v>535</v>
      </c>
      <c r="R665" s="19">
        <f>tblMaster[[#This Row],[Price]]*tblMaster[[#This Row],[Quantity]]</f>
        <v>1070</v>
      </c>
      <c r="S665" s="19">
        <f>tblMaster[[#This Row],[Price]]*0.7*tblMaster[[#This Row],[Quantity]]</f>
        <v>749</v>
      </c>
      <c r="T665" s="19">
        <f>tblMaster[[#This Row],[Revenue]]-tblMaster[[#This Row],[Estimated Cost (at 70%) ]]</f>
        <v>321</v>
      </c>
      <c r="U665" s="19">
        <f>tblMaster[[#This Row],[Profit]]/tblMaster[[#This Row],[Revenue]]</f>
        <v>0.3</v>
      </c>
      <c r="V665" s="19">
        <f>tblMaster[[#This Row],[Delivery_Date]]-tblMaster[[#This Row],[Order_Date]]</f>
        <v>10</v>
      </c>
      <c r="W665" s="19" t="str">
        <f>TEXT(tblMaster[[#This Row],[Order_Date]],"mmmm")</f>
        <v>January</v>
      </c>
      <c r="X665" s="19">
        <f>MONTH(tblMaster[[#This Row],[Order_Date]])</f>
        <v>1</v>
      </c>
      <c r="Y665" s="19" t="str">
        <f>"Q"&amp;ROUNDUP(tblMaster[[#This Row],[Month Number]]/3,0)</f>
        <v>Q1</v>
      </c>
      <c r="Z665" s="19">
        <f>YEAR(tblMaster[[#This Row],[Order_Date]])</f>
        <v>2023</v>
      </c>
      <c r="AA665" s="19" t="str">
        <f>TEXT(DAY(tblMaster[[#This Row],[Order_Date]]),"dddd")</f>
        <v>Wednesday</v>
      </c>
      <c r="AB665" s="19" t="str">
        <f>IF(tblMaster[[#This Row],[Revenue]]&gt;=5000,"High",IF(tblMaster[[#This Row],[Revenue]]&lt;2000,"Low","Medium"))</f>
        <v>Low</v>
      </c>
    </row>
    <row r="666" spans="1:28" x14ac:dyDescent="0.25">
      <c r="A666" s="7">
        <v>665</v>
      </c>
      <c r="B666" s="7" t="s">
        <v>299</v>
      </c>
      <c r="C666" s="4">
        <v>62</v>
      </c>
      <c r="D666" s="4">
        <v>5</v>
      </c>
      <c r="E666" s="8">
        <v>44990</v>
      </c>
      <c r="F666" s="9">
        <v>0.59956018518518517</v>
      </c>
      <c r="G666" s="8">
        <v>45000</v>
      </c>
      <c r="H666" s="9">
        <v>0.66253472222222221</v>
      </c>
      <c r="I666" s="7" t="s">
        <v>464</v>
      </c>
      <c r="J666" s="7" t="s">
        <v>25</v>
      </c>
      <c r="K666" s="18" t="str">
        <f>_xlfn.XLOOKUP(tblMaster[[#This Row],[Customer_ID]],tblCustomers[Customer_ID],tblCustomers[City],"Not Found",0)</f>
        <v>Satara</v>
      </c>
      <c r="L666" s="18" t="str">
        <f>_xlfn.XLOOKUP(tblMaster[[#This Row],[Customer_ID]],tblCustomers[Customer_ID],tblCustomers[Name],"Not Found",0)</f>
        <v>Riya Wagle</v>
      </c>
      <c r="M666" s="18" t="str">
        <f>_xlfn.XLOOKUP(tblMaster[[#This Row],[Customer_ID]],tblCustomers[Customer_ID],tblCustomers[Gender],"Not Found",0)</f>
        <v>Male</v>
      </c>
      <c r="N666" s="18" t="str">
        <f>_xlfn.XLOOKUP(tblMaster[[#This Row],[Product_ID]],tblProducts[Product_ID],tblProducts[Product_Name],"Not Found",0)</f>
        <v>Sed Set</v>
      </c>
      <c r="O666" s="18" t="str">
        <f>_xlfn.XLOOKUP(tblMaster[[#This Row],[Product_ID]],tblProducts[Product_ID],tblProducts[Category],"Not Found",0)</f>
        <v>Colors</v>
      </c>
      <c r="P666" s="18" t="str">
        <f>_xlfn.XLOOKUP(tblMaster[[#This Row],[Product_ID]],tblProducts[Product_ID],tblProducts[Occasion],"Not Found",0)</f>
        <v>Holi</v>
      </c>
      <c r="Q666" s="18">
        <f>_xlfn.XLOOKUP(tblMaster[[#This Row],[Product_ID]],tblProducts[Product_ID],tblProducts[Price (INR)],"Not Found",0)</f>
        <v>1356</v>
      </c>
      <c r="R666" s="19">
        <f>tblMaster[[#This Row],[Price]]*tblMaster[[#This Row],[Quantity]]</f>
        <v>6780</v>
      </c>
      <c r="S666" s="19">
        <f>tblMaster[[#This Row],[Price]]*0.7*tblMaster[[#This Row],[Quantity]]</f>
        <v>4746</v>
      </c>
      <c r="T666" s="19">
        <f>tblMaster[[#This Row],[Revenue]]-tblMaster[[#This Row],[Estimated Cost (at 70%) ]]</f>
        <v>2034</v>
      </c>
      <c r="U666" s="19">
        <f>tblMaster[[#This Row],[Profit]]/tblMaster[[#This Row],[Revenue]]</f>
        <v>0.3</v>
      </c>
      <c r="V666" s="19">
        <f>tblMaster[[#This Row],[Delivery_Date]]-tblMaster[[#This Row],[Order_Date]]</f>
        <v>10</v>
      </c>
      <c r="W666" s="19" t="str">
        <f>TEXT(tblMaster[[#This Row],[Order_Date]],"mmmm")</f>
        <v>March</v>
      </c>
      <c r="X666" s="19">
        <f>MONTH(tblMaster[[#This Row],[Order_Date]])</f>
        <v>3</v>
      </c>
      <c r="Y666" s="19" t="str">
        <f>"Q"&amp;ROUNDUP(tblMaster[[#This Row],[Month Number]]/3,0)</f>
        <v>Q1</v>
      </c>
      <c r="Z666" s="19">
        <f>YEAR(tblMaster[[#This Row],[Order_Date]])</f>
        <v>2023</v>
      </c>
      <c r="AA666" s="19" t="str">
        <f>TEXT(DAY(tblMaster[[#This Row],[Order_Date]]),"dddd")</f>
        <v>Thursday</v>
      </c>
      <c r="AB666" s="19" t="str">
        <f>IF(tblMaster[[#This Row],[Revenue]]&gt;=5000,"High",IF(tblMaster[[#This Row],[Revenue]]&lt;2000,"Low","Medium"))</f>
        <v>High</v>
      </c>
    </row>
    <row r="667" spans="1:28" x14ac:dyDescent="0.25">
      <c r="A667" s="10">
        <v>666</v>
      </c>
      <c r="B667" s="10" t="s">
        <v>295</v>
      </c>
      <c r="C667" s="5">
        <v>26</v>
      </c>
      <c r="D667" s="5">
        <v>5</v>
      </c>
      <c r="E667" s="11">
        <v>44987</v>
      </c>
      <c r="F667" s="12">
        <v>0.40354166666666669</v>
      </c>
      <c r="G667" s="11">
        <v>44993</v>
      </c>
      <c r="H667" s="12">
        <v>0.81128472222222225</v>
      </c>
      <c r="I667" s="10" t="s">
        <v>433</v>
      </c>
      <c r="J667" s="10" t="s">
        <v>25</v>
      </c>
      <c r="K667" s="18" t="str">
        <f>_xlfn.XLOOKUP(tblMaster[[#This Row],[Customer_ID]],tblCustomers[Customer_ID],tblCustomers[City],"Not Found",0)</f>
        <v>Surat</v>
      </c>
      <c r="L667" s="18" t="str">
        <f>_xlfn.XLOOKUP(tblMaster[[#This Row],[Customer_ID]],tblCustomers[Customer_ID],tblCustomers[Name],"Not Found",0)</f>
        <v>Mannat Anand</v>
      </c>
      <c r="M667" s="18" t="str">
        <f>_xlfn.XLOOKUP(tblMaster[[#This Row],[Customer_ID]],tblCustomers[Customer_ID],tblCustomers[Gender],"Not Found",0)</f>
        <v>Male</v>
      </c>
      <c r="N667" s="18" t="str">
        <f>_xlfn.XLOOKUP(tblMaster[[#This Row],[Product_ID]],tblProducts[Product_ID],tblProducts[Product_Name],"Not Found",0)</f>
        <v>Aliquam Box</v>
      </c>
      <c r="O667" s="18" t="str">
        <f>_xlfn.XLOOKUP(tblMaster[[#This Row],[Product_ID]],tblProducts[Product_ID],tblProducts[Category],"Not Found",0)</f>
        <v>Colors</v>
      </c>
      <c r="P667" s="18" t="str">
        <f>_xlfn.XLOOKUP(tblMaster[[#This Row],[Product_ID]],tblProducts[Product_ID],tblProducts[Occasion],"Not Found",0)</f>
        <v>Holi</v>
      </c>
      <c r="Q667" s="18">
        <f>_xlfn.XLOOKUP(tblMaster[[#This Row],[Product_ID]],tblProducts[Product_ID],tblProducts[Price (INR)],"Not Found",0)</f>
        <v>289</v>
      </c>
      <c r="R667" s="19">
        <f>tblMaster[[#This Row],[Price]]*tblMaster[[#This Row],[Quantity]]</f>
        <v>1445</v>
      </c>
      <c r="S667" s="19">
        <f>tblMaster[[#This Row],[Price]]*0.7*tblMaster[[#This Row],[Quantity]]</f>
        <v>1011.4999999999999</v>
      </c>
      <c r="T667" s="19">
        <f>tblMaster[[#This Row],[Revenue]]-tblMaster[[#This Row],[Estimated Cost (at 70%) ]]</f>
        <v>433.50000000000011</v>
      </c>
      <c r="U667" s="19">
        <f>tblMaster[[#This Row],[Profit]]/tblMaster[[#This Row],[Revenue]]</f>
        <v>0.3000000000000001</v>
      </c>
      <c r="V667" s="19">
        <f>tblMaster[[#This Row],[Delivery_Date]]-tblMaster[[#This Row],[Order_Date]]</f>
        <v>6</v>
      </c>
      <c r="W667" s="19" t="str">
        <f>TEXT(tblMaster[[#This Row],[Order_Date]],"mmmm")</f>
        <v>March</v>
      </c>
      <c r="X667" s="19">
        <f>MONTH(tblMaster[[#This Row],[Order_Date]])</f>
        <v>3</v>
      </c>
      <c r="Y667" s="19" t="str">
        <f>"Q"&amp;ROUNDUP(tblMaster[[#This Row],[Month Number]]/3,0)</f>
        <v>Q1</v>
      </c>
      <c r="Z667" s="19">
        <f>YEAR(tblMaster[[#This Row],[Order_Date]])</f>
        <v>2023</v>
      </c>
      <c r="AA667" s="19" t="str">
        <f>TEXT(DAY(tblMaster[[#This Row],[Order_Date]]),"dddd")</f>
        <v>Monday</v>
      </c>
      <c r="AB667" s="19" t="str">
        <f>IF(tblMaster[[#This Row],[Revenue]]&gt;=5000,"High",IF(tblMaster[[#This Row],[Revenue]]&lt;2000,"Low","Medium"))</f>
        <v>Low</v>
      </c>
    </row>
    <row r="668" spans="1:28" x14ac:dyDescent="0.25">
      <c r="A668" s="7">
        <v>667</v>
      </c>
      <c r="B668" s="7" t="s">
        <v>437</v>
      </c>
      <c r="C668" s="4">
        <v>44</v>
      </c>
      <c r="D668" s="4">
        <v>3</v>
      </c>
      <c r="E668" s="8">
        <v>45234</v>
      </c>
      <c r="F668" s="9">
        <v>0.35206018518518517</v>
      </c>
      <c r="G668" s="8">
        <v>45237</v>
      </c>
      <c r="H668" s="9">
        <v>0.43818287037037035</v>
      </c>
      <c r="I668" s="7" t="s">
        <v>439</v>
      </c>
      <c r="J668" s="7" t="s">
        <v>19</v>
      </c>
      <c r="K668" s="18" t="str">
        <f>_xlfn.XLOOKUP(tblMaster[[#This Row],[Customer_ID]],tblCustomers[Customer_ID],tblCustomers[City],"Not Found",0)</f>
        <v>Dhanbad</v>
      </c>
      <c r="L668" s="18" t="str">
        <f>_xlfn.XLOOKUP(tblMaster[[#This Row],[Customer_ID]],tblCustomers[Customer_ID],tblCustomers[Name],"Not Found",0)</f>
        <v>Vardaniya Apte</v>
      </c>
      <c r="M668" s="18" t="str">
        <f>_xlfn.XLOOKUP(tblMaster[[#This Row],[Customer_ID]],tblCustomers[Customer_ID],tblCustomers[Gender],"Not Found",0)</f>
        <v>Male</v>
      </c>
      <c r="N668" s="18" t="str">
        <f>_xlfn.XLOOKUP(tblMaster[[#This Row],[Product_ID]],tblProducts[Product_ID],tblProducts[Product_Name],"Not Found",0)</f>
        <v>Dolorum Set</v>
      </c>
      <c r="O668" s="18" t="str">
        <f>_xlfn.XLOOKUP(tblMaster[[#This Row],[Product_ID]],tblProducts[Product_ID],tblProducts[Category],"Not Found",0)</f>
        <v>Plants</v>
      </c>
      <c r="P668" s="18" t="str">
        <f>_xlfn.XLOOKUP(tblMaster[[#This Row],[Product_ID]],tblProducts[Product_ID],tblProducts[Occasion],"Not Found",0)</f>
        <v>Diwali</v>
      </c>
      <c r="Q668" s="18">
        <f>_xlfn.XLOOKUP(tblMaster[[#This Row],[Product_ID]],tblProducts[Product_ID],tblProducts[Price (INR)],"Not Found",0)</f>
        <v>794</v>
      </c>
      <c r="R668" s="19">
        <f>tblMaster[[#This Row],[Price]]*tblMaster[[#This Row],[Quantity]]</f>
        <v>2382</v>
      </c>
      <c r="S668" s="19">
        <f>tblMaster[[#This Row],[Price]]*0.7*tblMaster[[#This Row],[Quantity]]</f>
        <v>1667.3999999999999</v>
      </c>
      <c r="T668" s="19">
        <f>tblMaster[[#This Row],[Revenue]]-tblMaster[[#This Row],[Estimated Cost (at 70%) ]]</f>
        <v>714.60000000000014</v>
      </c>
      <c r="U668" s="19">
        <f>tblMaster[[#This Row],[Profit]]/tblMaster[[#This Row],[Revenue]]</f>
        <v>0.30000000000000004</v>
      </c>
      <c r="V668" s="19">
        <f>tblMaster[[#This Row],[Delivery_Date]]-tblMaster[[#This Row],[Order_Date]]</f>
        <v>3</v>
      </c>
      <c r="W668" s="19" t="str">
        <f>TEXT(tblMaster[[#This Row],[Order_Date]],"mmmm")</f>
        <v>November</v>
      </c>
      <c r="X668" s="19">
        <f>MONTH(tblMaster[[#This Row],[Order_Date]])</f>
        <v>11</v>
      </c>
      <c r="Y668" s="19" t="str">
        <f>"Q"&amp;ROUNDUP(tblMaster[[#This Row],[Month Number]]/3,0)</f>
        <v>Q4</v>
      </c>
      <c r="Z668" s="19">
        <f>YEAR(tblMaster[[#This Row],[Order_Date]])</f>
        <v>2023</v>
      </c>
      <c r="AA668" s="19" t="str">
        <f>TEXT(DAY(tblMaster[[#This Row],[Order_Date]]),"dddd")</f>
        <v>Wednesday</v>
      </c>
      <c r="AB668" s="19" t="str">
        <f>IF(tblMaster[[#This Row],[Revenue]]&gt;=5000,"High",IF(tblMaster[[#This Row],[Revenue]]&lt;2000,"Low","Medium"))</f>
        <v>Medium</v>
      </c>
    </row>
    <row r="669" spans="1:28" x14ac:dyDescent="0.25">
      <c r="A669" s="10">
        <v>668</v>
      </c>
      <c r="B669" s="10" t="s">
        <v>178</v>
      </c>
      <c r="C669" s="5">
        <v>55</v>
      </c>
      <c r="D669" s="5">
        <v>2</v>
      </c>
      <c r="E669" s="11">
        <v>45159</v>
      </c>
      <c r="F669" s="12">
        <v>0.42353009259259261</v>
      </c>
      <c r="G669" s="11">
        <v>45168</v>
      </c>
      <c r="H669" s="12">
        <v>0.68945601851851857</v>
      </c>
      <c r="I669" s="10" t="s">
        <v>542</v>
      </c>
      <c r="J669" s="10" t="s">
        <v>33</v>
      </c>
      <c r="K669" s="18" t="str">
        <f>_xlfn.XLOOKUP(tblMaster[[#This Row],[Customer_ID]],tblCustomers[Customer_ID],tblCustomers[City],"Not Found",0)</f>
        <v>Madurai</v>
      </c>
      <c r="L669" s="18" t="str">
        <f>_xlfn.XLOOKUP(tblMaster[[#This Row],[Customer_ID]],tblCustomers[Customer_ID],tblCustomers[Name],"Not Found",0)</f>
        <v>Ritvik Borah</v>
      </c>
      <c r="M669" s="18" t="str">
        <f>_xlfn.XLOOKUP(tblMaster[[#This Row],[Customer_ID]],tblCustomers[Customer_ID],tblCustomers[Gender],"Not Found",0)</f>
        <v>Female</v>
      </c>
      <c r="N669" s="18" t="str">
        <f>_xlfn.XLOOKUP(tblMaster[[#This Row],[Product_ID]],tblProducts[Product_ID],tblProducts[Product_Name],"Not Found",0)</f>
        <v>Dolores Gift</v>
      </c>
      <c r="O669" s="18" t="str">
        <f>_xlfn.XLOOKUP(tblMaster[[#This Row],[Product_ID]],tblProducts[Product_ID],tblProducts[Category],"Not Found",0)</f>
        <v>Soft Toys</v>
      </c>
      <c r="P669" s="18" t="str">
        <f>_xlfn.XLOOKUP(tblMaster[[#This Row],[Product_ID]],tblProducts[Product_ID],tblProducts[Occasion],"Not Found",0)</f>
        <v>Raksha Bandhan</v>
      </c>
      <c r="Q669" s="18">
        <f>_xlfn.XLOOKUP(tblMaster[[#This Row],[Product_ID]],tblProducts[Product_ID],tblProducts[Price (INR)],"Not Found",0)</f>
        <v>1904</v>
      </c>
      <c r="R669" s="19">
        <f>tblMaster[[#This Row],[Price]]*tblMaster[[#This Row],[Quantity]]</f>
        <v>3808</v>
      </c>
      <c r="S669" s="19">
        <f>tblMaster[[#This Row],[Price]]*0.7*tblMaster[[#This Row],[Quantity]]</f>
        <v>2665.6</v>
      </c>
      <c r="T669" s="19">
        <f>tblMaster[[#This Row],[Revenue]]-tblMaster[[#This Row],[Estimated Cost (at 70%) ]]</f>
        <v>1142.4000000000001</v>
      </c>
      <c r="U669" s="19">
        <f>tblMaster[[#This Row],[Profit]]/tblMaster[[#This Row],[Revenue]]</f>
        <v>0.30000000000000004</v>
      </c>
      <c r="V669" s="19">
        <f>tblMaster[[#This Row],[Delivery_Date]]-tblMaster[[#This Row],[Order_Date]]</f>
        <v>9</v>
      </c>
      <c r="W669" s="19" t="str">
        <f>TEXT(tblMaster[[#This Row],[Order_Date]],"mmmm")</f>
        <v>August</v>
      </c>
      <c r="X669" s="19">
        <f>MONTH(tblMaster[[#This Row],[Order_Date]])</f>
        <v>8</v>
      </c>
      <c r="Y669" s="19" t="str">
        <f>"Q"&amp;ROUNDUP(tblMaster[[#This Row],[Month Number]]/3,0)</f>
        <v>Q3</v>
      </c>
      <c r="Z669" s="19">
        <f>YEAR(tblMaster[[#This Row],[Order_Date]])</f>
        <v>2023</v>
      </c>
      <c r="AA669" s="19" t="str">
        <f>TEXT(DAY(tblMaster[[#This Row],[Order_Date]]),"dddd")</f>
        <v>Saturday</v>
      </c>
      <c r="AB669" s="19" t="str">
        <f>IF(tblMaster[[#This Row],[Revenue]]&gt;=5000,"High",IF(tblMaster[[#This Row],[Revenue]]&lt;2000,"Low","Medium"))</f>
        <v>Medium</v>
      </c>
    </row>
    <row r="670" spans="1:28" x14ac:dyDescent="0.25">
      <c r="A670" s="7">
        <v>669</v>
      </c>
      <c r="B670" s="7" t="s">
        <v>329</v>
      </c>
      <c r="C670" s="4">
        <v>68</v>
      </c>
      <c r="D670" s="4">
        <v>5</v>
      </c>
      <c r="E670" s="8">
        <v>44967</v>
      </c>
      <c r="F670" s="9">
        <v>0.29988425925925927</v>
      </c>
      <c r="G670" s="8">
        <v>44974</v>
      </c>
      <c r="H670" s="9">
        <v>0.41437499999999999</v>
      </c>
      <c r="I670" s="7" t="s">
        <v>207</v>
      </c>
      <c r="J670" s="7" t="s">
        <v>12</v>
      </c>
      <c r="K670" s="18" t="str">
        <f>_xlfn.XLOOKUP(tblMaster[[#This Row],[Customer_ID]],tblCustomers[Customer_ID],tblCustomers[City],"Not Found",0)</f>
        <v>Vellore</v>
      </c>
      <c r="L670" s="18" t="str">
        <f>_xlfn.XLOOKUP(tblMaster[[#This Row],[Customer_ID]],tblCustomers[Customer_ID],tblCustomers[Name],"Not Found",0)</f>
        <v>Ira Sarna</v>
      </c>
      <c r="M670" s="18" t="str">
        <f>_xlfn.XLOOKUP(tblMaster[[#This Row],[Customer_ID]],tblCustomers[Customer_ID],tblCustomers[Gender],"Not Found",0)</f>
        <v>Male</v>
      </c>
      <c r="N670" s="18" t="str">
        <f>_xlfn.XLOOKUP(tblMaster[[#This Row],[Product_ID]],tblProducts[Product_ID],tblProducts[Product_Name],"Not Found",0)</f>
        <v>Quas Gift</v>
      </c>
      <c r="O670" s="18" t="str">
        <f>_xlfn.XLOOKUP(tblMaster[[#This Row],[Product_ID]],tblProducts[Product_ID],tblProducts[Category],"Not Found",0)</f>
        <v>Soft Toys</v>
      </c>
      <c r="P670" s="18" t="str">
        <f>_xlfn.XLOOKUP(tblMaster[[#This Row],[Product_ID]],tblProducts[Product_ID],tblProducts[Occasion],"Not Found",0)</f>
        <v>Valentine's Day</v>
      </c>
      <c r="Q670" s="18">
        <f>_xlfn.XLOOKUP(tblMaster[[#This Row],[Product_ID]],tblProducts[Product_ID],tblProducts[Price (INR)],"Not Found",0)</f>
        <v>597</v>
      </c>
      <c r="R670" s="19">
        <f>tblMaster[[#This Row],[Price]]*tblMaster[[#This Row],[Quantity]]</f>
        <v>2985</v>
      </c>
      <c r="S670" s="19">
        <f>tblMaster[[#This Row],[Price]]*0.7*tblMaster[[#This Row],[Quantity]]</f>
        <v>2089.5</v>
      </c>
      <c r="T670" s="19">
        <f>tblMaster[[#This Row],[Revenue]]-tblMaster[[#This Row],[Estimated Cost (at 70%) ]]</f>
        <v>895.5</v>
      </c>
      <c r="U670" s="19">
        <f>tblMaster[[#This Row],[Profit]]/tblMaster[[#This Row],[Revenue]]</f>
        <v>0.3</v>
      </c>
      <c r="V670" s="19">
        <f>tblMaster[[#This Row],[Delivery_Date]]-tblMaster[[#This Row],[Order_Date]]</f>
        <v>7</v>
      </c>
      <c r="W670" s="19" t="str">
        <f>TEXT(tblMaster[[#This Row],[Order_Date]],"mmmm")</f>
        <v>February</v>
      </c>
      <c r="X670" s="19">
        <f>MONTH(tblMaster[[#This Row],[Order_Date]])</f>
        <v>2</v>
      </c>
      <c r="Y670" s="19" t="str">
        <f>"Q"&amp;ROUNDUP(tblMaster[[#This Row],[Month Number]]/3,0)</f>
        <v>Q1</v>
      </c>
      <c r="Z670" s="19">
        <f>YEAR(tblMaster[[#This Row],[Order_Date]])</f>
        <v>2023</v>
      </c>
      <c r="AA670" s="19" t="str">
        <f>TEXT(DAY(tblMaster[[#This Row],[Order_Date]]),"dddd")</f>
        <v>Tuesday</v>
      </c>
      <c r="AB670" s="19" t="str">
        <f>IF(tblMaster[[#This Row],[Revenue]]&gt;=5000,"High",IF(tblMaster[[#This Row],[Revenue]]&lt;2000,"Low","Medium"))</f>
        <v>Medium</v>
      </c>
    </row>
    <row r="671" spans="1:28" x14ac:dyDescent="0.25">
      <c r="A671" s="10">
        <v>670</v>
      </c>
      <c r="B671" s="10" t="s">
        <v>279</v>
      </c>
      <c r="C671" s="5">
        <v>23</v>
      </c>
      <c r="D671" s="5">
        <v>5</v>
      </c>
      <c r="E671" s="11">
        <v>45078</v>
      </c>
      <c r="F671" s="12">
        <v>0.2416550925925926</v>
      </c>
      <c r="G671" s="11">
        <v>45087</v>
      </c>
      <c r="H671" s="12">
        <v>0.21458333333333332</v>
      </c>
      <c r="I671" s="10" t="s">
        <v>543</v>
      </c>
      <c r="J671" s="10" t="s">
        <v>30</v>
      </c>
      <c r="K671" s="18" t="str">
        <f>_xlfn.XLOOKUP(tblMaster[[#This Row],[Customer_ID]],tblCustomers[Customer_ID],tblCustomers[City],"Not Found",0)</f>
        <v>Delhi</v>
      </c>
      <c r="L671" s="18" t="str">
        <f>_xlfn.XLOOKUP(tblMaster[[#This Row],[Customer_ID]],tblCustomers[Customer_ID],tblCustomers[Name],"Not Found",0)</f>
        <v>Zain Hegde</v>
      </c>
      <c r="M671" s="18" t="str">
        <f>_xlfn.XLOOKUP(tblMaster[[#This Row],[Customer_ID]],tblCustomers[Customer_ID],tblCustomers[Gender],"Not Found",0)</f>
        <v>Female</v>
      </c>
      <c r="N671" s="18" t="str">
        <f>_xlfn.XLOOKUP(tblMaster[[#This Row],[Product_ID]],tblProducts[Product_ID],tblProducts[Product_Name],"Not Found",0)</f>
        <v>Dignissimos Pack</v>
      </c>
      <c r="O671" s="18" t="str">
        <f>_xlfn.XLOOKUP(tblMaster[[#This Row],[Product_ID]],tblProducts[Product_ID],tblProducts[Category],"Not Found",0)</f>
        <v>Sweets</v>
      </c>
      <c r="P671" s="18" t="str">
        <f>_xlfn.XLOOKUP(tblMaster[[#This Row],[Product_ID]],tblProducts[Product_ID],tblProducts[Occasion],"Not Found",0)</f>
        <v>Anniversary</v>
      </c>
      <c r="Q671" s="18">
        <f>_xlfn.XLOOKUP(tblMaster[[#This Row],[Product_ID]],tblProducts[Product_ID],tblProducts[Price (INR)],"Not Found",0)</f>
        <v>1098</v>
      </c>
      <c r="R671" s="19">
        <f>tblMaster[[#This Row],[Price]]*tblMaster[[#This Row],[Quantity]]</f>
        <v>5490</v>
      </c>
      <c r="S671" s="19">
        <f>tblMaster[[#This Row],[Price]]*0.7*tblMaster[[#This Row],[Quantity]]</f>
        <v>3842.9999999999995</v>
      </c>
      <c r="T671" s="19">
        <f>tblMaster[[#This Row],[Revenue]]-tblMaster[[#This Row],[Estimated Cost (at 70%) ]]</f>
        <v>1647.0000000000005</v>
      </c>
      <c r="U671" s="19">
        <f>tblMaster[[#This Row],[Profit]]/tblMaster[[#This Row],[Revenue]]</f>
        <v>0.3000000000000001</v>
      </c>
      <c r="V671" s="19">
        <f>tblMaster[[#This Row],[Delivery_Date]]-tblMaster[[#This Row],[Order_Date]]</f>
        <v>9</v>
      </c>
      <c r="W671" s="19" t="str">
        <f>TEXT(tblMaster[[#This Row],[Order_Date]],"mmmm")</f>
        <v>June</v>
      </c>
      <c r="X671" s="19">
        <f>MONTH(tblMaster[[#This Row],[Order_Date]])</f>
        <v>6</v>
      </c>
      <c r="Y671" s="19" t="str">
        <f>"Q"&amp;ROUNDUP(tblMaster[[#This Row],[Month Number]]/3,0)</f>
        <v>Q2</v>
      </c>
      <c r="Z671" s="19">
        <f>YEAR(tblMaster[[#This Row],[Order_Date]])</f>
        <v>2023</v>
      </c>
      <c r="AA671" s="19" t="str">
        <f>TEXT(DAY(tblMaster[[#This Row],[Order_Date]]),"dddd")</f>
        <v>Sunday</v>
      </c>
      <c r="AB671" s="19" t="str">
        <f>IF(tblMaster[[#This Row],[Revenue]]&gt;=5000,"High",IF(tblMaster[[#This Row],[Revenue]]&lt;2000,"Low","Medium"))</f>
        <v>High</v>
      </c>
    </row>
    <row r="672" spans="1:28" x14ac:dyDescent="0.25">
      <c r="A672" s="7">
        <v>671</v>
      </c>
      <c r="B672" s="7" t="s">
        <v>242</v>
      </c>
      <c r="C672" s="4">
        <v>31</v>
      </c>
      <c r="D672" s="4">
        <v>4</v>
      </c>
      <c r="E672" s="8">
        <v>45263</v>
      </c>
      <c r="F672" s="9">
        <v>0.28770833333333334</v>
      </c>
      <c r="G672" s="8">
        <v>45267</v>
      </c>
      <c r="H672" s="9">
        <v>0.96966435185185185</v>
      </c>
      <c r="I672" s="7" t="s">
        <v>187</v>
      </c>
      <c r="J672" s="7" t="s">
        <v>8</v>
      </c>
      <c r="K672" s="18" t="str">
        <f>_xlfn.XLOOKUP(tblMaster[[#This Row],[Customer_ID]],tblCustomers[Customer_ID],tblCustomers[City],"Not Found",0)</f>
        <v>Kalyan-Dombivli</v>
      </c>
      <c r="L672" s="18" t="str">
        <f>_xlfn.XLOOKUP(tblMaster[[#This Row],[Customer_ID]],tblCustomers[Customer_ID],tblCustomers[Name],"Not Found",0)</f>
        <v>Nirvi Wagle</v>
      </c>
      <c r="M672" s="18" t="str">
        <f>_xlfn.XLOOKUP(tblMaster[[#This Row],[Customer_ID]],tblCustomers[Customer_ID],tblCustomers[Gender],"Not Found",0)</f>
        <v>Male</v>
      </c>
      <c r="N672" s="18" t="str">
        <f>_xlfn.XLOOKUP(tblMaster[[#This Row],[Product_ID]],tblProducts[Product_ID],tblProducts[Product_Name],"Not Found",0)</f>
        <v>Nihil Box</v>
      </c>
      <c r="O672" s="18" t="str">
        <f>_xlfn.XLOOKUP(tblMaster[[#This Row],[Product_ID]],tblProducts[Product_ID],tblProducts[Category],"Not Found",0)</f>
        <v>Colors</v>
      </c>
      <c r="P672" s="18" t="str">
        <f>_xlfn.XLOOKUP(tblMaster[[#This Row],[Product_ID]],tblProducts[Product_ID],tblProducts[Occasion],"Not Found",0)</f>
        <v>All Occasions</v>
      </c>
      <c r="Q672" s="18">
        <f>_xlfn.XLOOKUP(tblMaster[[#This Row],[Product_ID]],tblProducts[Product_ID],tblProducts[Price (INR)],"Not Found",0)</f>
        <v>1804</v>
      </c>
      <c r="R672" s="19">
        <f>tblMaster[[#This Row],[Price]]*tblMaster[[#This Row],[Quantity]]</f>
        <v>7216</v>
      </c>
      <c r="S672" s="19">
        <f>tblMaster[[#This Row],[Price]]*0.7*tblMaster[[#This Row],[Quantity]]</f>
        <v>5051.2</v>
      </c>
      <c r="T672" s="19">
        <f>tblMaster[[#This Row],[Revenue]]-tblMaster[[#This Row],[Estimated Cost (at 70%) ]]</f>
        <v>2164.8000000000002</v>
      </c>
      <c r="U672" s="19">
        <f>tblMaster[[#This Row],[Profit]]/tblMaster[[#This Row],[Revenue]]</f>
        <v>0.30000000000000004</v>
      </c>
      <c r="V672" s="19">
        <f>tblMaster[[#This Row],[Delivery_Date]]-tblMaster[[#This Row],[Order_Date]]</f>
        <v>4</v>
      </c>
      <c r="W672" s="19" t="str">
        <f>TEXT(tblMaster[[#This Row],[Order_Date]],"mmmm")</f>
        <v>December</v>
      </c>
      <c r="X672" s="19">
        <f>MONTH(tblMaster[[#This Row],[Order_Date]])</f>
        <v>12</v>
      </c>
      <c r="Y672" s="19" t="str">
        <f>"Q"&amp;ROUNDUP(tblMaster[[#This Row],[Month Number]]/3,0)</f>
        <v>Q4</v>
      </c>
      <c r="Z672" s="19">
        <f>YEAR(tblMaster[[#This Row],[Order_Date]])</f>
        <v>2023</v>
      </c>
      <c r="AA672" s="19" t="str">
        <f>TEXT(DAY(tblMaster[[#This Row],[Order_Date]]),"dddd")</f>
        <v>Tuesday</v>
      </c>
      <c r="AB672" s="19" t="str">
        <f>IF(tblMaster[[#This Row],[Revenue]]&gt;=5000,"High",IF(tblMaster[[#This Row],[Revenue]]&lt;2000,"Low","Medium"))</f>
        <v>High</v>
      </c>
    </row>
    <row r="673" spans="1:28" x14ac:dyDescent="0.25">
      <c r="A673" s="10">
        <v>672</v>
      </c>
      <c r="B673" s="10" t="s">
        <v>367</v>
      </c>
      <c r="C673" s="5">
        <v>44</v>
      </c>
      <c r="D673" s="5">
        <v>5</v>
      </c>
      <c r="E673" s="11">
        <v>45237</v>
      </c>
      <c r="F673" s="12">
        <v>0.58767361111111116</v>
      </c>
      <c r="G673" s="11">
        <v>45239</v>
      </c>
      <c r="H673" s="12">
        <v>0.28237268518518521</v>
      </c>
      <c r="I673" s="10" t="s">
        <v>494</v>
      </c>
      <c r="J673" s="10" t="s">
        <v>19</v>
      </c>
      <c r="K673" s="18" t="str">
        <f>_xlfn.XLOOKUP(tblMaster[[#This Row],[Customer_ID]],tblCustomers[Customer_ID],tblCustomers[City],"Not Found",0)</f>
        <v>Imphal</v>
      </c>
      <c r="L673" s="18" t="str">
        <f>_xlfn.XLOOKUP(tblMaster[[#This Row],[Customer_ID]],tblCustomers[Customer_ID],tblCustomers[Name],"Not Found",0)</f>
        <v>Aarush Balasubramanian</v>
      </c>
      <c r="M673" s="18" t="str">
        <f>_xlfn.XLOOKUP(tblMaster[[#This Row],[Customer_ID]],tblCustomers[Customer_ID],tblCustomers[Gender],"Not Found",0)</f>
        <v>Female</v>
      </c>
      <c r="N673" s="18" t="str">
        <f>_xlfn.XLOOKUP(tblMaster[[#This Row],[Product_ID]],tblProducts[Product_ID],tblProducts[Product_Name],"Not Found",0)</f>
        <v>Dolorum Set</v>
      </c>
      <c r="O673" s="18" t="str">
        <f>_xlfn.XLOOKUP(tblMaster[[#This Row],[Product_ID]],tblProducts[Product_ID],tblProducts[Category],"Not Found",0)</f>
        <v>Plants</v>
      </c>
      <c r="P673" s="18" t="str">
        <f>_xlfn.XLOOKUP(tblMaster[[#This Row],[Product_ID]],tblProducts[Product_ID],tblProducts[Occasion],"Not Found",0)</f>
        <v>Diwali</v>
      </c>
      <c r="Q673" s="18">
        <f>_xlfn.XLOOKUP(tblMaster[[#This Row],[Product_ID]],tblProducts[Product_ID],tblProducts[Price (INR)],"Not Found",0)</f>
        <v>794</v>
      </c>
      <c r="R673" s="19">
        <f>tblMaster[[#This Row],[Price]]*tblMaster[[#This Row],[Quantity]]</f>
        <v>3970</v>
      </c>
      <c r="S673" s="19">
        <f>tblMaster[[#This Row],[Price]]*0.7*tblMaster[[#This Row],[Quantity]]</f>
        <v>2779</v>
      </c>
      <c r="T673" s="19">
        <f>tblMaster[[#This Row],[Revenue]]-tblMaster[[#This Row],[Estimated Cost (at 70%) ]]</f>
        <v>1191</v>
      </c>
      <c r="U673" s="19">
        <f>tblMaster[[#This Row],[Profit]]/tblMaster[[#This Row],[Revenue]]</f>
        <v>0.3</v>
      </c>
      <c r="V673" s="19">
        <f>tblMaster[[#This Row],[Delivery_Date]]-tblMaster[[#This Row],[Order_Date]]</f>
        <v>2</v>
      </c>
      <c r="W673" s="19" t="str">
        <f>TEXT(tblMaster[[#This Row],[Order_Date]],"mmmm")</f>
        <v>November</v>
      </c>
      <c r="X673" s="19">
        <f>MONTH(tblMaster[[#This Row],[Order_Date]])</f>
        <v>11</v>
      </c>
      <c r="Y673" s="19" t="str">
        <f>"Q"&amp;ROUNDUP(tblMaster[[#This Row],[Month Number]]/3,0)</f>
        <v>Q4</v>
      </c>
      <c r="Z673" s="19">
        <f>YEAR(tblMaster[[#This Row],[Order_Date]])</f>
        <v>2023</v>
      </c>
      <c r="AA673" s="19" t="str">
        <f>TEXT(DAY(tblMaster[[#This Row],[Order_Date]]),"dddd")</f>
        <v>Saturday</v>
      </c>
      <c r="AB673" s="19" t="str">
        <f>IF(tblMaster[[#This Row],[Revenue]]&gt;=5000,"High",IF(tblMaster[[#This Row],[Revenue]]&lt;2000,"Low","Medium"))</f>
        <v>Medium</v>
      </c>
    </row>
    <row r="674" spans="1:28" x14ac:dyDescent="0.25">
      <c r="A674" s="7">
        <v>673</v>
      </c>
      <c r="B674" s="7" t="s">
        <v>289</v>
      </c>
      <c r="C674" s="4">
        <v>33</v>
      </c>
      <c r="D674" s="4">
        <v>3</v>
      </c>
      <c r="E674" s="8">
        <v>44961</v>
      </c>
      <c r="F674" s="9">
        <v>0.24640046296296297</v>
      </c>
      <c r="G674" s="8">
        <v>44964</v>
      </c>
      <c r="H674" s="9">
        <v>0.1844675925925926</v>
      </c>
      <c r="I674" s="7" t="s">
        <v>522</v>
      </c>
      <c r="J674" s="7" t="s">
        <v>12</v>
      </c>
      <c r="K674" s="18" t="str">
        <f>_xlfn.XLOOKUP(tblMaster[[#This Row],[Customer_ID]],tblCustomers[Customer_ID],tblCustomers[City],"Not Found",0)</f>
        <v>Chinsurah</v>
      </c>
      <c r="L674" s="18" t="str">
        <f>_xlfn.XLOOKUP(tblMaster[[#This Row],[Customer_ID]],tblCustomers[Customer_ID],tblCustomers[Name],"Not Found",0)</f>
        <v>Veer Ray</v>
      </c>
      <c r="M674" s="18" t="str">
        <f>_xlfn.XLOOKUP(tblMaster[[#This Row],[Customer_ID]],tblCustomers[Customer_ID],tblCustomers[Gender],"Not Found",0)</f>
        <v>Female</v>
      </c>
      <c r="N674" s="18" t="str">
        <f>_xlfn.XLOOKUP(tblMaster[[#This Row],[Product_ID]],tblProducts[Product_ID],tblProducts[Product_Name],"Not Found",0)</f>
        <v>Earum Set</v>
      </c>
      <c r="O674" s="18" t="str">
        <f>_xlfn.XLOOKUP(tblMaster[[#This Row],[Product_ID]],tblProducts[Product_ID],tblProducts[Category],"Not Found",0)</f>
        <v>Colors</v>
      </c>
      <c r="P674" s="18" t="str">
        <f>_xlfn.XLOOKUP(tblMaster[[#This Row],[Product_ID]],tblProducts[Product_ID],tblProducts[Occasion],"Not Found",0)</f>
        <v>Valentine's Day</v>
      </c>
      <c r="Q674" s="18">
        <f>_xlfn.XLOOKUP(tblMaster[[#This Row],[Product_ID]],tblProducts[Product_ID],tblProducts[Price (INR)],"Not Found",0)</f>
        <v>314</v>
      </c>
      <c r="R674" s="19">
        <f>tblMaster[[#This Row],[Price]]*tblMaster[[#This Row],[Quantity]]</f>
        <v>942</v>
      </c>
      <c r="S674" s="19">
        <f>tblMaster[[#This Row],[Price]]*0.7*tblMaster[[#This Row],[Quantity]]</f>
        <v>659.4</v>
      </c>
      <c r="T674" s="19">
        <f>tblMaster[[#This Row],[Revenue]]-tblMaster[[#This Row],[Estimated Cost (at 70%) ]]</f>
        <v>282.60000000000002</v>
      </c>
      <c r="U674" s="19">
        <f>tblMaster[[#This Row],[Profit]]/tblMaster[[#This Row],[Revenue]]</f>
        <v>0.30000000000000004</v>
      </c>
      <c r="V674" s="19">
        <f>tblMaster[[#This Row],[Delivery_Date]]-tblMaster[[#This Row],[Order_Date]]</f>
        <v>3</v>
      </c>
      <c r="W674" s="19" t="str">
        <f>TEXT(tblMaster[[#This Row],[Order_Date]],"mmmm")</f>
        <v>February</v>
      </c>
      <c r="X674" s="19">
        <f>MONTH(tblMaster[[#This Row],[Order_Date]])</f>
        <v>2</v>
      </c>
      <c r="Y674" s="19" t="str">
        <f>"Q"&amp;ROUNDUP(tblMaster[[#This Row],[Month Number]]/3,0)</f>
        <v>Q1</v>
      </c>
      <c r="Z674" s="19">
        <f>YEAR(tblMaster[[#This Row],[Order_Date]])</f>
        <v>2023</v>
      </c>
      <c r="AA674" s="19" t="str">
        <f>TEXT(DAY(tblMaster[[#This Row],[Order_Date]]),"dddd")</f>
        <v>Wednesday</v>
      </c>
      <c r="AB674" s="19" t="str">
        <f>IF(tblMaster[[#This Row],[Revenue]]&gt;=5000,"High",IF(tblMaster[[#This Row],[Revenue]]&lt;2000,"Low","Medium"))</f>
        <v>Low</v>
      </c>
    </row>
    <row r="675" spans="1:28" x14ac:dyDescent="0.25">
      <c r="A675" s="10">
        <v>674</v>
      </c>
      <c r="B675" s="10" t="s">
        <v>185</v>
      </c>
      <c r="C675" s="5">
        <v>68</v>
      </c>
      <c r="D675" s="5">
        <v>2</v>
      </c>
      <c r="E675" s="11">
        <v>44964</v>
      </c>
      <c r="F675" s="12">
        <v>0.40376157407407409</v>
      </c>
      <c r="G675" s="11">
        <v>44973</v>
      </c>
      <c r="H675" s="12">
        <v>0.98640046296296291</v>
      </c>
      <c r="I675" s="10" t="s">
        <v>385</v>
      </c>
      <c r="J675" s="10" t="s">
        <v>12</v>
      </c>
      <c r="K675" s="18" t="str">
        <f>_xlfn.XLOOKUP(tblMaster[[#This Row],[Customer_ID]],tblCustomers[Customer_ID],tblCustomers[City],"Not Found",0)</f>
        <v>North Dumdum</v>
      </c>
      <c r="L675" s="18" t="str">
        <f>_xlfn.XLOOKUP(tblMaster[[#This Row],[Customer_ID]],tblCustomers[Customer_ID],tblCustomers[Name],"Not Found",0)</f>
        <v>Badal Vora</v>
      </c>
      <c r="M675" s="18" t="str">
        <f>_xlfn.XLOOKUP(tblMaster[[#This Row],[Customer_ID]],tblCustomers[Customer_ID],tblCustomers[Gender],"Not Found",0)</f>
        <v>Male</v>
      </c>
      <c r="N675" s="18" t="str">
        <f>_xlfn.XLOOKUP(tblMaster[[#This Row],[Product_ID]],tblProducts[Product_ID],tblProducts[Product_Name],"Not Found",0)</f>
        <v>Quas Gift</v>
      </c>
      <c r="O675" s="18" t="str">
        <f>_xlfn.XLOOKUP(tblMaster[[#This Row],[Product_ID]],tblProducts[Product_ID],tblProducts[Category],"Not Found",0)</f>
        <v>Soft Toys</v>
      </c>
      <c r="P675" s="18" t="str">
        <f>_xlfn.XLOOKUP(tblMaster[[#This Row],[Product_ID]],tblProducts[Product_ID],tblProducts[Occasion],"Not Found",0)</f>
        <v>Valentine's Day</v>
      </c>
      <c r="Q675" s="18">
        <f>_xlfn.XLOOKUP(tblMaster[[#This Row],[Product_ID]],tblProducts[Product_ID],tblProducts[Price (INR)],"Not Found",0)</f>
        <v>597</v>
      </c>
      <c r="R675" s="19">
        <f>tblMaster[[#This Row],[Price]]*tblMaster[[#This Row],[Quantity]]</f>
        <v>1194</v>
      </c>
      <c r="S675" s="19">
        <f>tblMaster[[#This Row],[Price]]*0.7*tblMaster[[#This Row],[Quantity]]</f>
        <v>835.8</v>
      </c>
      <c r="T675" s="19">
        <f>tblMaster[[#This Row],[Revenue]]-tblMaster[[#This Row],[Estimated Cost (at 70%) ]]</f>
        <v>358.20000000000005</v>
      </c>
      <c r="U675" s="19">
        <f>tblMaster[[#This Row],[Profit]]/tblMaster[[#This Row],[Revenue]]</f>
        <v>0.30000000000000004</v>
      </c>
      <c r="V675" s="19">
        <f>tblMaster[[#This Row],[Delivery_Date]]-tblMaster[[#This Row],[Order_Date]]</f>
        <v>9</v>
      </c>
      <c r="W675" s="19" t="str">
        <f>TEXT(tblMaster[[#This Row],[Order_Date]],"mmmm")</f>
        <v>February</v>
      </c>
      <c r="X675" s="19">
        <f>MONTH(tblMaster[[#This Row],[Order_Date]])</f>
        <v>2</v>
      </c>
      <c r="Y675" s="19" t="str">
        <f>"Q"&amp;ROUNDUP(tblMaster[[#This Row],[Month Number]]/3,0)</f>
        <v>Q1</v>
      </c>
      <c r="Z675" s="19">
        <f>YEAR(tblMaster[[#This Row],[Order_Date]])</f>
        <v>2023</v>
      </c>
      <c r="AA675" s="19" t="str">
        <f>TEXT(DAY(tblMaster[[#This Row],[Order_Date]]),"dddd")</f>
        <v>Saturday</v>
      </c>
      <c r="AB675" s="19" t="str">
        <f>IF(tblMaster[[#This Row],[Revenue]]&gt;=5000,"High",IF(tblMaster[[#This Row],[Revenue]]&lt;2000,"Low","Medium"))</f>
        <v>Low</v>
      </c>
    </row>
    <row r="676" spans="1:28" x14ac:dyDescent="0.25">
      <c r="A676" s="7">
        <v>675</v>
      </c>
      <c r="B676" s="7" t="s">
        <v>437</v>
      </c>
      <c r="C676" s="4">
        <v>13</v>
      </c>
      <c r="D676" s="4">
        <v>4</v>
      </c>
      <c r="E676" s="8">
        <v>44985</v>
      </c>
      <c r="F676" s="9">
        <v>0.33664351851851854</v>
      </c>
      <c r="G676" s="8">
        <v>44994</v>
      </c>
      <c r="H676" s="9">
        <v>0.99458333333333337</v>
      </c>
      <c r="I676" s="7" t="s">
        <v>544</v>
      </c>
      <c r="J676" s="7" t="s">
        <v>25</v>
      </c>
      <c r="K676" s="18" t="str">
        <f>_xlfn.XLOOKUP(tblMaster[[#This Row],[Customer_ID]],tblCustomers[Customer_ID],tblCustomers[City],"Not Found",0)</f>
        <v>Dhanbad</v>
      </c>
      <c r="L676" s="18" t="str">
        <f>_xlfn.XLOOKUP(tblMaster[[#This Row],[Customer_ID]],tblCustomers[Customer_ID],tblCustomers[Name],"Not Found",0)</f>
        <v>Vardaniya Apte</v>
      </c>
      <c r="M676" s="18" t="str">
        <f>_xlfn.XLOOKUP(tblMaster[[#This Row],[Customer_ID]],tblCustomers[Customer_ID],tblCustomers[Gender],"Not Found",0)</f>
        <v>Male</v>
      </c>
      <c r="N676" s="18" t="str">
        <f>_xlfn.XLOOKUP(tblMaster[[#This Row],[Product_ID]],tblProducts[Product_ID],tblProducts[Product_Name],"Not Found",0)</f>
        <v>Et Set</v>
      </c>
      <c r="O676" s="18" t="str">
        <f>_xlfn.XLOOKUP(tblMaster[[#This Row],[Product_ID]],tblProducts[Product_ID],tblProducts[Category],"Not Found",0)</f>
        <v>Mugs</v>
      </c>
      <c r="P676" s="18" t="str">
        <f>_xlfn.XLOOKUP(tblMaster[[#This Row],[Product_ID]],tblProducts[Product_ID],tblProducts[Occasion],"Not Found",0)</f>
        <v>Holi</v>
      </c>
      <c r="Q676" s="18">
        <f>_xlfn.XLOOKUP(tblMaster[[#This Row],[Product_ID]],tblProducts[Product_ID],tblProducts[Price (INR)],"Not Found",0)</f>
        <v>1141</v>
      </c>
      <c r="R676" s="19">
        <f>tblMaster[[#This Row],[Price]]*tblMaster[[#This Row],[Quantity]]</f>
        <v>4564</v>
      </c>
      <c r="S676" s="19">
        <f>tblMaster[[#This Row],[Price]]*0.7*tblMaster[[#This Row],[Quantity]]</f>
        <v>3194.7999999999997</v>
      </c>
      <c r="T676" s="19">
        <f>tblMaster[[#This Row],[Revenue]]-tblMaster[[#This Row],[Estimated Cost (at 70%) ]]</f>
        <v>1369.2000000000003</v>
      </c>
      <c r="U676" s="19">
        <f>tblMaster[[#This Row],[Profit]]/tblMaster[[#This Row],[Revenue]]</f>
        <v>0.30000000000000004</v>
      </c>
      <c r="V676" s="19">
        <f>tblMaster[[#This Row],[Delivery_Date]]-tblMaster[[#This Row],[Order_Date]]</f>
        <v>9</v>
      </c>
      <c r="W676" s="19" t="str">
        <f>TEXT(tblMaster[[#This Row],[Order_Date]],"mmmm")</f>
        <v>February</v>
      </c>
      <c r="X676" s="19">
        <f>MONTH(tblMaster[[#This Row],[Order_Date]])</f>
        <v>2</v>
      </c>
      <c r="Y676" s="19" t="str">
        <f>"Q"&amp;ROUNDUP(tblMaster[[#This Row],[Month Number]]/3,0)</f>
        <v>Q1</v>
      </c>
      <c r="Z676" s="19">
        <f>YEAR(tblMaster[[#This Row],[Order_Date]])</f>
        <v>2023</v>
      </c>
      <c r="AA676" s="19" t="str">
        <f>TEXT(DAY(tblMaster[[#This Row],[Order_Date]]),"dddd")</f>
        <v>Saturday</v>
      </c>
      <c r="AB676" s="19" t="str">
        <f>IF(tblMaster[[#This Row],[Revenue]]&gt;=5000,"High",IF(tblMaster[[#This Row],[Revenue]]&lt;2000,"Low","Medium"))</f>
        <v>Medium</v>
      </c>
    </row>
    <row r="677" spans="1:28" x14ac:dyDescent="0.25">
      <c r="A677" s="10">
        <v>676</v>
      </c>
      <c r="B677" s="10" t="s">
        <v>293</v>
      </c>
      <c r="C677" s="5">
        <v>46</v>
      </c>
      <c r="D677" s="5">
        <v>4</v>
      </c>
      <c r="E677" s="11">
        <v>44975</v>
      </c>
      <c r="F677" s="12">
        <v>0.5294444444444445</v>
      </c>
      <c r="G677" s="11">
        <v>44977</v>
      </c>
      <c r="H677" s="12">
        <v>0.86981481481481482</v>
      </c>
      <c r="I677" s="10" t="s">
        <v>284</v>
      </c>
      <c r="J677" s="10" t="s">
        <v>30</v>
      </c>
      <c r="K677" s="18" t="str">
        <f>_xlfn.XLOOKUP(tblMaster[[#This Row],[Customer_ID]],tblCustomers[Customer_ID],tblCustomers[City],"Not Found",0)</f>
        <v>Aizawl</v>
      </c>
      <c r="L677" s="18" t="str">
        <f>_xlfn.XLOOKUP(tblMaster[[#This Row],[Customer_ID]],tblCustomers[Customer_ID],tblCustomers[Name],"Not Found",0)</f>
        <v>Yakshit Shah</v>
      </c>
      <c r="M677" s="18" t="str">
        <f>_xlfn.XLOOKUP(tblMaster[[#This Row],[Customer_ID]],tblCustomers[Customer_ID],tblCustomers[Gender],"Not Found",0)</f>
        <v>Female</v>
      </c>
      <c r="N677" s="18" t="str">
        <f>_xlfn.XLOOKUP(tblMaster[[#This Row],[Product_ID]],tblProducts[Product_ID],tblProducts[Product_Name],"Not Found",0)</f>
        <v>Pariatur Set</v>
      </c>
      <c r="O677" s="18" t="str">
        <f>_xlfn.XLOOKUP(tblMaster[[#This Row],[Product_ID]],tblProducts[Product_ID],tblProducts[Category],"Not Found",0)</f>
        <v>Cake</v>
      </c>
      <c r="P677" s="18" t="str">
        <f>_xlfn.XLOOKUP(tblMaster[[#This Row],[Product_ID]],tblProducts[Product_ID],tblProducts[Occasion],"Not Found",0)</f>
        <v>Anniversary</v>
      </c>
      <c r="Q677" s="18">
        <f>_xlfn.XLOOKUP(tblMaster[[#This Row],[Product_ID]],tblProducts[Product_ID],tblProducts[Price (INR)],"Not Found",0)</f>
        <v>758</v>
      </c>
      <c r="R677" s="19">
        <f>tblMaster[[#This Row],[Price]]*tblMaster[[#This Row],[Quantity]]</f>
        <v>3032</v>
      </c>
      <c r="S677" s="19">
        <f>tblMaster[[#This Row],[Price]]*0.7*tblMaster[[#This Row],[Quantity]]</f>
        <v>2122.4</v>
      </c>
      <c r="T677" s="19">
        <f>tblMaster[[#This Row],[Revenue]]-tblMaster[[#This Row],[Estimated Cost (at 70%) ]]</f>
        <v>909.59999999999991</v>
      </c>
      <c r="U677" s="19">
        <f>tblMaster[[#This Row],[Profit]]/tblMaster[[#This Row],[Revenue]]</f>
        <v>0.3</v>
      </c>
      <c r="V677" s="19">
        <f>tblMaster[[#This Row],[Delivery_Date]]-tblMaster[[#This Row],[Order_Date]]</f>
        <v>2</v>
      </c>
      <c r="W677" s="19" t="str">
        <f>TEXT(tblMaster[[#This Row],[Order_Date]],"mmmm")</f>
        <v>February</v>
      </c>
      <c r="X677" s="19">
        <f>MONTH(tblMaster[[#This Row],[Order_Date]])</f>
        <v>2</v>
      </c>
      <c r="Y677" s="19" t="str">
        <f>"Q"&amp;ROUNDUP(tblMaster[[#This Row],[Month Number]]/3,0)</f>
        <v>Q1</v>
      </c>
      <c r="Z677" s="19">
        <f>YEAR(tblMaster[[#This Row],[Order_Date]])</f>
        <v>2023</v>
      </c>
      <c r="AA677" s="19" t="str">
        <f>TEXT(DAY(tblMaster[[#This Row],[Order_Date]]),"dddd")</f>
        <v>Wednesday</v>
      </c>
      <c r="AB677" s="19" t="str">
        <f>IF(tblMaster[[#This Row],[Revenue]]&gt;=5000,"High",IF(tblMaster[[#This Row],[Revenue]]&lt;2000,"Low","Medium"))</f>
        <v>Medium</v>
      </c>
    </row>
    <row r="678" spans="1:28" x14ac:dyDescent="0.25">
      <c r="A678" s="7">
        <v>677</v>
      </c>
      <c r="B678" s="7" t="s">
        <v>254</v>
      </c>
      <c r="C678" s="4">
        <v>37</v>
      </c>
      <c r="D678" s="4">
        <v>5</v>
      </c>
      <c r="E678" s="8">
        <v>45234</v>
      </c>
      <c r="F678" s="9">
        <v>0.32917824074074076</v>
      </c>
      <c r="G678" s="8">
        <v>45244</v>
      </c>
      <c r="H678" s="9">
        <v>0.23096064814814815</v>
      </c>
      <c r="I678" s="7" t="s">
        <v>266</v>
      </c>
      <c r="J678" s="7" t="s">
        <v>19</v>
      </c>
      <c r="K678" s="18" t="str">
        <f>_xlfn.XLOOKUP(tblMaster[[#This Row],[Customer_ID]],tblCustomers[Customer_ID],tblCustomers[City],"Not Found",0)</f>
        <v>Maheshtala</v>
      </c>
      <c r="L678" s="18" t="str">
        <f>_xlfn.XLOOKUP(tblMaster[[#This Row],[Customer_ID]],tblCustomers[Customer_ID],tblCustomers[Name],"Not Found",0)</f>
        <v>Divit Mahajan</v>
      </c>
      <c r="M678" s="18" t="str">
        <f>_xlfn.XLOOKUP(tblMaster[[#This Row],[Customer_ID]],tblCustomers[Customer_ID],tblCustomers[Gender],"Not Found",0)</f>
        <v>Female</v>
      </c>
      <c r="N678" s="18" t="str">
        <f>_xlfn.XLOOKUP(tblMaster[[#This Row],[Product_ID]],tblProducts[Product_ID],tblProducts[Product_Name],"Not Found",0)</f>
        <v>Officiis Pack</v>
      </c>
      <c r="O678" s="18" t="str">
        <f>_xlfn.XLOOKUP(tblMaster[[#This Row],[Product_ID]],tblProducts[Product_ID],tblProducts[Category],"Not Found",0)</f>
        <v>Colors</v>
      </c>
      <c r="P678" s="18" t="str">
        <f>_xlfn.XLOOKUP(tblMaster[[#This Row],[Product_ID]],tblProducts[Product_ID],tblProducts[Occasion],"Not Found",0)</f>
        <v>Diwali</v>
      </c>
      <c r="Q678" s="18">
        <f>_xlfn.XLOOKUP(tblMaster[[#This Row],[Product_ID]],tblProducts[Product_ID],tblProducts[Price (INR)],"Not Found",0)</f>
        <v>1428</v>
      </c>
      <c r="R678" s="19">
        <f>tblMaster[[#This Row],[Price]]*tblMaster[[#This Row],[Quantity]]</f>
        <v>7140</v>
      </c>
      <c r="S678" s="19">
        <f>tblMaster[[#This Row],[Price]]*0.7*tblMaster[[#This Row],[Quantity]]</f>
        <v>4998</v>
      </c>
      <c r="T678" s="19">
        <f>tblMaster[[#This Row],[Revenue]]-tblMaster[[#This Row],[Estimated Cost (at 70%) ]]</f>
        <v>2142</v>
      </c>
      <c r="U678" s="19">
        <f>tblMaster[[#This Row],[Profit]]/tblMaster[[#This Row],[Revenue]]</f>
        <v>0.3</v>
      </c>
      <c r="V678" s="19">
        <f>tblMaster[[#This Row],[Delivery_Date]]-tblMaster[[#This Row],[Order_Date]]</f>
        <v>10</v>
      </c>
      <c r="W678" s="19" t="str">
        <f>TEXT(tblMaster[[#This Row],[Order_Date]],"mmmm")</f>
        <v>November</v>
      </c>
      <c r="X678" s="19">
        <f>MONTH(tblMaster[[#This Row],[Order_Date]])</f>
        <v>11</v>
      </c>
      <c r="Y678" s="19" t="str">
        <f>"Q"&amp;ROUNDUP(tblMaster[[#This Row],[Month Number]]/3,0)</f>
        <v>Q4</v>
      </c>
      <c r="Z678" s="19">
        <f>YEAR(tblMaster[[#This Row],[Order_Date]])</f>
        <v>2023</v>
      </c>
      <c r="AA678" s="19" t="str">
        <f>TEXT(DAY(tblMaster[[#This Row],[Order_Date]]),"dddd")</f>
        <v>Wednesday</v>
      </c>
      <c r="AB678" s="19" t="str">
        <f>IF(tblMaster[[#This Row],[Revenue]]&gt;=5000,"High",IF(tblMaster[[#This Row],[Revenue]]&lt;2000,"Low","Medium"))</f>
        <v>High</v>
      </c>
    </row>
    <row r="679" spans="1:28" x14ac:dyDescent="0.25">
      <c r="A679" s="10">
        <v>678</v>
      </c>
      <c r="B679" s="10" t="s">
        <v>246</v>
      </c>
      <c r="C679" s="5">
        <v>31</v>
      </c>
      <c r="D679" s="5">
        <v>5</v>
      </c>
      <c r="E679" s="11">
        <v>45179</v>
      </c>
      <c r="F679" s="12">
        <v>0.59998842592592594</v>
      </c>
      <c r="G679" s="11">
        <v>45189</v>
      </c>
      <c r="H679" s="12">
        <v>0.42577546296296298</v>
      </c>
      <c r="I679" s="10" t="s">
        <v>363</v>
      </c>
      <c r="J679" s="10" t="s">
        <v>8</v>
      </c>
      <c r="K679" s="18" t="str">
        <f>_xlfn.XLOOKUP(tblMaster[[#This Row],[Customer_ID]],tblCustomers[Customer_ID],tblCustomers[City],"Not Found",0)</f>
        <v>Machilipatnam</v>
      </c>
      <c r="L679" s="18" t="str">
        <f>_xlfn.XLOOKUP(tblMaster[[#This Row],[Customer_ID]],tblCustomers[Customer_ID],tblCustomers[Name],"Not Found",0)</f>
        <v>Samaira Ganesh</v>
      </c>
      <c r="M679" s="18" t="str">
        <f>_xlfn.XLOOKUP(tblMaster[[#This Row],[Customer_ID]],tblCustomers[Customer_ID],tblCustomers[Gender],"Not Found",0)</f>
        <v>Male</v>
      </c>
      <c r="N679" s="18" t="str">
        <f>_xlfn.XLOOKUP(tblMaster[[#This Row],[Product_ID]],tblProducts[Product_ID],tblProducts[Product_Name],"Not Found",0)</f>
        <v>Nihil Box</v>
      </c>
      <c r="O679" s="18" t="str">
        <f>_xlfn.XLOOKUP(tblMaster[[#This Row],[Product_ID]],tblProducts[Product_ID],tblProducts[Category],"Not Found",0)</f>
        <v>Colors</v>
      </c>
      <c r="P679" s="18" t="str">
        <f>_xlfn.XLOOKUP(tblMaster[[#This Row],[Product_ID]],tblProducts[Product_ID],tblProducts[Occasion],"Not Found",0)</f>
        <v>All Occasions</v>
      </c>
      <c r="Q679" s="18">
        <f>_xlfn.XLOOKUP(tblMaster[[#This Row],[Product_ID]],tblProducts[Product_ID],tblProducts[Price (INR)],"Not Found",0)</f>
        <v>1804</v>
      </c>
      <c r="R679" s="19">
        <f>tblMaster[[#This Row],[Price]]*tblMaster[[#This Row],[Quantity]]</f>
        <v>9020</v>
      </c>
      <c r="S679" s="19">
        <f>tblMaster[[#This Row],[Price]]*0.7*tblMaster[[#This Row],[Quantity]]</f>
        <v>6314</v>
      </c>
      <c r="T679" s="19">
        <f>tblMaster[[#This Row],[Revenue]]-tblMaster[[#This Row],[Estimated Cost (at 70%) ]]</f>
        <v>2706</v>
      </c>
      <c r="U679" s="19">
        <f>tblMaster[[#This Row],[Profit]]/tblMaster[[#This Row],[Revenue]]</f>
        <v>0.3</v>
      </c>
      <c r="V679" s="19">
        <f>tblMaster[[#This Row],[Delivery_Date]]-tblMaster[[#This Row],[Order_Date]]</f>
        <v>10</v>
      </c>
      <c r="W679" s="19" t="str">
        <f>TEXT(tblMaster[[#This Row],[Order_Date]],"mmmm")</f>
        <v>September</v>
      </c>
      <c r="X679" s="19">
        <f>MONTH(tblMaster[[#This Row],[Order_Date]])</f>
        <v>9</v>
      </c>
      <c r="Y679" s="19" t="str">
        <f>"Q"&amp;ROUNDUP(tblMaster[[#This Row],[Month Number]]/3,0)</f>
        <v>Q3</v>
      </c>
      <c r="Z679" s="19">
        <f>YEAR(tblMaster[[#This Row],[Order_Date]])</f>
        <v>2023</v>
      </c>
      <c r="AA679" s="19" t="str">
        <f>TEXT(DAY(tblMaster[[#This Row],[Order_Date]]),"dddd")</f>
        <v>Tuesday</v>
      </c>
      <c r="AB679" s="19" t="str">
        <f>IF(tblMaster[[#This Row],[Revenue]]&gt;=5000,"High",IF(tblMaster[[#This Row],[Revenue]]&lt;2000,"Low","Medium"))</f>
        <v>High</v>
      </c>
    </row>
    <row r="680" spans="1:28" x14ac:dyDescent="0.25">
      <c r="A680" s="7">
        <v>679</v>
      </c>
      <c r="B680" s="7" t="s">
        <v>168</v>
      </c>
      <c r="C680" s="4">
        <v>56</v>
      </c>
      <c r="D680" s="4">
        <v>2</v>
      </c>
      <c r="E680" s="8">
        <v>45204</v>
      </c>
      <c r="F680" s="9">
        <v>0.72869212962962959</v>
      </c>
      <c r="G680" s="8">
        <v>45213</v>
      </c>
      <c r="H680" s="9">
        <v>0.5403472222222222</v>
      </c>
      <c r="I680" s="7" t="s">
        <v>209</v>
      </c>
      <c r="J680" s="7" t="s">
        <v>30</v>
      </c>
      <c r="K680" s="18" t="str">
        <f>_xlfn.XLOOKUP(tblMaster[[#This Row],[Customer_ID]],tblCustomers[Customer_ID],tblCustomers[City],"Not Found",0)</f>
        <v>Danapur</v>
      </c>
      <c r="L680" s="18" t="str">
        <f>_xlfn.XLOOKUP(tblMaster[[#This Row],[Customer_ID]],tblCustomers[Customer_ID],tblCustomers[Name],"Not Found",0)</f>
        <v>Amira Sengupta</v>
      </c>
      <c r="M680" s="18" t="str">
        <f>_xlfn.XLOOKUP(tblMaster[[#This Row],[Customer_ID]],tblCustomers[Customer_ID],tblCustomers[Gender],"Not Found",0)</f>
        <v>Male</v>
      </c>
      <c r="N680" s="18" t="str">
        <f>_xlfn.XLOOKUP(tblMaster[[#This Row],[Product_ID]],tblProducts[Product_ID],tblProducts[Product_Name],"Not Found",0)</f>
        <v>Quia Gift</v>
      </c>
      <c r="O680" s="18" t="str">
        <f>_xlfn.XLOOKUP(tblMaster[[#This Row],[Product_ID]],tblProducts[Product_ID],tblProducts[Category],"Not Found",0)</f>
        <v>Raksha Bandhan</v>
      </c>
      <c r="P680" s="18" t="str">
        <f>_xlfn.XLOOKUP(tblMaster[[#This Row],[Product_ID]],tblProducts[Product_ID],tblProducts[Occasion],"Not Found",0)</f>
        <v>Anniversary</v>
      </c>
      <c r="Q680" s="18">
        <f>_xlfn.XLOOKUP(tblMaster[[#This Row],[Product_ID]],tblProducts[Product_ID],tblProducts[Price (INR)],"Not Found",0)</f>
        <v>1272</v>
      </c>
      <c r="R680" s="19">
        <f>tblMaster[[#This Row],[Price]]*tblMaster[[#This Row],[Quantity]]</f>
        <v>2544</v>
      </c>
      <c r="S680" s="19">
        <f>tblMaster[[#This Row],[Price]]*0.7*tblMaster[[#This Row],[Quantity]]</f>
        <v>1780.8</v>
      </c>
      <c r="T680" s="19">
        <f>tblMaster[[#This Row],[Revenue]]-tblMaster[[#This Row],[Estimated Cost (at 70%) ]]</f>
        <v>763.2</v>
      </c>
      <c r="U680" s="19">
        <f>tblMaster[[#This Row],[Profit]]/tblMaster[[#This Row],[Revenue]]</f>
        <v>0.30000000000000004</v>
      </c>
      <c r="V680" s="19">
        <f>tblMaster[[#This Row],[Delivery_Date]]-tblMaster[[#This Row],[Order_Date]]</f>
        <v>9</v>
      </c>
      <c r="W680" s="19" t="str">
        <f>TEXT(tblMaster[[#This Row],[Order_Date]],"mmmm")</f>
        <v>October</v>
      </c>
      <c r="X680" s="19">
        <f>MONTH(tblMaster[[#This Row],[Order_Date]])</f>
        <v>10</v>
      </c>
      <c r="Y680" s="19" t="str">
        <f>"Q"&amp;ROUNDUP(tblMaster[[#This Row],[Month Number]]/3,0)</f>
        <v>Q4</v>
      </c>
      <c r="Z680" s="19">
        <f>YEAR(tblMaster[[#This Row],[Order_Date]])</f>
        <v>2023</v>
      </c>
      <c r="AA680" s="19" t="str">
        <f>TEXT(DAY(tblMaster[[#This Row],[Order_Date]]),"dddd")</f>
        <v>Thursday</v>
      </c>
      <c r="AB680" s="19" t="str">
        <f>IF(tblMaster[[#This Row],[Revenue]]&gt;=5000,"High",IF(tblMaster[[#This Row],[Revenue]]&lt;2000,"Low","Medium"))</f>
        <v>Medium</v>
      </c>
    </row>
    <row r="681" spans="1:28" x14ac:dyDescent="0.25">
      <c r="A681" s="10">
        <v>680</v>
      </c>
      <c r="B681" s="10" t="s">
        <v>208</v>
      </c>
      <c r="C681" s="5">
        <v>56</v>
      </c>
      <c r="D681" s="5">
        <v>1</v>
      </c>
      <c r="E681" s="11">
        <v>45262</v>
      </c>
      <c r="F681" s="12">
        <v>0.9309143518518519</v>
      </c>
      <c r="G681" s="11">
        <v>45268</v>
      </c>
      <c r="H681" s="12">
        <v>0.10636574074074075</v>
      </c>
      <c r="I681" s="10" t="s">
        <v>298</v>
      </c>
      <c r="J681" s="10" t="s">
        <v>30</v>
      </c>
      <c r="K681" s="18" t="str">
        <f>_xlfn.XLOOKUP(tblMaster[[#This Row],[Customer_ID]],tblCustomers[Customer_ID],tblCustomers[City],"Not Found",0)</f>
        <v>Nizamabad</v>
      </c>
      <c r="L681" s="18" t="str">
        <f>_xlfn.XLOOKUP(tblMaster[[#This Row],[Customer_ID]],tblCustomers[Customer_ID],tblCustomers[Name],"Not Found",0)</f>
        <v>Eva Vaidya</v>
      </c>
      <c r="M681" s="18" t="str">
        <f>_xlfn.XLOOKUP(tblMaster[[#This Row],[Customer_ID]],tblCustomers[Customer_ID],tblCustomers[Gender],"Not Found",0)</f>
        <v>Male</v>
      </c>
      <c r="N681" s="18" t="str">
        <f>_xlfn.XLOOKUP(tblMaster[[#This Row],[Product_ID]],tblProducts[Product_ID],tblProducts[Product_Name],"Not Found",0)</f>
        <v>Quia Gift</v>
      </c>
      <c r="O681" s="18" t="str">
        <f>_xlfn.XLOOKUP(tblMaster[[#This Row],[Product_ID]],tblProducts[Product_ID],tblProducts[Category],"Not Found",0)</f>
        <v>Raksha Bandhan</v>
      </c>
      <c r="P681" s="18" t="str">
        <f>_xlfn.XLOOKUP(tblMaster[[#This Row],[Product_ID]],tblProducts[Product_ID],tblProducts[Occasion],"Not Found",0)</f>
        <v>Anniversary</v>
      </c>
      <c r="Q681" s="18">
        <f>_xlfn.XLOOKUP(tblMaster[[#This Row],[Product_ID]],tblProducts[Product_ID],tblProducts[Price (INR)],"Not Found",0)</f>
        <v>1272</v>
      </c>
      <c r="R681" s="19">
        <f>tblMaster[[#This Row],[Price]]*tblMaster[[#This Row],[Quantity]]</f>
        <v>1272</v>
      </c>
      <c r="S681" s="19">
        <f>tblMaster[[#This Row],[Price]]*0.7*tblMaster[[#This Row],[Quantity]]</f>
        <v>890.4</v>
      </c>
      <c r="T681" s="19">
        <f>tblMaster[[#This Row],[Revenue]]-tblMaster[[#This Row],[Estimated Cost (at 70%) ]]</f>
        <v>381.6</v>
      </c>
      <c r="U681" s="19">
        <f>tblMaster[[#This Row],[Profit]]/tblMaster[[#This Row],[Revenue]]</f>
        <v>0.30000000000000004</v>
      </c>
      <c r="V681" s="19">
        <f>tblMaster[[#This Row],[Delivery_Date]]-tblMaster[[#This Row],[Order_Date]]</f>
        <v>6</v>
      </c>
      <c r="W681" s="19" t="str">
        <f>TEXT(tblMaster[[#This Row],[Order_Date]],"mmmm")</f>
        <v>December</v>
      </c>
      <c r="X681" s="19">
        <f>MONTH(tblMaster[[#This Row],[Order_Date]])</f>
        <v>12</v>
      </c>
      <c r="Y681" s="19" t="str">
        <f>"Q"&amp;ROUNDUP(tblMaster[[#This Row],[Month Number]]/3,0)</f>
        <v>Q4</v>
      </c>
      <c r="Z681" s="19">
        <f>YEAR(tblMaster[[#This Row],[Order_Date]])</f>
        <v>2023</v>
      </c>
      <c r="AA681" s="19" t="str">
        <f>TEXT(DAY(tblMaster[[#This Row],[Order_Date]]),"dddd")</f>
        <v>Monday</v>
      </c>
      <c r="AB681" s="19" t="str">
        <f>IF(tblMaster[[#This Row],[Revenue]]&gt;=5000,"High",IF(tblMaster[[#This Row],[Revenue]]&lt;2000,"Low","Medium"))</f>
        <v>Low</v>
      </c>
    </row>
    <row r="682" spans="1:28" x14ac:dyDescent="0.25">
      <c r="A682" s="7">
        <v>681</v>
      </c>
      <c r="B682" s="7" t="s">
        <v>413</v>
      </c>
      <c r="C682" s="4">
        <v>23</v>
      </c>
      <c r="D682" s="4">
        <v>5</v>
      </c>
      <c r="E682" s="8">
        <v>44955</v>
      </c>
      <c r="F682" s="9">
        <v>0.42229166666666668</v>
      </c>
      <c r="G682" s="8">
        <v>44962</v>
      </c>
      <c r="H682" s="9">
        <v>0.50101851851851853</v>
      </c>
      <c r="I682" s="7" t="s">
        <v>475</v>
      </c>
      <c r="J682" s="7" t="s">
        <v>30</v>
      </c>
      <c r="K682" s="18" t="str">
        <f>_xlfn.XLOOKUP(tblMaster[[#This Row],[Customer_ID]],tblCustomers[Customer_ID],tblCustomers[City],"Not Found",0)</f>
        <v>Cuttack</v>
      </c>
      <c r="L682" s="18" t="str">
        <f>_xlfn.XLOOKUP(tblMaster[[#This Row],[Customer_ID]],tblCustomers[Customer_ID],tblCustomers[Name],"Not Found",0)</f>
        <v>Navya Golla</v>
      </c>
      <c r="M682" s="18" t="str">
        <f>_xlfn.XLOOKUP(tblMaster[[#This Row],[Customer_ID]],tblCustomers[Customer_ID],tblCustomers[Gender],"Not Found",0)</f>
        <v>Male</v>
      </c>
      <c r="N682" s="18" t="str">
        <f>_xlfn.XLOOKUP(tblMaster[[#This Row],[Product_ID]],tblProducts[Product_ID],tblProducts[Product_Name],"Not Found",0)</f>
        <v>Dignissimos Pack</v>
      </c>
      <c r="O682" s="18" t="str">
        <f>_xlfn.XLOOKUP(tblMaster[[#This Row],[Product_ID]],tblProducts[Product_ID],tblProducts[Category],"Not Found",0)</f>
        <v>Sweets</v>
      </c>
      <c r="P682" s="18" t="str">
        <f>_xlfn.XLOOKUP(tblMaster[[#This Row],[Product_ID]],tblProducts[Product_ID],tblProducts[Occasion],"Not Found",0)</f>
        <v>Anniversary</v>
      </c>
      <c r="Q682" s="18">
        <f>_xlfn.XLOOKUP(tblMaster[[#This Row],[Product_ID]],tblProducts[Product_ID],tblProducts[Price (INR)],"Not Found",0)</f>
        <v>1098</v>
      </c>
      <c r="R682" s="19">
        <f>tblMaster[[#This Row],[Price]]*tblMaster[[#This Row],[Quantity]]</f>
        <v>5490</v>
      </c>
      <c r="S682" s="19">
        <f>tblMaster[[#This Row],[Price]]*0.7*tblMaster[[#This Row],[Quantity]]</f>
        <v>3842.9999999999995</v>
      </c>
      <c r="T682" s="19">
        <f>tblMaster[[#This Row],[Revenue]]-tblMaster[[#This Row],[Estimated Cost (at 70%) ]]</f>
        <v>1647.0000000000005</v>
      </c>
      <c r="U682" s="19">
        <f>tblMaster[[#This Row],[Profit]]/tblMaster[[#This Row],[Revenue]]</f>
        <v>0.3000000000000001</v>
      </c>
      <c r="V682" s="19">
        <f>tblMaster[[#This Row],[Delivery_Date]]-tblMaster[[#This Row],[Order_Date]]</f>
        <v>7</v>
      </c>
      <c r="W682" s="19" t="str">
        <f>TEXT(tblMaster[[#This Row],[Order_Date]],"mmmm")</f>
        <v>January</v>
      </c>
      <c r="X682" s="19">
        <f>MONTH(tblMaster[[#This Row],[Order_Date]])</f>
        <v>1</v>
      </c>
      <c r="Y682" s="19" t="str">
        <f>"Q"&amp;ROUNDUP(tblMaster[[#This Row],[Month Number]]/3,0)</f>
        <v>Q1</v>
      </c>
      <c r="Z682" s="19">
        <f>YEAR(tblMaster[[#This Row],[Order_Date]])</f>
        <v>2023</v>
      </c>
      <c r="AA682" s="19" t="str">
        <f>TEXT(DAY(tblMaster[[#This Row],[Order_Date]]),"dddd")</f>
        <v>Sunday</v>
      </c>
      <c r="AB682" s="19" t="str">
        <f>IF(tblMaster[[#This Row],[Revenue]]&gt;=5000,"High",IF(tblMaster[[#This Row],[Revenue]]&lt;2000,"Low","Medium"))</f>
        <v>High</v>
      </c>
    </row>
    <row r="683" spans="1:28" x14ac:dyDescent="0.25">
      <c r="A683" s="10">
        <v>682</v>
      </c>
      <c r="B683" s="10" t="s">
        <v>204</v>
      </c>
      <c r="C683" s="5">
        <v>50</v>
      </c>
      <c r="D683" s="5">
        <v>5</v>
      </c>
      <c r="E683" s="11">
        <v>44983</v>
      </c>
      <c r="F683" s="12">
        <v>0.31337962962962962</v>
      </c>
      <c r="G683" s="11">
        <v>44990</v>
      </c>
      <c r="H683" s="12">
        <v>0.48093750000000002</v>
      </c>
      <c r="I683" s="10" t="s">
        <v>277</v>
      </c>
      <c r="J683" s="10" t="s">
        <v>25</v>
      </c>
      <c r="K683" s="18" t="str">
        <f>_xlfn.XLOOKUP(tblMaster[[#This Row],[Customer_ID]],tblCustomers[Customer_ID],tblCustomers[City],"Not Found",0)</f>
        <v>Bidhannagar</v>
      </c>
      <c r="L683" s="18" t="str">
        <f>_xlfn.XLOOKUP(tblMaster[[#This Row],[Customer_ID]],tblCustomers[Customer_ID],tblCustomers[Name],"Not Found",0)</f>
        <v>Umang Ahuja</v>
      </c>
      <c r="M683" s="18" t="str">
        <f>_xlfn.XLOOKUP(tblMaster[[#This Row],[Customer_ID]],tblCustomers[Customer_ID],tblCustomers[Gender],"Not Found",0)</f>
        <v>Female</v>
      </c>
      <c r="N683" s="18" t="str">
        <f>_xlfn.XLOOKUP(tblMaster[[#This Row],[Product_ID]],tblProducts[Product_ID],tblProducts[Product_Name],"Not Found",0)</f>
        <v>Eligendi Set</v>
      </c>
      <c r="O683" s="18" t="str">
        <f>_xlfn.XLOOKUP(tblMaster[[#This Row],[Product_ID]],tblProducts[Product_ID],tblProducts[Category],"Not Found",0)</f>
        <v>Plants</v>
      </c>
      <c r="P683" s="18" t="str">
        <f>_xlfn.XLOOKUP(tblMaster[[#This Row],[Product_ID]],tblProducts[Product_ID],tblProducts[Occasion],"Not Found",0)</f>
        <v>Holi</v>
      </c>
      <c r="Q683" s="18">
        <f>_xlfn.XLOOKUP(tblMaster[[#This Row],[Product_ID]],tblProducts[Product_ID],tblProducts[Price (INR)],"Not Found",0)</f>
        <v>422</v>
      </c>
      <c r="R683" s="19">
        <f>tblMaster[[#This Row],[Price]]*tblMaster[[#This Row],[Quantity]]</f>
        <v>2110</v>
      </c>
      <c r="S683" s="19">
        <f>tblMaster[[#This Row],[Price]]*0.7*tblMaster[[#This Row],[Quantity]]</f>
        <v>1477</v>
      </c>
      <c r="T683" s="19">
        <f>tblMaster[[#This Row],[Revenue]]-tblMaster[[#This Row],[Estimated Cost (at 70%) ]]</f>
        <v>633</v>
      </c>
      <c r="U683" s="19">
        <f>tblMaster[[#This Row],[Profit]]/tblMaster[[#This Row],[Revenue]]</f>
        <v>0.3</v>
      </c>
      <c r="V683" s="19">
        <f>tblMaster[[#This Row],[Delivery_Date]]-tblMaster[[#This Row],[Order_Date]]</f>
        <v>7</v>
      </c>
      <c r="W683" s="19" t="str">
        <f>TEXT(tblMaster[[#This Row],[Order_Date]],"mmmm")</f>
        <v>February</v>
      </c>
      <c r="X683" s="19">
        <f>MONTH(tblMaster[[#This Row],[Order_Date]])</f>
        <v>2</v>
      </c>
      <c r="Y683" s="19" t="str">
        <f>"Q"&amp;ROUNDUP(tblMaster[[#This Row],[Month Number]]/3,0)</f>
        <v>Q1</v>
      </c>
      <c r="Z683" s="19">
        <f>YEAR(tblMaster[[#This Row],[Order_Date]])</f>
        <v>2023</v>
      </c>
      <c r="AA683" s="19" t="str">
        <f>TEXT(DAY(tblMaster[[#This Row],[Order_Date]]),"dddd")</f>
        <v>Thursday</v>
      </c>
      <c r="AB683" s="19" t="str">
        <f>IF(tblMaster[[#This Row],[Revenue]]&gt;=5000,"High",IF(tblMaster[[#This Row],[Revenue]]&lt;2000,"Low","Medium"))</f>
        <v>Medium</v>
      </c>
    </row>
    <row r="684" spans="1:28" x14ac:dyDescent="0.25">
      <c r="A684" s="7">
        <v>683</v>
      </c>
      <c r="B684" s="7" t="s">
        <v>188</v>
      </c>
      <c r="C684" s="4">
        <v>27</v>
      </c>
      <c r="D684" s="4">
        <v>3</v>
      </c>
      <c r="E684" s="8">
        <v>45161</v>
      </c>
      <c r="F684" s="9">
        <v>0.89372685185185186</v>
      </c>
      <c r="G684" s="8">
        <v>45168</v>
      </c>
      <c r="H684" s="9">
        <v>0.80912037037037032</v>
      </c>
      <c r="I684" s="7" t="s">
        <v>493</v>
      </c>
      <c r="J684" s="7" t="s">
        <v>33</v>
      </c>
      <c r="K684" s="18" t="str">
        <f>_xlfn.XLOOKUP(tblMaster[[#This Row],[Customer_ID]],tblCustomers[Customer_ID],tblCustomers[City],"Not Found",0)</f>
        <v>Kavali</v>
      </c>
      <c r="L684" s="18" t="str">
        <f>_xlfn.XLOOKUP(tblMaster[[#This Row],[Customer_ID]],tblCustomers[Customer_ID],tblCustomers[Name],"Not Found",0)</f>
        <v>Jhanvi Chowdhury</v>
      </c>
      <c r="M684" s="18" t="str">
        <f>_xlfn.XLOOKUP(tblMaster[[#This Row],[Customer_ID]],tblCustomers[Customer_ID],tblCustomers[Gender],"Not Found",0)</f>
        <v>Female</v>
      </c>
      <c r="N684" s="18" t="str">
        <f>_xlfn.XLOOKUP(tblMaster[[#This Row],[Product_ID]],tblProducts[Product_ID],tblProducts[Product_Name],"Not Found",0)</f>
        <v>Architecto Gift</v>
      </c>
      <c r="O684" s="18" t="str">
        <f>_xlfn.XLOOKUP(tblMaster[[#This Row],[Product_ID]],tblProducts[Product_ID],tblProducts[Category],"Not Found",0)</f>
        <v>Cake</v>
      </c>
      <c r="P684" s="18" t="str">
        <f>_xlfn.XLOOKUP(tblMaster[[#This Row],[Product_ID]],tblProducts[Product_ID],tblProducts[Occasion],"Not Found",0)</f>
        <v>Raksha Bandhan</v>
      </c>
      <c r="Q684" s="18">
        <f>_xlfn.XLOOKUP(tblMaster[[#This Row],[Product_ID]],tblProducts[Product_ID],tblProducts[Price (INR)],"Not Found",0)</f>
        <v>548</v>
      </c>
      <c r="R684" s="19">
        <f>tblMaster[[#This Row],[Price]]*tblMaster[[#This Row],[Quantity]]</f>
        <v>1644</v>
      </c>
      <c r="S684" s="19">
        <f>tblMaster[[#This Row],[Price]]*0.7*tblMaster[[#This Row],[Quantity]]</f>
        <v>1150.8</v>
      </c>
      <c r="T684" s="19">
        <f>tblMaster[[#This Row],[Revenue]]-tblMaster[[#This Row],[Estimated Cost (at 70%) ]]</f>
        <v>493.20000000000005</v>
      </c>
      <c r="U684" s="19">
        <f>tblMaster[[#This Row],[Profit]]/tblMaster[[#This Row],[Revenue]]</f>
        <v>0.30000000000000004</v>
      </c>
      <c r="V684" s="19">
        <f>tblMaster[[#This Row],[Delivery_Date]]-tblMaster[[#This Row],[Order_Date]]</f>
        <v>7</v>
      </c>
      <c r="W684" s="19" t="str">
        <f>TEXT(tblMaster[[#This Row],[Order_Date]],"mmmm")</f>
        <v>August</v>
      </c>
      <c r="X684" s="19">
        <f>MONTH(tblMaster[[#This Row],[Order_Date]])</f>
        <v>8</v>
      </c>
      <c r="Y684" s="19" t="str">
        <f>"Q"&amp;ROUNDUP(tblMaster[[#This Row],[Month Number]]/3,0)</f>
        <v>Q3</v>
      </c>
      <c r="Z684" s="19">
        <f>YEAR(tblMaster[[#This Row],[Order_Date]])</f>
        <v>2023</v>
      </c>
      <c r="AA684" s="19" t="str">
        <f>TEXT(DAY(tblMaster[[#This Row],[Order_Date]]),"dddd")</f>
        <v>Monday</v>
      </c>
      <c r="AB684" s="19" t="str">
        <f>IF(tblMaster[[#This Row],[Revenue]]&gt;=5000,"High",IF(tblMaster[[#This Row],[Revenue]]&lt;2000,"Low","Medium"))</f>
        <v>Low</v>
      </c>
    </row>
    <row r="685" spans="1:28" x14ac:dyDescent="0.25">
      <c r="A685" s="10">
        <v>684</v>
      </c>
      <c r="B685" s="10" t="s">
        <v>170</v>
      </c>
      <c r="C685" s="5">
        <v>70</v>
      </c>
      <c r="D685" s="5">
        <v>3</v>
      </c>
      <c r="E685" s="11">
        <v>45186</v>
      </c>
      <c r="F685" s="12">
        <v>6.5162037037037032E-2</v>
      </c>
      <c r="G685" s="11">
        <v>45194</v>
      </c>
      <c r="H685" s="12">
        <v>0.11434027777777778</v>
      </c>
      <c r="I685" s="10" t="s">
        <v>545</v>
      </c>
      <c r="J685" s="10" t="s">
        <v>36</v>
      </c>
      <c r="K685" s="18" t="str">
        <f>_xlfn.XLOOKUP(tblMaster[[#This Row],[Customer_ID]],tblCustomers[Customer_ID],tblCustomers[City],"Not Found",0)</f>
        <v>Haridwar</v>
      </c>
      <c r="L685" s="18" t="str">
        <f>_xlfn.XLOOKUP(tblMaster[[#This Row],[Customer_ID]],tblCustomers[Customer_ID],tblCustomers[Name],"Not Found",0)</f>
        <v>Badal Sathe</v>
      </c>
      <c r="M685" s="18" t="str">
        <f>_xlfn.XLOOKUP(tblMaster[[#This Row],[Customer_ID]],tblCustomers[Customer_ID],tblCustomers[Gender],"Not Found",0)</f>
        <v>Female</v>
      </c>
      <c r="N685" s="18" t="str">
        <f>_xlfn.XLOOKUP(tblMaster[[#This Row],[Product_ID]],tblProducts[Product_ID],tblProducts[Product_Name],"Not Found",0)</f>
        <v>Error Gift</v>
      </c>
      <c r="O685" s="18" t="str">
        <f>_xlfn.XLOOKUP(tblMaster[[#This Row],[Product_ID]],tblProducts[Product_ID],tblProducts[Category],"Not Found",0)</f>
        <v>Sweets</v>
      </c>
      <c r="P685" s="18" t="str">
        <f>_xlfn.XLOOKUP(tblMaster[[#This Row],[Product_ID]],tblProducts[Product_ID],tblProducts[Occasion],"Not Found",0)</f>
        <v>Birthday</v>
      </c>
      <c r="Q685" s="18">
        <f>_xlfn.XLOOKUP(tblMaster[[#This Row],[Product_ID]],tblProducts[Product_ID],tblProducts[Price (INR)],"Not Found",0)</f>
        <v>866</v>
      </c>
      <c r="R685" s="19">
        <f>tblMaster[[#This Row],[Price]]*tblMaster[[#This Row],[Quantity]]</f>
        <v>2598</v>
      </c>
      <c r="S685" s="19">
        <f>tblMaster[[#This Row],[Price]]*0.7*tblMaster[[#This Row],[Quantity]]</f>
        <v>1818.6</v>
      </c>
      <c r="T685" s="19">
        <f>tblMaster[[#This Row],[Revenue]]-tblMaster[[#This Row],[Estimated Cost (at 70%) ]]</f>
        <v>779.40000000000009</v>
      </c>
      <c r="U685" s="19">
        <f>tblMaster[[#This Row],[Profit]]/tblMaster[[#This Row],[Revenue]]</f>
        <v>0.30000000000000004</v>
      </c>
      <c r="V685" s="19">
        <f>tblMaster[[#This Row],[Delivery_Date]]-tblMaster[[#This Row],[Order_Date]]</f>
        <v>8</v>
      </c>
      <c r="W685" s="19" t="str">
        <f>TEXT(tblMaster[[#This Row],[Order_Date]],"mmmm")</f>
        <v>September</v>
      </c>
      <c r="X685" s="19">
        <f>MONTH(tblMaster[[#This Row],[Order_Date]])</f>
        <v>9</v>
      </c>
      <c r="Y685" s="19" t="str">
        <f>"Q"&amp;ROUNDUP(tblMaster[[#This Row],[Month Number]]/3,0)</f>
        <v>Q3</v>
      </c>
      <c r="Z685" s="19">
        <f>YEAR(tblMaster[[#This Row],[Order_Date]])</f>
        <v>2023</v>
      </c>
      <c r="AA685" s="19" t="str">
        <f>TEXT(DAY(tblMaster[[#This Row],[Order_Date]]),"dddd")</f>
        <v>Tuesday</v>
      </c>
      <c r="AB685" s="19" t="str">
        <f>IF(tblMaster[[#This Row],[Revenue]]&gt;=5000,"High",IF(tblMaster[[#This Row],[Revenue]]&lt;2000,"Low","Medium"))</f>
        <v>Medium</v>
      </c>
    </row>
    <row r="686" spans="1:28" x14ac:dyDescent="0.25">
      <c r="A686" s="7">
        <v>685</v>
      </c>
      <c r="B686" s="7" t="s">
        <v>204</v>
      </c>
      <c r="C686" s="4">
        <v>22</v>
      </c>
      <c r="D686" s="4">
        <v>1</v>
      </c>
      <c r="E686" s="8">
        <v>45170</v>
      </c>
      <c r="F686" s="9">
        <v>0.87824074074074077</v>
      </c>
      <c r="G686" s="8">
        <v>45180</v>
      </c>
      <c r="H686" s="9">
        <v>0.35468749999999999</v>
      </c>
      <c r="I686" s="7" t="s">
        <v>546</v>
      </c>
      <c r="J686" s="7" t="s">
        <v>8</v>
      </c>
      <c r="K686" s="18" t="str">
        <f>_xlfn.XLOOKUP(tblMaster[[#This Row],[Customer_ID]],tblCustomers[Customer_ID],tblCustomers[City],"Not Found",0)</f>
        <v>Bidhannagar</v>
      </c>
      <c r="L686" s="18" t="str">
        <f>_xlfn.XLOOKUP(tblMaster[[#This Row],[Customer_ID]],tblCustomers[Customer_ID],tblCustomers[Name],"Not Found",0)</f>
        <v>Umang Ahuja</v>
      </c>
      <c r="M686" s="18" t="str">
        <f>_xlfn.XLOOKUP(tblMaster[[#This Row],[Customer_ID]],tblCustomers[Customer_ID],tblCustomers[Gender],"Not Found",0)</f>
        <v>Female</v>
      </c>
      <c r="N686" s="18" t="str">
        <f>_xlfn.XLOOKUP(tblMaster[[#This Row],[Product_ID]],tblProducts[Product_ID],tblProducts[Product_Name],"Not Found",0)</f>
        <v>Exercitationem Pack</v>
      </c>
      <c r="O686" s="18" t="str">
        <f>_xlfn.XLOOKUP(tblMaster[[#This Row],[Product_ID]],tblProducts[Product_ID],tblProducts[Category],"Not Found",0)</f>
        <v>Soft Toys</v>
      </c>
      <c r="P686" s="18" t="str">
        <f>_xlfn.XLOOKUP(tblMaster[[#This Row],[Product_ID]],tblProducts[Product_ID],tblProducts[Occasion],"Not Found",0)</f>
        <v>All Occasions</v>
      </c>
      <c r="Q686" s="18">
        <f>_xlfn.XLOOKUP(tblMaster[[#This Row],[Product_ID]],tblProducts[Product_ID],tblProducts[Price (INR)],"Not Found",0)</f>
        <v>1639</v>
      </c>
      <c r="R686" s="19">
        <f>tblMaster[[#This Row],[Price]]*tblMaster[[#This Row],[Quantity]]</f>
        <v>1639</v>
      </c>
      <c r="S686" s="19">
        <f>tblMaster[[#This Row],[Price]]*0.7*tblMaster[[#This Row],[Quantity]]</f>
        <v>1147.3</v>
      </c>
      <c r="T686" s="19">
        <f>tblMaster[[#This Row],[Revenue]]-tblMaster[[#This Row],[Estimated Cost (at 70%) ]]</f>
        <v>491.70000000000005</v>
      </c>
      <c r="U686" s="19">
        <f>tblMaster[[#This Row],[Profit]]/tblMaster[[#This Row],[Revenue]]</f>
        <v>0.30000000000000004</v>
      </c>
      <c r="V686" s="19">
        <f>tblMaster[[#This Row],[Delivery_Date]]-tblMaster[[#This Row],[Order_Date]]</f>
        <v>10</v>
      </c>
      <c r="W686" s="19" t="str">
        <f>TEXT(tblMaster[[#This Row],[Order_Date]],"mmmm")</f>
        <v>September</v>
      </c>
      <c r="X686" s="19">
        <f>MONTH(tblMaster[[#This Row],[Order_Date]])</f>
        <v>9</v>
      </c>
      <c r="Y686" s="19" t="str">
        <f>"Q"&amp;ROUNDUP(tblMaster[[#This Row],[Month Number]]/3,0)</f>
        <v>Q3</v>
      </c>
      <c r="Z686" s="19">
        <f>YEAR(tblMaster[[#This Row],[Order_Date]])</f>
        <v>2023</v>
      </c>
      <c r="AA686" s="19" t="str">
        <f>TEXT(DAY(tblMaster[[#This Row],[Order_Date]]),"dddd")</f>
        <v>Sunday</v>
      </c>
      <c r="AB686" s="19" t="str">
        <f>IF(tblMaster[[#This Row],[Revenue]]&gt;=5000,"High",IF(tblMaster[[#This Row],[Revenue]]&lt;2000,"Low","Medium"))</f>
        <v>Low</v>
      </c>
    </row>
    <row r="687" spans="1:28" x14ac:dyDescent="0.25">
      <c r="A687" s="10">
        <v>686</v>
      </c>
      <c r="B687" s="10" t="s">
        <v>335</v>
      </c>
      <c r="C687" s="5">
        <v>50</v>
      </c>
      <c r="D687" s="5">
        <v>1</v>
      </c>
      <c r="E687" s="11">
        <v>44986</v>
      </c>
      <c r="F687" s="12">
        <v>0.68724537037037037</v>
      </c>
      <c r="G687" s="11">
        <v>44996</v>
      </c>
      <c r="H687" s="12">
        <v>0.90137731481481487</v>
      </c>
      <c r="I687" s="10" t="s">
        <v>167</v>
      </c>
      <c r="J687" s="10" t="s">
        <v>25</v>
      </c>
      <c r="K687" s="18" t="str">
        <f>_xlfn.XLOOKUP(tblMaster[[#This Row],[Customer_ID]],tblCustomers[Customer_ID],tblCustomers[City],"Not Found",0)</f>
        <v>Farrukhabad</v>
      </c>
      <c r="L687" s="18" t="str">
        <f>_xlfn.XLOOKUP(tblMaster[[#This Row],[Customer_ID]],tblCustomers[Customer_ID],tblCustomers[Name],"Not Found",0)</f>
        <v>Ira Chahal</v>
      </c>
      <c r="M687" s="18" t="str">
        <f>_xlfn.XLOOKUP(tblMaster[[#This Row],[Customer_ID]],tblCustomers[Customer_ID],tblCustomers[Gender],"Not Found",0)</f>
        <v>Female</v>
      </c>
      <c r="N687" s="18" t="str">
        <f>_xlfn.XLOOKUP(tblMaster[[#This Row],[Product_ID]],tblProducts[Product_ID],tblProducts[Product_Name],"Not Found",0)</f>
        <v>Eligendi Set</v>
      </c>
      <c r="O687" s="18" t="str">
        <f>_xlfn.XLOOKUP(tblMaster[[#This Row],[Product_ID]],tblProducts[Product_ID],tblProducts[Category],"Not Found",0)</f>
        <v>Plants</v>
      </c>
      <c r="P687" s="18" t="str">
        <f>_xlfn.XLOOKUP(tblMaster[[#This Row],[Product_ID]],tblProducts[Product_ID],tblProducts[Occasion],"Not Found",0)</f>
        <v>Holi</v>
      </c>
      <c r="Q687" s="18">
        <f>_xlfn.XLOOKUP(tblMaster[[#This Row],[Product_ID]],tblProducts[Product_ID],tblProducts[Price (INR)],"Not Found",0)</f>
        <v>422</v>
      </c>
      <c r="R687" s="19">
        <f>tblMaster[[#This Row],[Price]]*tblMaster[[#This Row],[Quantity]]</f>
        <v>422</v>
      </c>
      <c r="S687" s="19">
        <f>tblMaster[[#This Row],[Price]]*0.7*tblMaster[[#This Row],[Quantity]]</f>
        <v>295.39999999999998</v>
      </c>
      <c r="T687" s="19">
        <f>tblMaster[[#This Row],[Revenue]]-tblMaster[[#This Row],[Estimated Cost (at 70%) ]]</f>
        <v>126.60000000000002</v>
      </c>
      <c r="U687" s="19">
        <f>tblMaster[[#This Row],[Profit]]/tblMaster[[#This Row],[Revenue]]</f>
        <v>0.30000000000000004</v>
      </c>
      <c r="V687" s="19">
        <f>tblMaster[[#This Row],[Delivery_Date]]-tblMaster[[#This Row],[Order_Date]]</f>
        <v>10</v>
      </c>
      <c r="W687" s="19" t="str">
        <f>TEXT(tblMaster[[#This Row],[Order_Date]],"mmmm")</f>
        <v>March</v>
      </c>
      <c r="X687" s="19">
        <f>MONTH(tblMaster[[#This Row],[Order_Date]])</f>
        <v>3</v>
      </c>
      <c r="Y687" s="19" t="str">
        <f>"Q"&amp;ROUNDUP(tblMaster[[#This Row],[Month Number]]/3,0)</f>
        <v>Q1</v>
      </c>
      <c r="Z687" s="19">
        <f>YEAR(tblMaster[[#This Row],[Order_Date]])</f>
        <v>2023</v>
      </c>
      <c r="AA687" s="19" t="str">
        <f>TEXT(DAY(tblMaster[[#This Row],[Order_Date]]),"dddd")</f>
        <v>Sunday</v>
      </c>
      <c r="AB687" s="19" t="str">
        <f>IF(tblMaster[[#This Row],[Revenue]]&gt;=5000,"High",IF(tblMaster[[#This Row],[Revenue]]&lt;2000,"Low","Medium"))</f>
        <v>Low</v>
      </c>
    </row>
    <row r="688" spans="1:28" x14ac:dyDescent="0.25">
      <c r="A688" s="7">
        <v>687</v>
      </c>
      <c r="B688" s="7" t="s">
        <v>413</v>
      </c>
      <c r="C688" s="4">
        <v>8</v>
      </c>
      <c r="D688" s="4">
        <v>5</v>
      </c>
      <c r="E688" s="8">
        <v>45000</v>
      </c>
      <c r="F688" s="9">
        <v>0.74809027777777781</v>
      </c>
      <c r="G688" s="8">
        <v>45004</v>
      </c>
      <c r="H688" s="9">
        <v>0.20201388888888888</v>
      </c>
      <c r="I688" s="7" t="s">
        <v>547</v>
      </c>
      <c r="J688" s="7" t="s">
        <v>30</v>
      </c>
      <c r="K688" s="18" t="str">
        <f>_xlfn.XLOOKUP(tblMaster[[#This Row],[Customer_ID]],tblCustomers[Customer_ID],tblCustomers[City],"Not Found",0)</f>
        <v>Cuttack</v>
      </c>
      <c r="L688" s="18" t="str">
        <f>_xlfn.XLOOKUP(tblMaster[[#This Row],[Customer_ID]],tblCustomers[Customer_ID],tblCustomers[Name],"Not Found",0)</f>
        <v>Navya Golla</v>
      </c>
      <c r="M688" s="18" t="str">
        <f>_xlfn.XLOOKUP(tblMaster[[#This Row],[Customer_ID]],tblCustomers[Customer_ID],tblCustomers[Gender],"Not Found",0)</f>
        <v>Male</v>
      </c>
      <c r="N688" s="18" t="str">
        <f>_xlfn.XLOOKUP(tblMaster[[#This Row],[Product_ID]],tblProducts[Product_ID],tblProducts[Product_Name],"Not Found",0)</f>
        <v>Qui Box</v>
      </c>
      <c r="O688" s="18" t="str">
        <f>_xlfn.XLOOKUP(tblMaster[[#This Row],[Product_ID]],tblProducts[Product_ID],tblProducts[Category],"Not Found",0)</f>
        <v>Sweets</v>
      </c>
      <c r="P688" s="18" t="str">
        <f>_xlfn.XLOOKUP(tblMaster[[#This Row],[Product_ID]],tblProducts[Product_ID],tblProducts[Occasion],"Not Found",0)</f>
        <v>Anniversary</v>
      </c>
      <c r="Q688" s="18">
        <f>_xlfn.XLOOKUP(tblMaster[[#This Row],[Product_ID]],tblProducts[Product_ID],tblProducts[Price (INR)],"Not Found",0)</f>
        <v>252</v>
      </c>
      <c r="R688" s="19">
        <f>tblMaster[[#This Row],[Price]]*tblMaster[[#This Row],[Quantity]]</f>
        <v>1260</v>
      </c>
      <c r="S688" s="19">
        <f>tblMaster[[#This Row],[Price]]*0.7*tblMaster[[#This Row],[Quantity]]</f>
        <v>881.99999999999989</v>
      </c>
      <c r="T688" s="19">
        <f>tblMaster[[#This Row],[Revenue]]-tblMaster[[#This Row],[Estimated Cost (at 70%) ]]</f>
        <v>378.00000000000011</v>
      </c>
      <c r="U688" s="19">
        <f>tblMaster[[#This Row],[Profit]]/tblMaster[[#This Row],[Revenue]]</f>
        <v>0.3000000000000001</v>
      </c>
      <c r="V688" s="19">
        <f>tblMaster[[#This Row],[Delivery_Date]]-tblMaster[[#This Row],[Order_Date]]</f>
        <v>4</v>
      </c>
      <c r="W688" s="19" t="str">
        <f>TEXT(tblMaster[[#This Row],[Order_Date]],"mmmm")</f>
        <v>March</v>
      </c>
      <c r="X688" s="19">
        <f>MONTH(tblMaster[[#This Row],[Order_Date]])</f>
        <v>3</v>
      </c>
      <c r="Y688" s="19" t="str">
        <f>"Q"&amp;ROUNDUP(tblMaster[[#This Row],[Month Number]]/3,0)</f>
        <v>Q1</v>
      </c>
      <c r="Z688" s="19">
        <f>YEAR(tblMaster[[#This Row],[Order_Date]])</f>
        <v>2023</v>
      </c>
      <c r="AA688" s="19" t="str">
        <f>TEXT(DAY(tblMaster[[#This Row],[Order_Date]]),"dddd")</f>
        <v>Sunday</v>
      </c>
      <c r="AB688" s="19" t="str">
        <f>IF(tblMaster[[#This Row],[Revenue]]&gt;=5000,"High",IF(tblMaster[[#This Row],[Revenue]]&lt;2000,"Low","Medium"))</f>
        <v>Low</v>
      </c>
    </row>
    <row r="689" spans="1:28" x14ac:dyDescent="0.25">
      <c r="A689" s="10">
        <v>688</v>
      </c>
      <c r="B689" s="10" t="s">
        <v>270</v>
      </c>
      <c r="C689" s="5">
        <v>54</v>
      </c>
      <c r="D689" s="5">
        <v>2</v>
      </c>
      <c r="E689" s="11">
        <v>44954</v>
      </c>
      <c r="F689" s="12">
        <v>0.79313657407407412</v>
      </c>
      <c r="G689" s="11">
        <v>44956</v>
      </c>
      <c r="H689" s="12">
        <v>0.57733796296296291</v>
      </c>
      <c r="I689" s="10" t="s">
        <v>375</v>
      </c>
      <c r="J689" s="10" t="s">
        <v>30</v>
      </c>
      <c r="K689" s="18" t="str">
        <f>_xlfn.XLOOKUP(tblMaster[[#This Row],[Customer_ID]],tblCustomers[Customer_ID],tblCustomers[City],"Not Found",0)</f>
        <v>Kolkata</v>
      </c>
      <c r="L689" s="18" t="str">
        <f>_xlfn.XLOOKUP(tblMaster[[#This Row],[Customer_ID]],tblCustomers[Customer_ID],tblCustomers[Name],"Not Found",0)</f>
        <v>Romil Bajwa</v>
      </c>
      <c r="M689" s="18" t="str">
        <f>_xlfn.XLOOKUP(tblMaster[[#This Row],[Customer_ID]],tblCustomers[Customer_ID],tblCustomers[Gender],"Not Found",0)</f>
        <v>Female</v>
      </c>
      <c r="N689" s="18" t="str">
        <f>_xlfn.XLOOKUP(tblMaster[[#This Row],[Product_ID]],tblProducts[Product_ID],tblProducts[Product_Name],"Not Found",0)</f>
        <v>Occaecati Gift</v>
      </c>
      <c r="O689" s="18" t="str">
        <f>_xlfn.XLOOKUP(tblMaster[[#This Row],[Product_ID]],tblProducts[Product_ID],tblProducts[Category],"Not Found",0)</f>
        <v>Cake</v>
      </c>
      <c r="P689" s="18" t="str">
        <f>_xlfn.XLOOKUP(tblMaster[[#This Row],[Product_ID]],tblProducts[Product_ID],tblProducts[Occasion],"Not Found",0)</f>
        <v>Anniversary</v>
      </c>
      <c r="Q689" s="18">
        <f>_xlfn.XLOOKUP(tblMaster[[#This Row],[Product_ID]],tblProducts[Product_ID],tblProducts[Price (INR)],"Not Found",0)</f>
        <v>1236</v>
      </c>
      <c r="R689" s="19">
        <f>tblMaster[[#This Row],[Price]]*tblMaster[[#This Row],[Quantity]]</f>
        <v>2472</v>
      </c>
      <c r="S689" s="19">
        <f>tblMaster[[#This Row],[Price]]*0.7*tblMaster[[#This Row],[Quantity]]</f>
        <v>1730.3999999999999</v>
      </c>
      <c r="T689" s="19">
        <f>tblMaster[[#This Row],[Revenue]]-tblMaster[[#This Row],[Estimated Cost (at 70%) ]]</f>
        <v>741.60000000000014</v>
      </c>
      <c r="U689" s="19">
        <f>tblMaster[[#This Row],[Profit]]/tblMaster[[#This Row],[Revenue]]</f>
        <v>0.30000000000000004</v>
      </c>
      <c r="V689" s="19">
        <f>tblMaster[[#This Row],[Delivery_Date]]-tblMaster[[#This Row],[Order_Date]]</f>
        <v>2</v>
      </c>
      <c r="W689" s="19" t="str">
        <f>TEXT(tblMaster[[#This Row],[Order_Date]],"mmmm")</f>
        <v>January</v>
      </c>
      <c r="X689" s="19">
        <f>MONTH(tblMaster[[#This Row],[Order_Date]])</f>
        <v>1</v>
      </c>
      <c r="Y689" s="19" t="str">
        <f>"Q"&amp;ROUNDUP(tblMaster[[#This Row],[Month Number]]/3,0)</f>
        <v>Q1</v>
      </c>
      <c r="Z689" s="19">
        <f>YEAR(tblMaster[[#This Row],[Order_Date]])</f>
        <v>2023</v>
      </c>
      <c r="AA689" s="19" t="str">
        <f>TEXT(DAY(tblMaster[[#This Row],[Order_Date]]),"dddd")</f>
        <v>Saturday</v>
      </c>
      <c r="AB689" s="19" t="str">
        <f>IF(tblMaster[[#This Row],[Revenue]]&gt;=5000,"High",IF(tblMaster[[#This Row],[Revenue]]&lt;2000,"Low","Medium"))</f>
        <v>Medium</v>
      </c>
    </row>
    <row r="690" spans="1:28" x14ac:dyDescent="0.25">
      <c r="A690" s="7">
        <v>689</v>
      </c>
      <c r="B690" s="7" t="s">
        <v>237</v>
      </c>
      <c r="C690" s="4">
        <v>66</v>
      </c>
      <c r="D690" s="4">
        <v>4</v>
      </c>
      <c r="E690" s="8">
        <v>44987</v>
      </c>
      <c r="F690" s="9">
        <v>0.24493055555555557</v>
      </c>
      <c r="G690" s="8">
        <v>44992</v>
      </c>
      <c r="H690" s="9">
        <v>0.45864583333333331</v>
      </c>
      <c r="I690" s="7" t="s">
        <v>541</v>
      </c>
      <c r="J690" s="7" t="s">
        <v>25</v>
      </c>
      <c r="K690" s="18" t="str">
        <f>_xlfn.XLOOKUP(tblMaster[[#This Row],[Customer_ID]],tblCustomers[Customer_ID],tblCustomers[City],"Not Found",0)</f>
        <v>Guna</v>
      </c>
      <c r="L690" s="18" t="str">
        <f>_xlfn.XLOOKUP(tblMaster[[#This Row],[Customer_ID]],tblCustomers[Customer_ID],tblCustomers[Name],"Not Found",0)</f>
        <v>Tara Kannan</v>
      </c>
      <c r="M690" s="18" t="str">
        <f>_xlfn.XLOOKUP(tblMaster[[#This Row],[Customer_ID]],tblCustomers[Customer_ID],tblCustomers[Gender],"Not Found",0)</f>
        <v>Male</v>
      </c>
      <c r="N690" s="18" t="str">
        <f>_xlfn.XLOOKUP(tblMaster[[#This Row],[Product_ID]],tblProducts[Product_ID],tblProducts[Product_Name],"Not Found",0)</f>
        <v>Quas Box</v>
      </c>
      <c r="O690" s="18" t="str">
        <f>_xlfn.XLOOKUP(tblMaster[[#This Row],[Product_ID]],tblProducts[Product_ID],tblProducts[Category],"Not Found",0)</f>
        <v>Colors</v>
      </c>
      <c r="P690" s="18" t="str">
        <f>_xlfn.XLOOKUP(tblMaster[[#This Row],[Product_ID]],tblProducts[Product_ID],tblProducts[Occasion],"Not Found",0)</f>
        <v>Holi</v>
      </c>
      <c r="Q690" s="18">
        <f>_xlfn.XLOOKUP(tblMaster[[#This Row],[Product_ID]],tblProducts[Product_ID],tblProducts[Price (INR)],"Not Found",0)</f>
        <v>610</v>
      </c>
      <c r="R690" s="19">
        <f>tblMaster[[#This Row],[Price]]*tblMaster[[#This Row],[Quantity]]</f>
        <v>2440</v>
      </c>
      <c r="S690" s="19">
        <f>tblMaster[[#This Row],[Price]]*0.7*tblMaster[[#This Row],[Quantity]]</f>
        <v>1708</v>
      </c>
      <c r="T690" s="19">
        <f>tblMaster[[#This Row],[Revenue]]-tblMaster[[#This Row],[Estimated Cost (at 70%) ]]</f>
        <v>732</v>
      </c>
      <c r="U690" s="19">
        <f>tblMaster[[#This Row],[Profit]]/tblMaster[[#This Row],[Revenue]]</f>
        <v>0.3</v>
      </c>
      <c r="V690" s="19">
        <f>tblMaster[[#This Row],[Delivery_Date]]-tblMaster[[#This Row],[Order_Date]]</f>
        <v>5</v>
      </c>
      <c r="W690" s="19" t="str">
        <f>TEXT(tblMaster[[#This Row],[Order_Date]],"mmmm")</f>
        <v>March</v>
      </c>
      <c r="X690" s="19">
        <f>MONTH(tblMaster[[#This Row],[Order_Date]])</f>
        <v>3</v>
      </c>
      <c r="Y690" s="19" t="str">
        <f>"Q"&amp;ROUNDUP(tblMaster[[#This Row],[Month Number]]/3,0)</f>
        <v>Q1</v>
      </c>
      <c r="Z690" s="19">
        <f>YEAR(tblMaster[[#This Row],[Order_Date]])</f>
        <v>2023</v>
      </c>
      <c r="AA690" s="19" t="str">
        <f>TEXT(DAY(tblMaster[[#This Row],[Order_Date]]),"dddd")</f>
        <v>Monday</v>
      </c>
      <c r="AB690" s="19" t="str">
        <f>IF(tblMaster[[#This Row],[Revenue]]&gt;=5000,"High",IF(tblMaster[[#This Row],[Revenue]]&lt;2000,"Low","Medium"))</f>
        <v>Medium</v>
      </c>
    </row>
    <row r="691" spans="1:28" x14ac:dyDescent="0.25">
      <c r="A691" s="10">
        <v>690</v>
      </c>
      <c r="B691" s="10" t="s">
        <v>333</v>
      </c>
      <c r="C691" s="5">
        <v>48</v>
      </c>
      <c r="D691" s="5">
        <v>2</v>
      </c>
      <c r="E691" s="11">
        <v>45232</v>
      </c>
      <c r="F691" s="12">
        <v>0.88431712962962961</v>
      </c>
      <c r="G691" s="11">
        <v>45235</v>
      </c>
      <c r="H691" s="12">
        <v>0.89777777777777779</v>
      </c>
      <c r="I691" s="10" t="s">
        <v>548</v>
      </c>
      <c r="J691" s="10" t="s">
        <v>19</v>
      </c>
      <c r="K691" s="18" t="str">
        <f>_xlfn.XLOOKUP(tblMaster[[#This Row],[Customer_ID]],tblCustomers[Customer_ID],tblCustomers[City],"Not Found",0)</f>
        <v>Raurkela Industrial Township</v>
      </c>
      <c r="L691" s="18" t="str">
        <f>_xlfn.XLOOKUP(tblMaster[[#This Row],[Customer_ID]],tblCustomers[Customer_ID],tblCustomers[Name],"Not Found",0)</f>
        <v>Aaryahi Sodhi</v>
      </c>
      <c r="M691" s="18" t="str">
        <f>_xlfn.XLOOKUP(tblMaster[[#This Row],[Customer_ID]],tblCustomers[Customer_ID],tblCustomers[Gender],"Not Found",0)</f>
        <v>Male</v>
      </c>
      <c r="N691" s="18" t="str">
        <f>_xlfn.XLOOKUP(tblMaster[[#This Row],[Product_ID]],tblProducts[Product_ID],tblProducts[Product_Name],"Not Found",0)</f>
        <v>Maiores Gift</v>
      </c>
      <c r="O691" s="18" t="str">
        <f>_xlfn.XLOOKUP(tblMaster[[#This Row],[Product_ID]],tblProducts[Product_ID],tblProducts[Category],"Not Found",0)</f>
        <v>Colors</v>
      </c>
      <c r="P691" s="18" t="str">
        <f>_xlfn.XLOOKUP(tblMaster[[#This Row],[Product_ID]],tblProducts[Product_ID],tblProducts[Occasion],"Not Found",0)</f>
        <v>Diwali</v>
      </c>
      <c r="Q691" s="18">
        <f>_xlfn.XLOOKUP(tblMaster[[#This Row],[Product_ID]],tblProducts[Product_ID],tblProducts[Price (INR)],"Not Found",0)</f>
        <v>433</v>
      </c>
      <c r="R691" s="19">
        <f>tblMaster[[#This Row],[Price]]*tblMaster[[#This Row],[Quantity]]</f>
        <v>866</v>
      </c>
      <c r="S691" s="19">
        <f>tblMaster[[#This Row],[Price]]*0.7*tblMaster[[#This Row],[Quantity]]</f>
        <v>606.19999999999993</v>
      </c>
      <c r="T691" s="19">
        <f>tblMaster[[#This Row],[Revenue]]-tblMaster[[#This Row],[Estimated Cost (at 70%) ]]</f>
        <v>259.80000000000007</v>
      </c>
      <c r="U691" s="19">
        <f>tblMaster[[#This Row],[Profit]]/tblMaster[[#This Row],[Revenue]]</f>
        <v>0.3000000000000001</v>
      </c>
      <c r="V691" s="19">
        <f>tblMaster[[#This Row],[Delivery_Date]]-tblMaster[[#This Row],[Order_Date]]</f>
        <v>3</v>
      </c>
      <c r="W691" s="19" t="str">
        <f>TEXT(tblMaster[[#This Row],[Order_Date]],"mmmm")</f>
        <v>November</v>
      </c>
      <c r="X691" s="19">
        <f>MONTH(tblMaster[[#This Row],[Order_Date]])</f>
        <v>11</v>
      </c>
      <c r="Y691" s="19" t="str">
        <f>"Q"&amp;ROUNDUP(tblMaster[[#This Row],[Month Number]]/3,0)</f>
        <v>Q4</v>
      </c>
      <c r="Z691" s="19">
        <f>YEAR(tblMaster[[#This Row],[Order_Date]])</f>
        <v>2023</v>
      </c>
      <c r="AA691" s="19" t="str">
        <f>TEXT(DAY(tblMaster[[#This Row],[Order_Date]]),"dddd")</f>
        <v>Monday</v>
      </c>
      <c r="AB691" s="19" t="str">
        <f>IF(tblMaster[[#This Row],[Revenue]]&gt;=5000,"High",IF(tblMaster[[#This Row],[Revenue]]&lt;2000,"Low","Medium"))</f>
        <v>Low</v>
      </c>
    </row>
    <row r="692" spans="1:28" x14ac:dyDescent="0.25">
      <c r="A692" s="7">
        <v>691</v>
      </c>
      <c r="B692" s="7" t="s">
        <v>488</v>
      </c>
      <c r="C692" s="4">
        <v>48</v>
      </c>
      <c r="D692" s="4">
        <v>5</v>
      </c>
      <c r="E692" s="8">
        <v>45236</v>
      </c>
      <c r="F692" s="9">
        <v>0.22410879629629629</v>
      </c>
      <c r="G692" s="8">
        <v>45240</v>
      </c>
      <c r="H692" s="9">
        <v>0.46418981481481481</v>
      </c>
      <c r="I692" s="7" t="s">
        <v>418</v>
      </c>
      <c r="J692" s="7" t="s">
        <v>19</v>
      </c>
      <c r="K692" s="18" t="str">
        <f>_xlfn.XLOOKUP(tblMaster[[#This Row],[Customer_ID]],tblCustomers[Customer_ID],tblCustomers[City],"Not Found",0)</f>
        <v>Bulandshahr</v>
      </c>
      <c r="L692" s="18" t="str">
        <f>_xlfn.XLOOKUP(tblMaster[[#This Row],[Customer_ID]],tblCustomers[Customer_ID],tblCustomers[Name],"Not Found",0)</f>
        <v>Myra Edwin</v>
      </c>
      <c r="M692" s="18" t="str">
        <f>_xlfn.XLOOKUP(tblMaster[[#This Row],[Customer_ID]],tblCustomers[Customer_ID],tblCustomers[Gender],"Not Found",0)</f>
        <v>Female</v>
      </c>
      <c r="N692" s="18" t="str">
        <f>_xlfn.XLOOKUP(tblMaster[[#This Row],[Product_ID]],tblProducts[Product_ID],tblProducts[Product_Name],"Not Found",0)</f>
        <v>Maiores Gift</v>
      </c>
      <c r="O692" s="18" t="str">
        <f>_xlfn.XLOOKUP(tblMaster[[#This Row],[Product_ID]],tblProducts[Product_ID],tblProducts[Category],"Not Found",0)</f>
        <v>Colors</v>
      </c>
      <c r="P692" s="18" t="str">
        <f>_xlfn.XLOOKUP(tblMaster[[#This Row],[Product_ID]],tblProducts[Product_ID],tblProducts[Occasion],"Not Found",0)</f>
        <v>Diwali</v>
      </c>
      <c r="Q692" s="18">
        <f>_xlfn.XLOOKUP(tblMaster[[#This Row],[Product_ID]],tblProducts[Product_ID],tblProducts[Price (INR)],"Not Found",0)</f>
        <v>433</v>
      </c>
      <c r="R692" s="19">
        <f>tblMaster[[#This Row],[Price]]*tblMaster[[#This Row],[Quantity]]</f>
        <v>2165</v>
      </c>
      <c r="S692" s="19">
        <f>tblMaster[[#This Row],[Price]]*0.7*tblMaster[[#This Row],[Quantity]]</f>
        <v>1515.4999999999998</v>
      </c>
      <c r="T692" s="19">
        <f>tblMaster[[#This Row],[Revenue]]-tblMaster[[#This Row],[Estimated Cost (at 70%) ]]</f>
        <v>649.50000000000023</v>
      </c>
      <c r="U692" s="19">
        <f>tblMaster[[#This Row],[Profit]]/tblMaster[[#This Row],[Revenue]]</f>
        <v>0.3000000000000001</v>
      </c>
      <c r="V692" s="19">
        <f>tblMaster[[#This Row],[Delivery_Date]]-tblMaster[[#This Row],[Order_Date]]</f>
        <v>4</v>
      </c>
      <c r="W692" s="19" t="str">
        <f>TEXT(tblMaster[[#This Row],[Order_Date]],"mmmm")</f>
        <v>November</v>
      </c>
      <c r="X692" s="19">
        <f>MONTH(tblMaster[[#This Row],[Order_Date]])</f>
        <v>11</v>
      </c>
      <c r="Y692" s="19" t="str">
        <f>"Q"&amp;ROUNDUP(tblMaster[[#This Row],[Month Number]]/3,0)</f>
        <v>Q4</v>
      </c>
      <c r="Z692" s="19">
        <f>YEAR(tblMaster[[#This Row],[Order_Date]])</f>
        <v>2023</v>
      </c>
      <c r="AA692" s="19" t="str">
        <f>TEXT(DAY(tblMaster[[#This Row],[Order_Date]]),"dddd")</f>
        <v>Friday</v>
      </c>
      <c r="AB692" s="19" t="str">
        <f>IF(tblMaster[[#This Row],[Revenue]]&gt;=5000,"High",IF(tblMaster[[#This Row],[Revenue]]&lt;2000,"Low","Medium"))</f>
        <v>Medium</v>
      </c>
    </row>
    <row r="693" spans="1:28" x14ac:dyDescent="0.25">
      <c r="A693" s="10">
        <v>692</v>
      </c>
      <c r="B693" s="10" t="s">
        <v>329</v>
      </c>
      <c r="C693" s="5">
        <v>15</v>
      </c>
      <c r="D693" s="5">
        <v>2</v>
      </c>
      <c r="E693" s="11">
        <v>45149</v>
      </c>
      <c r="F693" s="12">
        <v>0.29508101851851853</v>
      </c>
      <c r="G693" s="11">
        <v>45156</v>
      </c>
      <c r="H693" s="12">
        <v>0.28098379629629627</v>
      </c>
      <c r="I693" s="10" t="s">
        <v>346</v>
      </c>
      <c r="J693" s="10" t="s">
        <v>30</v>
      </c>
      <c r="K693" s="18" t="str">
        <f>_xlfn.XLOOKUP(tblMaster[[#This Row],[Customer_ID]],tblCustomers[Customer_ID],tblCustomers[City],"Not Found",0)</f>
        <v>Vellore</v>
      </c>
      <c r="L693" s="18" t="str">
        <f>_xlfn.XLOOKUP(tblMaster[[#This Row],[Customer_ID]],tblCustomers[Customer_ID],tblCustomers[Name],"Not Found",0)</f>
        <v>Ira Sarna</v>
      </c>
      <c r="M693" s="18" t="str">
        <f>_xlfn.XLOOKUP(tblMaster[[#This Row],[Customer_ID]],tblCustomers[Customer_ID],tblCustomers[Gender],"Not Found",0)</f>
        <v>Male</v>
      </c>
      <c r="N693" s="18" t="str">
        <f>_xlfn.XLOOKUP(tblMaster[[#This Row],[Product_ID]],tblProducts[Product_ID],tblProducts[Product_Name],"Not Found",0)</f>
        <v>Repudiandae Box</v>
      </c>
      <c r="O693" s="18" t="str">
        <f>_xlfn.XLOOKUP(tblMaster[[#This Row],[Product_ID]],tblProducts[Product_ID],tblProducts[Category],"Not Found",0)</f>
        <v>Raksha Bandhan</v>
      </c>
      <c r="P693" s="18" t="str">
        <f>_xlfn.XLOOKUP(tblMaster[[#This Row],[Product_ID]],tblProducts[Product_ID],tblProducts[Occasion],"Not Found",0)</f>
        <v>Anniversary</v>
      </c>
      <c r="Q693" s="18">
        <f>_xlfn.XLOOKUP(tblMaster[[#This Row],[Product_ID]],tblProducts[Product_ID],tblProducts[Price (INR)],"Not Found",0)</f>
        <v>1488</v>
      </c>
      <c r="R693" s="19">
        <f>tblMaster[[#This Row],[Price]]*tblMaster[[#This Row],[Quantity]]</f>
        <v>2976</v>
      </c>
      <c r="S693" s="19">
        <f>tblMaster[[#This Row],[Price]]*0.7*tblMaster[[#This Row],[Quantity]]</f>
        <v>2083.1999999999998</v>
      </c>
      <c r="T693" s="19">
        <f>tblMaster[[#This Row],[Revenue]]-tblMaster[[#This Row],[Estimated Cost (at 70%) ]]</f>
        <v>892.80000000000018</v>
      </c>
      <c r="U693" s="19">
        <f>tblMaster[[#This Row],[Profit]]/tblMaster[[#This Row],[Revenue]]</f>
        <v>0.30000000000000004</v>
      </c>
      <c r="V693" s="19">
        <f>tblMaster[[#This Row],[Delivery_Date]]-tblMaster[[#This Row],[Order_Date]]</f>
        <v>7</v>
      </c>
      <c r="W693" s="19" t="str">
        <f>TEXT(tblMaster[[#This Row],[Order_Date]],"mmmm")</f>
        <v>August</v>
      </c>
      <c r="X693" s="19">
        <f>MONTH(tblMaster[[#This Row],[Order_Date]])</f>
        <v>8</v>
      </c>
      <c r="Y693" s="19" t="str">
        <f>"Q"&amp;ROUNDUP(tblMaster[[#This Row],[Month Number]]/3,0)</f>
        <v>Q3</v>
      </c>
      <c r="Z693" s="19">
        <f>YEAR(tblMaster[[#This Row],[Order_Date]])</f>
        <v>2023</v>
      </c>
      <c r="AA693" s="19" t="str">
        <f>TEXT(DAY(tblMaster[[#This Row],[Order_Date]]),"dddd")</f>
        <v>Wednesday</v>
      </c>
      <c r="AB693" s="19" t="str">
        <f>IF(tblMaster[[#This Row],[Revenue]]&gt;=5000,"High",IF(tblMaster[[#This Row],[Revenue]]&lt;2000,"Low","Medium"))</f>
        <v>Medium</v>
      </c>
    </row>
    <row r="694" spans="1:28" x14ac:dyDescent="0.25">
      <c r="A694" s="7">
        <v>693</v>
      </c>
      <c r="B694" s="7" t="s">
        <v>206</v>
      </c>
      <c r="C694" s="4">
        <v>4</v>
      </c>
      <c r="D694" s="4">
        <v>5</v>
      </c>
      <c r="E694" s="8">
        <v>45234</v>
      </c>
      <c r="F694" s="9">
        <v>0.99230324074074072</v>
      </c>
      <c r="G694" s="8">
        <v>45237</v>
      </c>
      <c r="H694" s="9">
        <v>0.23017361111111112</v>
      </c>
      <c r="I694" s="7" t="s">
        <v>485</v>
      </c>
      <c r="J694" s="7" t="s">
        <v>19</v>
      </c>
      <c r="K694" s="18" t="str">
        <f>_xlfn.XLOOKUP(tblMaster[[#This Row],[Customer_ID]],tblCustomers[Customer_ID],tblCustomers[City],"Not Found",0)</f>
        <v>Karaikudi</v>
      </c>
      <c r="L694" s="18" t="str">
        <f>_xlfn.XLOOKUP(tblMaster[[#This Row],[Customer_ID]],tblCustomers[Customer_ID],tblCustomers[Name],"Not Found",0)</f>
        <v>Rati Dhingra</v>
      </c>
      <c r="M694" s="18" t="str">
        <f>_xlfn.XLOOKUP(tblMaster[[#This Row],[Customer_ID]],tblCustomers[Customer_ID],tblCustomers[Gender],"Not Found",0)</f>
        <v>Male</v>
      </c>
      <c r="N694" s="18" t="str">
        <f>_xlfn.XLOOKUP(tblMaster[[#This Row],[Product_ID]],tblProducts[Product_ID],tblProducts[Product_Name],"Not Found",0)</f>
        <v>Accusantium Set</v>
      </c>
      <c r="O694" s="18" t="str">
        <f>_xlfn.XLOOKUP(tblMaster[[#This Row],[Product_ID]],tblProducts[Product_ID],tblProducts[Category],"Not Found",0)</f>
        <v>Sweets</v>
      </c>
      <c r="P694" s="18" t="str">
        <f>_xlfn.XLOOKUP(tblMaster[[#This Row],[Product_ID]],tblProducts[Product_ID],tblProducts[Occasion],"Not Found",0)</f>
        <v>Diwali</v>
      </c>
      <c r="Q694" s="18">
        <f>_xlfn.XLOOKUP(tblMaster[[#This Row],[Product_ID]],tblProducts[Product_ID],tblProducts[Price (INR)],"Not Found",0)</f>
        <v>1199</v>
      </c>
      <c r="R694" s="19">
        <f>tblMaster[[#This Row],[Price]]*tblMaster[[#This Row],[Quantity]]</f>
        <v>5995</v>
      </c>
      <c r="S694" s="19">
        <f>tblMaster[[#This Row],[Price]]*0.7*tblMaster[[#This Row],[Quantity]]</f>
        <v>4196.5</v>
      </c>
      <c r="T694" s="19">
        <f>tblMaster[[#This Row],[Revenue]]-tblMaster[[#This Row],[Estimated Cost (at 70%) ]]</f>
        <v>1798.5</v>
      </c>
      <c r="U694" s="19">
        <f>tblMaster[[#This Row],[Profit]]/tblMaster[[#This Row],[Revenue]]</f>
        <v>0.3</v>
      </c>
      <c r="V694" s="19">
        <f>tblMaster[[#This Row],[Delivery_Date]]-tblMaster[[#This Row],[Order_Date]]</f>
        <v>3</v>
      </c>
      <c r="W694" s="19" t="str">
        <f>TEXT(tblMaster[[#This Row],[Order_Date]],"mmmm")</f>
        <v>November</v>
      </c>
      <c r="X694" s="19">
        <f>MONTH(tblMaster[[#This Row],[Order_Date]])</f>
        <v>11</v>
      </c>
      <c r="Y694" s="19" t="str">
        <f>"Q"&amp;ROUNDUP(tblMaster[[#This Row],[Month Number]]/3,0)</f>
        <v>Q4</v>
      </c>
      <c r="Z694" s="19">
        <f>YEAR(tblMaster[[#This Row],[Order_Date]])</f>
        <v>2023</v>
      </c>
      <c r="AA694" s="19" t="str">
        <f>TEXT(DAY(tblMaster[[#This Row],[Order_Date]]),"dddd")</f>
        <v>Wednesday</v>
      </c>
      <c r="AB694" s="19" t="str">
        <f>IF(tblMaster[[#This Row],[Revenue]]&gt;=5000,"High",IF(tblMaster[[#This Row],[Revenue]]&lt;2000,"Low","Medium"))</f>
        <v>High</v>
      </c>
    </row>
    <row r="695" spans="1:28" x14ac:dyDescent="0.25">
      <c r="A695" s="10">
        <v>694</v>
      </c>
      <c r="B695" s="10" t="s">
        <v>208</v>
      </c>
      <c r="C695" s="5">
        <v>23</v>
      </c>
      <c r="D695" s="5">
        <v>2</v>
      </c>
      <c r="E695" s="11">
        <v>45031</v>
      </c>
      <c r="F695" s="12">
        <v>0.81003472222222217</v>
      </c>
      <c r="G695" s="11">
        <v>45037</v>
      </c>
      <c r="H695" s="12">
        <v>0.70753472222222225</v>
      </c>
      <c r="I695" s="10" t="s">
        <v>255</v>
      </c>
      <c r="J695" s="10" t="s">
        <v>30</v>
      </c>
      <c r="K695" s="18" t="str">
        <f>_xlfn.XLOOKUP(tblMaster[[#This Row],[Customer_ID]],tblCustomers[Customer_ID],tblCustomers[City],"Not Found",0)</f>
        <v>Nizamabad</v>
      </c>
      <c r="L695" s="18" t="str">
        <f>_xlfn.XLOOKUP(tblMaster[[#This Row],[Customer_ID]],tblCustomers[Customer_ID],tblCustomers[Name],"Not Found",0)</f>
        <v>Eva Vaidya</v>
      </c>
      <c r="M695" s="18" t="str">
        <f>_xlfn.XLOOKUP(tblMaster[[#This Row],[Customer_ID]],tblCustomers[Customer_ID],tblCustomers[Gender],"Not Found",0)</f>
        <v>Male</v>
      </c>
      <c r="N695" s="18" t="str">
        <f>_xlfn.XLOOKUP(tblMaster[[#This Row],[Product_ID]],tblProducts[Product_ID],tblProducts[Product_Name],"Not Found",0)</f>
        <v>Dignissimos Pack</v>
      </c>
      <c r="O695" s="18" t="str">
        <f>_xlfn.XLOOKUP(tblMaster[[#This Row],[Product_ID]],tblProducts[Product_ID],tblProducts[Category],"Not Found",0)</f>
        <v>Sweets</v>
      </c>
      <c r="P695" s="18" t="str">
        <f>_xlfn.XLOOKUP(tblMaster[[#This Row],[Product_ID]],tblProducts[Product_ID],tblProducts[Occasion],"Not Found",0)</f>
        <v>Anniversary</v>
      </c>
      <c r="Q695" s="18">
        <f>_xlfn.XLOOKUP(tblMaster[[#This Row],[Product_ID]],tblProducts[Product_ID],tblProducts[Price (INR)],"Not Found",0)</f>
        <v>1098</v>
      </c>
      <c r="R695" s="19">
        <f>tblMaster[[#This Row],[Price]]*tblMaster[[#This Row],[Quantity]]</f>
        <v>2196</v>
      </c>
      <c r="S695" s="19">
        <f>tblMaster[[#This Row],[Price]]*0.7*tblMaster[[#This Row],[Quantity]]</f>
        <v>1537.1999999999998</v>
      </c>
      <c r="T695" s="19">
        <f>tblMaster[[#This Row],[Revenue]]-tblMaster[[#This Row],[Estimated Cost (at 70%) ]]</f>
        <v>658.80000000000018</v>
      </c>
      <c r="U695" s="19">
        <f>tblMaster[[#This Row],[Profit]]/tblMaster[[#This Row],[Revenue]]</f>
        <v>0.3000000000000001</v>
      </c>
      <c r="V695" s="19">
        <f>tblMaster[[#This Row],[Delivery_Date]]-tblMaster[[#This Row],[Order_Date]]</f>
        <v>6</v>
      </c>
      <c r="W695" s="19" t="str">
        <f>TEXT(tblMaster[[#This Row],[Order_Date]],"mmmm")</f>
        <v>April</v>
      </c>
      <c r="X695" s="19">
        <f>MONTH(tblMaster[[#This Row],[Order_Date]])</f>
        <v>4</v>
      </c>
      <c r="Y695" s="19" t="str">
        <f>"Q"&amp;ROUNDUP(tblMaster[[#This Row],[Month Number]]/3,0)</f>
        <v>Q2</v>
      </c>
      <c r="Z695" s="19">
        <f>YEAR(tblMaster[[#This Row],[Order_Date]])</f>
        <v>2023</v>
      </c>
      <c r="AA695" s="19" t="str">
        <f>TEXT(DAY(tblMaster[[#This Row],[Order_Date]]),"dddd")</f>
        <v>Sunday</v>
      </c>
      <c r="AB695" s="19" t="str">
        <f>IF(tblMaster[[#This Row],[Revenue]]&gt;=5000,"High",IF(tblMaster[[#This Row],[Revenue]]&lt;2000,"Low","Medium"))</f>
        <v>Medium</v>
      </c>
    </row>
    <row r="696" spans="1:28" x14ac:dyDescent="0.25">
      <c r="A696" s="7">
        <v>695</v>
      </c>
      <c r="B696" s="7" t="s">
        <v>237</v>
      </c>
      <c r="C696" s="4">
        <v>23</v>
      </c>
      <c r="D696" s="4">
        <v>4</v>
      </c>
      <c r="E696" s="8">
        <v>44990</v>
      </c>
      <c r="F696" s="9">
        <v>0.69226851851851856</v>
      </c>
      <c r="G696" s="8">
        <v>44999</v>
      </c>
      <c r="H696" s="9">
        <v>0.70953703703703708</v>
      </c>
      <c r="I696" s="7" t="s">
        <v>456</v>
      </c>
      <c r="J696" s="7" t="s">
        <v>30</v>
      </c>
      <c r="K696" s="18" t="str">
        <f>_xlfn.XLOOKUP(tblMaster[[#This Row],[Customer_ID]],tblCustomers[Customer_ID],tblCustomers[City],"Not Found",0)</f>
        <v>Guna</v>
      </c>
      <c r="L696" s="18" t="str">
        <f>_xlfn.XLOOKUP(tblMaster[[#This Row],[Customer_ID]],tblCustomers[Customer_ID],tblCustomers[Name],"Not Found",0)</f>
        <v>Tara Kannan</v>
      </c>
      <c r="M696" s="18" t="str">
        <f>_xlfn.XLOOKUP(tblMaster[[#This Row],[Customer_ID]],tblCustomers[Customer_ID],tblCustomers[Gender],"Not Found",0)</f>
        <v>Male</v>
      </c>
      <c r="N696" s="18" t="str">
        <f>_xlfn.XLOOKUP(tblMaster[[#This Row],[Product_ID]],tblProducts[Product_ID],tblProducts[Product_Name],"Not Found",0)</f>
        <v>Dignissimos Pack</v>
      </c>
      <c r="O696" s="18" t="str">
        <f>_xlfn.XLOOKUP(tblMaster[[#This Row],[Product_ID]],tblProducts[Product_ID],tblProducts[Category],"Not Found",0)</f>
        <v>Sweets</v>
      </c>
      <c r="P696" s="18" t="str">
        <f>_xlfn.XLOOKUP(tblMaster[[#This Row],[Product_ID]],tblProducts[Product_ID],tblProducts[Occasion],"Not Found",0)</f>
        <v>Anniversary</v>
      </c>
      <c r="Q696" s="18">
        <f>_xlfn.XLOOKUP(tblMaster[[#This Row],[Product_ID]],tblProducts[Product_ID],tblProducts[Price (INR)],"Not Found",0)</f>
        <v>1098</v>
      </c>
      <c r="R696" s="19">
        <f>tblMaster[[#This Row],[Price]]*tblMaster[[#This Row],[Quantity]]</f>
        <v>4392</v>
      </c>
      <c r="S696" s="19">
        <f>tblMaster[[#This Row],[Price]]*0.7*tblMaster[[#This Row],[Quantity]]</f>
        <v>3074.3999999999996</v>
      </c>
      <c r="T696" s="19">
        <f>tblMaster[[#This Row],[Revenue]]-tblMaster[[#This Row],[Estimated Cost (at 70%) ]]</f>
        <v>1317.6000000000004</v>
      </c>
      <c r="U696" s="19">
        <f>tblMaster[[#This Row],[Profit]]/tblMaster[[#This Row],[Revenue]]</f>
        <v>0.3000000000000001</v>
      </c>
      <c r="V696" s="19">
        <f>tblMaster[[#This Row],[Delivery_Date]]-tblMaster[[#This Row],[Order_Date]]</f>
        <v>9</v>
      </c>
      <c r="W696" s="19" t="str">
        <f>TEXT(tblMaster[[#This Row],[Order_Date]],"mmmm")</f>
        <v>March</v>
      </c>
      <c r="X696" s="19">
        <f>MONTH(tblMaster[[#This Row],[Order_Date]])</f>
        <v>3</v>
      </c>
      <c r="Y696" s="19" t="str">
        <f>"Q"&amp;ROUNDUP(tblMaster[[#This Row],[Month Number]]/3,0)</f>
        <v>Q1</v>
      </c>
      <c r="Z696" s="19">
        <f>YEAR(tblMaster[[#This Row],[Order_Date]])</f>
        <v>2023</v>
      </c>
      <c r="AA696" s="19" t="str">
        <f>TEXT(DAY(tblMaster[[#This Row],[Order_Date]]),"dddd")</f>
        <v>Thursday</v>
      </c>
      <c r="AB696" s="19" t="str">
        <f>IF(tblMaster[[#This Row],[Revenue]]&gt;=5000,"High",IF(tblMaster[[#This Row],[Revenue]]&lt;2000,"Low","Medium"))</f>
        <v>Medium</v>
      </c>
    </row>
    <row r="697" spans="1:28" x14ac:dyDescent="0.25">
      <c r="A697" s="10">
        <v>696</v>
      </c>
      <c r="B697" s="10" t="s">
        <v>237</v>
      </c>
      <c r="C697" s="5">
        <v>13</v>
      </c>
      <c r="D697" s="5">
        <v>3</v>
      </c>
      <c r="E697" s="11">
        <v>44992</v>
      </c>
      <c r="F697" s="12">
        <v>0.11274305555555555</v>
      </c>
      <c r="G697" s="11">
        <v>44999</v>
      </c>
      <c r="H697" s="12">
        <v>0.63107638888888884</v>
      </c>
      <c r="I697" s="10" t="s">
        <v>549</v>
      </c>
      <c r="J697" s="10" t="s">
        <v>25</v>
      </c>
      <c r="K697" s="18" t="str">
        <f>_xlfn.XLOOKUP(tblMaster[[#This Row],[Customer_ID]],tblCustomers[Customer_ID],tblCustomers[City],"Not Found",0)</f>
        <v>Guna</v>
      </c>
      <c r="L697" s="18" t="str">
        <f>_xlfn.XLOOKUP(tblMaster[[#This Row],[Customer_ID]],tblCustomers[Customer_ID],tblCustomers[Name],"Not Found",0)</f>
        <v>Tara Kannan</v>
      </c>
      <c r="M697" s="18" t="str">
        <f>_xlfn.XLOOKUP(tblMaster[[#This Row],[Customer_ID]],tblCustomers[Customer_ID],tblCustomers[Gender],"Not Found",0)</f>
        <v>Male</v>
      </c>
      <c r="N697" s="18" t="str">
        <f>_xlfn.XLOOKUP(tblMaster[[#This Row],[Product_ID]],tblProducts[Product_ID],tblProducts[Product_Name],"Not Found",0)</f>
        <v>Et Set</v>
      </c>
      <c r="O697" s="18" t="str">
        <f>_xlfn.XLOOKUP(tblMaster[[#This Row],[Product_ID]],tblProducts[Product_ID],tblProducts[Category],"Not Found",0)</f>
        <v>Mugs</v>
      </c>
      <c r="P697" s="18" t="str">
        <f>_xlfn.XLOOKUP(tblMaster[[#This Row],[Product_ID]],tblProducts[Product_ID],tblProducts[Occasion],"Not Found",0)</f>
        <v>Holi</v>
      </c>
      <c r="Q697" s="18">
        <f>_xlfn.XLOOKUP(tblMaster[[#This Row],[Product_ID]],tblProducts[Product_ID],tblProducts[Price (INR)],"Not Found",0)</f>
        <v>1141</v>
      </c>
      <c r="R697" s="19">
        <f>tblMaster[[#This Row],[Price]]*tblMaster[[#This Row],[Quantity]]</f>
        <v>3423</v>
      </c>
      <c r="S697" s="19">
        <f>tblMaster[[#This Row],[Price]]*0.7*tblMaster[[#This Row],[Quantity]]</f>
        <v>2396.1</v>
      </c>
      <c r="T697" s="19">
        <f>tblMaster[[#This Row],[Revenue]]-tblMaster[[#This Row],[Estimated Cost (at 70%) ]]</f>
        <v>1026.9000000000001</v>
      </c>
      <c r="U697" s="19">
        <f>tblMaster[[#This Row],[Profit]]/tblMaster[[#This Row],[Revenue]]</f>
        <v>0.30000000000000004</v>
      </c>
      <c r="V697" s="19">
        <f>tblMaster[[#This Row],[Delivery_Date]]-tblMaster[[#This Row],[Order_Date]]</f>
        <v>7</v>
      </c>
      <c r="W697" s="19" t="str">
        <f>TEXT(tblMaster[[#This Row],[Order_Date]],"mmmm")</f>
        <v>March</v>
      </c>
      <c r="X697" s="19">
        <f>MONTH(tblMaster[[#This Row],[Order_Date]])</f>
        <v>3</v>
      </c>
      <c r="Y697" s="19" t="str">
        <f>"Q"&amp;ROUNDUP(tblMaster[[#This Row],[Month Number]]/3,0)</f>
        <v>Q1</v>
      </c>
      <c r="Z697" s="19">
        <f>YEAR(tblMaster[[#This Row],[Order_Date]])</f>
        <v>2023</v>
      </c>
      <c r="AA697" s="19" t="str">
        <f>TEXT(DAY(tblMaster[[#This Row],[Order_Date]]),"dddd")</f>
        <v>Saturday</v>
      </c>
      <c r="AB697" s="19" t="str">
        <f>IF(tblMaster[[#This Row],[Revenue]]&gt;=5000,"High",IF(tblMaster[[#This Row],[Revenue]]&lt;2000,"Low","Medium"))</f>
        <v>Medium</v>
      </c>
    </row>
    <row r="698" spans="1:28" x14ac:dyDescent="0.25">
      <c r="A698" s="7">
        <v>697</v>
      </c>
      <c r="B698" s="7" t="s">
        <v>335</v>
      </c>
      <c r="C698" s="4">
        <v>66</v>
      </c>
      <c r="D698" s="4">
        <v>1</v>
      </c>
      <c r="E698" s="8">
        <v>44988</v>
      </c>
      <c r="F698" s="9">
        <v>0.59751157407407407</v>
      </c>
      <c r="G698" s="8">
        <v>44992</v>
      </c>
      <c r="H698" s="9">
        <v>0.63495370370370374</v>
      </c>
      <c r="I698" s="7" t="s">
        <v>315</v>
      </c>
      <c r="J698" s="7" t="s">
        <v>25</v>
      </c>
      <c r="K698" s="18" t="str">
        <f>_xlfn.XLOOKUP(tblMaster[[#This Row],[Customer_ID]],tblCustomers[Customer_ID],tblCustomers[City],"Not Found",0)</f>
        <v>Farrukhabad</v>
      </c>
      <c r="L698" s="18" t="str">
        <f>_xlfn.XLOOKUP(tblMaster[[#This Row],[Customer_ID]],tblCustomers[Customer_ID],tblCustomers[Name],"Not Found",0)</f>
        <v>Ira Chahal</v>
      </c>
      <c r="M698" s="18" t="str">
        <f>_xlfn.XLOOKUP(tblMaster[[#This Row],[Customer_ID]],tblCustomers[Customer_ID],tblCustomers[Gender],"Not Found",0)</f>
        <v>Female</v>
      </c>
      <c r="N698" s="18" t="str">
        <f>_xlfn.XLOOKUP(tblMaster[[#This Row],[Product_ID]],tblProducts[Product_ID],tblProducts[Product_Name],"Not Found",0)</f>
        <v>Quas Box</v>
      </c>
      <c r="O698" s="18" t="str">
        <f>_xlfn.XLOOKUP(tblMaster[[#This Row],[Product_ID]],tblProducts[Product_ID],tblProducts[Category],"Not Found",0)</f>
        <v>Colors</v>
      </c>
      <c r="P698" s="18" t="str">
        <f>_xlfn.XLOOKUP(tblMaster[[#This Row],[Product_ID]],tblProducts[Product_ID],tblProducts[Occasion],"Not Found",0)</f>
        <v>Holi</v>
      </c>
      <c r="Q698" s="18">
        <f>_xlfn.XLOOKUP(tblMaster[[#This Row],[Product_ID]],tblProducts[Product_ID],tblProducts[Price (INR)],"Not Found",0)</f>
        <v>610</v>
      </c>
      <c r="R698" s="19">
        <f>tblMaster[[#This Row],[Price]]*tblMaster[[#This Row],[Quantity]]</f>
        <v>610</v>
      </c>
      <c r="S698" s="19">
        <f>tblMaster[[#This Row],[Price]]*0.7*tblMaster[[#This Row],[Quantity]]</f>
        <v>427</v>
      </c>
      <c r="T698" s="19">
        <f>tblMaster[[#This Row],[Revenue]]-tblMaster[[#This Row],[Estimated Cost (at 70%) ]]</f>
        <v>183</v>
      </c>
      <c r="U698" s="19">
        <f>tblMaster[[#This Row],[Profit]]/tblMaster[[#This Row],[Revenue]]</f>
        <v>0.3</v>
      </c>
      <c r="V698" s="19">
        <f>tblMaster[[#This Row],[Delivery_Date]]-tblMaster[[#This Row],[Order_Date]]</f>
        <v>4</v>
      </c>
      <c r="W698" s="19" t="str">
        <f>TEXT(tblMaster[[#This Row],[Order_Date]],"mmmm")</f>
        <v>March</v>
      </c>
      <c r="X698" s="19">
        <f>MONTH(tblMaster[[#This Row],[Order_Date]])</f>
        <v>3</v>
      </c>
      <c r="Y698" s="19" t="str">
        <f>"Q"&amp;ROUNDUP(tblMaster[[#This Row],[Month Number]]/3,0)</f>
        <v>Q1</v>
      </c>
      <c r="Z698" s="19">
        <f>YEAR(tblMaster[[#This Row],[Order_Date]])</f>
        <v>2023</v>
      </c>
      <c r="AA698" s="19" t="str">
        <f>TEXT(DAY(tblMaster[[#This Row],[Order_Date]]),"dddd")</f>
        <v>Tuesday</v>
      </c>
      <c r="AB698" s="19" t="str">
        <f>IF(tblMaster[[#This Row],[Revenue]]&gt;=5000,"High",IF(tblMaster[[#This Row],[Revenue]]&lt;2000,"Low","Medium"))</f>
        <v>Low</v>
      </c>
    </row>
    <row r="699" spans="1:28" x14ac:dyDescent="0.25">
      <c r="A699" s="10">
        <v>698</v>
      </c>
      <c r="B699" s="10" t="s">
        <v>299</v>
      </c>
      <c r="C699" s="5">
        <v>64</v>
      </c>
      <c r="D699" s="5">
        <v>3</v>
      </c>
      <c r="E699" s="11">
        <v>45167</v>
      </c>
      <c r="F699" s="12">
        <v>0.86401620370370369</v>
      </c>
      <c r="G699" s="11">
        <v>45175</v>
      </c>
      <c r="H699" s="12">
        <v>0.62515046296296295</v>
      </c>
      <c r="I699" s="10" t="s">
        <v>314</v>
      </c>
      <c r="J699" s="10" t="s">
        <v>33</v>
      </c>
      <c r="K699" s="18" t="str">
        <f>_xlfn.XLOOKUP(tblMaster[[#This Row],[Customer_ID]],tblCustomers[Customer_ID],tblCustomers[City],"Not Found",0)</f>
        <v>Satara</v>
      </c>
      <c r="L699" s="18" t="str">
        <f>_xlfn.XLOOKUP(tblMaster[[#This Row],[Customer_ID]],tblCustomers[Customer_ID],tblCustomers[Name],"Not Found",0)</f>
        <v>Riya Wagle</v>
      </c>
      <c r="M699" s="18" t="str">
        <f>_xlfn.XLOOKUP(tblMaster[[#This Row],[Customer_ID]],tblCustomers[Customer_ID],tblCustomers[Gender],"Not Found",0)</f>
        <v>Male</v>
      </c>
      <c r="N699" s="18" t="str">
        <f>_xlfn.XLOOKUP(tblMaster[[#This Row],[Product_ID]],tblProducts[Product_ID],tblProducts[Product_Name],"Not Found",0)</f>
        <v>Nostrum Box</v>
      </c>
      <c r="O699" s="18" t="str">
        <f>_xlfn.XLOOKUP(tblMaster[[#This Row],[Product_ID]],tblProducts[Product_ID],tblProducts[Category],"Not Found",0)</f>
        <v>Soft Toys</v>
      </c>
      <c r="P699" s="18" t="str">
        <f>_xlfn.XLOOKUP(tblMaster[[#This Row],[Product_ID]],tblProducts[Product_ID],tblProducts[Occasion],"Not Found",0)</f>
        <v>Raksha Bandhan</v>
      </c>
      <c r="Q699" s="18">
        <f>_xlfn.XLOOKUP(tblMaster[[#This Row],[Product_ID]],tblProducts[Product_ID],tblProducts[Price (INR)],"Not Found",0)</f>
        <v>1878</v>
      </c>
      <c r="R699" s="19">
        <f>tblMaster[[#This Row],[Price]]*tblMaster[[#This Row],[Quantity]]</f>
        <v>5634</v>
      </c>
      <c r="S699" s="19">
        <f>tblMaster[[#This Row],[Price]]*0.7*tblMaster[[#This Row],[Quantity]]</f>
        <v>3943.7999999999997</v>
      </c>
      <c r="T699" s="19">
        <f>tblMaster[[#This Row],[Revenue]]-tblMaster[[#This Row],[Estimated Cost (at 70%) ]]</f>
        <v>1690.2000000000003</v>
      </c>
      <c r="U699" s="19">
        <f>tblMaster[[#This Row],[Profit]]/tblMaster[[#This Row],[Revenue]]</f>
        <v>0.30000000000000004</v>
      </c>
      <c r="V699" s="19">
        <f>tblMaster[[#This Row],[Delivery_Date]]-tblMaster[[#This Row],[Order_Date]]</f>
        <v>8</v>
      </c>
      <c r="W699" s="19" t="str">
        <f>TEXT(tblMaster[[#This Row],[Order_Date]],"mmmm")</f>
        <v>August</v>
      </c>
      <c r="X699" s="19">
        <f>MONTH(tblMaster[[#This Row],[Order_Date]])</f>
        <v>8</v>
      </c>
      <c r="Y699" s="19" t="str">
        <f>"Q"&amp;ROUNDUP(tblMaster[[#This Row],[Month Number]]/3,0)</f>
        <v>Q3</v>
      </c>
      <c r="Z699" s="19">
        <f>YEAR(tblMaster[[#This Row],[Order_Date]])</f>
        <v>2023</v>
      </c>
      <c r="AA699" s="19" t="str">
        <f>TEXT(DAY(tblMaster[[#This Row],[Order_Date]]),"dddd")</f>
        <v>Sunday</v>
      </c>
      <c r="AB699" s="19" t="str">
        <f>IF(tblMaster[[#This Row],[Revenue]]&gt;=5000,"High",IF(tblMaster[[#This Row],[Revenue]]&lt;2000,"Low","Medium"))</f>
        <v>High</v>
      </c>
    </row>
    <row r="700" spans="1:28" x14ac:dyDescent="0.25">
      <c r="A700" s="7">
        <v>699</v>
      </c>
      <c r="B700" s="7" t="s">
        <v>200</v>
      </c>
      <c r="C700" s="4">
        <v>1</v>
      </c>
      <c r="D700" s="4">
        <v>4</v>
      </c>
      <c r="E700" s="8">
        <v>45079</v>
      </c>
      <c r="F700" s="9">
        <v>0.51023148148148145</v>
      </c>
      <c r="G700" s="8">
        <v>45086</v>
      </c>
      <c r="H700" s="9">
        <v>0.96461805555555558</v>
      </c>
      <c r="I700" s="7" t="s">
        <v>271</v>
      </c>
      <c r="J700" s="7" t="s">
        <v>8</v>
      </c>
      <c r="K700" s="18" t="str">
        <f>_xlfn.XLOOKUP(tblMaster[[#This Row],[Customer_ID]],tblCustomers[Customer_ID],tblCustomers[City],"Not Found",0)</f>
        <v>Orai</v>
      </c>
      <c r="L700" s="18" t="str">
        <f>_xlfn.XLOOKUP(tblMaster[[#This Row],[Customer_ID]],tblCustomers[Customer_ID],tblCustomers[Name],"Not Found",0)</f>
        <v>Lagan Kapoor</v>
      </c>
      <c r="M700" s="18" t="str">
        <f>_xlfn.XLOOKUP(tblMaster[[#This Row],[Customer_ID]],tblCustomers[Customer_ID],tblCustomers[Gender],"Not Found",0)</f>
        <v>Female</v>
      </c>
      <c r="N700" s="18" t="str">
        <f>_xlfn.XLOOKUP(tblMaster[[#This Row],[Product_ID]],tblProducts[Product_ID],tblProducts[Product_Name],"Not Found",0)</f>
        <v>Magnam Set</v>
      </c>
      <c r="O700" s="18" t="str">
        <f>_xlfn.XLOOKUP(tblMaster[[#This Row],[Product_ID]],tblProducts[Product_ID],tblProducts[Category],"Not Found",0)</f>
        <v>Soft Toys</v>
      </c>
      <c r="P700" s="18" t="str">
        <f>_xlfn.XLOOKUP(tblMaster[[#This Row],[Product_ID]],tblProducts[Product_ID],tblProducts[Occasion],"Not Found",0)</f>
        <v>All Occasions</v>
      </c>
      <c r="Q700" s="18">
        <f>_xlfn.XLOOKUP(tblMaster[[#This Row],[Product_ID]],tblProducts[Product_ID],tblProducts[Price (INR)],"Not Found",0)</f>
        <v>1935</v>
      </c>
      <c r="R700" s="19">
        <f>tblMaster[[#This Row],[Price]]*tblMaster[[#This Row],[Quantity]]</f>
        <v>7740</v>
      </c>
      <c r="S700" s="19">
        <f>tblMaster[[#This Row],[Price]]*0.7*tblMaster[[#This Row],[Quantity]]</f>
        <v>5418</v>
      </c>
      <c r="T700" s="19">
        <f>tblMaster[[#This Row],[Revenue]]-tblMaster[[#This Row],[Estimated Cost (at 70%) ]]</f>
        <v>2322</v>
      </c>
      <c r="U700" s="19">
        <f>tblMaster[[#This Row],[Profit]]/tblMaster[[#This Row],[Revenue]]</f>
        <v>0.3</v>
      </c>
      <c r="V700" s="19">
        <f>tblMaster[[#This Row],[Delivery_Date]]-tblMaster[[#This Row],[Order_Date]]</f>
        <v>7</v>
      </c>
      <c r="W700" s="19" t="str">
        <f>TEXT(tblMaster[[#This Row],[Order_Date]],"mmmm")</f>
        <v>June</v>
      </c>
      <c r="X700" s="19">
        <f>MONTH(tblMaster[[#This Row],[Order_Date]])</f>
        <v>6</v>
      </c>
      <c r="Y700" s="19" t="str">
        <f>"Q"&amp;ROUNDUP(tblMaster[[#This Row],[Month Number]]/3,0)</f>
        <v>Q2</v>
      </c>
      <c r="Z700" s="19">
        <f>YEAR(tblMaster[[#This Row],[Order_Date]])</f>
        <v>2023</v>
      </c>
      <c r="AA700" s="19" t="str">
        <f>TEXT(DAY(tblMaster[[#This Row],[Order_Date]]),"dddd")</f>
        <v>Monday</v>
      </c>
      <c r="AB700" s="19" t="str">
        <f>IF(tblMaster[[#This Row],[Revenue]]&gt;=5000,"High",IF(tblMaster[[#This Row],[Revenue]]&lt;2000,"Low","Medium"))</f>
        <v>High</v>
      </c>
    </row>
    <row r="701" spans="1:28" x14ac:dyDescent="0.25">
      <c r="A701" s="10">
        <v>700</v>
      </c>
      <c r="B701" s="10" t="s">
        <v>239</v>
      </c>
      <c r="C701" s="5">
        <v>6</v>
      </c>
      <c r="D701" s="5">
        <v>1</v>
      </c>
      <c r="E701" s="11">
        <v>44989</v>
      </c>
      <c r="F701" s="12">
        <v>0.76246527777777773</v>
      </c>
      <c r="G701" s="11">
        <v>44994</v>
      </c>
      <c r="H701" s="12">
        <v>0.57160879629629635</v>
      </c>
      <c r="I701" s="10" t="s">
        <v>294</v>
      </c>
      <c r="J701" s="10" t="s">
        <v>25</v>
      </c>
      <c r="K701" s="18" t="str">
        <f>_xlfn.XLOOKUP(tblMaster[[#This Row],[Customer_ID]],tblCustomers[Customer_ID],tblCustomers[City],"Not Found",0)</f>
        <v>Karimnagar</v>
      </c>
      <c r="L701" s="18" t="str">
        <f>_xlfn.XLOOKUP(tblMaster[[#This Row],[Customer_ID]],tblCustomers[Customer_ID],tblCustomers[Name],"Not Found",0)</f>
        <v>Rania Mann</v>
      </c>
      <c r="M701" s="18" t="str">
        <f>_xlfn.XLOOKUP(tblMaster[[#This Row],[Customer_ID]],tblCustomers[Customer_ID],tblCustomers[Gender],"Not Found",0)</f>
        <v>Female</v>
      </c>
      <c r="N701" s="18" t="str">
        <f>_xlfn.XLOOKUP(tblMaster[[#This Row],[Product_ID]],tblProducts[Product_ID],tblProducts[Product_Name],"Not Found",0)</f>
        <v>Quos Box</v>
      </c>
      <c r="O701" s="18" t="str">
        <f>_xlfn.XLOOKUP(tblMaster[[#This Row],[Product_ID]],tblProducts[Product_ID],tblProducts[Category],"Not Found",0)</f>
        <v>Cake</v>
      </c>
      <c r="P701" s="18" t="str">
        <f>_xlfn.XLOOKUP(tblMaster[[#This Row],[Product_ID]],tblProducts[Product_ID],tblProducts[Occasion],"Not Found",0)</f>
        <v>Holi</v>
      </c>
      <c r="Q701" s="18">
        <f>_xlfn.XLOOKUP(tblMaster[[#This Row],[Product_ID]],tblProducts[Product_ID],tblProducts[Price (INR)],"Not Found",0)</f>
        <v>1112</v>
      </c>
      <c r="R701" s="19">
        <f>tblMaster[[#This Row],[Price]]*tblMaster[[#This Row],[Quantity]]</f>
        <v>1112</v>
      </c>
      <c r="S701" s="19">
        <f>tblMaster[[#This Row],[Price]]*0.7*tblMaster[[#This Row],[Quantity]]</f>
        <v>778.4</v>
      </c>
      <c r="T701" s="19">
        <f>tblMaster[[#This Row],[Revenue]]-tblMaster[[#This Row],[Estimated Cost (at 70%) ]]</f>
        <v>333.6</v>
      </c>
      <c r="U701" s="19">
        <f>tblMaster[[#This Row],[Profit]]/tblMaster[[#This Row],[Revenue]]</f>
        <v>0.30000000000000004</v>
      </c>
      <c r="V701" s="19">
        <f>tblMaster[[#This Row],[Delivery_Date]]-tblMaster[[#This Row],[Order_Date]]</f>
        <v>5</v>
      </c>
      <c r="W701" s="19" t="str">
        <f>TEXT(tblMaster[[#This Row],[Order_Date]],"mmmm")</f>
        <v>March</v>
      </c>
      <c r="X701" s="19">
        <f>MONTH(tblMaster[[#This Row],[Order_Date]])</f>
        <v>3</v>
      </c>
      <c r="Y701" s="19" t="str">
        <f>"Q"&amp;ROUNDUP(tblMaster[[#This Row],[Month Number]]/3,0)</f>
        <v>Q1</v>
      </c>
      <c r="Z701" s="19">
        <f>YEAR(tblMaster[[#This Row],[Order_Date]])</f>
        <v>2023</v>
      </c>
      <c r="AA701" s="19" t="str">
        <f>TEXT(DAY(tblMaster[[#This Row],[Order_Date]]),"dddd")</f>
        <v>Wednesday</v>
      </c>
      <c r="AB701" s="19" t="str">
        <f>IF(tblMaster[[#This Row],[Revenue]]&gt;=5000,"High",IF(tblMaster[[#This Row],[Revenue]]&lt;2000,"Low","Medium"))</f>
        <v>Low</v>
      </c>
    </row>
    <row r="702" spans="1:28" x14ac:dyDescent="0.25">
      <c r="A702" s="7">
        <v>701</v>
      </c>
      <c r="B702" s="7" t="s">
        <v>235</v>
      </c>
      <c r="C702" s="4">
        <v>41</v>
      </c>
      <c r="D702" s="4">
        <v>5</v>
      </c>
      <c r="E702" s="8">
        <v>45237</v>
      </c>
      <c r="F702" s="9">
        <v>0.45664351851851853</v>
      </c>
      <c r="G702" s="8">
        <v>45241</v>
      </c>
      <c r="H702" s="9">
        <v>0.20585648148148147</v>
      </c>
      <c r="I702" s="7" t="s">
        <v>457</v>
      </c>
      <c r="J702" s="7" t="s">
        <v>19</v>
      </c>
      <c r="K702" s="18" t="str">
        <f>_xlfn.XLOOKUP(tblMaster[[#This Row],[Customer_ID]],tblCustomers[Customer_ID],tblCustomers[City],"Not Found",0)</f>
        <v>Bhopal</v>
      </c>
      <c r="L702" s="18" t="str">
        <f>_xlfn.XLOOKUP(tblMaster[[#This Row],[Customer_ID]],tblCustomers[Customer_ID],tblCustomers[Name],"Not Found",0)</f>
        <v>Mohanlal Garde</v>
      </c>
      <c r="M702" s="18" t="str">
        <f>_xlfn.XLOOKUP(tblMaster[[#This Row],[Customer_ID]],tblCustomers[Customer_ID],tblCustomers[Gender],"Not Found",0)</f>
        <v>Male</v>
      </c>
      <c r="N702" s="18" t="str">
        <f>_xlfn.XLOOKUP(tblMaster[[#This Row],[Product_ID]],tblProducts[Product_ID],tblProducts[Product_Name],"Not Found",0)</f>
        <v>Aut Box</v>
      </c>
      <c r="O702" s="18" t="str">
        <f>_xlfn.XLOOKUP(tblMaster[[#This Row],[Product_ID]],tblProducts[Product_ID],tblProducts[Category],"Not Found",0)</f>
        <v>Sweets</v>
      </c>
      <c r="P702" s="18" t="str">
        <f>_xlfn.XLOOKUP(tblMaster[[#This Row],[Product_ID]],tblProducts[Product_ID],tblProducts[Occasion],"Not Found",0)</f>
        <v>Diwali</v>
      </c>
      <c r="Q702" s="18">
        <f>_xlfn.XLOOKUP(tblMaster[[#This Row],[Product_ID]],tblProducts[Product_ID],tblProducts[Price (INR)],"Not Found",0)</f>
        <v>1977</v>
      </c>
      <c r="R702" s="19">
        <f>tblMaster[[#This Row],[Price]]*tblMaster[[#This Row],[Quantity]]</f>
        <v>9885</v>
      </c>
      <c r="S702" s="19">
        <f>tblMaster[[#This Row],[Price]]*0.7*tblMaster[[#This Row],[Quantity]]</f>
        <v>6919.4999999999991</v>
      </c>
      <c r="T702" s="19">
        <f>tblMaster[[#This Row],[Revenue]]-tblMaster[[#This Row],[Estimated Cost (at 70%) ]]</f>
        <v>2965.5000000000009</v>
      </c>
      <c r="U702" s="19">
        <f>tblMaster[[#This Row],[Profit]]/tblMaster[[#This Row],[Revenue]]</f>
        <v>0.3000000000000001</v>
      </c>
      <c r="V702" s="19">
        <f>tblMaster[[#This Row],[Delivery_Date]]-tblMaster[[#This Row],[Order_Date]]</f>
        <v>4</v>
      </c>
      <c r="W702" s="19" t="str">
        <f>TEXT(tblMaster[[#This Row],[Order_Date]],"mmmm")</f>
        <v>November</v>
      </c>
      <c r="X702" s="19">
        <f>MONTH(tblMaster[[#This Row],[Order_Date]])</f>
        <v>11</v>
      </c>
      <c r="Y702" s="19" t="str">
        <f>"Q"&amp;ROUNDUP(tblMaster[[#This Row],[Month Number]]/3,0)</f>
        <v>Q4</v>
      </c>
      <c r="Z702" s="19">
        <f>YEAR(tblMaster[[#This Row],[Order_Date]])</f>
        <v>2023</v>
      </c>
      <c r="AA702" s="19" t="str">
        <f>TEXT(DAY(tblMaster[[#This Row],[Order_Date]]),"dddd")</f>
        <v>Saturday</v>
      </c>
      <c r="AB702" s="19" t="str">
        <f>IF(tblMaster[[#This Row],[Revenue]]&gt;=5000,"High",IF(tblMaster[[#This Row],[Revenue]]&lt;2000,"Low","Medium"))</f>
        <v>High</v>
      </c>
    </row>
    <row r="703" spans="1:28" x14ac:dyDescent="0.25">
      <c r="A703" s="10">
        <v>702</v>
      </c>
      <c r="B703" s="10" t="s">
        <v>229</v>
      </c>
      <c r="C703" s="5">
        <v>60</v>
      </c>
      <c r="D703" s="5">
        <v>1</v>
      </c>
      <c r="E703" s="11">
        <v>45240</v>
      </c>
      <c r="F703" s="12">
        <v>0.36416666666666669</v>
      </c>
      <c r="G703" s="11">
        <v>45248</v>
      </c>
      <c r="H703" s="12">
        <v>0.26817129629629627</v>
      </c>
      <c r="I703" s="10" t="s">
        <v>509</v>
      </c>
      <c r="J703" s="10" t="s">
        <v>19</v>
      </c>
      <c r="K703" s="18" t="str">
        <f>_xlfn.XLOOKUP(tblMaster[[#This Row],[Customer_ID]],tblCustomers[Customer_ID],tblCustomers[City],"Not Found",0)</f>
        <v>Anand</v>
      </c>
      <c r="L703" s="18" t="str">
        <f>_xlfn.XLOOKUP(tblMaster[[#This Row],[Customer_ID]],tblCustomers[Customer_ID],tblCustomers[Name],"Not Found",0)</f>
        <v>Eva Sankaran</v>
      </c>
      <c r="M703" s="18" t="str">
        <f>_xlfn.XLOOKUP(tblMaster[[#This Row],[Customer_ID]],tblCustomers[Customer_ID],tblCustomers[Gender],"Not Found",0)</f>
        <v>Male</v>
      </c>
      <c r="N703" s="18" t="str">
        <f>_xlfn.XLOOKUP(tblMaster[[#This Row],[Product_ID]],tblProducts[Product_ID],tblProducts[Product_Name],"Not Found",0)</f>
        <v>Ea Set</v>
      </c>
      <c r="O703" s="18" t="str">
        <f>_xlfn.XLOOKUP(tblMaster[[#This Row],[Product_ID]],tblProducts[Product_ID],tblProducts[Category],"Not Found",0)</f>
        <v>Sweets</v>
      </c>
      <c r="P703" s="18" t="str">
        <f>_xlfn.XLOOKUP(tblMaster[[#This Row],[Product_ID]],tblProducts[Product_ID],tblProducts[Occasion],"Not Found",0)</f>
        <v>Diwali</v>
      </c>
      <c r="Q703" s="18">
        <f>_xlfn.XLOOKUP(tblMaster[[#This Row],[Product_ID]],tblProducts[Product_ID],tblProducts[Price (INR)],"Not Found",0)</f>
        <v>827</v>
      </c>
      <c r="R703" s="19">
        <f>tblMaster[[#This Row],[Price]]*tblMaster[[#This Row],[Quantity]]</f>
        <v>827</v>
      </c>
      <c r="S703" s="19">
        <f>tblMaster[[#This Row],[Price]]*0.7*tblMaster[[#This Row],[Quantity]]</f>
        <v>578.9</v>
      </c>
      <c r="T703" s="19">
        <f>tblMaster[[#This Row],[Revenue]]-tblMaster[[#This Row],[Estimated Cost (at 70%) ]]</f>
        <v>248.10000000000002</v>
      </c>
      <c r="U703" s="19">
        <f>tblMaster[[#This Row],[Profit]]/tblMaster[[#This Row],[Revenue]]</f>
        <v>0.30000000000000004</v>
      </c>
      <c r="V703" s="19">
        <f>tblMaster[[#This Row],[Delivery_Date]]-tblMaster[[#This Row],[Order_Date]]</f>
        <v>8</v>
      </c>
      <c r="W703" s="19" t="str">
        <f>TEXT(tblMaster[[#This Row],[Order_Date]],"mmmm")</f>
        <v>November</v>
      </c>
      <c r="X703" s="19">
        <f>MONTH(tblMaster[[#This Row],[Order_Date]])</f>
        <v>11</v>
      </c>
      <c r="Y703" s="19" t="str">
        <f>"Q"&amp;ROUNDUP(tblMaster[[#This Row],[Month Number]]/3,0)</f>
        <v>Q4</v>
      </c>
      <c r="Z703" s="19">
        <f>YEAR(tblMaster[[#This Row],[Order_Date]])</f>
        <v>2023</v>
      </c>
      <c r="AA703" s="19" t="str">
        <f>TEXT(DAY(tblMaster[[#This Row],[Order_Date]]),"dddd")</f>
        <v>Tuesday</v>
      </c>
      <c r="AB703" s="19" t="str">
        <f>IF(tblMaster[[#This Row],[Revenue]]&gt;=5000,"High",IF(tblMaster[[#This Row],[Revenue]]&lt;2000,"Low","Medium"))</f>
        <v>Low</v>
      </c>
    </row>
    <row r="704" spans="1:28" x14ac:dyDescent="0.25">
      <c r="A704" s="7">
        <v>703</v>
      </c>
      <c r="B704" s="7" t="s">
        <v>343</v>
      </c>
      <c r="C704" s="4">
        <v>53</v>
      </c>
      <c r="D704" s="4">
        <v>4</v>
      </c>
      <c r="E704" s="8">
        <v>45161</v>
      </c>
      <c r="F704" s="9">
        <v>0.68031249999999999</v>
      </c>
      <c r="G704" s="8">
        <v>45170</v>
      </c>
      <c r="H704" s="9">
        <v>0.25839120370370372</v>
      </c>
      <c r="I704" s="7" t="s">
        <v>194</v>
      </c>
      <c r="J704" s="7" t="s">
        <v>33</v>
      </c>
      <c r="K704" s="18" t="str">
        <f>_xlfn.XLOOKUP(tblMaster[[#This Row],[Customer_ID]],tblCustomers[Customer_ID],tblCustomers[City],"Not Found",0)</f>
        <v>Bhatpara</v>
      </c>
      <c r="L704" s="18" t="str">
        <f>_xlfn.XLOOKUP(tblMaster[[#This Row],[Customer_ID]],tblCustomers[Customer_ID],tblCustomers[Name],"Not Found",0)</f>
        <v>Emir Gokhale</v>
      </c>
      <c r="M704" s="18" t="str">
        <f>_xlfn.XLOOKUP(tblMaster[[#This Row],[Customer_ID]],tblCustomers[Customer_ID],tblCustomers[Gender],"Not Found",0)</f>
        <v>Male</v>
      </c>
      <c r="N704" s="18" t="str">
        <f>_xlfn.XLOOKUP(tblMaster[[#This Row],[Product_ID]],tblProducts[Product_ID],tblProducts[Product_Name],"Not Found",0)</f>
        <v>Ipsam Set</v>
      </c>
      <c r="O704" s="18" t="str">
        <f>_xlfn.XLOOKUP(tblMaster[[#This Row],[Product_ID]],tblProducts[Product_ID],tblProducts[Category],"Not Found",0)</f>
        <v>Sweets</v>
      </c>
      <c r="P704" s="18" t="str">
        <f>_xlfn.XLOOKUP(tblMaster[[#This Row],[Product_ID]],tblProducts[Product_ID],tblProducts[Occasion],"Not Found",0)</f>
        <v>Raksha Bandhan</v>
      </c>
      <c r="Q704" s="18">
        <f>_xlfn.XLOOKUP(tblMaster[[#This Row],[Product_ID]],tblProducts[Product_ID],tblProducts[Price (INR)],"Not Found",0)</f>
        <v>1672</v>
      </c>
      <c r="R704" s="19">
        <f>tblMaster[[#This Row],[Price]]*tblMaster[[#This Row],[Quantity]]</f>
        <v>6688</v>
      </c>
      <c r="S704" s="19">
        <f>tblMaster[[#This Row],[Price]]*0.7*tblMaster[[#This Row],[Quantity]]</f>
        <v>4681.5999999999995</v>
      </c>
      <c r="T704" s="19">
        <f>tblMaster[[#This Row],[Revenue]]-tblMaster[[#This Row],[Estimated Cost (at 70%) ]]</f>
        <v>2006.4000000000005</v>
      </c>
      <c r="U704" s="19">
        <f>tblMaster[[#This Row],[Profit]]/tblMaster[[#This Row],[Revenue]]</f>
        <v>0.3000000000000001</v>
      </c>
      <c r="V704" s="19">
        <f>tblMaster[[#This Row],[Delivery_Date]]-tblMaster[[#This Row],[Order_Date]]</f>
        <v>9</v>
      </c>
      <c r="W704" s="19" t="str">
        <f>TEXT(tblMaster[[#This Row],[Order_Date]],"mmmm")</f>
        <v>August</v>
      </c>
      <c r="X704" s="19">
        <f>MONTH(tblMaster[[#This Row],[Order_Date]])</f>
        <v>8</v>
      </c>
      <c r="Y704" s="19" t="str">
        <f>"Q"&amp;ROUNDUP(tblMaster[[#This Row],[Month Number]]/3,0)</f>
        <v>Q3</v>
      </c>
      <c r="Z704" s="19">
        <f>YEAR(tblMaster[[#This Row],[Order_Date]])</f>
        <v>2023</v>
      </c>
      <c r="AA704" s="19" t="str">
        <f>TEXT(DAY(tblMaster[[#This Row],[Order_Date]]),"dddd")</f>
        <v>Monday</v>
      </c>
      <c r="AB704" s="19" t="str">
        <f>IF(tblMaster[[#This Row],[Revenue]]&gt;=5000,"High",IF(tblMaster[[#This Row],[Revenue]]&lt;2000,"Low","Medium"))</f>
        <v>High</v>
      </c>
    </row>
    <row r="705" spans="1:28" x14ac:dyDescent="0.25">
      <c r="A705" s="10">
        <v>704</v>
      </c>
      <c r="B705" s="10" t="s">
        <v>302</v>
      </c>
      <c r="C705" s="5">
        <v>55</v>
      </c>
      <c r="D705" s="5">
        <v>4</v>
      </c>
      <c r="E705" s="11">
        <v>45167</v>
      </c>
      <c r="F705" s="12">
        <v>0.10219907407407407</v>
      </c>
      <c r="G705" s="11">
        <v>45168</v>
      </c>
      <c r="H705" s="12">
        <v>0.56706018518518519</v>
      </c>
      <c r="I705" s="10" t="s">
        <v>511</v>
      </c>
      <c r="J705" s="10" t="s">
        <v>33</v>
      </c>
      <c r="K705" s="18" t="str">
        <f>_xlfn.XLOOKUP(tblMaster[[#This Row],[Customer_ID]],tblCustomers[Customer_ID],tblCustomers[City],"Not Found",0)</f>
        <v>Kavali</v>
      </c>
      <c r="L705" s="18" t="str">
        <f>_xlfn.XLOOKUP(tblMaster[[#This Row],[Customer_ID]],tblCustomers[Customer_ID],tblCustomers[Name],"Not Found",0)</f>
        <v>Akarsh Ramesh</v>
      </c>
      <c r="M705" s="18" t="str">
        <f>_xlfn.XLOOKUP(tblMaster[[#This Row],[Customer_ID]],tblCustomers[Customer_ID],tblCustomers[Gender],"Not Found",0)</f>
        <v>Female</v>
      </c>
      <c r="N705" s="18" t="str">
        <f>_xlfn.XLOOKUP(tblMaster[[#This Row],[Product_ID]],tblProducts[Product_ID],tblProducts[Product_Name],"Not Found",0)</f>
        <v>Dolores Gift</v>
      </c>
      <c r="O705" s="18" t="str">
        <f>_xlfn.XLOOKUP(tblMaster[[#This Row],[Product_ID]],tblProducts[Product_ID],tblProducts[Category],"Not Found",0)</f>
        <v>Soft Toys</v>
      </c>
      <c r="P705" s="18" t="str">
        <f>_xlfn.XLOOKUP(tblMaster[[#This Row],[Product_ID]],tblProducts[Product_ID],tblProducts[Occasion],"Not Found",0)</f>
        <v>Raksha Bandhan</v>
      </c>
      <c r="Q705" s="18">
        <f>_xlfn.XLOOKUP(tblMaster[[#This Row],[Product_ID]],tblProducts[Product_ID],tblProducts[Price (INR)],"Not Found",0)</f>
        <v>1904</v>
      </c>
      <c r="R705" s="19">
        <f>tblMaster[[#This Row],[Price]]*tblMaster[[#This Row],[Quantity]]</f>
        <v>7616</v>
      </c>
      <c r="S705" s="19">
        <f>tblMaster[[#This Row],[Price]]*0.7*tblMaster[[#This Row],[Quantity]]</f>
        <v>5331.2</v>
      </c>
      <c r="T705" s="19">
        <f>tblMaster[[#This Row],[Revenue]]-tblMaster[[#This Row],[Estimated Cost (at 70%) ]]</f>
        <v>2284.8000000000002</v>
      </c>
      <c r="U705" s="19">
        <f>tblMaster[[#This Row],[Profit]]/tblMaster[[#This Row],[Revenue]]</f>
        <v>0.30000000000000004</v>
      </c>
      <c r="V705" s="19">
        <f>tblMaster[[#This Row],[Delivery_Date]]-tblMaster[[#This Row],[Order_Date]]</f>
        <v>1</v>
      </c>
      <c r="W705" s="19" t="str">
        <f>TEXT(tblMaster[[#This Row],[Order_Date]],"mmmm")</f>
        <v>August</v>
      </c>
      <c r="X705" s="19">
        <f>MONTH(tblMaster[[#This Row],[Order_Date]])</f>
        <v>8</v>
      </c>
      <c r="Y705" s="19" t="str">
        <f>"Q"&amp;ROUNDUP(tblMaster[[#This Row],[Month Number]]/3,0)</f>
        <v>Q3</v>
      </c>
      <c r="Z705" s="19">
        <f>YEAR(tblMaster[[#This Row],[Order_Date]])</f>
        <v>2023</v>
      </c>
      <c r="AA705" s="19" t="str">
        <f>TEXT(DAY(tblMaster[[#This Row],[Order_Date]]),"dddd")</f>
        <v>Sunday</v>
      </c>
      <c r="AB705" s="19" t="str">
        <f>IF(tblMaster[[#This Row],[Revenue]]&gt;=5000,"High",IF(tblMaster[[#This Row],[Revenue]]&lt;2000,"Low","Medium"))</f>
        <v>High</v>
      </c>
    </row>
    <row r="706" spans="1:28" x14ac:dyDescent="0.25">
      <c r="A706" s="7">
        <v>705</v>
      </c>
      <c r="B706" s="7" t="s">
        <v>400</v>
      </c>
      <c r="C706" s="4">
        <v>7</v>
      </c>
      <c r="D706" s="4">
        <v>1</v>
      </c>
      <c r="E706" s="8">
        <v>44990</v>
      </c>
      <c r="F706" s="9">
        <v>0.76251157407407411</v>
      </c>
      <c r="G706" s="8">
        <v>44999</v>
      </c>
      <c r="H706" s="9">
        <v>0.74802083333333336</v>
      </c>
      <c r="I706" s="7" t="s">
        <v>516</v>
      </c>
      <c r="J706" s="7" t="s">
        <v>25</v>
      </c>
      <c r="K706" s="18" t="str">
        <f>_xlfn.XLOOKUP(tblMaster[[#This Row],[Customer_ID]],tblCustomers[Customer_ID],tblCustomers[City],"Not Found",0)</f>
        <v>Miryalaguda</v>
      </c>
      <c r="L706" s="18" t="str">
        <f>_xlfn.XLOOKUP(tblMaster[[#This Row],[Customer_ID]],tblCustomers[Customer_ID],tblCustomers[Name],"Not Found",0)</f>
        <v>Tarini Bava</v>
      </c>
      <c r="M706" s="18" t="str">
        <f>_xlfn.XLOOKUP(tblMaster[[#This Row],[Customer_ID]],tblCustomers[Customer_ID],tblCustomers[Gender],"Not Found",0)</f>
        <v>Male</v>
      </c>
      <c r="N706" s="18" t="str">
        <f>_xlfn.XLOOKUP(tblMaster[[#This Row],[Product_ID]],tblProducts[Product_ID],tblProducts[Product_Name],"Not Found",0)</f>
        <v>Quos Set</v>
      </c>
      <c r="O706" s="18" t="str">
        <f>_xlfn.XLOOKUP(tblMaster[[#This Row],[Product_ID]],tblProducts[Product_ID],tblProducts[Category],"Not Found",0)</f>
        <v>Soft Toys</v>
      </c>
      <c r="P706" s="18" t="str">
        <f>_xlfn.XLOOKUP(tblMaster[[#This Row],[Product_ID]],tblProducts[Product_ID],tblProducts[Occasion],"Not Found",0)</f>
        <v>Holi</v>
      </c>
      <c r="Q706" s="18">
        <f>_xlfn.XLOOKUP(tblMaster[[#This Row],[Product_ID]],tblProducts[Product_ID],tblProducts[Price (INR)],"Not Found",0)</f>
        <v>409</v>
      </c>
      <c r="R706" s="19">
        <f>tblMaster[[#This Row],[Price]]*tblMaster[[#This Row],[Quantity]]</f>
        <v>409</v>
      </c>
      <c r="S706" s="19">
        <f>tblMaster[[#This Row],[Price]]*0.7*tblMaster[[#This Row],[Quantity]]</f>
        <v>286.29999999999995</v>
      </c>
      <c r="T706" s="19">
        <f>tblMaster[[#This Row],[Revenue]]-tblMaster[[#This Row],[Estimated Cost (at 70%) ]]</f>
        <v>122.70000000000005</v>
      </c>
      <c r="U706" s="19">
        <f>tblMaster[[#This Row],[Profit]]/tblMaster[[#This Row],[Revenue]]</f>
        <v>0.3000000000000001</v>
      </c>
      <c r="V706" s="19">
        <f>tblMaster[[#This Row],[Delivery_Date]]-tblMaster[[#This Row],[Order_Date]]</f>
        <v>9</v>
      </c>
      <c r="W706" s="19" t="str">
        <f>TEXT(tblMaster[[#This Row],[Order_Date]],"mmmm")</f>
        <v>March</v>
      </c>
      <c r="X706" s="19">
        <f>MONTH(tblMaster[[#This Row],[Order_Date]])</f>
        <v>3</v>
      </c>
      <c r="Y706" s="19" t="str">
        <f>"Q"&amp;ROUNDUP(tblMaster[[#This Row],[Month Number]]/3,0)</f>
        <v>Q1</v>
      </c>
      <c r="Z706" s="19">
        <f>YEAR(tblMaster[[#This Row],[Order_Date]])</f>
        <v>2023</v>
      </c>
      <c r="AA706" s="19" t="str">
        <f>TEXT(DAY(tblMaster[[#This Row],[Order_Date]]),"dddd")</f>
        <v>Thursday</v>
      </c>
      <c r="AB706" s="19" t="str">
        <f>IF(tblMaster[[#This Row],[Revenue]]&gt;=5000,"High",IF(tblMaster[[#This Row],[Revenue]]&lt;2000,"Low","Medium"))</f>
        <v>Low</v>
      </c>
    </row>
    <row r="707" spans="1:28" x14ac:dyDescent="0.25">
      <c r="A707" s="10">
        <v>706</v>
      </c>
      <c r="B707" s="10" t="s">
        <v>210</v>
      </c>
      <c r="C707" s="5">
        <v>67</v>
      </c>
      <c r="D707" s="5">
        <v>2</v>
      </c>
      <c r="E707" s="11">
        <v>45042</v>
      </c>
      <c r="F707" s="12">
        <v>0.23276620370370371</v>
      </c>
      <c r="G707" s="11">
        <v>45050</v>
      </c>
      <c r="H707" s="12">
        <v>0.55081018518518521</v>
      </c>
      <c r="I707" s="10" t="s">
        <v>201</v>
      </c>
      <c r="J707" s="10" t="s">
        <v>30</v>
      </c>
      <c r="K707" s="18" t="str">
        <f>_xlfn.XLOOKUP(tblMaster[[#This Row],[Customer_ID]],tblCustomers[Customer_ID],tblCustomers[City],"Not Found",0)</f>
        <v>New Delhi</v>
      </c>
      <c r="L707" s="18" t="str">
        <f>_xlfn.XLOOKUP(tblMaster[[#This Row],[Customer_ID]],tblCustomers[Customer_ID],tblCustomers[Name],"Not Found",0)</f>
        <v>Adira Rajan</v>
      </c>
      <c r="M707" s="18" t="str">
        <f>_xlfn.XLOOKUP(tblMaster[[#This Row],[Customer_ID]],tblCustomers[Customer_ID],tblCustomers[Gender],"Not Found",0)</f>
        <v>Female</v>
      </c>
      <c r="N707" s="18" t="str">
        <f>_xlfn.XLOOKUP(tblMaster[[#This Row],[Product_ID]],tblProducts[Product_ID],tblProducts[Product_Name],"Not Found",0)</f>
        <v>Maiores Box</v>
      </c>
      <c r="O707" s="18" t="str">
        <f>_xlfn.XLOOKUP(tblMaster[[#This Row],[Product_ID]],tblProducts[Product_ID],tblProducts[Category],"Not Found",0)</f>
        <v>Raksha Bandhan</v>
      </c>
      <c r="P707" s="18" t="str">
        <f>_xlfn.XLOOKUP(tblMaster[[#This Row],[Product_ID]],tblProducts[Product_ID],tblProducts[Occasion],"Not Found",0)</f>
        <v>Anniversary</v>
      </c>
      <c r="Q707" s="18">
        <f>_xlfn.XLOOKUP(tblMaster[[#This Row],[Product_ID]],tblProducts[Product_ID],tblProducts[Price (INR)],"Not Found",0)</f>
        <v>1374</v>
      </c>
      <c r="R707" s="19">
        <f>tblMaster[[#This Row],[Price]]*tblMaster[[#This Row],[Quantity]]</f>
        <v>2748</v>
      </c>
      <c r="S707" s="19">
        <f>tblMaster[[#This Row],[Price]]*0.7*tblMaster[[#This Row],[Quantity]]</f>
        <v>1923.6</v>
      </c>
      <c r="T707" s="19">
        <f>tblMaster[[#This Row],[Revenue]]-tblMaster[[#This Row],[Estimated Cost (at 70%) ]]</f>
        <v>824.40000000000009</v>
      </c>
      <c r="U707" s="19">
        <f>tblMaster[[#This Row],[Profit]]/tblMaster[[#This Row],[Revenue]]</f>
        <v>0.30000000000000004</v>
      </c>
      <c r="V707" s="19">
        <f>tblMaster[[#This Row],[Delivery_Date]]-tblMaster[[#This Row],[Order_Date]]</f>
        <v>8</v>
      </c>
      <c r="W707" s="19" t="str">
        <f>TEXT(tblMaster[[#This Row],[Order_Date]],"mmmm")</f>
        <v>April</v>
      </c>
      <c r="X707" s="19">
        <f>MONTH(tblMaster[[#This Row],[Order_Date]])</f>
        <v>4</v>
      </c>
      <c r="Y707" s="19" t="str">
        <f>"Q"&amp;ROUNDUP(tblMaster[[#This Row],[Month Number]]/3,0)</f>
        <v>Q2</v>
      </c>
      <c r="Z707" s="19">
        <f>YEAR(tblMaster[[#This Row],[Order_Date]])</f>
        <v>2023</v>
      </c>
      <c r="AA707" s="19" t="str">
        <f>TEXT(DAY(tblMaster[[#This Row],[Order_Date]]),"dddd")</f>
        <v>Thursday</v>
      </c>
      <c r="AB707" s="19" t="str">
        <f>IF(tblMaster[[#This Row],[Revenue]]&gt;=5000,"High",IF(tblMaster[[#This Row],[Revenue]]&lt;2000,"Low","Medium"))</f>
        <v>Medium</v>
      </c>
    </row>
    <row r="708" spans="1:28" x14ac:dyDescent="0.25">
      <c r="A708" s="7">
        <v>707</v>
      </c>
      <c r="B708" s="7" t="s">
        <v>250</v>
      </c>
      <c r="C708" s="4">
        <v>70</v>
      </c>
      <c r="D708" s="4">
        <v>4</v>
      </c>
      <c r="E708" s="8">
        <v>44960</v>
      </c>
      <c r="F708" s="9">
        <v>0.26210648148148147</v>
      </c>
      <c r="G708" s="8">
        <v>44969</v>
      </c>
      <c r="H708" s="9">
        <v>4.4664351851851851E-2</v>
      </c>
      <c r="I708" s="7" t="s">
        <v>445</v>
      </c>
      <c r="J708" s="7" t="s">
        <v>36</v>
      </c>
      <c r="K708" s="18" t="str">
        <f>_xlfn.XLOOKUP(tblMaster[[#This Row],[Customer_ID]],tblCustomers[Customer_ID],tblCustomers[City],"Not Found",0)</f>
        <v>Dibrugarh</v>
      </c>
      <c r="L708" s="18" t="str">
        <f>_xlfn.XLOOKUP(tblMaster[[#This Row],[Customer_ID]],tblCustomers[Customer_ID],tblCustomers[Name],"Not Found",0)</f>
        <v>Biju Bajwa</v>
      </c>
      <c r="M708" s="18" t="str">
        <f>_xlfn.XLOOKUP(tblMaster[[#This Row],[Customer_ID]],tblCustomers[Customer_ID],tblCustomers[Gender],"Not Found",0)</f>
        <v>Female</v>
      </c>
      <c r="N708" s="18" t="str">
        <f>_xlfn.XLOOKUP(tblMaster[[#This Row],[Product_ID]],tblProducts[Product_ID],tblProducts[Product_Name],"Not Found",0)</f>
        <v>Error Gift</v>
      </c>
      <c r="O708" s="18" t="str">
        <f>_xlfn.XLOOKUP(tblMaster[[#This Row],[Product_ID]],tblProducts[Product_ID],tblProducts[Category],"Not Found",0)</f>
        <v>Sweets</v>
      </c>
      <c r="P708" s="18" t="str">
        <f>_xlfn.XLOOKUP(tblMaster[[#This Row],[Product_ID]],tblProducts[Product_ID],tblProducts[Occasion],"Not Found",0)</f>
        <v>Birthday</v>
      </c>
      <c r="Q708" s="18">
        <f>_xlfn.XLOOKUP(tblMaster[[#This Row],[Product_ID]],tblProducts[Product_ID],tblProducts[Price (INR)],"Not Found",0)</f>
        <v>866</v>
      </c>
      <c r="R708" s="19">
        <f>tblMaster[[#This Row],[Price]]*tblMaster[[#This Row],[Quantity]]</f>
        <v>3464</v>
      </c>
      <c r="S708" s="19">
        <f>tblMaster[[#This Row],[Price]]*0.7*tblMaster[[#This Row],[Quantity]]</f>
        <v>2424.7999999999997</v>
      </c>
      <c r="T708" s="19">
        <f>tblMaster[[#This Row],[Revenue]]-tblMaster[[#This Row],[Estimated Cost (at 70%) ]]</f>
        <v>1039.2000000000003</v>
      </c>
      <c r="U708" s="19">
        <f>tblMaster[[#This Row],[Profit]]/tblMaster[[#This Row],[Revenue]]</f>
        <v>0.3000000000000001</v>
      </c>
      <c r="V708" s="19">
        <f>tblMaster[[#This Row],[Delivery_Date]]-tblMaster[[#This Row],[Order_Date]]</f>
        <v>9</v>
      </c>
      <c r="W708" s="19" t="str">
        <f>TEXT(tblMaster[[#This Row],[Order_Date]],"mmmm")</f>
        <v>February</v>
      </c>
      <c r="X708" s="19">
        <f>MONTH(tblMaster[[#This Row],[Order_Date]])</f>
        <v>2</v>
      </c>
      <c r="Y708" s="19" t="str">
        <f>"Q"&amp;ROUNDUP(tblMaster[[#This Row],[Month Number]]/3,0)</f>
        <v>Q1</v>
      </c>
      <c r="Z708" s="19">
        <f>YEAR(tblMaster[[#This Row],[Order_Date]])</f>
        <v>2023</v>
      </c>
      <c r="AA708" s="19" t="str">
        <f>TEXT(DAY(tblMaster[[#This Row],[Order_Date]]),"dddd")</f>
        <v>Tuesday</v>
      </c>
      <c r="AB708" s="19" t="str">
        <f>IF(tblMaster[[#This Row],[Revenue]]&gt;=5000,"High",IF(tblMaster[[#This Row],[Revenue]]&lt;2000,"Low","Medium"))</f>
        <v>Medium</v>
      </c>
    </row>
    <row r="709" spans="1:28" x14ac:dyDescent="0.25">
      <c r="A709" s="10">
        <v>708</v>
      </c>
      <c r="B709" s="10" t="s">
        <v>488</v>
      </c>
      <c r="C709" s="5">
        <v>62</v>
      </c>
      <c r="D709" s="5">
        <v>3</v>
      </c>
      <c r="E709" s="11">
        <v>44988</v>
      </c>
      <c r="F709" s="12">
        <v>0.45781250000000001</v>
      </c>
      <c r="G709" s="11">
        <v>44997</v>
      </c>
      <c r="H709" s="12">
        <v>0.21221064814814813</v>
      </c>
      <c r="I709" s="10" t="s">
        <v>314</v>
      </c>
      <c r="J709" s="10" t="s">
        <v>25</v>
      </c>
      <c r="K709" s="18" t="str">
        <f>_xlfn.XLOOKUP(tblMaster[[#This Row],[Customer_ID]],tblCustomers[Customer_ID],tblCustomers[City],"Not Found",0)</f>
        <v>Bulandshahr</v>
      </c>
      <c r="L709" s="18" t="str">
        <f>_xlfn.XLOOKUP(tblMaster[[#This Row],[Customer_ID]],tblCustomers[Customer_ID],tblCustomers[Name],"Not Found",0)</f>
        <v>Myra Edwin</v>
      </c>
      <c r="M709" s="18" t="str">
        <f>_xlfn.XLOOKUP(tblMaster[[#This Row],[Customer_ID]],tblCustomers[Customer_ID],tblCustomers[Gender],"Not Found",0)</f>
        <v>Female</v>
      </c>
      <c r="N709" s="18" t="str">
        <f>_xlfn.XLOOKUP(tblMaster[[#This Row],[Product_ID]],tblProducts[Product_ID],tblProducts[Product_Name],"Not Found",0)</f>
        <v>Sed Set</v>
      </c>
      <c r="O709" s="18" t="str">
        <f>_xlfn.XLOOKUP(tblMaster[[#This Row],[Product_ID]],tblProducts[Product_ID],tblProducts[Category],"Not Found",0)</f>
        <v>Colors</v>
      </c>
      <c r="P709" s="18" t="str">
        <f>_xlfn.XLOOKUP(tblMaster[[#This Row],[Product_ID]],tblProducts[Product_ID],tblProducts[Occasion],"Not Found",0)</f>
        <v>Holi</v>
      </c>
      <c r="Q709" s="18">
        <f>_xlfn.XLOOKUP(tblMaster[[#This Row],[Product_ID]],tblProducts[Product_ID],tblProducts[Price (INR)],"Not Found",0)</f>
        <v>1356</v>
      </c>
      <c r="R709" s="19">
        <f>tblMaster[[#This Row],[Price]]*tblMaster[[#This Row],[Quantity]]</f>
        <v>4068</v>
      </c>
      <c r="S709" s="19">
        <f>tblMaster[[#This Row],[Price]]*0.7*tblMaster[[#This Row],[Quantity]]</f>
        <v>2847.6</v>
      </c>
      <c r="T709" s="19">
        <f>tblMaster[[#This Row],[Revenue]]-tblMaster[[#This Row],[Estimated Cost (at 70%) ]]</f>
        <v>1220.4000000000001</v>
      </c>
      <c r="U709" s="19">
        <f>tblMaster[[#This Row],[Profit]]/tblMaster[[#This Row],[Revenue]]</f>
        <v>0.30000000000000004</v>
      </c>
      <c r="V709" s="19">
        <f>tblMaster[[#This Row],[Delivery_Date]]-tblMaster[[#This Row],[Order_Date]]</f>
        <v>9</v>
      </c>
      <c r="W709" s="19" t="str">
        <f>TEXT(tblMaster[[#This Row],[Order_Date]],"mmmm")</f>
        <v>March</v>
      </c>
      <c r="X709" s="19">
        <f>MONTH(tblMaster[[#This Row],[Order_Date]])</f>
        <v>3</v>
      </c>
      <c r="Y709" s="19" t="str">
        <f>"Q"&amp;ROUNDUP(tblMaster[[#This Row],[Month Number]]/3,0)</f>
        <v>Q1</v>
      </c>
      <c r="Z709" s="19">
        <f>YEAR(tblMaster[[#This Row],[Order_Date]])</f>
        <v>2023</v>
      </c>
      <c r="AA709" s="19" t="str">
        <f>TEXT(DAY(tblMaster[[#This Row],[Order_Date]]),"dddd")</f>
        <v>Tuesday</v>
      </c>
      <c r="AB709" s="19" t="str">
        <f>IF(tblMaster[[#This Row],[Revenue]]&gt;=5000,"High",IF(tblMaster[[#This Row],[Revenue]]&lt;2000,"Low","Medium"))</f>
        <v>Medium</v>
      </c>
    </row>
    <row r="710" spans="1:28" x14ac:dyDescent="0.25">
      <c r="A710" s="7">
        <v>709</v>
      </c>
      <c r="B710" s="7" t="s">
        <v>392</v>
      </c>
      <c r="C710" s="4">
        <v>53</v>
      </c>
      <c r="D710" s="4">
        <v>5</v>
      </c>
      <c r="E710" s="8">
        <v>45167</v>
      </c>
      <c r="F710" s="9">
        <v>0.19311342592592592</v>
      </c>
      <c r="G710" s="8">
        <v>45176</v>
      </c>
      <c r="H710" s="9">
        <v>0.72864583333333333</v>
      </c>
      <c r="I710" s="7" t="s">
        <v>339</v>
      </c>
      <c r="J710" s="7" t="s">
        <v>33</v>
      </c>
      <c r="K710" s="18" t="str">
        <f>_xlfn.XLOOKUP(tblMaster[[#This Row],[Customer_ID]],tblCustomers[Customer_ID],tblCustomers[City],"Not Found",0)</f>
        <v>Tenali</v>
      </c>
      <c r="L710" s="18" t="str">
        <f>_xlfn.XLOOKUP(tblMaster[[#This Row],[Customer_ID]],tblCustomers[Customer_ID],tblCustomers[Name],"Not Found",0)</f>
        <v>Amani Ganesh</v>
      </c>
      <c r="M710" s="18" t="str">
        <f>_xlfn.XLOOKUP(tblMaster[[#This Row],[Customer_ID]],tblCustomers[Customer_ID],tblCustomers[Gender],"Not Found",0)</f>
        <v>Male</v>
      </c>
      <c r="N710" s="18" t="str">
        <f>_xlfn.XLOOKUP(tblMaster[[#This Row],[Product_ID]],tblProducts[Product_ID],tblProducts[Product_Name],"Not Found",0)</f>
        <v>Ipsam Set</v>
      </c>
      <c r="O710" s="18" t="str">
        <f>_xlfn.XLOOKUP(tblMaster[[#This Row],[Product_ID]],tblProducts[Product_ID],tblProducts[Category],"Not Found",0)</f>
        <v>Sweets</v>
      </c>
      <c r="P710" s="18" t="str">
        <f>_xlfn.XLOOKUP(tblMaster[[#This Row],[Product_ID]],tblProducts[Product_ID],tblProducts[Occasion],"Not Found",0)</f>
        <v>Raksha Bandhan</v>
      </c>
      <c r="Q710" s="18">
        <f>_xlfn.XLOOKUP(tblMaster[[#This Row],[Product_ID]],tblProducts[Product_ID],tblProducts[Price (INR)],"Not Found",0)</f>
        <v>1672</v>
      </c>
      <c r="R710" s="19">
        <f>tblMaster[[#This Row],[Price]]*tblMaster[[#This Row],[Quantity]]</f>
        <v>8360</v>
      </c>
      <c r="S710" s="19">
        <f>tblMaster[[#This Row],[Price]]*0.7*tblMaster[[#This Row],[Quantity]]</f>
        <v>5851.9999999999991</v>
      </c>
      <c r="T710" s="19">
        <f>tblMaster[[#This Row],[Revenue]]-tblMaster[[#This Row],[Estimated Cost (at 70%) ]]</f>
        <v>2508.0000000000009</v>
      </c>
      <c r="U710" s="19">
        <f>tblMaster[[#This Row],[Profit]]/tblMaster[[#This Row],[Revenue]]</f>
        <v>0.3000000000000001</v>
      </c>
      <c r="V710" s="19">
        <f>tblMaster[[#This Row],[Delivery_Date]]-tblMaster[[#This Row],[Order_Date]]</f>
        <v>9</v>
      </c>
      <c r="W710" s="19" t="str">
        <f>TEXT(tblMaster[[#This Row],[Order_Date]],"mmmm")</f>
        <v>August</v>
      </c>
      <c r="X710" s="19">
        <f>MONTH(tblMaster[[#This Row],[Order_Date]])</f>
        <v>8</v>
      </c>
      <c r="Y710" s="19" t="str">
        <f>"Q"&amp;ROUNDUP(tblMaster[[#This Row],[Month Number]]/3,0)</f>
        <v>Q3</v>
      </c>
      <c r="Z710" s="19">
        <f>YEAR(tblMaster[[#This Row],[Order_Date]])</f>
        <v>2023</v>
      </c>
      <c r="AA710" s="19" t="str">
        <f>TEXT(DAY(tblMaster[[#This Row],[Order_Date]]),"dddd")</f>
        <v>Sunday</v>
      </c>
      <c r="AB710" s="19" t="str">
        <f>IF(tblMaster[[#This Row],[Revenue]]&gt;=5000,"High",IF(tblMaster[[#This Row],[Revenue]]&lt;2000,"Low","Medium"))</f>
        <v>High</v>
      </c>
    </row>
    <row r="711" spans="1:28" x14ac:dyDescent="0.25">
      <c r="A711" s="10">
        <v>710</v>
      </c>
      <c r="B711" s="10" t="s">
        <v>347</v>
      </c>
      <c r="C711" s="5">
        <v>54</v>
      </c>
      <c r="D711" s="5">
        <v>5</v>
      </c>
      <c r="E711" s="11">
        <v>45068</v>
      </c>
      <c r="F711" s="12">
        <v>6.4618055555555554E-2</v>
      </c>
      <c r="G711" s="11">
        <v>45075</v>
      </c>
      <c r="H711" s="12">
        <v>7.2129629629629627E-2</v>
      </c>
      <c r="I711" s="10" t="s">
        <v>363</v>
      </c>
      <c r="J711" s="10" t="s">
        <v>30</v>
      </c>
      <c r="K711" s="18" t="str">
        <f>_xlfn.XLOOKUP(tblMaster[[#This Row],[Customer_ID]],tblCustomers[Customer_ID],tblCustomers[City],"Not Found",0)</f>
        <v>North Dumdum</v>
      </c>
      <c r="L711" s="18" t="str">
        <f>_xlfn.XLOOKUP(tblMaster[[#This Row],[Customer_ID]],tblCustomers[Customer_ID],tblCustomers[Name],"Not Found",0)</f>
        <v>Rania Bhatt</v>
      </c>
      <c r="M711" s="18" t="str">
        <f>_xlfn.XLOOKUP(tblMaster[[#This Row],[Customer_ID]],tblCustomers[Customer_ID],tblCustomers[Gender],"Not Found",0)</f>
        <v>Female</v>
      </c>
      <c r="N711" s="18" t="str">
        <f>_xlfn.XLOOKUP(tblMaster[[#This Row],[Product_ID]],tblProducts[Product_ID],tblProducts[Product_Name],"Not Found",0)</f>
        <v>Occaecati Gift</v>
      </c>
      <c r="O711" s="18" t="str">
        <f>_xlfn.XLOOKUP(tblMaster[[#This Row],[Product_ID]],tblProducts[Product_ID],tblProducts[Category],"Not Found",0)</f>
        <v>Cake</v>
      </c>
      <c r="P711" s="18" t="str">
        <f>_xlfn.XLOOKUP(tblMaster[[#This Row],[Product_ID]],tblProducts[Product_ID],tblProducts[Occasion],"Not Found",0)</f>
        <v>Anniversary</v>
      </c>
      <c r="Q711" s="18">
        <f>_xlfn.XLOOKUP(tblMaster[[#This Row],[Product_ID]],tblProducts[Product_ID],tblProducts[Price (INR)],"Not Found",0)</f>
        <v>1236</v>
      </c>
      <c r="R711" s="19">
        <f>tblMaster[[#This Row],[Price]]*tblMaster[[#This Row],[Quantity]]</f>
        <v>6180</v>
      </c>
      <c r="S711" s="19">
        <f>tblMaster[[#This Row],[Price]]*0.7*tblMaster[[#This Row],[Quantity]]</f>
        <v>4326</v>
      </c>
      <c r="T711" s="19">
        <f>tblMaster[[#This Row],[Revenue]]-tblMaster[[#This Row],[Estimated Cost (at 70%) ]]</f>
        <v>1854</v>
      </c>
      <c r="U711" s="19">
        <f>tblMaster[[#This Row],[Profit]]/tblMaster[[#This Row],[Revenue]]</f>
        <v>0.3</v>
      </c>
      <c r="V711" s="19">
        <f>tblMaster[[#This Row],[Delivery_Date]]-tblMaster[[#This Row],[Order_Date]]</f>
        <v>7</v>
      </c>
      <c r="W711" s="19" t="str">
        <f>TEXT(tblMaster[[#This Row],[Order_Date]],"mmmm")</f>
        <v>May</v>
      </c>
      <c r="X711" s="19">
        <f>MONTH(tblMaster[[#This Row],[Order_Date]])</f>
        <v>5</v>
      </c>
      <c r="Y711" s="19" t="str">
        <f>"Q"&amp;ROUNDUP(tblMaster[[#This Row],[Month Number]]/3,0)</f>
        <v>Q2</v>
      </c>
      <c r="Z711" s="19">
        <f>YEAR(tblMaster[[#This Row],[Order_Date]])</f>
        <v>2023</v>
      </c>
      <c r="AA711" s="19" t="str">
        <f>TEXT(DAY(tblMaster[[#This Row],[Order_Date]]),"dddd")</f>
        <v>Sunday</v>
      </c>
      <c r="AB711" s="19" t="str">
        <f>IF(tblMaster[[#This Row],[Revenue]]&gt;=5000,"High",IF(tblMaster[[#This Row],[Revenue]]&lt;2000,"Low","Medium"))</f>
        <v>High</v>
      </c>
    </row>
    <row r="712" spans="1:28" x14ac:dyDescent="0.25">
      <c r="A712" s="7">
        <v>711</v>
      </c>
      <c r="B712" s="7" t="s">
        <v>398</v>
      </c>
      <c r="C712" s="4">
        <v>68</v>
      </c>
      <c r="D712" s="4">
        <v>3</v>
      </c>
      <c r="E712" s="8">
        <v>44961</v>
      </c>
      <c r="F712" s="9">
        <v>0.71907407407407409</v>
      </c>
      <c r="G712" s="8">
        <v>44963</v>
      </c>
      <c r="H712" s="9">
        <v>0.61866898148148153</v>
      </c>
      <c r="I712" s="7" t="s">
        <v>346</v>
      </c>
      <c r="J712" s="7" t="s">
        <v>12</v>
      </c>
      <c r="K712" s="18" t="str">
        <f>_xlfn.XLOOKUP(tblMaster[[#This Row],[Customer_ID]],tblCustomers[Customer_ID],tblCustomers[City],"Not Found",0)</f>
        <v>Tumkur</v>
      </c>
      <c r="L712" s="18" t="str">
        <f>_xlfn.XLOOKUP(tblMaster[[#This Row],[Customer_ID]],tblCustomers[Customer_ID],tblCustomers[Name],"Not Found",0)</f>
        <v>Mamooty Bawa</v>
      </c>
      <c r="M712" s="18" t="str">
        <f>_xlfn.XLOOKUP(tblMaster[[#This Row],[Customer_ID]],tblCustomers[Customer_ID],tblCustomers[Gender],"Not Found",0)</f>
        <v>Male</v>
      </c>
      <c r="N712" s="18" t="str">
        <f>_xlfn.XLOOKUP(tblMaster[[#This Row],[Product_ID]],tblProducts[Product_ID],tblProducts[Product_Name],"Not Found",0)</f>
        <v>Quas Gift</v>
      </c>
      <c r="O712" s="18" t="str">
        <f>_xlfn.XLOOKUP(tblMaster[[#This Row],[Product_ID]],tblProducts[Product_ID],tblProducts[Category],"Not Found",0)</f>
        <v>Soft Toys</v>
      </c>
      <c r="P712" s="18" t="str">
        <f>_xlfn.XLOOKUP(tblMaster[[#This Row],[Product_ID]],tblProducts[Product_ID],tblProducts[Occasion],"Not Found",0)</f>
        <v>Valentine's Day</v>
      </c>
      <c r="Q712" s="18">
        <f>_xlfn.XLOOKUP(tblMaster[[#This Row],[Product_ID]],tblProducts[Product_ID],tblProducts[Price (INR)],"Not Found",0)</f>
        <v>597</v>
      </c>
      <c r="R712" s="19">
        <f>tblMaster[[#This Row],[Price]]*tblMaster[[#This Row],[Quantity]]</f>
        <v>1791</v>
      </c>
      <c r="S712" s="19">
        <f>tblMaster[[#This Row],[Price]]*0.7*tblMaster[[#This Row],[Quantity]]</f>
        <v>1253.6999999999998</v>
      </c>
      <c r="T712" s="19">
        <f>tblMaster[[#This Row],[Revenue]]-tblMaster[[#This Row],[Estimated Cost (at 70%) ]]</f>
        <v>537.30000000000018</v>
      </c>
      <c r="U712" s="19">
        <f>tblMaster[[#This Row],[Profit]]/tblMaster[[#This Row],[Revenue]]</f>
        <v>0.3000000000000001</v>
      </c>
      <c r="V712" s="19">
        <f>tblMaster[[#This Row],[Delivery_Date]]-tblMaster[[#This Row],[Order_Date]]</f>
        <v>2</v>
      </c>
      <c r="W712" s="19" t="str">
        <f>TEXT(tblMaster[[#This Row],[Order_Date]],"mmmm")</f>
        <v>February</v>
      </c>
      <c r="X712" s="19">
        <f>MONTH(tblMaster[[#This Row],[Order_Date]])</f>
        <v>2</v>
      </c>
      <c r="Y712" s="19" t="str">
        <f>"Q"&amp;ROUNDUP(tblMaster[[#This Row],[Month Number]]/3,0)</f>
        <v>Q1</v>
      </c>
      <c r="Z712" s="19">
        <f>YEAR(tblMaster[[#This Row],[Order_Date]])</f>
        <v>2023</v>
      </c>
      <c r="AA712" s="19" t="str">
        <f>TEXT(DAY(tblMaster[[#This Row],[Order_Date]]),"dddd")</f>
        <v>Wednesday</v>
      </c>
      <c r="AB712" s="19" t="str">
        <f>IF(tblMaster[[#This Row],[Revenue]]&gt;=5000,"High",IF(tblMaster[[#This Row],[Revenue]]&lt;2000,"Low","Medium"))</f>
        <v>Low</v>
      </c>
    </row>
    <row r="713" spans="1:28" x14ac:dyDescent="0.25">
      <c r="A713" s="10">
        <v>712</v>
      </c>
      <c r="B713" s="10" t="s">
        <v>279</v>
      </c>
      <c r="C713" s="5">
        <v>65</v>
      </c>
      <c r="D713" s="5">
        <v>5</v>
      </c>
      <c r="E713" s="11">
        <v>45118</v>
      </c>
      <c r="F713" s="12">
        <v>0.54180555555555554</v>
      </c>
      <c r="G713" s="11">
        <v>45120</v>
      </c>
      <c r="H713" s="12">
        <v>0.27427083333333335</v>
      </c>
      <c r="I713" s="10" t="s">
        <v>506</v>
      </c>
      <c r="J713" s="10" t="s">
        <v>8</v>
      </c>
      <c r="K713" s="18" t="str">
        <f>_xlfn.XLOOKUP(tblMaster[[#This Row],[Customer_ID]],tblCustomers[Customer_ID],tblCustomers[City],"Not Found",0)</f>
        <v>Delhi</v>
      </c>
      <c r="L713" s="18" t="str">
        <f>_xlfn.XLOOKUP(tblMaster[[#This Row],[Customer_ID]],tblCustomers[Customer_ID],tblCustomers[Name],"Not Found",0)</f>
        <v>Zain Hegde</v>
      </c>
      <c r="M713" s="18" t="str">
        <f>_xlfn.XLOOKUP(tblMaster[[#This Row],[Customer_ID]],tblCustomers[Customer_ID],tblCustomers[Gender],"Not Found",0)</f>
        <v>Female</v>
      </c>
      <c r="N713" s="18" t="str">
        <f>_xlfn.XLOOKUP(tblMaster[[#This Row],[Product_ID]],tblProducts[Product_ID],tblProducts[Product_Name],"Not Found",0)</f>
        <v>Error Gift</v>
      </c>
      <c r="O713" s="18" t="str">
        <f>_xlfn.XLOOKUP(tblMaster[[#This Row],[Product_ID]],tblProducts[Product_ID],tblProducts[Category],"Not Found",0)</f>
        <v>Raksha Bandhan</v>
      </c>
      <c r="P713" s="18" t="str">
        <f>_xlfn.XLOOKUP(tblMaster[[#This Row],[Product_ID]],tblProducts[Product_ID],tblProducts[Occasion],"Not Found",0)</f>
        <v>All Occasions</v>
      </c>
      <c r="Q713" s="18">
        <f>_xlfn.XLOOKUP(tblMaster[[#This Row],[Product_ID]],tblProducts[Product_ID],tblProducts[Price (INR)],"Not Found",0)</f>
        <v>1895</v>
      </c>
      <c r="R713" s="19">
        <f>tblMaster[[#This Row],[Price]]*tblMaster[[#This Row],[Quantity]]</f>
        <v>9475</v>
      </c>
      <c r="S713" s="19">
        <f>tblMaster[[#This Row],[Price]]*0.7*tblMaster[[#This Row],[Quantity]]</f>
        <v>6632.5</v>
      </c>
      <c r="T713" s="19">
        <f>tblMaster[[#This Row],[Revenue]]-tblMaster[[#This Row],[Estimated Cost (at 70%) ]]</f>
        <v>2842.5</v>
      </c>
      <c r="U713" s="19">
        <f>tblMaster[[#This Row],[Profit]]/tblMaster[[#This Row],[Revenue]]</f>
        <v>0.3</v>
      </c>
      <c r="V713" s="19">
        <f>tblMaster[[#This Row],[Delivery_Date]]-tblMaster[[#This Row],[Order_Date]]</f>
        <v>2</v>
      </c>
      <c r="W713" s="19" t="str">
        <f>TEXT(tblMaster[[#This Row],[Order_Date]],"mmmm")</f>
        <v>July</v>
      </c>
      <c r="X713" s="19">
        <f>MONTH(tblMaster[[#This Row],[Order_Date]])</f>
        <v>7</v>
      </c>
      <c r="Y713" s="19" t="str">
        <f>"Q"&amp;ROUNDUP(tblMaster[[#This Row],[Month Number]]/3,0)</f>
        <v>Q3</v>
      </c>
      <c r="Z713" s="19">
        <f>YEAR(tblMaster[[#This Row],[Order_Date]])</f>
        <v>2023</v>
      </c>
      <c r="AA713" s="19" t="str">
        <f>TEXT(DAY(tblMaster[[#This Row],[Order_Date]]),"dddd")</f>
        <v>Wednesday</v>
      </c>
      <c r="AB713" s="19" t="str">
        <f>IF(tblMaster[[#This Row],[Revenue]]&gt;=5000,"High",IF(tblMaster[[#This Row],[Revenue]]&lt;2000,"Low","Medium"))</f>
        <v>High</v>
      </c>
    </row>
    <row r="714" spans="1:28" x14ac:dyDescent="0.25">
      <c r="A714" s="7">
        <v>713</v>
      </c>
      <c r="B714" s="7" t="s">
        <v>313</v>
      </c>
      <c r="C714" s="4">
        <v>37</v>
      </c>
      <c r="D714" s="4">
        <v>3</v>
      </c>
      <c r="E714" s="8">
        <v>45238</v>
      </c>
      <c r="F714" s="9">
        <v>0.97525462962962961</v>
      </c>
      <c r="G714" s="8">
        <v>45245</v>
      </c>
      <c r="H714" s="9">
        <v>0.95232638888888888</v>
      </c>
      <c r="I714" s="7" t="s">
        <v>346</v>
      </c>
      <c r="J714" s="7" t="s">
        <v>19</v>
      </c>
      <c r="K714" s="18" t="str">
        <f>_xlfn.XLOOKUP(tblMaster[[#This Row],[Customer_ID]],tblCustomers[Customer_ID],tblCustomers[City],"Not Found",0)</f>
        <v>Ratlam</v>
      </c>
      <c r="L714" s="18" t="str">
        <f>_xlfn.XLOOKUP(tblMaster[[#This Row],[Customer_ID]],tblCustomers[Customer_ID],tblCustomers[Name],"Not Found",0)</f>
        <v>Kaira Ramachandran</v>
      </c>
      <c r="M714" s="18" t="str">
        <f>_xlfn.XLOOKUP(tblMaster[[#This Row],[Customer_ID]],tblCustomers[Customer_ID],tblCustomers[Gender],"Not Found",0)</f>
        <v>Male</v>
      </c>
      <c r="N714" s="18" t="str">
        <f>_xlfn.XLOOKUP(tblMaster[[#This Row],[Product_ID]],tblProducts[Product_ID],tblProducts[Product_Name],"Not Found",0)</f>
        <v>Officiis Pack</v>
      </c>
      <c r="O714" s="18" t="str">
        <f>_xlfn.XLOOKUP(tblMaster[[#This Row],[Product_ID]],tblProducts[Product_ID],tblProducts[Category],"Not Found",0)</f>
        <v>Colors</v>
      </c>
      <c r="P714" s="18" t="str">
        <f>_xlfn.XLOOKUP(tblMaster[[#This Row],[Product_ID]],tblProducts[Product_ID],tblProducts[Occasion],"Not Found",0)</f>
        <v>Diwali</v>
      </c>
      <c r="Q714" s="18">
        <f>_xlfn.XLOOKUP(tblMaster[[#This Row],[Product_ID]],tblProducts[Product_ID],tblProducts[Price (INR)],"Not Found",0)</f>
        <v>1428</v>
      </c>
      <c r="R714" s="19">
        <f>tblMaster[[#This Row],[Price]]*tblMaster[[#This Row],[Quantity]]</f>
        <v>4284</v>
      </c>
      <c r="S714" s="19">
        <f>tblMaster[[#This Row],[Price]]*0.7*tblMaster[[#This Row],[Quantity]]</f>
        <v>2998.7999999999997</v>
      </c>
      <c r="T714" s="19">
        <f>tblMaster[[#This Row],[Revenue]]-tblMaster[[#This Row],[Estimated Cost (at 70%) ]]</f>
        <v>1285.2000000000003</v>
      </c>
      <c r="U714" s="19">
        <f>tblMaster[[#This Row],[Profit]]/tblMaster[[#This Row],[Revenue]]</f>
        <v>0.30000000000000004</v>
      </c>
      <c r="V714" s="19">
        <f>tblMaster[[#This Row],[Delivery_Date]]-tblMaster[[#This Row],[Order_Date]]</f>
        <v>7</v>
      </c>
      <c r="W714" s="19" t="str">
        <f>TEXT(tblMaster[[#This Row],[Order_Date]],"mmmm")</f>
        <v>November</v>
      </c>
      <c r="X714" s="19">
        <f>MONTH(tblMaster[[#This Row],[Order_Date]])</f>
        <v>11</v>
      </c>
      <c r="Y714" s="19" t="str">
        <f>"Q"&amp;ROUNDUP(tblMaster[[#This Row],[Month Number]]/3,0)</f>
        <v>Q4</v>
      </c>
      <c r="Z714" s="19">
        <f>YEAR(tblMaster[[#This Row],[Order_Date]])</f>
        <v>2023</v>
      </c>
      <c r="AA714" s="19" t="str">
        <f>TEXT(DAY(tblMaster[[#This Row],[Order_Date]]),"dddd")</f>
        <v>Sunday</v>
      </c>
      <c r="AB714" s="19" t="str">
        <f>IF(tblMaster[[#This Row],[Revenue]]&gt;=5000,"High",IF(tblMaster[[#This Row],[Revenue]]&lt;2000,"Low","Medium"))</f>
        <v>Medium</v>
      </c>
    </row>
    <row r="715" spans="1:28" x14ac:dyDescent="0.25">
      <c r="A715" s="10">
        <v>714</v>
      </c>
      <c r="B715" s="10" t="s">
        <v>291</v>
      </c>
      <c r="C715" s="5">
        <v>63</v>
      </c>
      <c r="D715" s="5">
        <v>2</v>
      </c>
      <c r="E715" s="11">
        <v>45078</v>
      </c>
      <c r="F715" s="12">
        <v>0.8112152777777778</v>
      </c>
      <c r="G715" s="11">
        <v>45080</v>
      </c>
      <c r="H715" s="12">
        <v>0.32917824074074076</v>
      </c>
      <c r="I715" s="10" t="s">
        <v>550</v>
      </c>
      <c r="J715" s="10" t="s">
        <v>8</v>
      </c>
      <c r="K715" s="18" t="str">
        <f>_xlfn.XLOOKUP(tblMaster[[#This Row],[Customer_ID]],tblCustomers[Customer_ID],tblCustomers[City],"Not Found",0)</f>
        <v>Bharatpur</v>
      </c>
      <c r="L715" s="18" t="str">
        <f>_xlfn.XLOOKUP(tblMaster[[#This Row],[Customer_ID]],tblCustomers[Customer_ID],tblCustomers[Name],"Not Found",0)</f>
        <v>Kismat Kapadia</v>
      </c>
      <c r="M715" s="18" t="str">
        <f>_xlfn.XLOOKUP(tblMaster[[#This Row],[Customer_ID]],tblCustomers[Customer_ID],tblCustomers[Gender],"Not Found",0)</f>
        <v>Female</v>
      </c>
      <c r="N715" s="18" t="str">
        <f>_xlfn.XLOOKUP(tblMaster[[#This Row],[Product_ID]],tblProducts[Product_ID],tblProducts[Product_Name],"Not Found",0)</f>
        <v>Adipisci Set</v>
      </c>
      <c r="O715" s="18" t="str">
        <f>_xlfn.XLOOKUP(tblMaster[[#This Row],[Product_ID]],tblProducts[Product_ID],tblProducts[Category],"Not Found",0)</f>
        <v>Sweets</v>
      </c>
      <c r="P715" s="18" t="str">
        <f>_xlfn.XLOOKUP(tblMaster[[#This Row],[Product_ID]],tblProducts[Product_ID],tblProducts[Occasion],"Not Found",0)</f>
        <v>All Occasions</v>
      </c>
      <c r="Q715" s="18">
        <f>_xlfn.XLOOKUP(tblMaster[[#This Row],[Product_ID]],tblProducts[Product_ID],tblProducts[Price (INR)],"Not Found",0)</f>
        <v>1348</v>
      </c>
      <c r="R715" s="19">
        <f>tblMaster[[#This Row],[Price]]*tblMaster[[#This Row],[Quantity]]</f>
        <v>2696</v>
      </c>
      <c r="S715" s="19">
        <f>tblMaster[[#This Row],[Price]]*0.7*tblMaster[[#This Row],[Quantity]]</f>
        <v>1887.1999999999998</v>
      </c>
      <c r="T715" s="19">
        <f>tblMaster[[#This Row],[Revenue]]-tblMaster[[#This Row],[Estimated Cost (at 70%) ]]</f>
        <v>808.80000000000018</v>
      </c>
      <c r="U715" s="19">
        <f>tblMaster[[#This Row],[Profit]]/tblMaster[[#This Row],[Revenue]]</f>
        <v>0.30000000000000004</v>
      </c>
      <c r="V715" s="19">
        <f>tblMaster[[#This Row],[Delivery_Date]]-tblMaster[[#This Row],[Order_Date]]</f>
        <v>2</v>
      </c>
      <c r="W715" s="19" t="str">
        <f>TEXT(tblMaster[[#This Row],[Order_Date]],"mmmm")</f>
        <v>June</v>
      </c>
      <c r="X715" s="19">
        <f>MONTH(tblMaster[[#This Row],[Order_Date]])</f>
        <v>6</v>
      </c>
      <c r="Y715" s="19" t="str">
        <f>"Q"&amp;ROUNDUP(tblMaster[[#This Row],[Month Number]]/3,0)</f>
        <v>Q2</v>
      </c>
      <c r="Z715" s="19">
        <f>YEAR(tblMaster[[#This Row],[Order_Date]])</f>
        <v>2023</v>
      </c>
      <c r="AA715" s="19" t="str">
        <f>TEXT(DAY(tblMaster[[#This Row],[Order_Date]]),"dddd")</f>
        <v>Sunday</v>
      </c>
      <c r="AB715" s="19" t="str">
        <f>IF(tblMaster[[#This Row],[Revenue]]&gt;=5000,"High",IF(tblMaster[[#This Row],[Revenue]]&lt;2000,"Low","Medium"))</f>
        <v>Medium</v>
      </c>
    </row>
    <row r="716" spans="1:28" x14ac:dyDescent="0.25">
      <c r="A716" s="7">
        <v>715</v>
      </c>
      <c r="B716" s="7" t="s">
        <v>191</v>
      </c>
      <c r="C716" s="4">
        <v>38</v>
      </c>
      <c r="D716" s="4">
        <v>4</v>
      </c>
      <c r="E716" s="8">
        <v>45030</v>
      </c>
      <c r="F716" s="9">
        <v>0.21994212962962964</v>
      </c>
      <c r="G716" s="8">
        <v>45037</v>
      </c>
      <c r="H716" s="9">
        <v>0.69410879629629629</v>
      </c>
      <c r="I716" s="7" t="s">
        <v>205</v>
      </c>
      <c r="J716" s="7" t="s">
        <v>36</v>
      </c>
      <c r="K716" s="18" t="str">
        <f>_xlfn.XLOOKUP(tblMaster[[#This Row],[Customer_ID]],tblCustomers[Customer_ID],tblCustomers[City],"Not Found",0)</f>
        <v>Madhyamgram</v>
      </c>
      <c r="L716" s="18" t="str">
        <f>_xlfn.XLOOKUP(tblMaster[[#This Row],[Customer_ID]],tblCustomers[Customer_ID],tblCustomers[Name],"Not Found",0)</f>
        <v>Hunar Tripathi</v>
      </c>
      <c r="M716" s="18" t="str">
        <f>_xlfn.XLOOKUP(tblMaster[[#This Row],[Customer_ID]],tblCustomers[Customer_ID],tblCustomers[Gender],"Not Found",0)</f>
        <v>Female</v>
      </c>
      <c r="N716" s="18" t="str">
        <f>_xlfn.XLOOKUP(tblMaster[[#This Row],[Product_ID]],tblProducts[Product_ID],tblProducts[Product_Name],"Not Found",0)</f>
        <v>Mollitia Set</v>
      </c>
      <c r="O716" s="18" t="str">
        <f>_xlfn.XLOOKUP(tblMaster[[#This Row],[Product_ID]],tblProducts[Product_ID],tblProducts[Category],"Not Found",0)</f>
        <v>Cake</v>
      </c>
      <c r="P716" s="18" t="str">
        <f>_xlfn.XLOOKUP(tblMaster[[#This Row],[Product_ID]],tblProducts[Product_ID],tblProducts[Occasion],"Not Found",0)</f>
        <v>Birthday</v>
      </c>
      <c r="Q716" s="18">
        <f>_xlfn.XLOOKUP(tblMaster[[#This Row],[Product_ID]],tblProducts[Product_ID],tblProducts[Price (INR)],"Not Found",0)</f>
        <v>562</v>
      </c>
      <c r="R716" s="19">
        <f>tblMaster[[#This Row],[Price]]*tblMaster[[#This Row],[Quantity]]</f>
        <v>2248</v>
      </c>
      <c r="S716" s="19">
        <f>tblMaster[[#This Row],[Price]]*0.7*tblMaster[[#This Row],[Quantity]]</f>
        <v>1573.6</v>
      </c>
      <c r="T716" s="19">
        <f>tblMaster[[#This Row],[Revenue]]-tblMaster[[#This Row],[Estimated Cost (at 70%) ]]</f>
        <v>674.40000000000009</v>
      </c>
      <c r="U716" s="19">
        <f>tblMaster[[#This Row],[Profit]]/tblMaster[[#This Row],[Revenue]]</f>
        <v>0.30000000000000004</v>
      </c>
      <c r="V716" s="19">
        <f>tblMaster[[#This Row],[Delivery_Date]]-tblMaster[[#This Row],[Order_Date]]</f>
        <v>7</v>
      </c>
      <c r="W716" s="19" t="str">
        <f>TEXT(tblMaster[[#This Row],[Order_Date]],"mmmm")</f>
        <v>April</v>
      </c>
      <c r="X716" s="19">
        <f>MONTH(tblMaster[[#This Row],[Order_Date]])</f>
        <v>4</v>
      </c>
      <c r="Y716" s="19" t="str">
        <f>"Q"&amp;ROUNDUP(tblMaster[[#This Row],[Month Number]]/3,0)</f>
        <v>Q2</v>
      </c>
      <c r="Z716" s="19">
        <f>YEAR(tblMaster[[#This Row],[Order_Date]])</f>
        <v>2023</v>
      </c>
      <c r="AA716" s="19" t="str">
        <f>TEXT(DAY(tblMaster[[#This Row],[Order_Date]]),"dddd")</f>
        <v>Saturday</v>
      </c>
      <c r="AB716" s="19" t="str">
        <f>IF(tblMaster[[#This Row],[Revenue]]&gt;=5000,"High",IF(tblMaster[[#This Row],[Revenue]]&lt;2000,"Low","Medium"))</f>
        <v>Medium</v>
      </c>
    </row>
    <row r="717" spans="1:28" x14ac:dyDescent="0.25">
      <c r="A717" s="10">
        <v>716</v>
      </c>
      <c r="B717" s="10" t="s">
        <v>417</v>
      </c>
      <c r="C717" s="5">
        <v>40</v>
      </c>
      <c r="D717" s="5">
        <v>3</v>
      </c>
      <c r="E717" s="11">
        <v>45157</v>
      </c>
      <c r="F717" s="12">
        <v>0.97097222222222224</v>
      </c>
      <c r="G717" s="11">
        <v>45164</v>
      </c>
      <c r="H717" s="12">
        <v>6.94212962962963E-2</v>
      </c>
      <c r="I717" s="10" t="s">
        <v>320</v>
      </c>
      <c r="J717" s="10" t="s">
        <v>30</v>
      </c>
      <c r="K717" s="18" t="str">
        <f>_xlfn.XLOOKUP(tblMaster[[#This Row],[Customer_ID]],tblCustomers[Customer_ID],tblCustomers[City],"Not Found",0)</f>
        <v>Gaya</v>
      </c>
      <c r="L717" s="18" t="str">
        <f>_xlfn.XLOOKUP(tblMaster[[#This Row],[Customer_ID]],tblCustomers[Customer_ID],tblCustomers[Name],"Not Found",0)</f>
        <v>Oorja Dayal</v>
      </c>
      <c r="M717" s="18" t="str">
        <f>_xlfn.XLOOKUP(tblMaster[[#This Row],[Customer_ID]],tblCustomers[Customer_ID],tblCustomers[Gender],"Not Found",0)</f>
        <v>Female</v>
      </c>
      <c r="N717" s="18" t="str">
        <f>_xlfn.XLOOKUP(tblMaster[[#This Row],[Product_ID]],tblProducts[Product_ID],tblProducts[Product_Name],"Not Found",0)</f>
        <v>Provident Pack</v>
      </c>
      <c r="O717" s="18" t="str">
        <f>_xlfn.XLOOKUP(tblMaster[[#This Row],[Product_ID]],tblProducts[Product_ID],tblProducts[Category],"Not Found",0)</f>
        <v>Sweets</v>
      </c>
      <c r="P717" s="18" t="str">
        <f>_xlfn.XLOOKUP(tblMaster[[#This Row],[Product_ID]],tblProducts[Product_ID],tblProducts[Occasion],"Not Found",0)</f>
        <v>Anniversary</v>
      </c>
      <c r="Q717" s="18">
        <f>_xlfn.XLOOKUP(tblMaster[[#This Row],[Product_ID]],tblProducts[Product_ID],tblProducts[Price (INR)],"Not Found",0)</f>
        <v>1923</v>
      </c>
      <c r="R717" s="19">
        <f>tblMaster[[#This Row],[Price]]*tblMaster[[#This Row],[Quantity]]</f>
        <v>5769</v>
      </c>
      <c r="S717" s="19">
        <f>tblMaster[[#This Row],[Price]]*0.7*tblMaster[[#This Row],[Quantity]]</f>
        <v>4038.2999999999997</v>
      </c>
      <c r="T717" s="19">
        <f>tblMaster[[#This Row],[Revenue]]-tblMaster[[#This Row],[Estimated Cost (at 70%) ]]</f>
        <v>1730.7000000000003</v>
      </c>
      <c r="U717" s="19">
        <f>tblMaster[[#This Row],[Profit]]/tblMaster[[#This Row],[Revenue]]</f>
        <v>0.30000000000000004</v>
      </c>
      <c r="V717" s="19">
        <f>tblMaster[[#This Row],[Delivery_Date]]-tblMaster[[#This Row],[Order_Date]]</f>
        <v>7</v>
      </c>
      <c r="W717" s="19" t="str">
        <f>TEXT(tblMaster[[#This Row],[Order_Date]],"mmmm")</f>
        <v>August</v>
      </c>
      <c r="X717" s="19">
        <f>MONTH(tblMaster[[#This Row],[Order_Date]])</f>
        <v>8</v>
      </c>
      <c r="Y717" s="19" t="str">
        <f>"Q"&amp;ROUNDUP(tblMaster[[#This Row],[Month Number]]/3,0)</f>
        <v>Q3</v>
      </c>
      <c r="Z717" s="19">
        <f>YEAR(tblMaster[[#This Row],[Order_Date]])</f>
        <v>2023</v>
      </c>
      <c r="AA717" s="19" t="str">
        <f>TEXT(DAY(tblMaster[[#This Row],[Order_Date]]),"dddd")</f>
        <v>Thursday</v>
      </c>
      <c r="AB717" s="19" t="str">
        <f>IF(tblMaster[[#This Row],[Revenue]]&gt;=5000,"High",IF(tblMaster[[#This Row],[Revenue]]&lt;2000,"Low","Medium"))</f>
        <v>High</v>
      </c>
    </row>
    <row r="718" spans="1:28" x14ac:dyDescent="0.25">
      <c r="A718" s="7">
        <v>717</v>
      </c>
      <c r="B718" s="7" t="s">
        <v>242</v>
      </c>
      <c r="C718" s="4">
        <v>67</v>
      </c>
      <c r="D718" s="4">
        <v>5</v>
      </c>
      <c r="E718" s="8">
        <v>45102</v>
      </c>
      <c r="F718" s="9">
        <v>0.26287037037037037</v>
      </c>
      <c r="G718" s="8">
        <v>45103</v>
      </c>
      <c r="H718" s="9">
        <v>0.97277777777777774</v>
      </c>
      <c r="I718" s="7" t="s">
        <v>551</v>
      </c>
      <c r="J718" s="7" t="s">
        <v>30</v>
      </c>
      <c r="K718" s="18" t="str">
        <f>_xlfn.XLOOKUP(tblMaster[[#This Row],[Customer_ID]],tblCustomers[Customer_ID],tblCustomers[City],"Not Found",0)</f>
        <v>Kalyan-Dombivli</v>
      </c>
      <c r="L718" s="18" t="str">
        <f>_xlfn.XLOOKUP(tblMaster[[#This Row],[Customer_ID]],tblCustomers[Customer_ID],tblCustomers[Name],"Not Found",0)</f>
        <v>Nirvi Wagle</v>
      </c>
      <c r="M718" s="18" t="str">
        <f>_xlfn.XLOOKUP(tblMaster[[#This Row],[Customer_ID]],tblCustomers[Customer_ID],tblCustomers[Gender],"Not Found",0)</f>
        <v>Male</v>
      </c>
      <c r="N718" s="18" t="str">
        <f>_xlfn.XLOOKUP(tblMaster[[#This Row],[Product_ID]],tblProducts[Product_ID],tblProducts[Product_Name],"Not Found",0)</f>
        <v>Maiores Box</v>
      </c>
      <c r="O718" s="18" t="str">
        <f>_xlfn.XLOOKUP(tblMaster[[#This Row],[Product_ID]],tblProducts[Product_ID],tblProducts[Category],"Not Found",0)</f>
        <v>Raksha Bandhan</v>
      </c>
      <c r="P718" s="18" t="str">
        <f>_xlfn.XLOOKUP(tblMaster[[#This Row],[Product_ID]],tblProducts[Product_ID],tblProducts[Occasion],"Not Found",0)</f>
        <v>Anniversary</v>
      </c>
      <c r="Q718" s="18">
        <f>_xlfn.XLOOKUP(tblMaster[[#This Row],[Product_ID]],tblProducts[Product_ID],tblProducts[Price (INR)],"Not Found",0)</f>
        <v>1374</v>
      </c>
      <c r="R718" s="19">
        <f>tblMaster[[#This Row],[Price]]*tblMaster[[#This Row],[Quantity]]</f>
        <v>6870</v>
      </c>
      <c r="S718" s="19">
        <f>tblMaster[[#This Row],[Price]]*0.7*tblMaster[[#This Row],[Quantity]]</f>
        <v>4809</v>
      </c>
      <c r="T718" s="19">
        <f>tblMaster[[#This Row],[Revenue]]-tblMaster[[#This Row],[Estimated Cost (at 70%) ]]</f>
        <v>2061</v>
      </c>
      <c r="U718" s="19">
        <f>tblMaster[[#This Row],[Profit]]/tblMaster[[#This Row],[Revenue]]</f>
        <v>0.3</v>
      </c>
      <c r="V718" s="19">
        <f>tblMaster[[#This Row],[Delivery_Date]]-tblMaster[[#This Row],[Order_Date]]</f>
        <v>1</v>
      </c>
      <c r="W718" s="19" t="str">
        <f>TEXT(tblMaster[[#This Row],[Order_Date]],"mmmm")</f>
        <v>June</v>
      </c>
      <c r="X718" s="19">
        <f>MONTH(tblMaster[[#This Row],[Order_Date]])</f>
        <v>6</v>
      </c>
      <c r="Y718" s="19" t="str">
        <f>"Q"&amp;ROUNDUP(tblMaster[[#This Row],[Month Number]]/3,0)</f>
        <v>Q2</v>
      </c>
      <c r="Z718" s="19">
        <f>YEAR(tblMaster[[#This Row],[Order_Date]])</f>
        <v>2023</v>
      </c>
      <c r="AA718" s="19" t="str">
        <f>TEXT(DAY(tblMaster[[#This Row],[Order_Date]]),"dddd")</f>
        <v>Wednesday</v>
      </c>
      <c r="AB718" s="19" t="str">
        <f>IF(tblMaster[[#This Row],[Revenue]]&gt;=5000,"High",IF(tblMaster[[#This Row],[Revenue]]&lt;2000,"Low","Medium"))</f>
        <v>High</v>
      </c>
    </row>
    <row r="719" spans="1:28" x14ac:dyDescent="0.25">
      <c r="A719" s="10">
        <v>718</v>
      </c>
      <c r="B719" s="10" t="s">
        <v>283</v>
      </c>
      <c r="C719" s="5">
        <v>49</v>
      </c>
      <c r="D719" s="5">
        <v>1</v>
      </c>
      <c r="E719" s="11">
        <v>44966</v>
      </c>
      <c r="F719" s="12">
        <v>0.2177662037037037</v>
      </c>
      <c r="G719" s="11">
        <v>44970</v>
      </c>
      <c r="H719" s="12">
        <v>0.26533564814814814</v>
      </c>
      <c r="I719" s="10" t="s">
        <v>552</v>
      </c>
      <c r="J719" s="10" t="s">
        <v>12</v>
      </c>
      <c r="K719" s="18" t="str">
        <f>_xlfn.XLOOKUP(tblMaster[[#This Row],[Customer_ID]],tblCustomers[Customer_ID],tblCustomers[City],"Not Found",0)</f>
        <v>Noida</v>
      </c>
      <c r="L719" s="18" t="str">
        <f>_xlfn.XLOOKUP(tblMaster[[#This Row],[Customer_ID]],tblCustomers[Customer_ID],tblCustomers[Name],"Not Found",0)</f>
        <v>Hridaan Rajagopalan</v>
      </c>
      <c r="M719" s="18" t="str">
        <f>_xlfn.XLOOKUP(tblMaster[[#This Row],[Customer_ID]],tblCustomers[Customer_ID],tblCustomers[Gender],"Not Found",0)</f>
        <v>Female</v>
      </c>
      <c r="N719" s="18" t="str">
        <f>_xlfn.XLOOKUP(tblMaster[[#This Row],[Product_ID]],tblProducts[Product_ID],tblProducts[Product_Name],"Not Found",0)</f>
        <v>Voluptate Pack</v>
      </c>
      <c r="O719" s="18" t="str">
        <f>_xlfn.XLOOKUP(tblMaster[[#This Row],[Product_ID]],tblProducts[Product_ID],tblProducts[Category],"Not Found",0)</f>
        <v>Colors</v>
      </c>
      <c r="P719" s="18" t="str">
        <f>_xlfn.XLOOKUP(tblMaster[[#This Row],[Product_ID]],tblProducts[Product_ID],tblProducts[Occasion],"Not Found",0)</f>
        <v>Valentine's Day</v>
      </c>
      <c r="Q719" s="18">
        <f>_xlfn.XLOOKUP(tblMaster[[#This Row],[Product_ID]],tblProducts[Product_ID],tblProducts[Price (INR)],"Not Found",0)</f>
        <v>903</v>
      </c>
      <c r="R719" s="19">
        <f>tblMaster[[#This Row],[Price]]*tblMaster[[#This Row],[Quantity]]</f>
        <v>903</v>
      </c>
      <c r="S719" s="19">
        <f>tblMaster[[#This Row],[Price]]*0.7*tblMaster[[#This Row],[Quantity]]</f>
        <v>632.09999999999991</v>
      </c>
      <c r="T719" s="19">
        <f>tblMaster[[#This Row],[Revenue]]-tblMaster[[#This Row],[Estimated Cost (at 70%) ]]</f>
        <v>270.90000000000009</v>
      </c>
      <c r="U719" s="19">
        <f>tblMaster[[#This Row],[Profit]]/tblMaster[[#This Row],[Revenue]]</f>
        <v>0.3000000000000001</v>
      </c>
      <c r="V719" s="19">
        <f>tblMaster[[#This Row],[Delivery_Date]]-tblMaster[[#This Row],[Order_Date]]</f>
        <v>4</v>
      </c>
      <c r="W719" s="19" t="str">
        <f>TEXT(tblMaster[[#This Row],[Order_Date]],"mmmm")</f>
        <v>February</v>
      </c>
      <c r="X719" s="19">
        <f>MONTH(tblMaster[[#This Row],[Order_Date]])</f>
        <v>2</v>
      </c>
      <c r="Y719" s="19" t="str">
        <f>"Q"&amp;ROUNDUP(tblMaster[[#This Row],[Month Number]]/3,0)</f>
        <v>Q1</v>
      </c>
      <c r="Z719" s="19">
        <f>YEAR(tblMaster[[#This Row],[Order_Date]])</f>
        <v>2023</v>
      </c>
      <c r="AA719" s="19" t="str">
        <f>TEXT(DAY(tblMaster[[#This Row],[Order_Date]]),"dddd")</f>
        <v>Monday</v>
      </c>
      <c r="AB719" s="19" t="str">
        <f>IF(tblMaster[[#This Row],[Revenue]]&gt;=5000,"High",IF(tblMaster[[#This Row],[Revenue]]&lt;2000,"Low","Medium"))</f>
        <v>Low</v>
      </c>
    </row>
    <row r="720" spans="1:28" x14ac:dyDescent="0.25">
      <c r="A720" s="7">
        <v>719</v>
      </c>
      <c r="B720" s="7" t="s">
        <v>361</v>
      </c>
      <c r="C720" s="4">
        <v>57</v>
      </c>
      <c r="D720" s="4">
        <v>3</v>
      </c>
      <c r="E720" s="8">
        <v>45119</v>
      </c>
      <c r="F720" s="9">
        <v>0.3228125</v>
      </c>
      <c r="G720" s="8">
        <v>45126</v>
      </c>
      <c r="H720" s="9">
        <v>7.7361111111111117E-2</v>
      </c>
      <c r="I720" s="7" t="s">
        <v>397</v>
      </c>
      <c r="J720" s="7" t="s">
        <v>36</v>
      </c>
      <c r="K720" s="18" t="str">
        <f>_xlfn.XLOOKUP(tblMaster[[#This Row],[Customer_ID]],tblCustomers[Customer_ID],tblCustomers[City],"Not Found",0)</f>
        <v>Dibrugarh</v>
      </c>
      <c r="L720" s="18" t="str">
        <f>_xlfn.XLOOKUP(tblMaster[[#This Row],[Customer_ID]],tblCustomers[Customer_ID],tblCustomers[Name],"Not Found",0)</f>
        <v>Zoya Mani</v>
      </c>
      <c r="M720" s="18" t="str">
        <f>_xlfn.XLOOKUP(tblMaster[[#This Row],[Customer_ID]],tblCustomers[Customer_ID],tblCustomers[Gender],"Not Found",0)</f>
        <v>Male</v>
      </c>
      <c r="N720" s="18" t="str">
        <f>_xlfn.XLOOKUP(tblMaster[[#This Row],[Product_ID]],tblProducts[Product_ID],tblProducts[Product_Name],"Not Found",0)</f>
        <v>Voluptatem Box</v>
      </c>
      <c r="O720" s="18" t="str">
        <f>_xlfn.XLOOKUP(tblMaster[[#This Row],[Product_ID]],tblProducts[Product_ID],tblProducts[Category],"Not Found",0)</f>
        <v>Colors</v>
      </c>
      <c r="P720" s="18" t="str">
        <f>_xlfn.XLOOKUP(tblMaster[[#This Row],[Product_ID]],tblProducts[Product_ID],tblProducts[Occasion],"Not Found",0)</f>
        <v>Birthday</v>
      </c>
      <c r="Q720" s="18">
        <f>_xlfn.XLOOKUP(tblMaster[[#This Row],[Product_ID]],tblProducts[Product_ID],tblProducts[Price (INR)],"Not Found",0)</f>
        <v>1582</v>
      </c>
      <c r="R720" s="19">
        <f>tblMaster[[#This Row],[Price]]*tblMaster[[#This Row],[Quantity]]</f>
        <v>4746</v>
      </c>
      <c r="S720" s="19">
        <f>tblMaster[[#This Row],[Price]]*0.7*tblMaster[[#This Row],[Quantity]]</f>
        <v>3322.2</v>
      </c>
      <c r="T720" s="19">
        <f>tblMaster[[#This Row],[Revenue]]-tblMaster[[#This Row],[Estimated Cost (at 70%) ]]</f>
        <v>1423.8000000000002</v>
      </c>
      <c r="U720" s="19">
        <f>tblMaster[[#This Row],[Profit]]/tblMaster[[#This Row],[Revenue]]</f>
        <v>0.30000000000000004</v>
      </c>
      <c r="V720" s="19">
        <f>tblMaster[[#This Row],[Delivery_Date]]-tblMaster[[#This Row],[Order_Date]]</f>
        <v>7</v>
      </c>
      <c r="W720" s="19" t="str">
        <f>TEXT(tblMaster[[#This Row],[Order_Date]],"mmmm")</f>
        <v>July</v>
      </c>
      <c r="X720" s="19">
        <f>MONTH(tblMaster[[#This Row],[Order_Date]])</f>
        <v>7</v>
      </c>
      <c r="Y720" s="19" t="str">
        <f>"Q"&amp;ROUNDUP(tblMaster[[#This Row],[Month Number]]/3,0)</f>
        <v>Q3</v>
      </c>
      <c r="Z720" s="19">
        <f>YEAR(tblMaster[[#This Row],[Order_Date]])</f>
        <v>2023</v>
      </c>
      <c r="AA720" s="19" t="str">
        <f>TEXT(DAY(tblMaster[[#This Row],[Order_Date]]),"dddd")</f>
        <v>Thursday</v>
      </c>
      <c r="AB720" s="19" t="str">
        <f>IF(tblMaster[[#This Row],[Revenue]]&gt;=5000,"High",IF(tblMaster[[#This Row],[Revenue]]&lt;2000,"Low","Medium"))</f>
        <v>Medium</v>
      </c>
    </row>
    <row r="721" spans="1:28" x14ac:dyDescent="0.25">
      <c r="A721" s="10">
        <v>720</v>
      </c>
      <c r="B721" s="10" t="s">
        <v>254</v>
      </c>
      <c r="C721" s="5">
        <v>22</v>
      </c>
      <c r="D721" s="5">
        <v>5</v>
      </c>
      <c r="E721" s="11">
        <v>45275</v>
      </c>
      <c r="F721" s="12">
        <v>0.61297453703703708</v>
      </c>
      <c r="G721" s="11">
        <v>45280</v>
      </c>
      <c r="H721" s="12">
        <v>0.25495370370370368</v>
      </c>
      <c r="I721" s="10" t="s">
        <v>231</v>
      </c>
      <c r="J721" s="10" t="s">
        <v>8</v>
      </c>
      <c r="K721" s="18" t="str">
        <f>_xlfn.XLOOKUP(tblMaster[[#This Row],[Customer_ID]],tblCustomers[Customer_ID],tblCustomers[City],"Not Found",0)</f>
        <v>Maheshtala</v>
      </c>
      <c r="L721" s="18" t="str">
        <f>_xlfn.XLOOKUP(tblMaster[[#This Row],[Customer_ID]],tblCustomers[Customer_ID],tblCustomers[Name],"Not Found",0)</f>
        <v>Divit Mahajan</v>
      </c>
      <c r="M721" s="18" t="str">
        <f>_xlfn.XLOOKUP(tblMaster[[#This Row],[Customer_ID]],tblCustomers[Customer_ID],tblCustomers[Gender],"Not Found",0)</f>
        <v>Female</v>
      </c>
      <c r="N721" s="18" t="str">
        <f>_xlfn.XLOOKUP(tblMaster[[#This Row],[Product_ID]],tblProducts[Product_ID],tblProducts[Product_Name],"Not Found",0)</f>
        <v>Exercitationem Pack</v>
      </c>
      <c r="O721" s="18" t="str">
        <f>_xlfn.XLOOKUP(tblMaster[[#This Row],[Product_ID]],tblProducts[Product_ID],tblProducts[Category],"Not Found",0)</f>
        <v>Soft Toys</v>
      </c>
      <c r="P721" s="18" t="str">
        <f>_xlfn.XLOOKUP(tblMaster[[#This Row],[Product_ID]],tblProducts[Product_ID],tblProducts[Occasion],"Not Found",0)</f>
        <v>All Occasions</v>
      </c>
      <c r="Q721" s="18">
        <f>_xlfn.XLOOKUP(tblMaster[[#This Row],[Product_ID]],tblProducts[Product_ID],tblProducts[Price (INR)],"Not Found",0)</f>
        <v>1639</v>
      </c>
      <c r="R721" s="19">
        <f>tblMaster[[#This Row],[Price]]*tblMaster[[#This Row],[Quantity]]</f>
        <v>8195</v>
      </c>
      <c r="S721" s="19">
        <f>tblMaster[[#This Row],[Price]]*0.7*tblMaster[[#This Row],[Quantity]]</f>
        <v>5736.5</v>
      </c>
      <c r="T721" s="19">
        <f>tblMaster[[#This Row],[Revenue]]-tblMaster[[#This Row],[Estimated Cost (at 70%) ]]</f>
        <v>2458.5</v>
      </c>
      <c r="U721" s="19">
        <f>tblMaster[[#This Row],[Profit]]/tblMaster[[#This Row],[Revenue]]</f>
        <v>0.3</v>
      </c>
      <c r="V721" s="19">
        <f>tblMaster[[#This Row],[Delivery_Date]]-tblMaster[[#This Row],[Order_Date]]</f>
        <v>5</v>
      </c>
      <c r="W721" s="19" t="str">
        <f>TEXT(tblMaster[[#This Row],[Order_Date]],"mmmm")</f>
        <v>December</v>
      </c>
      <c r="X721" s="19">
        <f>MONTH(tblMaster[[#This Row],[Order_Date]])</f>
        <v>12</v>
      </c>
      <c r="Y721" s="19" t="str">
        <f>"Q"&amp;ROUNDUP(tblMaster[[#This Row],[Month Number]]/3,0)</f>
        <v>Q4</v>
      </c>
      <c r="Z721" s="19">
        <f>YEAR(tblMaster[[#This Row],[Order_Date]])</f>
        <v>2023</v>
      </c>
      <c r="AA721" s="19" t="str">
        <f>TEXT(DAY(tblMaster[[#This Row],[Order_Date]]),"dddd")</f>
        <v>Sunday</v>
      </c>
      <c r="AB721" s="19" t="str">
        <f>IF(tblMaster[[#This Row],[Revenue]]&gt;=5000,"High",IF(tblMaster[[#This Row],[Revenue]]&lt;2000,"Low","Medium"))</f>
        <v>High</v>
      </c>
    </row>
    <row r="722" spans="1:28" x14ac:dyDescent="0.25">
      <c r="A722" s="7">
        <v>721</v>
      </c>
      <c r="B722" s="7" t="s">
        <v>349</v>
      </c>
      <c r="C722" s="4">
        <v>3</v>
      </c>
      <c r="D722" s="4">
        <v>5</v>
      </c>
      <c r="E722" s="8">
        <v>44964</v>
      </c>
      <c r="F722" s="9">
        <v>0.1446875</v>
      </c>
      <c r="G722" s="8">
        <v>44974</v>
      </c>
      <c r="H722" s="9">
        <v>0.76946759259259256</v>
      </c>
      <c r="I722" s="7" t="s">
        <v>553</v>
      </c>
      <c r="J722" s="7" t="s">
        <v>12</v>
      </c>
      <c r="K722" s="18" t="str">
        <f>_xlfn.XLOOKUP(tblMaster[[#This Row],[Customer_ID]],tblCustomers[Customer_ID],tblCustomers[City],"Not Found",0)</f>
        <v>Khandwa</v>
      </c>
      <c r="L722" s="18" t="str">
        <f>_xlfn.XLOOKUP(tblMaster[[#This Row],[Customer_ID]],tblCustomers[Customer_ID],tblCustomers[Name],"Not Found",0)</f>
        <v>Ivana Rout</v>
      </c>
      <c r="M722" s="18" t="str">
        <f>_xlfn.XLOOKUP(tblMaster[[#This Row],[Customer_ID]],tblCustomers[Customer_ID],tblCustomers[Gender],"Not Found",0)</f>
        <v>Male</v>
      </c>
      <c r="N722" s="18" t="str">
        <f>_xlfn.XLOOKUP(tblMaster[[#This Row],[Product_ID]],tblProducts[Product_ID],tblProducts[Product_Name],"Not Found",0)</f>
        <v>Eius Gift</v>
      </c>
      <c r="O722" s="18" t="str">
        <f>_xlfn.XLOOKUP(tblMaster[[#This Row],[Product_ID]],tblProducts[Product_ID],tblProducts[Category],"Not Found",0)</f>
        <v>Colors</v>
      </c>
      <c r="P722" s="18" t="str">
        <f>_xlfn.XLOOKUP(tblMaster[[#This Row],[Product_ID]],tblProducts[Product_ID],tblProducts[Occasion],"Not Found",0)</f>
        <v>Valentine's Day</v>
      </c>
      <c r="Q722" s="18">
        <f>_xlfn.XLOOKUP(tblMaster[[#This Row],[Product_ID]],tblProducts[Product_ID],tblProducts[Price (INR)],"Not Found",0)</f>
        <v>1534</v>
      </c>
      <c r="R722" s="19">
        <f>tblMaster[[#This Row],[Price]]*tblMaster[[#This Row],[Quantity]]</f>
        <v>7670</v>
      </c>
      <c r="S722" s="19">
        <f>tblMaster[[#This Row],[Price]]*0.7*tblMaster[[#This Row],[Quantity]]</f>
        <v>5369</v>
      </c>
      <c r="T722" s="19">
        <f>tblMaster[[#This Row],[Revenue]]-tblMaster[[#This Row],[Estimated Cost (at 70%) ]]</f>
        <v>2301</v>
      </c>
      <c r="U722" s="19">
        <f>tblMaster[[#This Row],[Profit]]/tblMaster[[#This Row],[Revenue]]</f>
        <v>0.3</v>
      </c>
      <c r="V722" s="19">
        <f>tblMaster[[#This Row],[Delivery_Date]]-tblMaster[[#This Row],[Order_Date]]</f>
        <v>10</v>
      </c>
      <c r="W722" s="19" t="str">
        <f>TEXT(tblMaster[[#This Row],[Order_Date]],"mmmm")</f>
        <v>February</v>
      </c>
      <c r="X722" s="19">
        <f>MONTH(tblMaster[[#This Row],[Order_Date]])</f>
        <v>2</v>
      </c>
      <c r="Y722" s="19" t="str">
        <f>"Q"&amp;ROUNDUP(tblMaster[[#This Row],[Month Number]]/3,0)</f>
        <v>Q1</v>
      </c>
      <c r="Z722" s="19">
        <f>YEAR(tblMaster[[#This Row],[Order_Date]])</f>
        <v>2023</v>
      </c>
      <c r="AA722" s="19" t="str">
        <f>TEXT(DAY(tblMaster[[#This Row],[Order_Date]]),"dddd")</f>
        <v>Saturday</v>
      </c>
      <c r="AB722" s="19" t="str">
        <f>IF(tblMaster[[#This Row],[Revenue]]&gt;=5000,"High",IF(tblMaster[[#This Row],[Revenue]]&lt;2000,"Low","Medium"))</f>
        <v>High</v>
      </c>
    </row>
    <row r="723" spans="1:28" x14ac:dyDescent="0.25">
      <c r="A723" s="10">
        <v>722</v>
      </c>
      <c r="B723" s="10" t="s">
        <v>182</v>
      </c>
      <c r="C723" s="5">
        <v>13</v>
      </c>
      <c r="D723" s="5">
        <v>5</v>
      </c>
      <c r="E723" s="11">
        <v>44987</v>
      </c>
      <c r="F723" s="12">
        <v>0.72945601851851849</v>
      </c>
      <c r="G723" s="11">
        <v>44993</v>
      </c>
      <c r="H723" s="12">
        <v>0.33817129629629628</v>
      </c>
      <c r="I723" s="10" t="s">
        <v>554</v>
      </c>
      <c r="J723" s="10" t="s">
        <v>25</v>
      </c>
      <c r="K723" s="18" t="str">
        <f>_xlfn.XLOOKUP(tblMaster[[#This Row],[Customer_ID]],tblCustomers[Customer_ID],tblCustomers[City],"Not Found",0)</f>
        <v>Agra</v>
      </c>
      <c r="L723" s="18" t="str">
        <f>_xlfn.XLOOKUP(tblMaster[[#This Row],[Customer_ID]],tblCustomers[Customer_ID],tblCustomers[Name],"Not Found",0)</f>
        <v>Seher Mann</v>
      </c>
      <c r="M723" s="18" t="str">
        <f>_xlfn.XLOOKUP(tblMaster[[#This Row],[Customer_ID]],tblCustomers[Customer_ID],tblCustomers[Gender],"Not Found",0)</f>
        <v>Male</v>
      </c>
      <c r="N723" s="18" t="str">
        <f>_xlfn.XLOOKUP(tblMaster[[#This Row],[Product_ID]],tblProducts[Product_ID],tblProducts[Product_Name],"Not Found",0)</f>
        <v>Et Set</v>
      </c>
      <c r="O723" s="18" t="str">
        <f>_xlfn.XLOOKUP(tblMaster[[#This Row],[Product_ID]],tblProducts[Product_ID],tblProducts[Category],"Not Found",0)</f>
        <v>Mugs</v>
      </c>
      <c r="P723" s="18" t="str">
        <f>_xlfn.XLOOKUP(tblMaster[[#This Row],[Product_ID]],tblProducts[Product_ID],tblProducts[Occasion],"Not Found",0)</f>
        <v>Holi</v>
      </c>
      <c r="Q723" s="18">
        <f>_xlfn.XLOOKUP(tblMaster[[#This Row],[Product_ID]],tblProducts[Product_ID],tblProducts[Price (INR)],"Not Found",0)</f>
        <v>1141</v>
      </c>
      <c r="R723" s="19">
        <f>tblMaster[[#This Row],[Price]]*tblMaster[[#This Row],[Quantity]]</f>
        <v>5705</v>
      </c>
      <c r="S723" s="19">
        <f>tblMaster[[#This Row],[Price]]*0.7*tblMaster[[#This Row],[Quantity]]</f>
        <v>3993.4999999999995</v>
      </c>
      <c r="T723" s="19">
        <f>tblMaster[[#This Row],[Revenue]]-tblMaster[[#This Row],[Estimated Cost (at 70%) ]]</f>
        <v>1711.5000000000005</v>
      </c>
      <c r="U723" s="19">
        <f>tblMaster[[#This Row],[Profit]]/tblMaster[[#This Row],[Revenue]]</f>
        <v>0.3000000000000001</v>
      </c>
      <c r="V723" s="19">
        <f>tblMaster[[#This Row],[Delivery_Date]]-tblMaster[[#This Row],[Order_Date]]</f>
        <v>6</v>
      </c>
      <c r="W723" s="19" t="str">
        <f>TEXT(tblMaster[[#This Row],[Order_Date]],"mmmm")</f>
        <v>March</v>
      </c>
      <c r="X723" s="19">
        <f>MONTH(tblMaster[[#This Row],[Order_Date]])</f>
        <v>3</v>
      </c>
      <c r="Y723" s="19" t="str">
        <f>"Q"&amp;ROUNDUP(tblMaster[[#This Row],[Month Number]]/3,0)</f>
        <v>Q1</v>
      </c>
      <c r="Z723" s="19">
        <f>YEAR(tblMaster[[#This Row],[Order_Date]])</f>
        <v>2023</v>
      </c>
      <c r="AA723" s="19" t="str">
        <f>TEXT(DAY(tblMaster[[#This Row],[Order_Date]]),"dddd")</f>
        <v>Monday</v>
      </c>
      <c r="AB723" s="19" t="str">
        <f>IF(tblMaster[[#This Row],[Revenue]]&gt;=5000,"High",IF(tblMaster[[#This Row],[Revenue]]&lt;2000,"Low","Medium"))</f>
        <v>High</v>
      </c>
    </row>
    <row r="724" spans="1:28" x14ac:dyDescent="0.25">
      <c r="A724" s="7">
        <v>723</v>
      </c>
      <c r="B724" s="7" t="s">
        <v>254</v>
      </c>
      <c r="C724" s="4">
        <v>14</v>
      </c>
      <c r="D724" s="4">
        <v>3</v>
      </c>
      <c r="E724" s="8">
        <v>44961</v>
      </c>
      <c r="F724" s="9">
        <v>0.75065972222222221</v>
      </c>
      <c r="G724" s="8">
        <v>44962</v>
      </c>
      <c r="H724" s="9">
        <v>3.9907407407407405E-2</v>
      </c>
      <c r="I724" s="7" t="s">
        <v>530</v>
      </c>
      <c r="J724" s="7" t="s">
        <v>36</v>
      </c>
      <c r="K724" s="18" t="str">
        <f>_xlfn.XLOOKUP(tblMaster[[#This Row],[Customer_ID]],tblCustomers[Customer_ID],tblCustomers[City],"Not Found",0)</f>
        <v>Maheshtala</v>
      </c>
      <c r="L724" s="18" t="str">
        <f>_xlfn.XLOOKUP(tblMaster[[#This Row],[Customer_ID]],tblCustomers[Customer_ID],tblCustomers[Name],"Not Found",0)</f>
        <v>Divit Mahajan</v>
      </c>
      <c r="M724" s="18" t="str">
        <f>_xlfn.XLOOKUP(tblMaster[[#This Row],[Customer_ID]],tblCustomers[Customer_ID],tblCustomers[Gender],"Not Found",0)</f>
        <v>Female</v>
      </c>
      <c r="N724" s="18" t="str">
        <f>_xlfn.XLOOKUP(tblMaster[[#This Row],[Product_ID]],tblProducts[Product_ID],tblProducts[Product_Name],"Not Found",0)</f>
        <v>Deserunt Box</v>
      </c>
      <c r="O724" s="18" t="str">
        <f>_xlfn.XLOOKUP(tblMaster[[#This Row],[Product_ID]],tblProducts[Product_ID],tblProducts[Category],"Not Found",0)</f>
        <v>Colors</v>
      </c>
      <c r="P724" s="18" t="str">
        <f>_xlfn.XLOOKUP(tblMaster[[#This Row],[Product_ID]],tblProducts[Product_ID],tblProducts[Occasion],"Not Found",0)</f>
        <v>Birthday</v>
      </c>
      <c r="Q724" s="18">
        <f>_xlfn.XLOOKUP(tblMaster[[#This Row],[Product_ID]],tblProducts[Product_ID],tblProducts[Price (INR)],"Not Found",0)</f>
        <v>1915</v>
      </c>
      <c r="R724" s="19">
        <f>tblMaster[[#This Row],[Price]]*tblMaster[[#This Row],[Quantity]]</f>
        <v>5745</v>
      </c>
      <c r="S724" s="19">
        <f>tblMaster[[#This Row],[Price]]*0.7*tblMaster[[#This Row],[Quantity]]</f>
        <v>4021.5</v>
      </c>
      <c r="T724" s="19">
        <f>tblMaster[[#This Row],[Revenue]]-tblMaster[[#This Row],[Estimated Cost (at 70%) ]]</f>
        <v>1723.5</v>
      </c>
      <c r="U724" s="19">
        <f>tblMaster[[#This Row],[Profit]]/tblMaster[[#This Row],[Revenue]]</f>
        <v>0.3</v>
      </c>
      <c r="V724" s="19">
        <f>tblMaster[[#This Row],[Delivery_Date]]-tblMaster[[#This Row],[Order_Date]]</f>
        <v>1</v>
      </c>
      <c r="W724" s="19" t="str">
        <f>TEXT(tblMaster[[#This Row],[Order_Date]],"mmmm")</f>
        <v>February</v>
      </c>
      <c r="X724" s="19">
        <f>MONTH(tblMaster[[#This Row],[Order_Date]])</f>
        <v>2</v>
      </c>
      <c r="Y724" s="19" t="str">
        <f>"Q"&amp;ROUNDUP(tblMaster[[#This Row],[Month Number]]/3,0)</f>
        <v>Q1</v>
      </c>
      <c r="Z724" s="19">
        <f>YEAR(tblMaster[[#This Row],[Order_Date]])</f>
        <v>2023</v>
      </c>
      <c r="AA724" s="19" t="str">
        <f>TEXT(DAY(tblMaster[[#This Row],[Order_Date]]),"dddd")</f>
        <v>Wednesday</v>
      </c>
      <c r="AB724" s="19" t="str">
        <f>IF(tblMaster[[#This Row],[Revenue]]&gt;=5000,"High",IF(tblMaster[[#This Row],[Revenue]]&lt;2000,"Low","Medium"))</f>
        <v>High</v>
      </c>
    </row>
    <row r="725" spans="1:28" x14ac:dyDescent="0.25">
      <c r="A725" s="10">
        <v>724</v>
      </c>
      <c r="B725" s="10" t="s">
        <v>242</v>
      </c>
      <c r="C725" s="5">
        <v>51</v>
      </c>
      <c r="D725" s="5">
        <v>1</v>
      </c>
      <c r="E725" s="11">
        <v>45024</v>
      </c>
      <c r="F725" s="12">
        <v>0.95993055555555551</v>
      </c>
      <c r="G725" s="11">
        <v>45032</v>
      </c>
      <c r="H725" s="12">
        <v>0.33355324074074072</v>
      </c>
      <c r="I725" s="10" t="s">
        <v>286</v>
      </c>
      <c r="J725" s="10" t="s">
        <v>8</v>
      </c>
      <c r="K725" s="18" t="str">
        <f>_xlfn.XLOOKUP(tblMaster[[#This Row],[Customer_ID]],tblCustomers[Customer_ID],tblCustomers[City],"Not Found",0)</f>
        <v>Kalyan-Dombivli</v>
      </c>
      <c r="L725" s="18" t="str">
        <f>_xlfn.XLOOKUP(tblMaster[[#This Row],[Customer_ID]],tblCustomers[Customer_ID],tblCustomers[Name],"Not Found",0)</f>
        <v>Nirvi Wagle</v>
      </c>
      <c r="M725" s="18" t="str">
        <f>_xlfn.XLOOKUP(tblMaster[[#This Row],[Customer_ID]],tblCustomers[Customer_ID],tblCustomers[Gender],"Not Found",0)</f>
        <v>Male</v>
      </c>
      <c r="N725" s="18" t="str">
        <f>_xlfn.XLOOKUP(tblMaster[[#This Row],[Product_ID]],tblProducts[Product_ID],tblProducts[Product_Name],"Not Found",0)</f>
        <v>Fugit Set</v>
      </c>
      <c r="O725" s="18" t="str">
        <f>_xlfn.XLOOKUP(tblMaster[[#This Row],[Product_ID]],tblProducts[Product_ID],tblProducts[Category],"Not Found",0)</f>
        <v>Soft Toys</v>
      </c>
      <c r="P725" s="18" t="str">
        <f>_xlfn.XLOOKUP(tblMaster[[#This Row],[Product_ID]],tblProducts[Product_ID],tblProducts[Occasion],"Not Found",0)</f>
        <v>All Occasions</v>
      </c>
      <c r="Q725" s="18">
        <f>_xlfn.XLOOKUP(tblMaster[[#This Row],[Product_ID]],tblProducts[Product_ID],tblProducts[Price (INR)],"Not Found",0)</f>
        <v>1084</v>
      </c>
      <c r="R725" s="19">
        <f>tblMaster[[#This Row],[Price]]*tblMaster[[#This Row],[Quantity]]</f>
        <v>1084</v>
      </c>
      <c r="S725" s="19">
        <f>tblMaster[[#This Row],[Price]]*0.7*tblMaster[[#This Row],[Quantity]]</f>
        <v>758.8</v>
      </c>
      <c r="T725" s="19">
        <f>tblMaster[[#This Row],[Revenue]]-tblMaster[[#This Row],[Estimated Cost (at 70%) ]]</f>
        <v>325.20000000000005</v>
      </c>
      <c r="U725" s="19">
        <f>tblMaster[[#This Row],[Profit]]/tblMaster[[#This Row],[Revenue]]</f>
        <v>0.30000000000000004</v>
      </c>
      <c r="V725" s="19">
        <f>tblMaster[[#This Row],[Delivery_Date]]-tblMaster[[#This Row],[Order_Date]]</f>
        <v>8</v>
      </c>
      <c r="W725" s="19" t="str">
        <f>TEXT(tblMaster[[#This Row],[Order_Date]],"mmmm")</f>
        <v>April</v>
      </c>
      <c r="X725" s="19">
        <f>MONTH(tblMaster[[#This Row],[Order_Date]])</f>
        <v>4</v>
      </c>
      <c r="Y725" s="19" t="str">
        <f>"Q"&amp;ROUNDUP(tblMaster[[#This Row],[Month Number]]/3,0)</f>
        <v>Q2</v>
      </c>
      <c r="Z725" s="19">
        <f>YEAR(tblMaster[[#This Row],[Order_Date]])</f>
        <v>2023</v>
      </c>
      <c r="AA725" s="19" t="str">
        <f>TEXT(DAY(tblMaster[[#This Row],[Order_Date]]),"dddd")</f>
        <v>Sunday</v>
      </c>
      <c r="AB725" s="19" t="str">
        <f>IF(tblMaster[[#This Row],[Revenue]]&gt;=5000,"High",IF(tblMaster[[#This Row],[Revenue]]&lt;2000,"Low","Medium"))</f>
        <v>Low</v>
      </c>
    </row>
    <row r="726" spans="1:28" x14ac:dyDescent="0.25">
      <c r="A726" s="7">
        <v>725</v>
      </c>
      <c r="B726" s="7" t="s">
        <v>329</v>
      </c>
      <c r="C726" s="4">
        <v>35</v>
      </c>
      <c r="D726" s="4">
        <v>3</v>
      </c>
      <c r="E726" s="8">
        <v>44991</v>
      </c>
      <c r="F726" s="9">
        <v>0.9745138888888889</v>
      </c>
      <c r="G726" s="8">
        <v>44996</v>
      </c>
      <c r="H726" s="9">
        <v>0.83596064814814819</v>
      </c>
      <c r="I726" s="7" t="s">
        <v>322</v>
      </c>
      <c r="J726" s="7" t="s">
        <v>25</v>
      </c>
      <c r="K726" s="18" t="str">
        <f>_xlfn.XLOOKUP(tblMaster[[#This Row],[Customer_ID]],tblCustomers[Customer_ID],tblCustomers[City],"Not Found",0)</f>
        <v>Vellore</v>
      </c>
      <c r="L726" s="18" t="str">
        <f>_xlfn.XLOOKUP(tblMaster[[#This Row],[Customer_ID]],tblCustomers[Customer_ID],tblCustomers[Name],"Not Found",0)</f>
        <v>Ira Sarna</v>
      </c>
      <c r="M726" s="18" t="str">
        <f>_xlfn.XLOOKUP(tblMaster[[#This Row],[Customer_ID]],tblCustomers[Customer_ID],tblCustomers[Gender],"Not Found",0)</f>
        <v>Male</v>
      </c>
      <c r="N726" s="18" t="str">
        <f>_xlfn.XLOOKUP(tblMaster[[#This Row],[Product_ID]],tblProducts[Product_ID],tblProducts[Product_Name],"Not Found",0)</f>
        <v>Nam Gift</v>
      </c>
      <c r="O726" s="18" t="str">
        <f>_xlfn.XLOOKUP(tblMaster[[#This Row],[Product_ID]],tblProducts[Product_ID],tblProducts[Category],"Not Found",0)</f>
        <v>Colors</v>
      </c>
      <c r="P726" s="18" t="str">
        <f>_xlfn.XLOOKUP(tblMaster[[#This Row],[Product_ID]],tblProducts[Product_ID],tblProducts[Occasion],"Not Found",0)</f>
        <v>Holi</v>
      </c>
      <c r="Q726" s="18">
        <f>_xlfn.XLOOKUP(tblMaster[[#This Row],[Product_ID]],tblProducts[Product_ID],tblProducts[Price (INR)],"Not Found",0)</f>
        <v>1865</v>
      </c>
      <c r="R726" s="19">
        <f>tblMaster[[#This Row],[Price]]*tblMaster[[#This Row],[Quantity]]</f>
        <v>5595</v>
      </c>
      <c r="S726" s="19">
        <f>tblMaster[[#This Row],[Price]]*0.7*tblMaster[[#This Row],[Quantity]]</f>
        <v>3916.5</v>
      </c>
      <c r="T726" s="19">
        <f>tblMaster[[#This Row],[Revenue]]-tblMaster[[#This Row],[Estimated Cost (at 70%) ]]</f>
        <v>1678.5</v>
      </c>
      <c r="U726" s="19">
        <f>tblMaster[[#This Row],[Profit]]/tblMaster[[#This Row],[Revenue]]</f>
        <v>0.3</v>
      </c>
      <c r="V726" s="19">
        <f>tblMaster[[#This Row],[Delivery_Date]]-tblMaster[[#This Row],[Order_Date]]</f>
        <v>5</v>
      </c>
      <c r="W726" s="19" t="str">
        <f>TEXT(tblMaster[[#This Row],[Order_Date]],"mmmm")</f>
        <v>March</v>
      </c>
      <c r="X726" s="19">
        <f>MONTH(tblMaster[[#This Row],[Order_Date]])</f>
        <v>3</v>
      </c>
      <c r="Y726" s="19" t="str">
        <f>"Q"&amp;ROUNDUP(tblMaster[[#This Row],[Month Number]]/3,0)</f>
        <v>Q1</v>
      </c>
      <c r="Z726" s="19">
        <f>YEAR(tblMaster[[#This Row],[Order_Date]])</f>
        <v>2023</v>
      </c>
      <c r="AA726" s="19" t="str">
        <f>TEXT(DAY(tblMaster[[#This Row],[Order_Date]]),"dddd")</f>
        <v>Friday</v>
      </c>
      <c r="AB726" s="19" t="str">
        <f>IF(tblMaster[[#This Row],[Revenue]]&gt;=5000,"High",IF(tblMaster[[#This Row],[Revenue]]&lt;2000,"Low","Medium"))</f>
        <v>High</v>
      </c>
    </row>
    <row r="727" spans="1:28" x14ac:dyDescent="0.25">
      <c r="A727" s="10">
        <v>726</v>
      </c>
      <c r="B727" s="10" t="s">
        <v>182</v>
      </c>
      <c r="C727" s="5">
        <v>34</v>
      </c>
      <c r="D727" s="5">
        <v>2</v>
      </c>
      <c r="E727" s="11">
        <v>45159</v>
      </c>
      <c r="F727" s="12">
        <v>0.79896990740740736</v>
      </c>
      <c r="G727" s="11">
        <v>45169</v>
      </c>
      <c r="H727" s="12">
        <v>0.78782407407407407</v>
      </c>
      <c r="I727" s="10" t="s">
        <v>486</v>
      </c>
      <c r="J727" s="10" t="s">
        <v>33</v>
      </c>
      <c r="K727" s="18" t="str">
        <f>_xlfn.XLOOKUP(tblMaster[[#This Row],[Customer_ID]],tblCustomers[Customer_ID],tblCustomers[City],"Not Found",0)</f>
        <v>Agra</v>
      </c>
      <c r="L727" s="18" t="str">
        <f>_xlfn.XLOOKUP(tblMaster[[#This Row],[Customer_ID]],tblCustomers[Customer_ID],tblCustomers[Name],"Not Found",0)</f>
        <v>Seher Mann</v>
      </c>
      <c r="M727" s="18" t="str">
        <f>_xlfn.XLOOKUP(tblMaster[[#This Row],[Customer_ID]],tblCustomers[Customer_ID],tblCustomers[Gender],"Not Found",0)</f>
        <v>Male</v>
      </c>
      <c r="N727" s="18" t="str">
        <f>_xlfn.XLOOKUP(tblMaster[[#This Row],[Product_ID]],tblProducts[Product_ID],tblProducts[Product_Name],"Not Found",0)</f>
        <v>Placeat Pack</v>
      </c>
      <c r="O727" s="18" t="str">
        <f>_xlfn.XLOOKUP(tblMaster[[#This Row],[Product_ID]],tblProducts[Product_ID],tblProducts[Category],"Not Found",0)</f>
        <v>Soft Toys</v>
      </c>
      <c r="P727" s="18" t="str">
        <f>_xlfn.XLOOKUP(tblMaster[[#This Row],[Product_ID]],tblProducts[Product_ID],tblProducts[Occasion],"Not Found",0)</f>
        <v>Raksha Bandhan</v>
      </c>
      <c r="Q727" s="18">
        <f>_xlfn.XLOOKUP(tblMaster[[#This Row],[Product_ID]],tblProducts[Product_ID],tblProducts[Price (INR)],"Not Found",0)</f>
        <v>1335</v>
      </c>
      <c r="R727" s="19">
        <f>tblMaster[[#This Row],[Price]]*tblMaster[[#This Row],[Quantity]]</f>
        <v>2670</v>
      </c>
      <c r="S727" s="19">
        <f>tblMaster[[#This Row],[Price]]*0.7*tblMaster[[#This Row],[Quantity]]</f>
        <v>1868.9999999999998</v>
      </c>
      <c r="T727" s="19">
        <f>tblMaster[[#This Row],[Revenue]]-tblMaster[[#This Row],[Estimated Cost (at 70%) ]]</f>
        <v>801.00000000000023</v>
      </c>
      <c r="U727" s="19">
        <f>tblMaster[[#This Row],[Profit]]/tblMaster[[#This Row],[Revenue]]</f>
        <v>0.3000000000000001</v>
      </c>
      <c r="V727" s="19">
        <f>tblMaster[[#This Row],[Delivery_Date]]-tblMaster[[#This Row],[Order_Date]]</f>
        <v>10</v>
      </c>
      <c r="W727" s="19" t="str">
        <f>TEXT(tblMaster[[#This Row],[Order_Date]],"mmmm")</f>
        <v>August</v>
      </c>
      <c r="X727" s="19">
        <f>MONTH(tblMaster[[#This Row],[Order_Date]])</f>
        <v>8</v>
      </c>
      <c r="Y727" s="19" t="str">
        <f>"Q"&amp;ROUNDUP(tblMaster[[#This Row],[Month Number]]/3,0)</f>
        <v>Q3</v>
      </c>
      <c r="Z727" s="19">
        <f>YEAR(tblMaster[[#This Row],[Order_Date]])</f>
        <v>2023</v>
      </c>
      <c r="AA727" s="19" t="str">
        <f>TEXT(DAY(tblMaster[[#This Row],[Order_Date]]),"dddd")</f>
        <v>Saturday</v>
      </c>
      <c r="AB727" s="19" t="str">
        <f>IF(tblMaster[[#This Row],[Revenue]]&gt;=5000,"High",IF(tblMaster[[#This Row],[Revenue]]&lt;2000,"Low","Medium"))</f>
        <v>Medium</v>
      </c>
    </row>
    <row r="728" spans="1:28" x14ac:dyDescent="0.25">
      <c r="A728" s="7">
        <v>727</v>
      </c>
      <c r="B728" s="7" t="s">
        <v>302</v>
      </c>
      <c r="C728" s="4">
        <v>12</v>
      </c>
      <c r="D728" s="4">
        <v>5</v>
      </c>
      <c r="E728" s="8">
        <v>45248</v>
      </c>
      <c r="F728" s="9">
        <v>6.7395833333333335E-2</v>
      </c>
      <c r="G728" s="8">
        <v>45252</v>
      </c>
      <c r="H728" s="9">
        <v>0.68231481481481482</v>
      </c>
      <c r="I728" s="7" t="s">
        <v>282</v>
      </c>
      <c r="J728" s="7" t="s">
        <v>30</v>
      </c>
      <c r="K728" s="18" t="str">
        <f>_xlfn.XLOOKUP(tblMaster[[#This Row],[Customer_ID]],tblCustomers[Customer_ID],tblCustomers[City],"Not Found",0)</f>
        <v>Kavali</v>
      </c>
      <c r="L728" s="18" t="str">
        <f>_xlfn.XLOOKUP(tblMaster[[#This Row],[Customer_ID]],tblCustomers[Customer_ID],tblCustomers[Name],"Not Found",0)</f>
        <v>Akarsh Ramesh</v>
      </c>
      <c r="M728" s="18" t="str">
        <f>_xlfn.XLOOKUP(tblMaster[[#This Row],[Customer_ID]],tblCustomers[Customer_ID],tblCustomers[Gender],"Not Found",0)</f>
        <v>Female</v>
      </c>
      <c r="N728" s="18" t="str">
        <f>_xlfn.XLOOKUP(tblMaster[[#This Row],[Product_ID]],tblProducts[Product_ID],tblProducts[Product_Name],"Not Found",0)</f>
        <v>Non Set</v>
      </c>
      <c r="O728" s="18" t="str">
        <f>_xlfn.XLOOKUP(tblMaster[[#This Row],[Product_ID]],tblProducts[Product_ID],tblProducts[Category],"Not Found",0)</f>
        <v>Plants</v>
      </c>
      <c r="P728" s="18" t="str">
        <f>_xlfn.XLOOKUP(tblMaster[[#This Row],[Product_ID]],tblProducts[Product_ID],tblProducts[Occasion],"Not Found",0)</f>
        <v>Anniversary</v>
      </c>
      <c r="Q728" s="18">
        <f>_xlfn.XLOOKUP(tblMaster[[#This Row],[Product_ID]],tblProducts[Product_ID],tblProducts[Price (INR)],"Not Found",0)</f>
        <v>672</v>
      </c>
      <c r="R728" s="19">
        <f>tblMaster[[#This Row],[Price]]*tblMaster[[#This Row],[Quantity]]</f>
        <v>3360</v>
      </c>
      <c r="S728" s="19">
        <f>tblMaster[[#This Row],[Price]]*0.7*tblMaster[[#This Row],[Quantity]]</f>
        <v>2352</v>
      </c>
      <c r="T728" s="19">
        <f>tblMaster[[#This Row],[Revenue]]-tblMaster[[#This Row],[Estimated Cost (at 70%) ]]</f>
        <v>1008</v>
      </c>
      <c r="U728" s="19">
        <f>tblMaster[[#This Row],[Profit]]/tblMaster[[#This Row],[Revenue]]</f>
        <v>0.3</v>
      </c>
      <c r="V728" s="19">
        <f>tblMaster[[#This Row],[Delivery_Date]]-tblMaster[[#This Row],[Order_Date]]</f>
        <v>4</v>
      </c>
      <c r="W728" s="19" t="str">
        <f>TEXT(tblMaster[[#This Row],[Order_Date]],"mmmm")</f>
        <v>November</v>
      </c>
      <c r="X728" s="19">
        <f>MONTH(tblMaster[[#This Row],[Order_Date]])</f>
        <v>11</v>
      </c>
      <c r="Y728" s="19" t="str">
        <f>"Q"&amp;ROUNDUP(tblMaster[[#This Row],[Month Number]]/3,0)</f>
        <v>Q4</v>
      </c>
      <c r="Z728" s="19">
        <f>YEAR(tblMaster[[#This Row],[Order_Date]])</f>
        <v>2023</v>
      </c>
      <c r="AA728" s="19" t="str">
        <f>TEXT(DAY(tblMaster[[#This Row],[Order_Date]]),"dddd")</f>
        <v>Wednesday</v>
      </c>
      <c r="AB728" s="19" t="str">
        <f>IF(tblMaster[[#This Row],[Revenue]]&gt;=5000,"High",IF(tblMaster[[#This Row],[Revenue]]&lt;2000,"Low","Medium"))</f>
        <v>Medium</v>
      </c>
    </row>
    <row r="729" spans="1:28" x14ac:dyDescent="0.25">
      <c r="A729" s="10">
        <v>728</v>
      </c>
      <c r="B729" s="10" t="s">
        <v>471</v>
      </c>
      <c r="C729" s="5">
        <v>52</v>
      </c>
      <c r="D729" s="5">
        <v>2</v>
      </c>
      <c r="E729" s="11">
        <v>44965</v>
      </c>
      <c r="F729" s="12">
        <v>0.57344907407407408</v>
      </c>
      <c r="G729" s="11">
        <v>44968</v>
      </c>
      <c r="H729" s="12">
        <v>0.67171296296296301</v>
      </c>
      <c r="I729" s="10" t="s">
        <v>473</v>
      </c>
      <c r="J729" s="10" t="s">
        <v>12</v>
      </c>
      <c r="K729" s="18" t="str">
        <f>_xlfn.XLOOKUP(tblMaster[[#This Row],[Customer_ID]],tblCustomers[Customer_ID],tblCustomers[City],"Not Found",0)</f>
        <v>Parbhani</v>
      </c>
      <c r="L729" s="18" t="str">
        <f>_xlfn.XLOOKUP(tblMaster[[#This Row],[Customer_ID]],tblCustomers[Customer_ID],tblCustomers[Name],"Not Found",0)</f>
        <v>Zeeshan Tailor</v>
      </c>
      <c r="M729" s="18" t="str">
        <f>_xlfn.XLOOKUP(tblMaster[[#This Row],[Customer_ID]],tblCustomers[Customer_ID],tblCustomers[Gender],"Not Found",0)</f>
        <v>Male</v>
      </c>
      <c r="N729" s="18" t="str">
        <f>_xlfn.XLOOKUP(tblMaster[[#This Row],[Product_ID]],tblProducts[Product_ID],tblProducts[Product_Name],"Not Found",0)</f>
        <v>Dolorum Box</v>
      </c>
      <c r="O729" s="18" t="str">
        <f>_xlfn.XLOOKUP(tblMaster[[#This Row],[Product_ID]],tblProducts[Product_ID],tblProducts[Category],"Not Found",0)</f>
        <v>Raksha Bandhan</v>
      </c>
      <c r="P729" s="18" t="str">
        <f>_xlfn.XLOOKUP(tblMaster[[#This Row],[Product_ID]],tblProducts[Product_ID],tblProducts[Occasion],"Not Found",0)</f>
        <v>Valentine's Day</v>
      </c>
      <c r="Q729" s="18">
        <f>_xlfn.XLOOKUP(tblMaster[[#This Row],[Product_ID]],tblProducts[Product_ID],tblProducts[Price (INR)],"Not Found",0)</f>
        <v>236</v>
      </c>
      <c r="R729" s="19">
        <f>tblMaster[[#This Row],[Price]]*tblMaster[[#This Row],[Quantity]]</f>
        <v>472</v>
      </c>
      <c r="S729" s="19">
        <f>tblMaster[[#This Row],[Price]]*0.7*tblMaster[[#This Row],[Quantity]]</f>
        <v>330.4</v>
      </c>
      <c r="T729" s="19">
        <f>tblMaster[[#This Row],[Revenue]]-tblMaster[[#This Row],[Estimated Cost (at 70%) ]]</f>
        <v>141.60000000000002</v>
      </c>
      <c r="U729" s="19">
        <f>tblMaster[[#This Row],[Profit]]/tblMaster[[#This Row],[Revenue]]</f>
        <v>0.30000000000000004</v>
      </c>
      <c r="V729" s="19">
        <f>tblMaster[[#This Row],[Delivery_Date]]-tblMaster[[#This Row],[Order_Date]]</f>
        <v>3</v>
      </c>
      <c r="W729" s="19" t="str">
        <f>TEXT(tblMaster[[#This Row],[Order_Date]],"mmmm")</f>
        <v>February</v>
      </c>
      <c r="X729" s="19">
        <f>MONTH(tblMaster[[#This Row],[Order_Date]])</f>
        <v>2</v>
      </c>
      <c r="Y729" s="19" t="str">
        <f>"Q"&amp;ROUNDUP(tblMaster[[#This Row],[Month Number]]/3,0)</f>
        <v>Q1</v>
      </c>
      <c r="Z729" s="19">
        <f>YEAR(tblMaster[[#This Row],[Order_Date]])</f>
        <v>2023</v>
      </c>
      <c r="AA729" s="19" t="str">
        <f>TEXT(DAY(tblMaster[[#This Row],[Order_Date]]),"dddd")</f>
        <v>Sunday</v>
      </c>
      <c r="AB729" s="19" t="str">
        <f>IF(tblMaster[[#This Row],[Revenue]]&gt;=5000,"High",IF(tblMaster[[#This Row],[Revenue]]&lt;2000,"Low","Medium"))</f>
        <v>Low</v>
      </c>
    </row>
    <row r="730" spans="1:28" x14ac:dyDescent="0.25">
      <c r="A730" s="7">
        <v>729</v>
      </c>
      <c r="B730" s="7" t="s">
        <v>337</v>
      </c>
      <c r="C730" s="4">
        <v>17</v>
      </c>
      <c r="D730" s="4">
        <v>1</v>
      </c>
      <c r="E730" s="8">
        <v>44980</v>
      </c>
      <c r="F730" s="9">
        <v>0.76380787037037035</v>
      </c>
      <c r="G730" s="8">
        <v>44982</v>
      </c>
      <c r="H730" s="9">
        <v>0.49396990740740743</v>
      </c>
      <c r="I730" s="7" t="s">
        <v>217</v>
      </c>
      <c r="J730" s="7" t="s">
        <v>30</v>
      </c>
      <c r="K730" s="18" t="str">
        <f>_xlfn.XLOOKUP(tblMaster[[#This Row],[Customer_ID]],tblCustomers[Customer_ID],tblCustomers[City],"Not Found",0)</f>
        <v>Sambhal</v>
      </c>
      <c r="L730" s="18" t="str">
        <f>_xlfn.XLOOKUP(tblMaster[[#This Row],[Customer_ID]],tblCustomers[Customer_ID],tblCustomers[Name],"Not Found",0)</f>
        <v>Vardaniya Contractor</v>
      </c>
      <c r="M730" s="18" t="str">
        <f>_xlfn.XLOOKUP(tblMaster[[#This Row],[Customer_ID]],tblCustomers[Customer_ID],tblCustomers[Gender],"Not Found",0)</f>
        <v>Male</v>
      </c>
      <c r="N730" s="18" t="str">
        <f>_xlfn.XLOOKUP(tblMaster[[#This Row],[Product_ID]],tblProducts[Product_ID],tblProducts[Product_Name],"Not Found",0)</f>
        <v>Delectus Gift</v>
      </c>
      <c r="O730" s="18" t="str">
        <f>_xlfn.XLOOKUP(tblMaster[[#This Row],[Product_ID]],tblProducts[Product_ID],tblProducts[Category],"Not Found",0)</f>
        <v>Soft Toys</v>
      </c>
      <c r="P730" s="18" t="str">
        <f>_xlfn.XLOOKUP(tblMaster[[#This Row],[Product_ID]],tblProducts[Product_ID],tblProducts[Occasion],"Not Found",0)</f>
        <v>Anniversary</v>
      </c>
      <c r="Q730" s="18">
        <f>_xlfn.XLOOKUP(tblMaster[[#This Row],[Product_ID]],tblProducts[Product_ID],tblProducts[Price (INR)],"Not Found",0)</f>
        <v>1899</v>
      </c>
      <c r="R730" s="19">
        <f>tblMaster[[#This Row],[Price]]*tblMaster[[#This Row],[Quantity]]</f>
        <v>1899</v>
      </c>
      <c r="S730" s="19">
        <f>tblMaster[[#This Row],[Price]]*0.7*tblMaster[[#This Row],[Quantity]]</f>
        <v>1329.3</v>
      </c>
      <c r="T730" s="19">
        <f>tblMaster[[#This Row],[Revenue]]-tblMaster[[#This Row],[Estimated Cost (at 70%) ]]</f>
        <v>569.70000000000005</v>
      </c>
      <c r="U730" s="19">
        <f>tblMaster[[#This Row],[Profit]]/tblMaster[[#This Row],[Revenue]]</f>
        <v>0.30000000000000004</v>
      </c>
      <c r="V730" s="19">
        <f>tblMaster[[#This Row],[Delivery_Date]]-tblMaster[[#This Row],[Order_Date]]</f>
        <v>2</v>
      </c>
      <c r="W730" s="19" t="str">
        <f>TEXT(tblMaster[[#This Row],[Order_Date]],"mmmm")</f>
        <v>February</v>
      </c>
      <c r="X730" s="19">
        <f>MONTH(tblMaster[[#This Row],[Order_Date]])</f>
        <v>2</v>
      </c>
      <c r="Y730" s="19" t="str">
        <f>"Q"&amp;ROUNDUP(tblMaster[[#This Row],[Month Number]]/3,0)</f>
        <v>Q1</v>
      </c>
      <c r="Z730" s="19">
        <f>YEAR(tblMaster[[#This Row],[Order_Date]])</f>
        <v>2023</v>
      </c>
      <c r="AA730" s="19" t="str">
        <f>TEXT(DAY(tblMaster[[#This Row],[Order_Date]]),"dddd")</f>
        <v>Monday</v>
      </c>
      <c r="AB730" s="19" t="str">
        <f>IF(tblMaster[[#This Row],[Revenue]]&gt;=5000,"High",IF(tblMaster[[#This Row],[Revenue]]&lt;2000,"Low","Medium"))</f>
        <v>Low</v>
      </c>
    </row>
    <row r="731" spans="1:28" x14ac:dyDescent="0.25">
      <c r="A731" s="10">
        <v>730</v>
      </c>
      <c r="B731" s="10" t="s">
        <v>180</v>
      </c>
      <c r="C731" s="5">
        <v>59</v>
      </c>
      <c r="D731" s="5">
        <v>1</v>
      </c>
      <c r="E731" s="11">
        <v>45160</v>
      </c>
      <c r="F731" s="12">
        <v>8.6145833333333338E-2</v>
      </c>
      <c r="G731" s="11">
        <v>45163</v>
      </c>
      <c r="H731" s="12">
        <v>0.94409722222222225</v>
      </c>
      <c r="I731" s="10" t="s">
        <v>528</v>
      </c>
      <c r="J731" s="10" t="s">
        <v>33</v>
      </c>
      <c r="K731" s="18" t="str">
        <f>_xlfn.XLOOKUP(tblMaster[[#This Row],[Customer_ID]],tblCustomers[Customer_ID],tblCustomers[City],"Not Found",0)</f>
        <v>Sri Ganganagar</v>
      </c>
      <c r="L731" s="18" t="str">
        <f>_xlfn.XLOOKUP(tblMaster[[#This Row],[Customer_ID]],tblCustomers[Customer_ID],tblCustomers[Name],"Not Found",0)</f>
        <v>Nakul Randhawa</v>
      </c>
      <c r="M731" s="18" t="str">
        <f>_xlfn.XLOOKUP(tblMaster[[#This Row],[Customer_ID]],tblCustomers[Customer_ID],tblCustomers[Gender],"Not Found",0)</f>
        <v>Female</v>
      </c>
      <c r="N731" s="18" t="str">
        <f>_xlfn.XLOOKUP(tblMaster[[#This Row],[Product_ID]],tblProducts[Product_ID],tblProducts[Product_Name],"Not Found",0)</f>
        <v>Pariatur Box</v>
      </c>
      <c r="O731" s="18" t="str">
        <f>_xlfn.XLOOKUP(tblMaster[[#This Row],[Product_ID]],tblProducts[Product_ID],tblProducts[Category],"Not Found",0)</f>
        <v>Cake</v>
      </c>
      <c r="P731" s="18" t="str">
        <f>_xlfn.XLOOKUP(tblMaster[[#This Row],[Product_ID]],tblProducts[Product_ID],tblProducts[Occasion],"Not Found",0)</f>
        <v>Raksha Bandhan</v>
      </c>
      <c r="Q731" s="18">
        <f>_xlfn.XLOOKUP(tblMaster[[#This Row],[Product_ID]],tblProducts[Product_ID],tblProducts[Price (INR)],"Not Found",0)</f>
        <v>811</v>
      </c>
      <c r="R731" s="19">
        <f>tblMaster[[#This Row],[Price]]*tblMaster[[#This Row],[Quantity]]</f>
        <v>811</v>
      </c>
      <c r="S731" s="19">
        <f>tblMaster[[#This Row],[Price]]*0.7*tblMaster[[#This Row],[Quantity]]</f>
        <v>567.69999999999993</v>
      </c>
      <c r="T731" s="19">
        <f>tblMaster[[#This Row],[Revenue]]-tblMaster[[#This Row],[Estimated Cost (at 70%) ]]</f>
        <v>243.30000000000007</v>
      </c>
      <c r="U731" s="19">
        <f>tblMaster[[#This Row],[Profit]]/tblMaster[[#This Row],[Revenue]]</f>
        <v>0.3000000000000001</v>
      </c>
      <c r="V731" s="19">
        <f>tblMaster[[#This Row],[Delivery_Date]]-tblMaster[[#This Row],[Order_Date]]</f>
        <v>3</v>
      </c>
      <c r="W731" s="19" t="str">
        <f>TEXT(tblMaster[[#This Row],[Order_Date]],"mmmm")</f>
        <v>August</v>
      </c>
      <c r="X731" s="19">
        <f>MONTH(tblMaster[[#This Row],[Order_Date]])</f>
        <v>8</v>
      </c>
      <c r="Y731" s="19" t="str">
        <f>"Q"&amp;ROUNDUP(tblMaster[[#This Row],[Month Number]]/3,0)</f>
        <v>Q3</v>
      </c>
      <c r="Z731" s="19">
        <f>YEAR(tblMaster[[#This Row],[Order_Date]])</f>
        <v>2023</v>
      </c>
      <c r="AA731" s="19" t="str">
        <f>TEXT(DAY(tblMaster[[#This Row],[Order_Date]]),"dddd")</f>
        <v>Sunday</v>
      </c>
      <c r="AB731" s="19" t="str">
        <f>IF(tblMaster[[#This Row],[Revenue]]&gt;=5000,"High",IF(tblMaster[[#This Row],[Revenue]]&lt;2000,"Low","Medium"))</f>
        <v>Low</v>
      </c>
    </row>
    <row r="732" spans="1:28" x14ac:dyDescent="0.25">
      <c r="A732" s="7">
        <v>731</v>
      </c>
      <c r="B732" s="7" t="s">
        <v>333</v>
      </c>
      <c r="C732" s="4">
        <v>59</v>
      </c>
      <c r="D732" s="4">
        <v>5</v>
      </c>
      <c r="E732" s="8">
        <v>45163</v>
      </c>
      <c r="F732" s="9">
        <v>0.50092592592592589</v>
      </c>
      <c r="G732" s="8">
        <v>45171</v>
      </c>
      <c r="H732" s="9">
        <v>0.46008101851851851</v>
      </c>
      <c r="I732" s="7" t="s">
        <v>218</v>
      </c>
      <c r="J732" s="7" t="s">
        <v>33</v>
      </c>
      <c r="K732" s="18" t="str">
        <f>_xlfn.XLOOKUP(tblMaster[[#This Row],[Customer_ID]],tblCustomers[Customer_ID],tblCustomers[City],"Not Found",0)</f>
        <v>Raurkela Industrial Township</v>
      </c>
      <c r="L732" s="18" t="str">
        <f>_xlfn.XLOOKUP(tblMaster[[#This Row],[Customer_ID]],tblCustomers[Customer_ID],tblCustomers[Name],"Not Found",0)</f>
        <v>Aaryahi Sodhi</v>
      </c>
      <c r="M732" s="18" t="str">
        <f>_xlfn.XLOOKUP(tblMaster[[#This Row],[Customer_ID]],tblCustomers[Customer_ID],tblCustomers[Gender],"Not Found",0)</f>
        <v>Male</v>
      </c>
      <c r="N732" s="18" t="str">
        <f>_xlfn.XLOOKUP(tblMaster[[#This Row],[Product_ID]],tblProducts[Product_ID],tblProducts[Product_Name],"Not Found",0)</f>
        <v>Pariatur Box</v>
      </c>
      <c r="O732" s="18" t="str">
        <f>_xlfn.XLOOKUP(tblMaster[[#This Row],[Product_ID]],tblProducts[Product_ID],tblProducts[Category],"Not Found",0)</f>
        <v>Cake</v>
      </c>
      <c r="P732" s="18" t="str">
        <f>_xlfn.XLOOKUP(tblMaster[[#This Row],[Product_ID]],tblProducts[Product_ID],tblProducts[Occasion],"Not Found",0)</f>
        <v>Raksha Bandhan</v>
      </c>
      <c r="Q732" s="18">
        <f>_xlfn.XLOOKUP(tblMaster[[#This Row],[Product_ID]],tblProducts[Product_ID],tblProducts[Price (INR)],"Not Found",0)</f>
        <v>811</v>
      </c>
      <c r="R732" s="19">
        <f>tblMaster[[#This Row],[Price]]*tblMaster[[#This Row],[Quantity]]</f>
        <v>4055</v>
      </c>
      <c r="S732" s="19">
        <f>tblMaster[[#This Row],[Price]]*0.7*tblMaster[[#This Row],[Quantity]]</f>
        <v>2838.4999999999995</v>
      </c>
      <c r="T732" s="19">
        <f>tblMaster[[#This Row],[Revenue]]-tblMaster[[#This Row],[Estimated Cost (at 70%) ]]</f>
        <v>1216.5000000000005</v>
      </c>
      <c r="U732" s="19">
        <f>tblMaster[[#This Row],[Profit]]/tblMaster[[#This Row],[Revenue]]</f>
        <v>0.3000000000000001</v>
      </c>
      <c r="V732" s="19">
        <f>tblMaster[[#This Row],[Delivery_Date]]-tblMaster[[#This Row],[Order_Date]]</f>
        <v>8</v>
      </c>
      <c r="W732" s="19" t="str">
        <f>TEXT(tblMaster[[#This Row],[Order_Date]],"mmmm")</f>
        <v>August</v>
      </c>
      <c r="X732" s="19">
        <f>MONTH(tblMaster[[#This Row],[Order_Date]])</f>
        <v>8</v>
      </c>
      <c r="Y732" s="19" t="str">
        <f>"Q"&amp;ROUNDUP(tblMaster[[#This Row],[Month Number]]/3,0)</f>
        <v>Q3</v>
      </c>
      <c r="Z732" s="19">
        <f>YEAR(tblMaster[[#This Row],[Order_Date]])</f>
        <v>2023</v>
      </c>
      <c r="AA732" s="19" t="str">
        <f>TEXT(DAY(tblMaster[[#This Row],[Order_Date]]),"dddd")</f>
        <v>Wednesday</v>
      </c>
      <c r="AB732" s="19" t="str">
        <f>IF(tblMaster[[#This Row],[Revenue]]&gt;=5000,"High",IF(tblMaster[[#This Row],[Revenue]]&lt;2000,"Low","Medium"))</f>
        <v>Medium</v>
      </c>
    </row>
    <row r="733" spans="1:28" x14ac:dyDescent="0.25">
      <c r="A733" s="10">
        <v>732</v>
      </c>
      <c r="B733" s="10" t="s">
        <v>347</v>
      </c>
      <c r="C733" s="5">
        <v>1</v>
      </c>
      <c r="D733" s="5">
        <v>2</v>
      </c>
      <c r="E733" s="11">
        <v>45215</v>
      </c>
      <c r="F733" s="12">
        <v>0.69944444444444442</v>
      </c>
      <c r="G733" s="11">
        <v>45220</v>
      </c>
      <c r="H733" s="12">
        <v>0.7890625</v>
      </c>
      <c r="I733" s="10" t="s">
        <v>518</v>
      </c>
      <c r="J733" s="10" t="s">
        <v>8</v>
      </c>
      <c r="K733" s="18" t="str">
        <f>_xlfn.XLOOKUP(tblMaster[[#This Row],[Customer_ID]],tblCustomers[Customer_ID],tblCustomers[City],"Not Found",0)</f>
        <v>North Dumdum</v>
      </c>
      <c r="L733" s="18" t="str">
        <f>_xlfn.XLOOKUP(tblMaster[[#This Row],[Customer_ID]],tblCustomers[Customer_ID],tblCustomers[Name],"Not Found",0)</f>
        <v>Rania Bhatt</v>
      </c>
      <c r="M733" s="18" t="str">
        <f>_xlfn.XLOOKUP(tblMaster[[#This Row],[Customer_ID]],tblCustomers[Customer_ID],tblCustomers[Gender],"Not Found",0)</f>
        <v>Female</v>
      </c>
      <c r="N733" s="18" t="str">
        <f>_xlfn.XLOOKUP(tblMaster[[#This Row],[Product_ID]],tblProducts[Product_ID],tblProducts[Product_Name],"Not Found",0)</f>
        <v>Magnam Set</v>
      </c>
      <c r="O733" s="18" t="str">
        <f>_xlfn.XLOOKUP(tblMaster[[#This Row],[Product_ID]],tblProducts[Product_ID],tblProducts[Category],"Not Found",0)</f>
        <v>Soft Toys</v>
      </c>
      <c r="P733" s="18" t="str">
        <f>_xlfn.XLOOKUP(tblMaster[[#This Row],[Product_ID]],tblProducts[Product_ID],tblProducts[Occasion],"Not Found",0)</f>
        <v>All Occasions</v>
      </c>
      <c r="Q733" s="18">
        <f>_xlfn.XLOOKUP(tblMaster[[#This Row],[Product_ID]],tblProducts[Product_ID],tblProducts[Price (INR)],"Not Found",0)</f>
        <v>1935</v>
      </c>
      <c r="R733" s="19">
        <f>tblMaster[[#This Row],[Price]]*tblMaster[[#This Row],[Quantity]]</f>
        <v>3870</v>
      </c>
      <c r="S733" s="19">
        <f>tblMaster[[#This Row],[Price]]*0.7*tblMaster[[#This Row],[Quantity]]</f>
        <v>2709</v>
      </c>
      <c r="T733" s="19">
        <f>tblMaster[[#This Row],[Revenue]]-tblMaster[[#This Row],[Estimated Cost (at 70%) ]]</f>
        <v>1161</v>
      </c>
      <c r="U733" s="19">
        <f>tblMaster[[#This Row],[Profit]]/tblMaster[[#This Row],[Revenue]]</f>
        <v>0.3</v>
      </c>
      <c r="V733" s="19">
        <f>tblMaster[[#This Row],[Delivery_Date]]-tblMaster[[#This Row],[Order_Date]]</f>
        <v>5</v>
      </c>
      <c r="W733" s="19" t="str">
        <f>TEXT(tblMaster[[#This Row],[Order_Date]],"mmmm")</f>
        <v>October</v>
      </c>
      <c r="X733" s="19">
        <f>MONTH(tblMaster[[#This Row],[Order_Date]])</f>
        <v>10</v>
      </c>
      <c r="Y733" s="19" t="str">
        <f>"Q"&amp;ROUNDUP(tblMaster[[#This Row],[Month Number]]/3,0)</f>
        <v>Q4</v>
      </c>
      <c r="Z733" s="19">
        <f>YEAR(tblMaster[[#This Row],[Order_Date]])</f>
        <v>2023</v>
      </c>
      <c r="AA733" s="19" t="str">
        <f>TEXT(DAY(tblMaster[[#This Row],[Order_Date]]),"dddd")</f>
        <v>Monday</v>
      </c>
      <c r="AB733" s="19" t="str">
        <f>IF(tblMaster[[#This Row],[Revenue]]&gt;=5000,"High",IF(tblMaster[[#This Row],[Revenue]]&lt;2000,"Low","Medium"))</f>
        <v>Medium</v>
      </c>
    </row>
    <row r="734" spans="1:28" x14ac:dyDescent="0.25">
      <c r="A734" s="7">
        <v>733</v>
      </c>
      <c r="B734" s="7" t="s">
        <v>299</v>
      </c>
      <c r="C734" s="4">
        <v>32</v>
      </c>
      <c r="D734" s="4">
        <v>3</v>
      </c>
      <c r="E734" s="8">
        <v>45017</v>
      </c>
      <c r="F734" s="9">
        <v>3.5844907407407409E-2</v>
      </c>
      <c r="G734" s="8">
        <v>45019</v>
      </c>
      <c r="H734" s="9">
        <v>0.10188657407407407</v>
      </c>
      <c r="I734" s="7" t="s">
        <v>207</v>
      </c>
      <c r="J734" s="7" t="s">
        <v>36</v>
      </c>
      <c r="K734" s="18" t="str">
        <f>_xlfn.XLOOKUP(tblMaster[[#This Row],[Customer_ID]],tblCustomers[Customer_ID],tblCustomers[City],"Not Found",0)</f>
        <v>Satara</v>
      </c>
      <c r="L734" s="18" t="str">
        <f>_xlfn.XLOOKUP(tblMaster[[#This Row],[Customer_ID]],tblCustomers[Customer_ID],tblCustomers[Name],"Not Found",0)</f>
        <v>Riya Wagle</v>
      </c>
      <c r="M734" s="18" t="str">
        <f>_xlfn.XLOOKUP(tblMaster[[#This Row],[Customer_ID]],tblCustomers[Customer_ID],tblCustomers[Gender],"Not Found",0)</f>
        <v>Male</v>
      </c>
      <c r="N734" s="18" t="str">
        <f>_xlfn.XLOOKUP(tblMaster[[#This Row],[Product_ID]],tblProducts[Product_ID],tblProducts[Product_Name],"Not Found",0)</f>
        <v>Fuga Set</v>
      </c>
      <c r="O734" s="18" t="str">
        <f>_xlfn.XLOOKUP(tblMaster[[#This Row],[Product_ID]],tblProducts[Product_ID],tblProducts[Category],"Not Found",0)</f>
        <v>Soft Toys</v>
      </c>
      <c r="P734" s="18" t="str">
        <f>_xlfn.XLOOKUP(tblMaster[[#This Row],[Product_ID]],tblProducts[Product_ID],tblProducts[Occasion],"Not Found",0)</f>
        <v>Birthday</v>
      </c>
      <c r="Q734" s="18">
        <f>_xlfn.XLOOKUP(tblMaster[[#This Row],[Product_ID]],tblProducts[Product_ID],tblProducts[Price (INR)],"Not Found",0)</f>
        <v>1792</v>
      </c>
      <c r="R734" s="19">
        <f>tblMaster[[#This Row],[Price]]*tblMaster[[#This Row],[Quantity]]</f>
        <v>5376</v>
      </c>
      <c r="S734" s="19">
        <f>tblMaster[[#This Row],[Price]]*0.7*tblMaster[[#This Row],[Quantity]]</f>
        <v>3763.2</v>
      </c>
      <c r="T734" s="19">
        <f>tblMaster[[#This Row],[Revenue]]-tblMaster[[#This Row],[Estimated Cost (at 70%) ]]</f>
        <v>1612.8000000000002</v>
      </c>
      <c r="U734" s="19">
        <f>tblMaster[[#This Row],[Profit]]/tblMaster[[#This Row],[Revenue]]</f>
        <v>0.30000000000000004</v>
      </c>
      <c r="V734" s="19">
        <f>tblMaster[[#This Row],[Delivery_Date]]-tblMaster[[#This Row],[Order_Date]]</f>
        <v>2</v>
      </c>
      <c r="W734" s="19" t="str">
        <f>TEXT(tblMaster[[#This Row],[Order_Date]],"mmmm")</f>
        <v>April</v>
      </c>
      <c r="X734" s="19">
        <f>MONTH(tblMaster[[#This Row],[Order_Date]])</f>
        <v>4</v>
      </c>
      <c r="Y734" s="19" t="str">
        <f>"Q"&amp;ROUNDUP(tblMaster[[#This Row],[Month Number]]/3,0)</f>
        <v>Q2</v>
      </c>
      <c r="Z734" s="19">
        <f>YEAR(tblMaster[[#This Row],[Order_Date]])</f>
        <v>2023</v>
      </c>
      <c r="AA734" s="19" t="str">
        <f>TEXT(DAY(tblMaster[[#This Row],[Order_Date]]),"dddd")</f>
        <v>Sunday</v>
      </c>
      <c r="AB734" s="19" t="str">
        <f>IF(tblMaster[[#This Row],[Revenue]]&gt;=5000,"High",IF(tblMaster[[#This Row],[Revenue]]&lt;2000,"Low","Medium"))</f>
        <v>High</v>
      </c>
    </row>
    <row r="735" spans="1:28" x14ac:dyDescent="0.25">
      <c r="A735" s="10">
        <v>734</v>
      </c>
      <c r="B735" s="10" t="s">
        <v>289</v>
      </c>
      <c r="C735" s="5">
        <v>49</v>
      </c>
      <c r="D735" s="5">
        <v>3</v>
      </c>
      <c r="E735" s="11">
        <v>44968</v>
      </c>
      <c r="F735" s="12">
        <v>0.48931712962962964</v>
      </c>
      <c r="G735" s="11">
        <v>44971</v>
      </c>
      <c r="H735" s="12">
        <v>0.37923611111111111</v>
      </c>
      <c r="I735" s="10" t="s">
        <v>181</v>
      </c>
      <c r="J735" s="10" t="s">
        <v>12</v>
      </c>
      <c r="K735" s="18" t="str">
        <f>_xlfn.XLOOKUP(tblMaster[[#This Row],[Customer_ID]],tblCustomers[Customer_ID],tblCustomers[City],"Not Found",0)</f>
        <v>Chinsurah</v>
      </c>
      <c r="L735" s="18" t="str">
        <f>_xlfn.XLOOKUP(tblMaster[[#This Row],[Customer_ID]],tblCustomers[Customer_ID],tblCustomers[Name],"Not Found",0)</f>
        <v>Veer Ray</v>
      </c>
      <c r="M735" s="18" t="str">
        <f>_xlfn.XLOOKUP(tblMaster[[#This Row],[Customer_ID]],tblCustomers[Customer_ID],tblCustomers[Gender],"Not Found",0)</f>
        <v>Female</v>
      </c>
      <c r="N735" s="18" t="str">
        <f>_xlfn.XLOOKUP(tblMaster[[#This Row],[Product_ID]],tblProducts[Product_ID],tblProducts[Product_Name],"Not Found",0)</f>
        <v>Voluptate Pack</v>
      </c>
      <c r="O735" s="18" t="str">
        <f>_xlfn.XLOOKUP(tblMaster[[#This Row],[Product_ID]],tblProducts[Product_ID],tblProducts[Category],"Not Found",0)</f>
        <v>Colors</v>
      </c>
      <c r="P735" s="18" t="str">
        <f>_xlfn.XLOOKUP(tblMaster[[#This Row],[Product_ID]],tblProducts[Product_ID],tblProducts[Occasion],"Not Found",0)</f>
        <v>Valentine's Day</v>
      </c>
      <c r="Q735" s="18">
        <f>_xlfn.XLOOKUP(tblMaster[[#This Row],[Product_ID]],tblProducts[Product_ID],tblProducts[Price (INR)],"Not Found",0)</f>
        <v>903</v>
      </c>
      <c r="R735" s="19">
        <f>tblMaster[[#This Row],[Price]]*tblMaster[[#This Row],[Quantity]]</f>
        <v>2709</v>
      </c>
      <c r="S735" s="19">
        <f>tblMaster[[#This Row],[Price]]*0.7*tblMaster[[#This Row],[Quantity]]</f>
        <v>1896.2999999999997</v>
      </c>
      <c r="T735" s="19">
        <f>tblMaster[[#This Row],[Revenue]]-tblMaster[[#This Row],[Estimated Cost (at 70%) ]]</f>
        <v>812.70000000000027</v>
      </c>
      <c r="U735" s="19">
        <f>tblMaster[[#This Row],[Profit]]/tblMaster[[#This Row],[Revenue]]</f>
        <v>0.3000000000000001</v>
      </c>
      <c r="V735" s="19">
        <f>tblMaster[[#This Row],[Delivery_Date]]-tblMaster[[#This Row],[Order_Date]]</f>
        <v>3</v>
      </c>
      <c r="W735" s="19" t="str">
        <f>TEXT(tblMaster[[#This Row],[Order_Date]],"mmmm")</f>
        <v>February</v>
      </c>
      <c r="X735" s="19">
        <f>MONTH(tblMaster[[#This Row],[Order_Date]])</f>
        <v>2</v>
      </c>
      <c r="Y735" s="19" t="str">
        <f>"Q"&amp;ROUNDUP(tblMaster[[#This Row],[Month Number]]/3,0)</f>
        <v>Q1</v>
      </c>
      <c r="Z735" s="19">
        <f>YEAR(tblMaster[[#This Row],[Order_Date]])</f>
        <v>2023</v>
      </c>
      <c r="AA735" s="19" t="str">
        <f>TEXT(DAY(tblMaster[[#This Row],[Order_Date]]),"dddd")</f>
        <v>Wednesday</v>
      </c>
      <c r="AB735" s="19" t="str">
        <f>IF(tblMaster[[#This Row],[Revenue]]&gt;=5000,"High",IF(tblMaster[[#This Row],[Revenue]]&lt;2000,"Low","Medium"))</f>
        <v>Medium</v>
      </c>
    </row>
    <row r="736" spans="1:28" x14ac:dyDescent="0.25">
      <c r="A736" s="7">
        <v>735</v>
      </c>
      <c r="B736" s="7" t="s">
        <v>166</v>
      </c>
      <c r="C736" s="4">
        <v>56</v>
      </c>
      <c r="D736" s="4">
        <v>1</v>
      </c>
      <c r="E736" s="8">
        <v>44959</v>
      </c>
      <c r="F736" s="9">
        <v>0.30724537037037036</v>
      </c>
      <c r="G736" s="8">
        <v>44961</v>
      </c>
      <c r="H736" s="9">
        <v>0.24858796296296296</v>
      </c>
      <c r="I736" s="7" t="s">
        <v>219</v>
      </c>
      <c r="J736" s="7" t="s">
        <v>30</v>
      </c>
      <c r="K736" s="18" t="str">
        <f>_xlfn.XLOOKUP(tblMaster[[#This Row],[Customer_ID]],tblCustomers[Customer_ID],tblCustomers[City],"Not Found",0)</f>
        <v>Davanagere</v>
      </c>
      <c r="L736" s="18" t="str">
        <f>_xlfn.XLOOKUP(tblMaster[[#This Row],[Customer_ID]],tblCustomers[Customer_ID],tblCustomers[Name],"Not Found",0)</f>
        <v>Aradhya Kumar</v>
      </c>
      <c r="M736" s="18" t="str">
        <f>_xlfn.XLOOKUP(tblMaster[[#This Row],[Customer_ID]],tblCustomers[Customer_ID],tblCustomers[Gender],"Not Found",0)</f>
        <v>Male</v>
      </c>
      <c r="N736" s="18" t="str">
        <f>_xlfn.XLOOKUP(tblMaster[[#This Row],[Product_ID]],tblProducts[Product_ID],tblProducts[Product_Name],"Not Found",0)</f>
        <v>Quia Gift</v>
      </c>
      <c r="O736" s="18" t="str">
        <f>_xlfn.XLOOKUP(tblMaster[[#This Row],[Product_ID]],tblProducts[Product_ID],tblProducts[Category],"Not Found",0)</f>
        <v>Raksha Bandhan</v>
      </c>
      <c r="P736" s="18" t="str">
        <f>_xlfn.XLOOKUP(tblMaster[[#This Row],[Product_ID]],tblProducts[Product_ID],tblProducts[Occasion],"Not Found",0)</f>
        <v>Anniversary</v>
      </c>
      <c r="Q736" s="18">
        <f>_xlfn.XLOOKUP(tblMaster[[#This Row],[Product_ID]],tblProducts[Product_ID],tblProducts[Price (INR)],"Not Found",0)</f>
        <v>1272</v>
      </c>
      <c r="R736" s="19">
        <f>tblMaster[[#This Row],[Price]]*tblMaster[[#This Row],[Quantity]]</f>
        <v>1272</v>
      </c>
      <c r="S736" s="19">
        <f>tblMaster[[#This Row],[Price]]*0.7*tblMaster[[#This Row],[Quantity]]</f>
        <v>890.4</v>
      </c>
      <c r="T736" s="19">
        <f>tblMaster[[#This Row],[Revenue]]-tblMaster[[#This Row],[Estimated Cost (at 70%) ]]</f>
        <v>381.6</v>
      </c>
      <c r="U736" s="19">
        <f>tblMaster[[#This Row],[Profit]]/tblMaster[[#This Row],[Revenue]]</f>
        <v>0.30000000000000004</v>
      </c>
      <c r="V736" s="19">
        <f>tblMaster[[#This Row],[Delivery_Date]]-tblMaster[[#This Row],[Order_Date]]</f>
        <v>2</v>
      </c>
      <c r="W736" s="19" t="str">
        <f>TEXT(tblMaster[[#This Row],[Order_Date]],"mmmm")</f>
        <v>February</v>
      </c>
      <c r="X736" s="19">
        <f>MONTH(tblMaster[[#This Row],[Order_Date]])</f>
        <v>2</v>
      </c>
      <c r="Y736" s="19" t="str">
        <f>"Q"&amp;ROUNDUP(tblMaster[[#This Row],[Month Number]]/3,0)</f>
        <v>Q1</v>
      </c>
      <c r="Z736" s="19">
        <f>YEAR(tblMaster[[#This Row],[Order_Date]])</f>
        <v>2023</v>
      </c>
      <c r="AA736" s="19" t="str">
        <f>TEXT(DAY(tblMaster[[#This Row],[Order_Date]]),"dddd")</f>
        <v>Monday</v>
      </c>
      <c r="AB736" s="19" t="str">
        <f>IF(tblMaster[[#This Row],[Revenue]]&gt;=5000,"High",IF(tblMaster[[#This Row],[Revenue]]&lt;2000,"Low","Medium"))</f>
        <v>Low</v>
      </c>
    </row>
    <row r="737" spans="1:28" x14ac:dyDescent="0.25">
      <c r="A737" s="10">
        <v>736</v>
      </c>
      <c r="B737" s="10" t="s">
        <v>289</v>
      </c>
      <c r="C737" s="5">
        <v>70</v>
      </c>
      <c r="D737" s="5">
        <v>5</v>
      </c>
      <c r="E737" s="11">
        <v>45048</v>
      </c>
      <c r="F737" s="12">
        <v>0.15768518518518518</v>
      </c>
      <c r="G737" s="11">
        <v>45057</v>
      </c>
      <c r="H737" s="12">
        <v>0.19356481481481483</v>
      </c>
      <c r="I737" s="10" t="s">
        <v>485</v>
      </c>
      <c r="J737" s="10" t="s">
        <v>36</v>
      </c>
      <c r="K737" s="18" t="str">
        <f>_xlfn.XLOOKUP(tblMaster[[#This Row],[Customer_ID]],tblCustomers[Customer_ID],tblCustomers[City],"Not Found",0)</f>
        <v>Chinsurah</v>
      </c>
      <c r="L737" s="18" t="str">
        <f>_xlfn.XLOOKUP(tblMaster[[#This Row],[Customer_ID]],tblCustomers[Customer_ID],tblCustomers[Name],"Not Found",0)</f>
        <v>Veer Ray</v>
      </c>
      <c r="M737" s="18" t="str">
        <f>_xlfn.XLOOKUP(tblMaster[[#This Row],[Customer_ID]],tblCustomers[Customer_ID],tblCustomers[Gender],"Not Found",0)</f>
        <v>Female</v>
      </c>
      <c r="N737" s="18" t="str">
        <f>_xlfn.XLOOKUP(tblMaster[[#This Row],[Product_ID]],tblProducts[Product_ID],tblProducts[Product_Name],"Not Found",0)</f>
        <v>Error Gift</v>
      </c>
      <c r="O737" s="18" t="str">
        <f>_xlfn.XLOOKUP(tblMaster[[#This Row],[Product_ID]],tblProducts[Product_ID],tblProducts[Category],"Not Found",0)</f>
        <v>Sweets</v>
      </c>
      <c r="P737" s="18" t="str">
        <f>_xlfn.XLOOKUP(tblMaster[[#This Row],[Product_ID]],tblProducts[Product_ID],tblProducts[Occasion],"Not Found",0)</f>
        <v>Birthday</v>
      </c>
      <c r="Q737" s="18">
        <f>_xlfn.XLOOKUP(tblMaster[[#This Row],[Product_ID]],tblProducts[Product_ID],tblProducts[Price (INR)],"Not Found",0)</f>
        <v>866</v>
      </c>
      <c r="R737" s="19">
        <f>tblMaster[[#This Row],[Price]]*tblMaster[[#This Row],[Quantity]]</f>
        <v>4330</v>
      </c>
      <c r="S737" s="19">
        <f>tblMaster[[#This Row],[Price]]*0.7*tblMaster[[#This Row],[Quantity]]</f>
        <v>3030.9999999999995</v>
      </c>
      <c r="T737" s="19">
        <f>tblMaster[[#This Row],[Revenue]]-tblMaster[[#This Row],[Estimated Cost (at 70%) ]]</f>
        <v>1299.0000000000005</v>
      </c>
      <c r="U737" s="19">
        <f>tblMaster[[#This Row],[Profit]]/tblMaster[[#This Row],[Revenue]]</f>
        <v>0.3000000000000001</v>
      </c>
      <c r="V737" s="19">
        <f>tblMaster[[#This Row],[Delivery_Date]]-tblMaster[[#This Row],[Order_Date]]</f>
        <v>9</v>
      </c>
      <c r="W737" s="19" t="str">
        <f>TEXT(tblMaster[[#This Row],[Order_Date]],"mmmm")</f>
        <v>May</v>
      </c>
      <c r="X737" s="19">
        <f>MONTH(tblMaster[[#This Row],[Order_Date]])</f>
        <v>5</v>
      </c>
      <c r="Y737" s="19" t="str">
        <f>"Q"&amp;ROUNDUP(tblMaster[[#This Row],[Month Number]]/3,0)</f>
        <v>Q2</v>
      </c>
      <c r="Z737" s="19">
        <f>YEAR(tblMaster[[#This Row],[Order_Date]])</f>
        <v>2023</v>
      </c>
      <c r="AA737" s="19" t="str">
        <f>TEXT(DAY(tblMaster[[#This Row],[Order_Date]]),"dddd")</f>
        <v>Monday</v>
      </c>
      <c r="AB737" s="19" t="str">
        <f>IF(tblMaster[[#This Row],[Revenue]]&gt;=5000,"High",IF(tblMaster[[#This Row],[Revenue]]&lt;2000,"Low","Medium"))</f>
        <v>Medium</v>
      </c>
    </row>
    <row r="738" spans="1:28" x14ac:dyDescent="0.25">
      <c r="A738" s="7">
        <v>737</v>
      </c>
      <c r="B738" s="7" t="s">
        <v>388</v>
      </c>
      <c r="C738" s="4">
        <v>46</v>
      </c>
      <c r="D738" s="4">
        <v>5</v>
      </c>
      <c r="E738" s="8">
        <v>45183</v>
      </c>
      <c r="F738" s="9">
        <v>0.31655092592592593</v>
      </c>
      <c r="G738" s="8">
        <v>45186</v>
      </c>
      <c r="H738" s="9">
        <v>0.56741898148148151</v>
      </c>
      <c r="I738" s="7" t="s">
        <v>338</v>
      </c>
      <c r="J738" s="7" t="s">
        <v>30</v>
      </c>
      <c r="K738" s="18" t="str">
        <f>_xlfn.XLOOKUP(tblMaster[[#This Row],[Customer_ID]],tblCustomers[Customer_ID],tblCustomers[City],"Not Found",0)</f>
        <v>Kalyan-Dombivli</v>
      </c>
      <c r="L738" s="18" t="str">
        <f>_xlfn.XLOOKUP(tblMaster[[#This Row],[Customer_ID]],tblCustomers[Customer_ID],tblCustomers[Name],"Not Found",0)</f>
        <v>Ritvik Garde</v>
      </c>
      <c r="M738" s="18" t="str">
        <f>_xlfn.XLOOKUP(tblMaster[[#This Row],[Customer_ID]],tblCustomers[Customer_ID],tblCustomers[Gender],"Not Found",0)</f>
        <v>Male</v>
      </c>
      <c r="N738" s="18" t="str">
        <f>_xlfn.XLOOKUP(tblMaster[[#This Row],[Product_ID]],tblProducts[Product_ID],tblProducts[Product_Name],"Not Found",0)</f>
        <v>Pariatur Set</v>
      </c>
      <c r="O738" s="18" t="str">
        <f>_xlfn.XLOOKUP(tblMaster[[#This Row],[Product_ID]],tblProducts[Product_ID],tblProducts[Category],"Not Found",0)</f>
        <v>Cake</v>
      </c>
      <c r="P738" s="18" t="str">
        <f>_xlfn.XLOOKUP(tblMaster[[#This Row],[Product_ID]],tblProducts[Product_ID],tblProducts[Occasion],"Not Found",0)</f>
        <v>Anniversary</v>
      </c>
      <c r="Q738" s="18">
        <f>_xlfn.XLOOKUP(tblMaster[[#This Row],[Product_ID]],tblProducts[Product_ID],tblProducts[Price (INR)],"Not Found",0)</f>
        <v>758</v>
      </c>
      <c r="R738" s="19">
        <f>tblMaster[[#This Row],[Price]]*tblMaster[[#This Row],[Quantity]]</f>
        <v>3790</v>
      </c>
      <c r="S738" s="19">
        <f>tblMaster[[#This Row],[Price]]*0.7*tblMaster[[#This Row],[Quantity]]</f>
        <v>2653</v>
      </c>
      <c r="T738" s="19">
        <f>tblMaster[[#This Row],[Revenue]]-tblMaster[[#This Row],[Estimated Cost (at 70%) ]]</f>
        <v>1137</v>
      </c>
      <c r="U738" s="19">
        <f>tblMaster[[#This Row],[Profit]]/tblMaster[[#This Row],[Revenue]]</f>
        <v>0.3</v>
      </c>
      <c r="V738" s="19">
        <f>tblMaster[[#This Row],[Delivery_Date]]-tblMaster[[#This Row],[Order_Date]]</f>
        <v>3</v>
      </c>
      <c r="W738" s="19" t="str">
        <f>TEXT(tblMaster[[#This Row],[Order_Date]],"mmmm")</f>
        <v>September</v>
      </c>
      <c r="X738" s="19">
        <f>MONTH(tblMaster[[#This Row],[Order_Date]])</f>
        <v>9</v>
      </c>
      <c r="Y738" s="19" t="str">
        <f>"Q"&amp;ROUNDUP(tblMaster[[#This Row],[Month Number]]/3,0)</f>
        <v>Q3</v>
      </c>
      <c r="Z738" s="19">
        <f>YEAR(tblMaster[[#This Row],[Order_Date]])</f>
        <v>2023</v>
      </c>
      <c r="AA738" s="19" t="str">
        <f>TEXT(DAY(tblMaster[[#This Row],[Order_Date]]),"dddd")</f>
        <v>Saturday</v>
      </c>
      <c r="AB738" s="19" t="str">
        <f>IF(tblMaster[[#This Row],[Revenue]]&gt;=5000,"High",IF(tblMaster[[#This Row],[Revenue]]&lt;2000,"Low","Medium"))</f>
        <v>Medium</v>
      </c>
    </row>
    <row r="739" spans="1:28" x14ac:dyDescent="0.25">
      <c r="A739" s="10">
        <v>738</v>
      </c>
      <c r="B739" s="10" t="s">
        <v>413</v>
      </c>
      <c r="C739" s="5">
        <v>16</v>
      </c>
      <c r="D739" s="5">
        <v>5</v>
      </c>
      <c r="E739" s="11">
        <v>44988</v>
      </c>
      <c r="F739" s="12">
        <v>0.68307870370370372</v>
      </c>
      <c r="G739" s="11">
        <v>44994</v>
      </c>
      <c r="H739" s="12">
        <v>6.7037037037037034E-2</v>
      </c>
      <c r="I739" s="10" t="s">
        <v>474</v>
      </c>
      <c r="J739" s="10" t="s">
        <v>25</v>
      </c>
      <c r="K739" s="18" t="str">
        <f>_xlfn.XLOOKUP(tblMaster[[#This Row],[Customer_ID]],tblCustomers[Customer_ID],tblCustomers[City],"Not Found",0)</f>
        <v>Cuttack</v>
      </c>
      <c r="L739" s="18" t="str">
        <f>_xlfn.XLOOKUP(tblMaster[[#This Row],[Customer_ID]],tblCustomers[Customer_ID],tblCustomers[Name],"Not Found",0)</f>
        <v>Navya Golla</v>
      </c>
      <c r="M739" s="18" t="str">
        <f>_xlfn.XLOOKUP(tblMaster[[#This Row],[Customer_ID]],tblCustomers[Customer_ID],tblCustomers[Gender],"Not Found",0)</f>
        <v>Male</v>
      </c>
      <c r="N739" s="18" t="str">
        <f>_xlfn.XLOOKUP(tblMaster[[#This Row],[Product_ID]],tblProducts[Product_ID],tblProducts[Product_Name],"Not Found",0)</f>
        <v>Ut Pack</v>
      </c>
      <c r="O739" s="18" t="str">
        <f>_xlfn.XLOOKUP(tblMaster[[#This Row],[Product_ID]],tblProducts[Product_ID],tblProducts[Category],"Not Found",0)</f>
        <v>Sweets</v>
      </c>
      <c r="P739" s="18" t="str">
        <f>_xlfn.XLOOKUP(tblMaster[[#This Row],[Product_ID]],tblProducts[Product_ID],tblProducts[Occasion],"Not Found",0)</f>
        <v>Holi</v>
      </c>
      <c r="Q739" s="18">
        <f>_xlfn.XLOOKUP(tblMaster[[#This Row],[Product_ID]],tblProducts[Product_ID],tblProducts[Price (INR)],"Not Found",0)</f>
        <v>1721</v>
      </c>
      <c r="R739" s="19">
        <f>tblMaster[[#This Row],[Price]]*tblMaster[[#This Row],[Quantity]]</f>
        <v>8605</v>
      </c>
      <c r="S739" s="19">
        <f>tblMaster[[#This Row],[Price]]*0.7*tblMaster[[#This Row],[Quantity]]</f>
        <v>6023.4999999999991</v>
      </c>
      <c r="T739" s="19">
        <f>tblMaster[[#This Row],[Revenue]]-tblMaster[[#This Row],[Estimated Cost (at 70%) ]]</f>
        <v>2581.5000000000009</v>
      </c>
      <c r="U739" s="19">
        <f>tblMaster[[#This Row],[Profit]]/tblMaster[[#This Row],[Revenue]]</f>
        <v>0.3000000000000001</v>
      </c>
      <c r="V739" s="19">
        <f>tblMaster[[#This Row],[Delivery_Date]]-tblMaster[[#This Row],[Order_Date]]</f>
        <v>6</v>
      </c>
      <c r="W739" s="19" t="str">
        <f>TEXT(tblMaster[[#This Row],[Order_Date]],"mmmm")</f>
        <v>March</v>
      </c>
      <c r="X739" s="19">
        <f>MONTH(tblMaster[[#This Row],[Order_Date]])</f>
        <v>3</v>
      </c>
      <c r="Y739" s="19" t="str">
        <f>"Q"&amp;ROUNDUP(tblMaster[[#This Row],[Month Number]]/3,0)</f>
        <v>Q1</v>
      </c>
      <c r="Z739" s="19">
        <f>YEAR(tblMaster[[#This Row],[Order_Date]])</f>
        <v>2023</v>
      </c>
      <c r="AA739" s="19" t="str">
        <f>TEXT(DAY(tblMaster[[#This Row],[Order_Date]]),"dddd")</f>
        <v>Tuesday</v>
      </c>
      <c r="AB739" s="19" t="str">
        <f>IF(tblMaster[[#This Row],[Revenue]]&gt;=5000,"High",IF(tblMaster[[#This Row],[Revenue]]&lt;2000,"Low","Medium"))</f>
        <v>High</v>
      </c>
    </row>
    <row r="740" spans="1:28" x14ac:dyDescent="0.25">
      <c r="A740" s="7">
        <v>739</v>
      </c>
      <c r="B740" s="7" t="s">
        <v>365</v>
      </c>
      <c r="C740" s="4">
        <v>24</v>
      </c>
      <c r="D740" s="4">
        <v>5</v>
      </c>
      <c r="E740" s="8">
        <v>44956</v>
      </c>
      <c r="F740" s="9">
        <v>0.40543981481481484</v>
      </c>
      <c r="G740" s="8">
        <v>44960</v>
      </c>
      <c r="H740" s="9">
        <v>0.43996527777777777</v>
      </c>
      <c r="I740" s="7" t="s">
        <v>273</v>
      </c>
      <c r="J740" s="7" t="s">
        <v>36</v>
      </c>
      <c r="K740" s="18" t="str">
        <f>_xlfn.XLOOKUP(tblMaster[[#This Row],[Customer_ID]],tblCustomers[Customer_ID],tblCustomers[City],"Not Found",0)</f>
        <v>Deoghar</v>
      </c>
      <c r="L740" s="18" t="str">
        <f>_xlfn.XLOOKUP(tblMaster[[#This Row],[Customer_ID]],tblCustomers[Customer_ID],tblCustomers[Name],"Not Found",0)</f>
        <v>Raghav Babu</v>
      </c>
      <c r="M740" s="18" t="str">
        <f>_xlfn.XLOOKUP(tblMaster[[#This Row],[Customer_ID]],tblCustomers[Customer_ID],tblCustomers[Gender],"Not Found",0)</f>
        <v>Female</v>
      </c>
      <c r="N740" s="18" t="str">
        <f>_xlfn.XLOOKUP(tblMaster[[#This Row],[Product_ID]],tblProducts[Product_ID],tblProducts[Product_Name],"Not Found",0)</f>
        <v>Ad Box</v>
      </c>
      <c r="O740" s="18" t="str">
        <f>_xlfn.XLOOKUP(tblMaster[[#This Row],[Product_ID]],tblProducts[Product_ID],tblProducts[Category],"Not Found",0)</f>
        <v>Mugs</v>
      </c>
      <c r="P740" s="18" t="str">
        <f>_xlfn.XLOOKUP(tblMaster[[#This Row],[Product_ID]],tblProducts[Product_ID],tblProducts[Occasion],"Not Found",0)</f>
        <v>Birthday</v>
      </c>
      <c r="Q740" s="18">
        <f>_xlfn.XLOOKUP(tblMaster[[#This Row],[Product_ID]],tblProducts[Product_ID],tblProducts[Price (INR)],"Not Found",0)</f>
        <v>535</v>
      </c>
      <c r="R740" s="19">
        <f>tblMaster[[#This Row],[Price]]*tblMaster[[#This Row],[Quantity]]</f>
        <v>2675</v>
      </c>
      <c r="S740" s="19">
        <f>tblMaster[[#This Row],[Price]]*0.7*tblMaster[[#This Row],[Quantity]]</f>
        <v>1872.5</v>
      </c>
      <c r="T740" s="19">
        <f>tblMaster[[#This Row],[Revenue]]-tblMaster[[#This Row],[Estimated Cost (at 70%) ]]</f>
        <v>802.5</v>
      </c>
      <c r="U740" s="19">
        <f>tblMaster[[#This Row],[Profit]]/tblMaster[[#This Row],[Revenue]]</f>
        <v>0.3</v>
      </c>
      <c r="V740" s="19">
        <f>tblMaster[[#This Row],[Delivery_Date]]-tblMaster[[#This Row],[Order_Date]]</f>
        <v>4</v>
      </c>
      <c r="W740" s="19" t="str">
        <f>TEXT(tblMaster[[#This Row],[Order_Date]],"mmmm")</f>
        <v>January</v>
      </c>
      <c r="X740" s="19">
        <f>MONTH(tblMaster[[#This Row],[Order_Date]])</f>
        <v>1</v>
      </c>
      <c r="Y740" s="19" t="str">
        <f>"Q"&amp;ROUNDUP(tblMaster[[#This Row],[Month Number]]/3,0)</f>
        <v>Q1</v>
      </c>
      <c r="Z740" s="19">
        <f>YEAR(tblMaster[[#This Row],[Order_Date]])</f>
        <v>2023</v>
      </c>
      <c r="AA740" s="19" t="str">
        <f>TEXT(DAY(tblMaster[[#This Row],[Order_Date]]),"dddd")</f>
        <v>Monday</v>
      </c>
      <c r="AB740" s="19" t="str">
        <f>IF(tblMaster[[#This Row],[Revenue]]&gt;=5000,"High",IF(tblMaster[[#This Row],[Revenue]]&lt;2000,"Low","Medium"))</f>
        <v>Medium</v>
      </c>
    </row>
    <row r="741" spans="1:28" x14ac:dyDescent="0.25">
      <c r="A741" s="10">
        <v>740</v>
      </c>
      <c r="B741" s="10" t="s">
        <v>400</v>
      </c>
      <c r="C741" s="5">
        <v>56</v>
      </c>
      <c r="D741" s="5">
        <v>4</v>
      </c>
      <c r="E741" s="11">
        <v>45237</v>
      </c>
      <c r="F741" s="12">
        <v>0.67497685185185186</v>
      </c>
      <c r="G741" s="11">
        <v>45242</v>
      </c>
      <c r="H741" s="12">
        <v>0.42211805555555554</v>
      </c>
      <c r="I741" s="10" t="s">
        <v>541</v>
      </c>
      <c r="J741" s="10" t="s">
        <v>30</v>
      </c>
      <c r="K741" s="18" t="str">
        <f>_xlfn.XLOOKUP(tblMaster[[#This Row],[Customer_ID]],tblCustomers[Customer_ID],tblCustomers[City],"Not Found",0)</f>
        <v>Miryalaguda</v>
      </c>
      <c r="L741" s="18" t="str">
        <f>_xlfn.XLOOKUP(tblMaster[[#This Row],[Customer_ID]],tblCustomers[Customer_ID],tblCustomers[Name],"Not Found",0)</f>
        <v>Tarini Bava</v>
      </c>
      <c r="M741" s="18" t="str">
        <f>_xlfn.XLOOKUP(tblMaster[[#This Row],[Customer_ID]],tblCustomers[Customer_ID],tblCustomers[Gender],"Not Found",0)</f>
        <v>Male</v>
      </c>
      <c r="N741" s="18" t="str">
        <f>_xlfn.XLOOKUP(tblMaster[[#This Row],[Product_ID]],tblProducts[Product_ID],tblProducts[Product_Name],"Not Found",0)</f>
        <v>Quia Gift</v>
      </c>
      <c r="O741" s="18" t="str">
        <f>_xlfn.XLOOKUP(tblMaster[[#This Row],[Product_ID]],tblProducts[Product_ID],tblProducts[Category],"Not Found",0)</f>
        <v>Raksha Bandhan</v>
      </c>
      <c r="P741" s="18" t="str">
        <f>_xlfn.XLOOKUP(tblMaster[[#This Row],[Product_ID]],tblProducts[Product_ID],tblProducts[Occasion],"Not Found",0)</f>
        <v>Anniversary</v>
      </c>
      <c r="Q741" s="18">
        <f>_xlfn.XLOOKUP(tblMaster[[#This Row],[Product_ID]],tblProducts[Product_ID],tblProducts[Price (INR)],"Not Found",0)</f>
        <v>1272</v>
      </c>
      <c r="R741" s="19">
        <f>tblMaster[[#This Row],[Price]]*tblMaster[[#This Row],[Quantity]]</f>
        <v>5088</v>
      </c>
      <c r="S741" s="19">
        <f>tblMaster[[#This Row],[Price]]*0.7*tblMaster[[#This Row],[Quantity]]</f>
        <v>3561.6</v>
      </c>
      <c r="T741" s="19">
        <f>tblMaster[[#This Row],[Revenue]]-tblMaster[[#This Row],[Estimated Cost (at 70%) ]]</f>
        <v>1526.4</v>
      </c>
      <c r="U741" s="19">
        <f>tblMaster[[#This Row],[Profit]]/tblMaster[[#This Row],[Revenue]]</f>
        <v>0.30000000000000004</v>
      </c>
      <c r="V741" s="19">
        <f>tblMaster[[#This Row],[Delivery_Date]]-tblMaster[[#This Row],[Order_Date]]</f>
        <v>5</v>
      </c>
      <c r="W741" s="19" t="str">
        <f>TEXT(tblMaster[[#This Row],[Order_Date]],"mmmm")</f>
        <v>November</v>
      </c>
      <c r="X741" s="19">
        <f>MONTH(tblMaster[[#This Row],[Order_Date]])</f>
        <v>11</v>
      </c>
      <c r="Y741" s="19" t="str">
        <f>"Q"&amp;ROUNDUP(tblMaster[[#This Row],[Month Number]]/3,0)</f>
        <v>Q4</v>
      </c>
      <c r="Z741" s="19">
        <f>YEAR(tblMaster[[#This Row],[Order_Date]])</f>
        <v>2023</v>
      </c>
      <c r="AA741" s="19" t="str">
        <f>TEXT(DAY(tblMaster[[#This Row],[Order_Date]]),"dddd")</f>
        <v>Saturday</v>
      </c>
      <c r="AB741" s="19" t="str">
        <f>IF(tblMaster[[#This Row],[Revenue]]&gt;=5000,"High",IF(tblMaster[[#This Row],[Revenue]]&lt;2000,"Low","Medium"))</f>
        <v>High</v>
      </c>
    </row>
    <row r="742" spans="1:28" x14ac:dyDescent="0.25">
      <c r="A742" s="7">
        <v>741</v>
      </c>
      <c r="B742" s="7" t="s">
        <v>197</v>
      </c>
      <c r="C742" s="4">
        <v>53</v>
      </c>
      <c r="D742" s="4">
        <v>5</v>
      </c>
      <c r="E742" s="8">
        <v>45161</v>
      </c>
      <c r="F742" s="9">
        <v>0.53274305555555557</v>
      </c>
      <c r="G742" s="8">
        <v>45170</v>
      </c>
      <c r="H742" s="9">
        <v>0.90091435185185187</v>
      </c>
      <c r="I742" s="7" t="s">
        <v>434</v>
      </c>
      <c r="J742" s="7" t="s">
        <v>33</v>
      </c>
      <c r="K742" s="18" t="str">
        <f>_xlfn.XLOOKUP(tblMaster[[#This Row],[Customer_ID]],tblCustomers[Customer_ID],tblCustomers[City],"Not Found",0)</f>
        <v>Hyderabad</v>
      </c>
      <c r="L742" s="18" t="str">
        <f>_xlfn.XLOOKUP(tblMaster[[#This Row],[Customer_ID]],tblCustomers[Customer_ID],tblCustomers[Name],"Not Found",0)</f>
        <v>Charvi Karnik</v>
      </c>
      <c r="M742" s="18" t="str">
        <f>_xlfn.XLOOKUP(tblMaster[[#This Row],[Customer_ID]],tblCustomers[Customer_ID],tblCustomers[Gender],"Not Found",0)</f>
        <v>Male</v>
      </c>
      <c r="N742" s="18" t="str">
        <f>_xlfn.XLOOKUP(tblMaster[[#This Row],[Product_ID]],tblProducts[Product_ID],tblProducts[Product_Name],"Not Found",0)</f>
        <v>Ipsam Set</v>
      </c>
      <c r="O742" s="18" t="str">
        <f>_xlfn.XLOOKUP(tblMaster[[#This Row],[Product_ID]],tblProducts[Product_ID],tblProducts[Category],"Not Found",0)</f>
        <v>Sweets</v>
      </c>
      <c r="P742" s="18" t="str">
        <f>_xlfn.XLOOKUP(tblMaster[[#This Row],[Product_ID]],tblProducts[Product_ID],tblProducts[Occasion],"Not Found",0)</f>
        <v>Raksha Bandhan</v>
      </c>
      <c r="Q742" s="18">
        <f>_xlfn.XLOOKUP(tblMaster[[#This Row],[Product_ID]],tblProducts[Product_ID],tblProducts[Price (INR)],"Not Found",0)</f>
        <v>1672</v>
      </c>
      <c r="R742" s="19">
        <f>tblMaster[[#This Row],[Price]]*tblMaster[[#This Row],[Quantity]]</f>
        <v>8360</v>
      </c>
      <c r="S742" s="19">
        <f>tblMaster[[#This Row],[Price]]*0.7*tblMaster[[#This Row],[Quantity]]</f>
        <v>5851.9999999999991</v>
      </c>
      <c r="T742" s="19">
        <f>tblMaster[[#This Row],[Revenue]]-tblMaster[[#This Row],[Estimated Cost (at 70%) ]]</f>
        <v>2508.0000000000009</v>
      </c>
      <c r="U742" s="19">
        <f>tblMaster[[#This Row],[Profit]]/tblMaster[[#This Row],[Revenue]]</f>
        <v>0.3000000000000001</v>
      </c>
      <c r="V742" s="19">
        <f>tblMaster[[#This Row],[Delivery_Date]]-tblMaster[[#This Row],[Order_Date]]</f>
        <v>9</v>
      </c>
      <c r="W742" s="19" t="str">
        <f>TEXT(tblMaster[[#This Row],[Order_Date]],"mmmm")</f>
        <v>August</v>
      </c>
      <c r="X742" s="19">
        <f>MONTH(tblMaster[[#This Row],[Order_Date]])</f>
        <v>8</v>
      </c>
      <c r="Y742" s="19" t="str">
        <f>"Q"&amp;ROUNDUP(tblMaster[[#This Row],[Month Number]]/3,0)</f>
        <v>Q3</v>
      </c>
      <c r="Z742" s="19">
        <f>YEAR(tblMaster[[#This Row],[Order_Date]])</f>
        <v>2023</v>
      </c>
      <c r="AA742" s="19" t="str">
        <f>TEXT(DAY(tblMaster[[#This Row],[Order_Date]]),"dddd")</f>
        <v>Monday</v>
      </c>
      <c r="AB742" s="19" t="str">
        <f>IF(tblMaster[[#This Row],[Revenue]]&gt;=5000,"High",IF(tblMaster[[#This Row],[Revenue]]&lt;2000,"Low","Medium"))</f>
        <v>High</v>
      </c>
    </row>
    <row r="743" spans="1:28" x14ac:dyDescent="0.25">
      <c r="A743" s="10">
        <v>742</v>
      </c>
      <c r="B743" s="10" t="s">
        <v>402</v>
      </c>
      <c r="C743" s="5">
        <v>53</v>
      </c>
      <c r="D743" s="5">
        <v>5</v>
      </c>
      <c r="E743" s="11">
        <v>45162</v>
      </c>
      <c r="F743" s="12">
        <v>0.82646990740740744</v>
      </c>
      <c r="G743" s="11">
        <v>45164</v>
      </c>
      <c r="H743" s="12">
        <v>0.6653472222222222</v>
      </c>
      <c r="I743" s="10" t="s">
        <v>473</v>
      </c>
      <c r="J743" s="10" t="s">
        <v>33</v>
      </c>
      <c r="K743" s="18" t="str">
        <f>_xlfn.XLOOKUP(tblMaster[[#This Row],[Customer_ID]],tblCustomers[Customer_ID],tblCustomers[City],"Not Found",0)</f>
        <v>Nellore</v>
      </c>
      <c r="L743" s="18" t="str">
        <f>_xlfn.XLOOKUP(tblMaster[[#This Row],[Customer_ID]],tblCustomers[Customer_ID],tblCustomers[Name],"Not Found",0)</f>
        <v>Oorja Dey</v>
      </c>
      <c r="M743" s="18" t="str">
        <f>_xlfn.XLOOKUP(tblMaster[[#This Row],[Customer_ID]],tblCustomers[Customer_ID],tblCustomers[Gender],"Not Found",0)</f>
        <v>Female</v>
      </c>
      <c r="N743" s="18" t="str">
        <f>_xlfn.XLOOKUP(tblMaster[[#This Row],[Product_ID]],tblProducts[Product_ID],tblProducts[Product_Name],"Not Found",0)</f>
        <v>Ipsam Set</v>
      </c>
      <c r="O743" s="18" t="str">
        <f>_xlfn.XLOOKUP(tblMaster[[#This Row],[Product_ID]],tblProducts[Product_ID],tblProducts[Category],"Not Found",0)</f>
        <v>Sweets</v>
      </c>
      <c r="P743" s="18" t="str">
        <f>_xlfn.XLOOKUP(tblMaster[[#This Row],[Product_ID]],tblProducts[Product_ID],tblProducts[Occasion],"Not Found",0)</f>
        <v>Raksha Bandhan</v>
      </c>
      <c r="Q743" s="18">
        <f>_xlfn.XLOOKUP(tblMaster[[#This Row],[Product_ID]],tblProducts[Product_ID],tblProducts[Price (INR)],"Not Found",0)</f>
        <v>1672</v>
      </c>
      <c r="R743" s="19">
        <f>tblMaster[[#This Row],[Price]]*tblMaster[[#This Row],[Quantity]]</f>
        <v>8360</v>
      </c>
      <c r="S743" s="19">
        <f>tblMaster[[#This Row],[Price]]*0.7*tblMaster[[#This Row],[Quantity]]</f>
        <v>5851.9999999999991</v>
      </c>
      <c r="T743" s="19">
        <f>tblMaster[[#This Row],[Revenue]]-tblMaster[[#This Row],[Estimated Cost (at 70%) ]]</f>
        <v>2508.0000000000009</v>
      </c>
      <c r="U743" s="19">
        <f>tblMaster[[#This Row],[Profit]]/tblMaster[[#This Row],[Revenue]]</f>
        <v>0.3000000000000001</v>
      </c>
      <c r="V743" s="19">
        <f>tblMaster[[#This Row],[Delivery_Date]]-tblMaster[[#This Row],[Order_Date]]</f>
        <v>2</v>
      </c>
      <c r="W743" s="19" t="str">
        <f>TEXT(tblMaster[[#This Row],[Order_Date]],"mmmm")</f>
        <v>August</v>
      </c>
      <c r="X743" s="19">
        <f>MONTH(tblMaster[[#This Row],[Order_Date]])</f>
        <v>8</v>
      </c>
      <c r="Y743" s="19" t="str">
        <f>"Q"&amp;ROUNDUP(tblMaster[[#This Row],[Month Number]]/3,0)</f>
        <v>Q3</v>
      </c>
      <c r="Z743" s="19">
        <f>YEAR(tblMaster[[#This Row],[Order_Date]])</f>
        <v>2023</v>
      </c>
      <c r="AA743" s="19" t="str">
        <f>TEXT(DAY(tblMaster[[#This Row],[Order_Date]]),"dddd")</f>
        <v>Tuesday</v>
      </c>
      <c r="AB743" s="19" t="str">
        <f>IF(tblMaster[[#This Row],[Revenue]]&gt;=5000,"High",IF(tblMaster[[#This Row],[Revenue]]&lt;2000,"Low","Medium"))</f>
        <v>High</v>
      </c>
    </row>
    <row r="744" spans="1:28" x14ac:dyDescent="0.25">
      <c r="A744" s="7">
        <v>743</v>
      </c>
      <c r="B744" s="7" t="s">
        <v>254</v>
      </c>
      <c r="C744" s="4">
        <v>4</v>
      </c>
      <c r="D744" s="4">
        <v>2</v>
      </c>
      <c r="E744" s="8">
        <v>45239</v>
      </c>
      <c r="F744" s="9">
        <v>0.56119212962962961</v>
      </c>
      <c r="G744" s="8">
        <v>45243</v>
      </c>
      <c r="H744" s="9">
        <v>5.3055555555555557E-2</v>
      </c>
      <c r="I744" s="7" t="s">
        <v>346</v>
      </c>
      <c r="J744" s="7" t="s">
        <v>19</v>
      </c>
      <c r="K744" s="18" t="str">
        <f>_xlfn.XLOOKUP(tblMaster[[#This Row],[Customer_ID]],tblCustomers[Customer_ID],tblCustomers[City],"Not Found",0)</f>
        <v>Maheshtala</v>
      </c>
      <c r="L744" s="18" t="str">
        <f>_xlfn.XLOOKUP(tblMaster[[#This Row],[Customer_ID]],tblCustomers[Customer_ID],tblCustomers[Name],"Not Found",0)</f>
        <v>Divit Mahajan</v>
      </c>
      <c r="M744" s="18" t="str">
        <f>_xlfn.XLOOKUP(tblMaster[[#This Row],[Customer_ID]],tblCustomers[Customer_ID],tblCustomers[Gender],"Not Found",0)</f>
        <v>Female</v>
      </c>
      <c r="N744" s="18" t="str">
        <f>_xlfn.XLOOKUP(tblMaster[[#This Row],[Product_ID]],tblProducts[Product_ID],tblProducts[Product_Name],"Not Found",0)</f>
        <v>Accusantium Set</v>
      </c>
      <c r="O744" s="18" t="str">
        <f>_xlfn.XLOOKUP(tblMaster[[#This Row],[Product_ID]],tblProducts[Product_ID],tblProducts[Category],"Not Found",0)</f>
        <v>Sweets</v>
      </c>
      <c r="P744" s="18" t="str">
        <f>_xlfn.XLOOKUP(tblMaster[[#This Row],[Product_ID]],tblProducts[Product_ID],tblProducts[Occasion],"Not Found",0)</f>
        <v>Diwali</v>
      </c>
      <c r="Q744" s="18">
        <f>_xlfn.XLOOKUP(tblMaster[[#This Row],[Product_ID]],tblProducts[Product_ID],tblProducts[Price (INR)],"Not Found",0)</f>
        <v>1199</v>
      </c>
      <c r="R744" s="19">
        <f>tblMaster[[#This Row],[Price]]*tblMaster[[#This Row],[Quantity]]</f>
        <v>2398</v>
      </c>
      <c r="S744" s="19">
        <f>tblMaster[[#This Row],[Price]]*0.7*tblMaster[[#This Row],[Quantity]]</f>
        <v>1678.6</v>
      </c>
      <c r="T744" s="19">
        <f>tblMaster[[#This Row],[Revenue]]-tblMaster[[#This Row],[Estimated Cost (at 70%) ]]</f>
        <v>719.40000000000009</v>
      </c>
      <c r="U744" s="19">
        <f>tblMaster[[#This Row],[Profit]]/tblMaster[[#This Row],[Revenue]]</f>
        <v>0.30000000000000004</v>
      </c>
      <c r="V744" s="19">
        <f>tblMaster[[#This Row],[Delivery_Date]]-tblMaster[[#This Row],[Order_Date]]</f>
        <v>4</v>
      </c>
      <c r="W744" s="19" t="str">
        <f>TEXT(tblMaster[[#This Row],[Order_Date]],"mmmm")</f>
        <v>November</v>
      </c>
      <c r="X744" s="19">
        <f>MONTH(tblMaster[[#This Row],[Order_Date]])</f>
        <v>11</v>
      </c>
      <c r="Y744" s="19" t="str">
        <f>"Q"&amp;ROUNDUP(tblMaster[[#This Row],[Month Number]]/3,0)</f>
        <v>Q4</v>
      </c>
      <c r="Z744" s="19">
        <f>YEAR(tblMaster[[#This Row],[Order_Date]])</f>
        <v>2023</v>
      </c>
      <c r="AA744" s="19" t="str">
        <f>TEXT(DAY(tblMaster[[#This Row],[Order_Date]]),"dddd")</f>
        <v>Monday</v>
      </c>
      <c r="AB744" s="19" t="str">
        <f>IF(tblMaster[[#This Row],[Revenue]]&gt;=5000,"High",IF(tblMaster[[#This Row],[Revenue]]&lt;2000,"Low","Medium"))</f>
        <v>Medium</v>
      </c>
    </row>
    <row r="745" spans="1:28" x14ac:dyDescent="0.25">
      <c r="A745" s="10">
        <v>744</v>
      </c>
      <c r="B745" s="10" t="s">
        <v>252</v>
      </c>
      <c r="C745" s="5">
        <v>45</v>
      </c>
      <c r="D745" s="5">
        <v>4</v>
      </c>
      <c r="E745" s="11">
        <v>45212</v>
      </c>
      <c r="F745" s="12">
        <v>0.7453819444444445</v>
      </c>
      <c r="G745" s="11">
        <v>45213</v>
      </c>
      <c r="H745" s="12">
        <v>0.33478009259259262</v>
      </c>
      <c r="I745" s="10" t="s">
        <v>425</v>
      </c>
      <c r="J745" s="10" t="s">
        <v>36</v>
      </c>
      <c r="K745" s="18" t="str">
        <f>_xlfn.XLOOKUP(tblMaster[[#This Row],[Customer_ID]],tblCustomers[Customer_ID],tblCustomers[City],"Not Found",0)</f>
        <v>Bidhannagar</v>
      </c>
      <c r="L745" s="18" t="str">
        <f>_xlfn.XLOOKUP(tblMaster[[#This Row],[Customer_ID]],tblCustomers[Customer_ID],tblCustomers[Name],"Not Found",0)</f>
        <v>Abram Sandhu</v>
      </c>
      <c r="M745" s="18" t="str">
        <f>_xlfn.XLOOKUP(tblMaster[[#This Row],[Customer_ID]],tblCustomers[Customer_ID],tblCustomers[Gender],"Not Found",0)</f>
        <v>Male</v>
      </c>
      <c r="N745" s="18" t="str">
        <f>_xlfn.XLOOKUP(tblMaster[[#This Row],[Product_ID]],tblProducts[Product_ID],tblProducts[Product_Name],"Not Found",0)</f>
        <v>Iusto Set</v>
      </c>
      <c r="O745" s="18" t="str">
        <f>_xlfn.XLOOKUP(tblMaster[[#This Row],[Product_ID]],tblProducts[Product_ID],tblProducts[Category],"Not Found",0)</f>
        <v>Raksha Bandhan</v>
      </c>
      <c r="P745" s="18" t="str">
        <f>_xlfn.XLOOKUP(tblMaster[[#This Row],[Product_ID]],tblProducts[Product_ID],tblProducts[Occasion],"Not Found",0)</f>
        <v>Birthday</v>
      </c>
      <c r="Q745" s="18">
        <f>_xlfn.XLOOKUP(tblMaster[[#This Row],[Product_ID]],tblProducts[Product_ID],tblProducts[Price (INR)],"Not Found",0)</f>
        <v>722</v>
      </c>
      <c r="R745" s="19">
        <f>tblMaster[[#This Row],[Price]]*tblMaster[[#This Row],[Quantity]]</f>
        <v>2888</v>
      </c>
      <c r="S745" s="19">
        <f>tblMaster[[#This Row],[Price]]*0.7*tblMaster[[#This Row],[Quantity]]</f>
        <v>2021.6</v>
      </c>
      <c r="T745" s="19">
        <f>tblMaster[[#This Row],[Revenue]]-tblMaster[[#This Row],[Estimated Cost (at 70%) ]]</f>
        <v>866.40000000000009</v>
      </c>
      <c r="U745" s="19">
        <f>tblMaster[[#This Row],[Profit]]/tblMaster[[#This Row],[Revenue]]</f>
        <v>0.30000000000000004</v>
      </c>
      <c r="V745" s="19">
        <f>tblMaster[[#This Row],[Delivery_Date]]-tblMaster[[#This Row],[Order_Date]]</f>
        <v>1</v>
      </c>
      <c r="W745" s="19" t="str">
        <f>TEXT(tblMaster[[#This Row],[Order_Date]],"mmmm")</f>
        <v>October</v>
      </c>
      <c r="X745" s="19">
        <f>MONTH(tblMaster[[#This Row],[Order_Date]])</f>
        <v>10</v>
      </c>
      <c r="Y745" s="19" t="str">
        <f>"Q"&amp;ROUNDUP(tblMaster[[#This Row],[Month Number]]/3,0)</f>
        <v>Q4</v>
      </c>
      <c r="Z745" s="19">
        <f>YEAR(tblMaster[[#This Row],[Order_Date]])</f>
        <v>2023</v>
      </c>
      <c r="AA745" s="19" t="str">
        <f>TEXT(DAY(tblMaster[[#This Row],[Order_Date]]),"dddd")</f>
        <v>Friday</v>
      </c>
      <c r="AB745" s="19" t="str">
        <f>IF(tblMaster[[#This Row],[Revenue]]&gt;=5000,"High",IF(tblMaster[[#This Row],[Revenue]]&lt;2000,"Low","Medium"))</f>
        <v>Medium</v>
      </c>
    </row>
    <row r="746" spans="1:28" x14ac:dyDescent="0.25">
      <c r="A746" s="7">
        <v>745</v>
      </c>
      <c r="B746" s="7" t="s">
        <v>437</v>
      </c>
      <c r="C746" s="4">
        <v>44</v>
      </c>
      <c r="D746" s="4">
        <v>1</v>
      </c>
      <c r="E746" s="8">
        <v>45237</v>
      </c>
      <c r="F746" s="9">
        <v>0.38363425925925926</v>
      </c>
      <c r="G746" s="8">
        <v>45239</v>
      </c>
      <c r="H746" s="9">
        <v>2.087962962962963E-2</v>
      </c>
      <c r="I746" s="7" t="s">
        <v>339</v>
      </c>
      <c r="J746" s="7" t="s">
        <v>19</v>
      </c>
      <c r="K746" s="18" t="str">
        <f>_xlfn.XLOOKUP(tblMaster[[#This Row],[Customer_ID]],tblCustomers[Customer_ID],tblCustomers[City],"Not Found",0)</f>
        <v>Dhanbad</v>
      </c>
      <c r="L746" s="18" t="str">
        <f>_xlfn.XLOOKUP(tblMaster[[#This Row],[Customer_ID]],tblCustomers[Customer_ID],tblCustomers[Name],"Not Found",0)</f>
        <v>Vardaniya Apte</v>
      </c>
      <c r="M746" s="18" t="str">
        <f>_xlfn.XLOOKUP(tblMaster[[#This Row],[Customer_ID]],tblCustomers[Customer_ID],tblCustomers[Gender],"Not Found",0)</f>
        <v>Male</v>
      </c>
      <c r="N746" s="18" t="str">
        <f>_xlfn.XLOOKUP(tblMaster[[#This Row],[Product_ID]],tblProducts[Product_ID],tblProducts[Product_Name],"Not Found",0)</f>
        <v>Dolorum Set</v>
      </c>
      <c r="O746" s="18" t="str">
        <f>_xlfn.XLOOKUP(tblMaster[[#This Row],[Product_ID]],tblProducts[Product_ID],tblProducts[Category],"Not Found",0)</f>
        <v>Plants</v>
      </c>
      <c r="P746" s="18" t="str">
        <f>_xlfn.XLOOKUP(tblMaster[[#This Row],[Product_ID]],tblProducts[Product_ID],tblProducts[Occasion],"Not Found",0)</f>
        <v>Diwali</v>
      </c>
      <c r="Q746" s="18">
        <f>_xlfn.XLOOKUP(tblMaster[[#This Row],[Product_ID]],tblProducts[Product_ID],tblProducts[Price (INR)],"Not Found",0)</f>
        <v>794</v>
      </c>
      <c r="R746" s="19">
        <f>tblMaster[[#This Row],[Price]]*tblMaster[[#This Row],[Quantity]]</f>
        <v>794</v>
      </c>
      <c r="S746" s="19">
        <f>tblMaster[[#This Row],[Price]]*0.7*tblMaster[[#This Row],[Quantity]]</f>
        <v>555.79999999999995</v>
      </c>
      <c r="T746" s="19">
        <f>tblMaster[[#This Row],[Revenue]]-tblMaster[[#This Row],[Estimated Cost (at 70%) ]]</f>
        <v>238.20000000000005</v>
      </c>
      <c r="U746" s="19">
        <f>tblMaster[[#This Row],[Profit]]/tblMaster[[#This Row],[Revenue]]</f>
        <v>0.30000000000000004</v>
      </c>
      <c r="V746" s="19">
        <f>tblMaster[[#This Row],[Delivery_Date]]-tblMaster[[#This Row],[Order_Date]]</f>
        <v>2</v>
      </c>
      <c r="W746" s="19" t="str">
        <f>TEXT(tblMaster[[#This Row],[Order_Date]],"mmmm")</f>
        <v>November</v>
      </c>
      <c r="X746" s="19">
        <f>MONTH(tblMaster[[#This Row],[Order_Date]])</f>
        <v>11</v>
      </c>
      <c r="Y746" s="19" t="str">
        <f>"Q"&amp;ROUNDUP(tblMaster[[#This Row],[Month Number]]/3,0)</f>
        <v>Q4</v>
      </c>
      <c r="Z746" s="19">
        <f>YEAR(tblMaster[[#This Row],[Order_Date]])</f>
        <v>2023</v>
      </c>
      <c r="AA746" s="19" t="str">
        <f>TEXT(DAY(tblMaster[[#This Row],[Order_Date]]),"dddd")</f>
        <v>Saturday</v>
      </c>
      <c r="AB746" s="19" t="str">
        <f>IF(tblMaster[[#This Row],[Revenue]]&gt;=5000,"High",IF(tblMaster[[#This Row],[Revenue]]&lt;2000,"Low","Medium"))</f>
        <v>Low</v>
      </c>
    </row>
    <row r="747" spans="1:28" x14ac:dyDescent="0.25">
      <c r="A747" s="10">
        <v>746</v>
      </c>
      <c r="B747" s="10" t="s">
        <v>341</v>
      </c>
      <c r="C747" s="5">
        <v>35</v>
      </c>
      <c r="D747" s="5">
        <v>2</v>
      </c>
      <c r="E747" s="11">
        <v>44987</v>
      </c>
      <c r="F747" s="12">
        <v>0.22464120370370369</v>
      </c>
      <c r="G747" s="11">
        <v>44991</v>
      </c>
      <c r="H747" s="12">
        <v>0.2671412037037037</v>
      </c>
      <c r="I747" s="10" t="s">
        <v>479</v>
      </c>
      <c r="J747" s="10" t="s">
        <v>25</v>
      </c>
      <c r="K747" s="18" t="str">
        <f>_xlfn.XLOOKUP(tblMaster[[#This Row],[Customer_ID]],tblCustomers[Customer_ID],tblCustomers[City],"Not Found",0)</f>
        <v>Kota</v>
      </c>
      <c r="L747" s="18" t="str">
        <f>_xlfn.XLOOKUP(tblMaster[[#This Row],[Customer_ID]],tblCustomers[Customer_ID],tblCustomers[Name],"Not Found",0)</f>
        <v>Aradhya Batta</v>
      </c>
      <c r="M747" s="18" t="str">
        <f>_xlfn.XLOOKUP(tblMaster[[#This Row],[Customer_ID]],tblCustomers[Customer_ID],tblCustomers[Gender],"Not Found",0)</f>
        <v>Female</v>
      </c>
      <c r="N747" s="18" t="str">
        <f>_xlfn.XLOOKUP(tblMaster[[#This Row],[Product_ID]],tblProducts[Product_ID],tblProducts[Product_Name],"Not Found",0)</f>
        <v>Nam Gift</v>
      </c>
      <c r="O747" s="18" t="str">
        <f>_xlfn.XLOOKUP(tblMaster[[#This Row],[Product_ID]],tblProducts[Product_ID],tblProducts[Category],"Not Found",0)</f>
        <v>Colors</v>
      </c>
      <c r="P747" s="18" t="str">
        <f>_xlfn.XLOOKUP(tblMaster[[#This Row],[Product_ID]],tblProducts[Product_ID],tblProducts[Occasion],"Not Found",0)</f>
        <v>Holi</v>
      </c>
      <c r="Q747" s="18">
        <f>_xlfn.XLOOKUP(tblMaster[[#This Row],[Product_ID]],tblProducts[Product_ID],tblProducts[Price (INR)],"Not Found",0)</f>
        <v>1865</v>
      </c>
      <c r="R747" s="19">
        <f>tblMaster[[#This Row],[Price]]*tblMaster[[#This Row],[Quantity]]</f>
        <v>3730</v>
      </c>
      <c r="S747" s="19">
        <f>tblMaster[[#This Row],[Price]]*0.7*tblMaster[[#This Row],[Quantity]]</f>
        <v>2611</v>
      </c>
      <c r="T747" s="19">
        <f>tblMaster[[#This Row],[Revenue]]-tblMaster[[#This Row],[Estimated Cost (at 70%) ]]</f>
        <v>1119</v>
      </c>
      <c r="U747" s="19">
        <f>tblMaster[[#This Row],[Profit]]/tblMaster[[#This Row],[Revenue]]</f>
        <v>0.3</v>
      </c>
      <c r="V747" s="19">
        <f>tblMaster[[#This Row],[Delivery_Date]]-tblMaster[[#This Row],[Order_Date]]</f>
        <v>4</v>
      </c>
      <c r="W747" s="19" t="str">
        <f>TEXT(tblMaster[[#This Row],[Order_Date]],"mmmm")</f>
        <v>March</v>
      </c>
      <c r="X747" s="19">
        <f>MONTH(tblMaster[[#This Row],[Order_Date]])</f>
        <v>3</v>
      </c>
      <c r="Y747" s="19" t="str">
        <f>"Q"&amp;ROUNDUP(tblMaster[[#This Row],[Month Number]]/3,0)</f>
        <v>Q1</v>
      </c>
      <c r="Z747" s="19">
        <f>YEAR(tblMaster[[#This Row],[Order_Date]])</f>
        <v>2023</v>
      </c>
      <c r="AA747" s="19" t="str">
        <f>TEXT(DAY(tblMaster[[#This Row],[Order_Date]]),"dddd")</f>
        <v>Monday</v>
      </c>
      <c r="AB747" s="19" t="str">
        <f>IF(tblMaster[[#This Row],[Revenue]]&gt;=5000,"High",IF(tblMaster[[#This Row],[Revenue]]&lt;2000,"Low","Medium"))</f>
        <v>Medium</v>
      </c>
    </row>
    <row r="748" spans="1:28" x14ac:dyDescent="0.25">
      <c r="A748" s="7">
        <v>747</v>
      </c>
      <c r="B748" s="7" t="s">
        <v>178</v>
      </c>
      <c r="C748" s="4">
        <v>6</v>
      </c>
      <c r="D748" s="4">
        <v>4</v>
      </c>
      <c r="E748" s="8">
        <v>44991</v>
      </c>
      <c r="F748" s="9">
        <v>0.15513888888888888</v>
      </c>
      <c r="G748" s="8">
        <v>44996</v>
      </c>
      <c r="H748" s="9">
        <v>0.69346064814814812</v>
      </c>
      <c r="I748" s="7" t="s">
        <v>342</v>
      </c>
      <c r="J748" s="7" t="s">
        <v>25</v>
      </c>
      <c r="K748" s="18" t="str">
        <f>_xlfn.XLOOKUP(tblMaster[[#This Row],[Customer_ID]],tblCustomers[Customer_ID],tblCustomers[City],"Not Found",0)</f>
        <v>Madurai</v>
      </c>
      <c r="L748" s="18" t="str">
        <f>_xlfn.XLOOKUP(tblMaster[[#This Row],[Customer_ID]],tblCustomers[Customer_ID],tblCustomers[Name],"Not Found",0)</f>
        <v>Ritvik Borah</v>
      </c>
      <c r="M748" s="18" t="str">
        <f>_xlfn.XLOOKUP(tblMaster[[#This Row],[Customer_ID]],tblCustomers[Customer_ID],tblCustomers[Gender],"Not Found",0)</f>
        <v>Female</v>
      </c>
      <c r="N748" s="18" t="str">
        <f>_xlfn.XLOOKUP(tblMaster[[#This Row],[Product_ID]],tblProducts[Product_ID],tblProducts[Product_Name],"Not Found",0)</f>
        <v>Quos Box</v>
      </c>
      <c r="O748" s="18" t="str">
        <f>_xlfn.XLOOKUP(tblMaster[[#This Row],[Product_ID]],tblProducts[Product_ID],tblProducts[Category],"Not Found",0)</f>
        <v>Cake</v>
      </c>
      <c r="P748" s="18" t="str">
        <f>_xlfn.XLOOKUP(tblMaster[[#This Row],[Product_ID]],tblProducts[Product_ID],tblProducts[Occasion],"Not Found",0)</f>
        <v>Holi</v>
      </c>
      <c r="Q748" s="18">
        <f>_xlfn.XLOOKUP(tblMaster[[#This Row],[Product_ID]],tblProducts[Product_ID],tblProducts[Price (INR)],"Not Found",0)</f>
        <v>1112</v>
      </c>
      <c r="R748" s="19">
        <f>tblMaster[[#This Row],[Price]]*tblMaster[[#This Row],[Quantity]]</f>
        <v>4448</v>
      </c>
      <c r="S748" s="19">
        <f>tblMaster[[#This Row],[Price]]*0.7*tblMaster[[#This Row],[Quantity]]</f>
        <v>3113.6</v>
      </c>
      <c r="T748" s="19">
        <f>tblMaster[[#This Row],[Revenue]]-tblMaster[[#This Row],[Estimated Cost (at 70%) ]]</f>
        <v>1334.4</v>
      </c>
      <c r="U748" s="19">
        <f>tblMaster[[#This Row],[Profit]]/tblMaster[[#This Row],[Revenue]]</f>
        <v>0.30000000000000004</v>
      </c>
      <c r="V748" s="19">
        <f>tblMaster[[#This Row],[Delivery_Date]]-tblMaster[[#This Row],[Order_Date]]</f>
        <v>5</v>
      </c>
      <c r="W748" s="19" t="str">
        <f>TEXT(tblMaster[[#This Row],[Order_Date]],"mmmm")</f>
        <v>March</v>
      </c>
      <c r="X748" s="19">
        <f>MONTH(tblMaster[[#This Row],[Order_Date]])</f>
        <v>3</v>
      </c>
      <c r="Y748" s="19" t="str">
        <f>"Q"&amp;ROUNDUP(tblMaster[[#This Row],[Month Number]]/3,0)</f>
        <v>Q1</v>
      </c>
      <c r="Z748" s="19">
        <f>YEAR(tblMaster[[#This Row],[Order_Date]])</f>
        <v>2023</v>
      </c>
      <c r="AA748" s="19" t="str">
        <f>TEXT(DAY(tblMaster[[#This Row],[Order_Date]]),"dddd")</f>
        <v>Friday</v>
      </c>
      <c r="AB748" s="19" t="str">
        <f>IF(tblMaster[[#This Row],[Revenue]]&gt;=5000,"High",IF(tblMaster[[#This Row],[Revenue]]&lt;2000,"Low","Medium"))</f>
        <v>Medium</v>
      </c>
    </row>
    <row r="749" spans="1:28" x14ac:dyDescent="0.25">
      <c r="A749" s="10">
        <v>748</v>
      </c>
      <c r="B749" s="10" t="s">
        <v>424</v>
      </c>
      <c r="C749" s="5">
        <v>26</v>
      </c>
      <c r="D749" s="5">
        <v>1</v>
      </c>
      <c r="E749" s="11">
        <v>44991</v>
      </c>
      <c r="F749" s="12">
        <v>0.46796296296296297</v>
      </c>
      <c r="G749" s="11">
        <v>44992</v>
      </c>
      <c r="H749" s="12">
        <v>0.85185185185185186</v>
      </c>
      <c r="I749" s="10" t="s">
        <v>205</v>
      </c>
      <c r="J749" s="10" t="s">
        <v>25</v>
      </c>
      <c r="K749" s="18" t="str">
        <f>_xlfn.XLOOKUP(tblMaster[[#This Row],[Customer_ID]],tblCustomers[Customer_ID],tblCustomers[City],"Not Found",0)</f>
        <v>Bhilai</v>
      </c>
      <c r="L749" s="18" t="str">
        <f>_xlfn.XLOOKUP(tblMaster[[#This Row],[Customer_ID]],tblCustomers[Customer_ID],tblCustomers[Name],"Not Found",0)</f>
        <v>Vedika Sankaran</v>
      </c>
      <c r="M749" s="18" t="str">
        <f>_xlfn.XLOOKUP(tblMaster[[#This Row],[Customer_ID]],tblCustomers[Customer_ID],tblCustomers[Gender],"Not Found",0)</f>
        <v>Female</v>
      </c>
      <c r="N749" s="18" t="str">
        <f>_xlfn.XLOOKUP(tblMaster[[#This Row],[Product_ID]],tblProducts[Product_ID],tblProducts[Product_Name],"Not Found",0)</f>
        <v>Aliquam Box</v>
      </c>
      <c r="O749" s="18" t="str">
        <f>_xlfn.XLOOKUP(tblMaster[[#This Row],[Product_ID]],tblProducts[Product_ID],tblProducts[Category],"Not Found",0)</f>
        <v>Colors</v>
      </c>
      <c r="P749" s="18" t="str">
        <f>_xlfn.XLOOKUP(tblMaster[[#This Row],[Product_ID]],tblProducts[Product_ID],tblProducts[Occasion],"Not Found",0)</f>
        <v>Holi</v>
      </c>
      <c r="Q749" s="18">
        <f>_xlfn.XLOOKUP(tblMaster[[#This Row],[Product_ID]],tblProducts[Product_ID],tblProducts[Price (INR)],"Not Found",0)</f>
        <v>289</v>
      </c>
      <c r="R749" s="19">
        <f>tblMaster[[#This Row],[Price]]*tblMaster[[#This Row],[Quantity]]</f>
        <v>289</v>
      </c>
      <c r="S749" s="19">
        <f>tblMaster[[#This Row],[Price]]*0.7*tblMaster[[#This Row],[Quantity]]</f>
        <v>202.29999999999998</v>
      </c>
      <c r="T749" s="19">
        <f>tblMaster[[#This Row],[Revenue]]-tblMaster[[#This Row],[Estimated Cost (at 70%) ]]</f>
        <v>86.700000000000017</v>
      </c>
      <c r="U749" s="19">
        <f>tblMaster[[#This Row],[Profit]]/tblMaster[[#This Row],[Revenue]]</f>
        <v>0.30000000000000004</v>
      </c>
      <c r="V749" s="19">
        <f>tblMaster[[#This Row],[Delivery_Date]]-tblMaster[[#This Row],[Order_Date]]</f>
        <v>1</v>
      </c>
      <c r="W749" s="19" t="str">
        <f>TEXT(tblMaster[[#This Row],[Order_Date]],"mmmm")</f>
        <v>March</v>
      </c>
      <c r="X749" s="19">
        <f>MONTH(tblMaster[[#This Row],[Order_Date]])</f>
        <v>3</v>
      </c>
      <c r="Y749" s="19" t="str">
        <f>"Q"&amp;ROUNDUP(tblMaster[[#This Row],[Month Number]]/3,0)</f>
        <v>Q1</v>
      </c>
      <c r="Z749" s="19">
        <f>YEAR(tblMaster[[#This Row],[Order_Date]])</f>
        <v>2023</v>
      </c>
      <c r="AA749" s="19" t="str">
        <f>TEXT(DAY(tblMaster[[#This Row],[Order_Date]]),"dddd")</f>
        <v>Friday</v>
      </c>
      <c r="AB749" s="19" t="str">
        <f>IF(tblMaster[[#This Row],[Revenue]]&gt;=5000,"High",IF(tblMaster[[#This Row],[Revenue]]&lt;2000,"Low","Medium"))</f>
        <v>Low</v>
      </c>
    </row>
    <row r="750" spans="1:28" x14ac:dyDescent="0.25">
      <c r="A750" s="7">
        <v>749</v>
      </c>
      <c r="B750" s="7" t="s">
        <v>183</v>
      </c>
      <c r="C750" s="4">
        <v>12</v>
      </c>
      <c r="D750" s="4">
        <v>2</v>
      </c>
      <c r="E750" s="8">
        <v>45096</v>
      </c>
      <c r="F750" s="9">
        <v>0.5508912037037037</v>
      </c>
      <c r="G750" s="8">
        <v>45101</v>
      </c>
      <c r="H750" s="9">
        <v>0.15084490740740741</v>
      </c>
      <c r="I750" s="7" t="s">
        <v>179</v>
      </c>
      <c r="J750" s="7" t="s">
        <v>30</v>
      </c>
      <c r="K750" s="18" t="str">
        <f>_xlfn.XLOOKUP(tblMaster[[#This Row],[Customer_ID]],tblCustomers[Customer_ID],tblCustomers[City],"Not Found",0)</f>
        <v>Dhanbad</v>
      </c>
      <c r="L750" s="18" t="str">
        <f>_xlfn.XLOOKUP(tblMaster[[#This Row],[Customer_ID]],tblCustomers[Customer_ID],tblCustomers[Name],"Not Found",0)</f>
        <v>Ranbir Loyal</v>
      </c>
      <c r="M750" s="18" t="str">
        <f>_xlfn.XLOOKUP(tblMaster[[#This Row],[Customer_ID]],tblCustomers[Customer_ID],tblCustomers[Gender],"Not Found",0)</f>
        <v>Female</v>
      </c>
      <c r="N750" s="18" t="str">
        <f>_xlfn.XLOOKUP(tblMaster[[#This Row],[Product_ID]],tblProducts[Product_ID],tblProducts[Product_Name],"Not Found",0)</f>
        <v>Non Set</v>
      </c>
      <c r="O750" s="18" t="str">
        <f>_xlfn.XLOOKUP(tblMaster[[#This Row],[Product_ID]],tblProducts[Product_ID],tblProducts[Category],"Not Found",0)</f>
        <v>Plants</v>
      </c>
      <c r="P750" s="18" t="str">
        <f>_xlfn.XLOOKUP(tblMaster[[#This Row],[Product_ID]],tblProducts[Product_ID],tblProducts[Occasion],"Not Found",0)</f>
        <v>Anniversary</v>
      </c>
      <c r="Q750" s="18">
        <f>_xlfn.XLOOKUP(tblMaster[[#This Row],[Product_ID]],tblProducts[Product_ID],tblProducts[Price (INR)],"Not Found",0)</f>
        <v>672</v>
      </c>
      <c r="R750" s="19">
        <f>tblMaster[[#This Row],[Price]]*tblMaster[[#This Row],[Quantity]]</f>
        <v>1344</v>
      </c>
      <c r="S750" s="19">
        <f>tblMaster[[#This Row],[Price]]*0.7*tblMaster[[#This Row],[Quantity]]</f>
        <v>940.8</v>
      </c>
      <c r="T750" s="19">
        <f>tblMaster[[#This Row],[Revenue]]-tblMaster[[#This Row],[Estimated Cost (at 70%) ]]</f>
        <v>403.20000000000005</v>
      </c>
      <c r="U750" s="19">
        <f>tblMaster[[#This Row],[Profit]]/tblMaster[[#This Row],[Revenue]]</f>
        <v>0.30000000000000004</v>
      </c>
      <c r="V750" s="19">
        <f>tblMaster[[#This Row],[Delivery_Date]]-tblMaster[[#This Row],[Order_Date]]</f>
        <v>5</v>
      </c>
      <c r="W750" s="19" t="str">
        <f>TEXT(tblMaster[[#This Row],[Order_Date]],"mmmm")</f>
        <v>June</v>
      </c>
      <c r="X750" s="19">
        <f>MONTH(tblMaster[[#This Row],[Order_Date]])</f>
        <v>6</v>
      </c>
      <c r="Y750" s="19" t="str">
        <f>"Q"&amp;ROUNDUP(tblMaster[[#This Row],[Month Number]]/3,0)</f>
        <v>Q2</v>
      </c>
      <c r="Z750" s="19">
        <f>YEAR(tblMaster[[#This Row],[Order_Date]])</f>
        <v>2023</v>
      </c>
      <c r="AA750" s="19" t="str">
        <f>TEXT(DAY(tblMaster[[#This Row],[Order_Date]]),"dddd")</f>
        <v>Thursday</v>
      </c>
      <c r="AB750" s="19" t="str">
        <f>IF(tblMaster[[#This Row],[Revenue]]&gt;=5000,"High",IF(tblMaster[[#This Row],[Revenue]]&lt;2000,"Low","Medium"))</f>
        <v>Low</v>
      </c>
    </row>
    <row r="751" spans="1:28" x14ac:dyDescent="0.25">
      <c r="A751" s="10">
        <v>750</v>
      </c>
      <c r="B751" s="10" t="s">
        <v>349</v>
      </c>
      <c r="C751" s="5">
        <v>19</v>
      </c>
      <c r="D751" s="5">
        <v>3</v>
      </c>
      <c r="E751" s="11">
        <v>44965</v>
      </c>
      <c r="F751" s="12">
        <v>0.39075231481481482</v>
      </c>
      <c r="G751" s="11">
        <v>44971</v>
      </c>
      <c r="H751" s="12">
        <v>0.93381944444444442</v>
      </c>
      <c r="I751" s="10" t="s">
        <v>491</v>
      </c>
      <c r="J751" s="10" t="s">
        <v>12</v>
      </c>
      <c r="K751" s="18" t="str">
        <f>_xlfn.XLOOKUP(tblMaster[[#This Row],[Customer_ID]],tblCustomers[Customer_ID],tblCustomers[City],"Not Found",0)</f>
        <v>Khandwa</v>
      </c>
      <c r="L751" s="18" t="str">
        <f>_xlfn.XLOOKUP(tblMaster[[#This Row],[Customer_ID]],tblCustomers[Customer_ID],tblCustomers[Name],"Not Found",0)</f>
        <v>Ivana Rout</v>
      </c>
      <c r="M751" s="18" t="str">
        <f>_xlfn.XLOOKUP(tblMaster[[#This Row],[Customer_ID]],tblCustomers[Customer_ID],tblCustomers[Gender],"Not Found",0)</f>
        <v>Male</v>
      </c>
      <c r="N751" s="18" t="str">
        <f>_xlfn.XLOOKUP(tblMaster[[#This Row],[Product_ID]],tblProducts[Product_ID],tblProducts[Product_Name],"Not Found",0)</f>
        <v>Iure Gift</v>
      </c>
      <c r="O751" s="18" t="str">
        <f>_xlfn.XLOOKUP(tblMaster[[#This Row],[Product_ID]],tblProducts[Product_ID],tblProducts[Category],"Not Found",0)</f>
        <v>Mugs</v>
      </c>
      <c r="P751" s="18" t="str">
        <f>_xlfn.XLOOKUP(tblMaster[[#This Row],[Product_ID]],tblProducts[Product_ID],tblProducts[Occasion],"Not Found",0)</f>
        <v>Valentine's Day</v>
      </c>
      <c r="Q751" s="18">
        <f>_xlfn.XLOOKUP(tblMaster[[#This Row],[Product_ID]],tblProducts[Product_ID],tblProducts[Price (INR)],"Not Found",0)</f>
        <v>1234</v>
      </c>
      <c r="R751" s="19">
        <f>tblMaster[[#This Row],[Price]]*tblMaster[[#This Row],[Quantity]]</f>
        <v>3702</v>
      </c>
      <c r="S751" s="19">
        <f>tblMaster[[#This Row],[Price]]*0.7*tblMaster[[#This Row],[Quantity]]</f>
        <v>2591.3999999999996</v>
      </c>
      <c r="T751" s="19">
        <f>tblMaster[[#This Row],[Revenue]]-tblMaster[[#This Row],[Estimated Cost (at 70%) ]]</f>
        <v>1110.6000000000004</v>
      </c>
      <c r="U751" s="19">
        <f>tblMaster[[#This Row],[Profit]]/tblMaster[[#This Row],[Revenue]]</f>
        <v>0.3000000000000001</v>
      </c>
      <c r="V751" s="19">
        <f>tblMaster[[#This Row],[Delivery_Date]]-tblMaster[[#This Row],[Order_Date]]</f>
        <v>6</v>
      </c>
      <c r="W751" s="19" t="str">
        <f>TEXT(tblMaster[[#This Row],[Order_Date]],"mmmm")</f>
        <v>February</v>
      </c>
      <c r="X751" s="19">
        <f>MONTH(tblMaster[[#This Row],[Order_Date]])</f>
        <v>2</v>
      </c>
      <c r="Y751" s="19" t="str">
        <f>"Q"&amp;ROUNDUP(tblMaster[[#This Row],[Month Number]]/3,0)</f>
        <v>Q1</v>
      </c>
      <c r="Z751" s="19">
        <f>YEAR(tblMaster[[#This Row],[Order_Date]])</f>
        <v>2023</v>
      </c>
      <c r="AA751" s="19" t="str">
        <f>TEXT(DAY(tblMaster[[#This Row],[Order_Date]]),"dddd")</f>
        <v>Sunday</v>
      </c>
      <c r="AB751" s="19" t="str">
        <f>IF(tblMaster[[#This Row],[Revenue]]&gt;=5000,"High",IF(tblMaster[[#This Row],[Revenue]]&lt;2000,"Low","Medium"))</f>
        <v>Medium</v>
      </c>
    </row>
    <row r="752" spans="1:28" x14ac:dyDescent="0.25">
      <c r="A752" s="7">
        <v>751</v>
      </c>
      <c r="B752" s="7" t="s">
        <v>364</v>
      </c>
      <c r="C752" s="4">
        <v>23</v>
      </c>
      <c r="D752" s="4">
        <v>5</v>
      </c>
      <c r="E752" s="8">
        <v>45026</v>
      </c>
      <c r="F752" s="9">
        <v>0.30039351851851853</v>
      </c>
      <c r="G752" s="8">
        <v>45031</v>
      </c>
      <c r="H752" s="9">
        <v>7.8171296296296294E-2</v>
      </c>
      <c r="I752" s="7" t="s">
        <v>189</v>
      </c>
      <c r="J752" s="7" t="s">
        <v>30</v>
      </c>
      <c r="K752" s="18" t="str">
        <f>_xlfn.XLOOKUP(tblMaster[[#This Row],[Customer_ID]],tblCustomers[Customer_ID],tblCustomers[City],"Not Found",0)</f>
        <v>Tiruchirappalli</v>
      </c>
      <c r="L752" s="18" t="str">
        <f>_xlfn.XLOOKUP(tblMaster[[#This Row],[Customer_ID]],tblCustomers[Customer_ID],tblCustomers[Name],"Not Found",0)</f>
        <v>Anahita Shankar</v>
      </c>
      <c r="M752" s="18" t="str">
        <f>_xlfn.XLOOKUP(tblMaster[[#This Row],[Customer_ID]],tblCustomers[Customer_ID],tblCustomers[Gender],"Not Found",0)</f>
        <v>Male</v>
      </c>
      <c r="N752" s="18" t="str">
        <f>_xlfn.XLOOKUP(tblMaster[[#This Row],[Product_ID]],tblProducts[Product_ID],tblProducts[Product_Name],"Not Found",0)</f>
        <v>Dignissimos Pack</v>
      </c>
      <c r="O752" s="18" t="str">
        <f>_xlfn.XLOOKUP(tblMaster[[#This Row],[Product_ID]],tblProducts[Product_ID],tblProducts[Category],"Not Found",0)</f>
        <v>Sweets</v>
      </c>
      <c r="P752" s="18" t="str">
        <f>_xlfn.XLOOKUP(tblMaster[[#This Row],[Product_ID]],tblProducts[Product_ID],tblProducts[Occasion],"Not Found",0)</f>
        <v>Anniversary</v>
      </c>
      <c r="Q752" s="18">
        <f>_xlfn.XLOOKUP(tblMaster[[#This Row],[Product_ID]],tblProducts[Product_ID],tblProducts[Price (INR)],"Not Found",0)</f>
        <v>1098</v>
      </c>
      <c r="R752" s="19">
        <f>tblMaster[[#This Row],[Price]]*tblMaster[[#This Row],[Quantity]]</f>
        <v>5490</v>
      </c>
      <c r="S752" s="19">
        <f>tblMaster[[#This Row],[Price]]*0.7*tblMaster[[#This Row],[Quantity]]</f>
        <v>3842.9999999999995</v>
      </c>
      <c r="T752" s="19">
        <f>tblMaster[[#This Row],[Revenue]]-tblMaster[[#This Row],[Estimated Cost (at 70%) ]]</f>
        <v>1647.0000000000005</v>
      </c>
      <c r="U752" s="19">
        <f>tblMaster[[#This Row],[Profit]]/tblMaster[[#This Row],[Revenue]]</f>
        <v>0.3000000000000001</v>
      </c>
      <c r="V752" s="19">
        <f>tblMaster[[#This Row],[Delivery_Date]]-tblMaster[[#This Row],[Order_Date]]</f>
        <v>5</v>
      </c>
      <c r="W752" s="19" t="str">
        <f>TEXT(tblMaster[[#This Row],[Order_Date]],"mmmm")</f>
        <v>April</v>
      </c>
      <c r="X752" s="19">
        <f>MONTH(tblMaster[[#This Row],[Order_Date]])</f>
        <v>4</v>
      </c>
      <c r="Y752" s="19" t="str">
        <f>"Q"&amp;ROUNDUP(tblMaster[[#This Row],[Month Number]]/3,0)</f>
        <v>Q2</v>
      </c>
      <c r="Z752" s="19">
        <f>YEAR(tblMaster[[#This Row],[Order_Date]])</f>
        <v>2023</v>
      </c>
      <c r="AA752" s="19" t="str">
        <f>TEXT(DAY(tblMaster[[#This Row],[Order_Date]]),"dddd")</f>
        <v>Tuesday</v>
      </c>
      <c r="AB752" s="19" t="str">
        <f>IF(tblMaster[[#This Row],[Revenue]]&gt;=5000,"High",IF(tblMaster[[#This Row],[Revenue]]&lt;2000,"Low","Medium"))</f>
        <v>High</v>
      </c>
    </row>
    <row r="753" spans="1:28" x14ac:dyDescent="0.25">
      <c r="A753" s="10">
        <v>752</v>
      </c>
      <c r="B753" s="10" t="s">
        <v>480</v>
      </c>
      <c r="C753" s="5">
        <v>3</v>
      </c>
      <c r="D753" s="5">
        <v>5</v>
      </c>
      <c r="E753" s="11">
        <v>44967</v>
      </c>
      <c r="F753" s="12">
        <v>0.48473379629629632</v>
      </c>
      <c r="G753" s="11">
        <v>44969</v>
      </c>
      <c r="H753" s="12">
        <v>0.44164351851851852</v>
      </c>
      <c r="I753" s="10" t="s">
        <v>278</v>
      </c>
      <c r="J753" s="10" t="s">
        <v>12</v>
      </c>
      <c r="K753" s="18" t="str">
        <f>_xlfn.XLOOKUP(tblMaster[[#This Row],[Customer_ID]],tblCustomers[Customer_ID],tblCustomers[City],"Not Found",0)</f>
        <v>Bhatpara</v>
      </c>
      <c r="L753" s="18" t="str">
        <f>_xlfn.XLOOKUP(tblMaster[[#This Row],[Customer_ID]],tblCustomers[Customer_ID],tblCustomers[Name],"Not Found",0)</f>
        <v>Hridaan Sood</v>
      </c>
      <c r="M753" s="18" t="str">
        <f>_xlfn.XLOOKUP(tblMaster[[#This Row],[Customer_ID]],tblCustomers[Customer_ID],tblCustomers[Gender],"Not Found",0)</f>
        <v>Male</v>
      </c>
      <c r="N753" s="18" t="str">
        <f>_xlfn.XLOOKUP(tblMaster[[#This Row],[Product_ID]],tblProducts[Product_ID],tblProducts[Product_Name],"Not Found",0)</f>
        <v>Eius Gift</v>
      </c>
      <c r="O753" s="18" t="str">
        <f>_xlfn.XLOOKUP(tblMaster[[#This Row],[Product_ID]],tblProducts[Product_ID],tblProducts[Category],"Not Found",0)</f>
        <v>Colors</v>
      </c>
      <c r="P753" s="18" t="str">
        <f>_xlfn.XLOOKUP(tblMaster[[#This Row],[Product_ID]],tblProducts[Product_ID],tblProducts[Occasion],"Not Found",0)</f>
        <v>Valentine's Day</v>
      </c>
      <c r="Q753" s="18">
        <f>_xlfn.XLOOKUP(tblMaster[[#This Row],[Product_ID]],tblProducts[Product_ID],tblProducts[Price (INR)],"Not Found",0)</f>
        <v>1534</v>
      </c>
      <c r="R753" s="19">
        <f>tblMaster[[#This Row],[Price]]*tblMaster[[#This Row],[Quantity]]</f>
        <v>7670</v>
      </c>
      <c r="S753" s="19">
        <f>tblMaster[[#This Row],[Price]]*0.7*tblMaster[[#This Row],[Quantity]]</f>
        <v>5369</v>
      </c>
      <c r="T753" s="19">
        <f>tblMaster[[#This Row],[Revenue]]-tblMaster[[#This Row],[Estimated Cost (at 70%) ]]</f>
        <v>2301</v>
      </c>
      <c r="U753" s="19">
        <f>tblMaster[[#This Row],[Profit]]/tblMaster[[#This Row],[Revenue]]</f>
        <v>0.3</v>
      </c>
      <c r="V753" s="19">
        <f>tblMaster[[#This Row],[Delivery_Date]]-tblMaster[[#This Row],[Order_Date]]</f>
        <v>2</v>
      </c>
      <c r="W753" s="19" t="str">
        <f>TEXT(tblMaster[[#This Row],[Order_Date]],"mmmm")</f>
        <v>February</v>
      </c>
      <c r="X753" s="19">
        <f>MONTH(tblMaster[[#This Row],[Order_Date]])</f>
        <v>2</v>
      </c>
      <c r="Y753" s="19" t="str">
        <f>"Q"&amp;ROUNDUP(tblMaster[[#This Row],[Month Number]]/3,0)</f>
        <v>Q1</v>
      </c>
      <c r="Z753" s="19">
        <f>YEAR(tblMaster[[#This Row],[Order_Date]])</f>
        <v>2023</v>
      </c>
      <c r="AA753" s="19" t="str">
        <f>TEXT(DAY(tblMaster[[#This Row],[Order_Date]]),"dddd")</f>
        <v>Tuesday</v>
      </c>
      <c r="AB753" s="19" t="str">
        <f>IF(tblMaster[[#This Row],[Revenue]]&gt;=5000,"High",IF(tblMaster[[#This Row],[Revenue]]&lt;2000,"Low","Medium"))</f>
        <v>High</v>
      </c>
    </row>
    <row r="754" spans="1:28" x14ac:dyDescent="0.25">
      <c r="A754" s="7">
        <v>753</v>
      </c>
      <c r="B754" s="7" t="s">
        <v>254</v>
      </c>
      <c r="C754" s="4">
        <v>60</v>
      </c>
      <c r="D754" s="4">
        <v>1</v>
      </c>
      <c r="E754" s="8">
        <v>45236</v>
      </c>
      <c r="F754" s="9">
        <v>0.28863425925925928</v>
      </c>
      <c r="G754" s="8">
        <v>45242</v>
      </c>
      <c r="H754" s="9">
        <v>0.20070601851851852</v>
      </c>
      <c r="I754" s="7" t="s">
        <v>460</v>
      </c>
      <c r="J754" s="7" t="s">
        <v>19</v>
      </c>
      <c r="K754" s="18" t="str">
        <f>_xlfn.XLOOKUP(tblMaster[[#This Row],[Customer_ID]],tblCustomers[Customer_ID],tblCustomers[City],"Not Found",0)</f>
        <v>Maheshtala</v>
      </c>
      <c r="L754" s="18" t="str">
        <f>_xlfn.XLOOKUP(tblMaster[[#This Row],[Customer_ID]],tblCustomers[Customer_ID],tblCustomers[Name],"Not Found",0)</f>
        <v>Divit Mahajan</v>
      </c>
      <c r="M754" s="18" t="str">
        <f>_xlfn.XLOOKUP(tblMaster[[#This Row],[Customer_ID]],tblCustomers[Customer_ID],tblCustomers[Gender],"Not Found",0)</f>
        <v>Female</v>
      </c>
      <c r="N754" s="18" t="str">
        <f>_xlfn.XLOOKUP(tblMaster[[#This Row],[Product_ID]],tblProducts[Product_ID],tblProducts[Product_Name],"Not Found",0)</f>
        <v>Ea Set</v>
      </c>
      <c r="O754" s="18" t="str">
        <f>_xlfn.XLOOKUP(tblMaster[[#This Row],[Product_ID]],tblProducts[Product_ID],tblProducts[Category],"Not Found",0)</f>
        <v>Sweets</v>
      </c>
      <c r="P754" s="18" t="str">
        <f>_xlfn.XLOOKUP(tblMaster[[#This Row],[Product_ID]],tblProducts[Product_ID],tblProducts[Occasion],"Not Found",0)</f>
        <v>Diwali</v>
      </c>
      <c r="Q754" s="18">
        <f>_xlfn.XLOOKUP(tblMaster[[#This Row],[Product_ID]],tblProducts[Product_ID],tblProducts[Price (INR)],"Not Found",0)</f>
        <v>827</v>
      </c>
      <c r="R754" s="19">
        <f>tblMaster[[#This Row],[Price]]*tblMaster[[#This Row],[Quantity]]</f>
        <v>827</v>
      </c>
      <c r="S754" s="19">
        <f>tblMaster[[#This Row],[Price]]*0.7*tblMaster[[#This Row],[Quantity]]</f>
        <v>578.9</v>
      </c>
      <c r="T754" s="19">
        <f>tblMaster[[#This Row],[Revenue]]-tblMaster[[#This Row],[Estimated Cost (at 70%) ]]</f>
        <v>248.10000000000002</v>
      </c>
      <c r="U754" s="19">
        <f>tblMaster[[#This Row],[Profit]]/tblMaster[[#This Row],[Revenue]]</f>
        <v>0.30000000000000004</v>
      </c>
      <c r="V754" s="19">
        <f>tblMaster[[#This Row],[Delivery_Date]]-tblMaster[[#This Row],[Order_Date]]</f>
        <v>6</v>
      </c>
      <c r="W754" s="19" t="str">
        <f>TEXT(tblMaster[[#This Row],[Order_Date]],"mmmm")</f>
        <v>November</v>
      </c>
      <c r="X754" s="19">
        <f>MONTH(tblMaster[[#This Row],[Order_Date]])</f>
        <v>11</v>
      </c>
      <c r="Y754" s="19" t="str">
        <f>"Q"&amp;ROUNDUP(tblMaster[[#This Row],[Month Number]]/3,0)</f>
        <v>Q4</v>
      </c>
      <c r="Z754" s="19">
        <f>YEAR(tblMaster[[#This Row],[Order_Date]])</f>
        <v>2023</v>
      </c>
      <c r="AA754" s="19" t="str">
        <f>TEXT(DAY(tblMaster[[#This Row],[Order_Date]]),"dddd")</f>
        <v>Friday</v>
      </c>
      <c r="AB754" s="19" t="str">
        <f>IF(tblMaster[[#This Row],[Revenue]]&gt;=5000,"High",IF(tblMaster[[#This Row],[Revenue]]&lt;2000,"Low","Medium"))</f>
        <v>Low</v>
      </c>
    </row>
    <row r="755" spans="1:28" x14ac:dyDescent="0.25">
      <c r="A755" s="10">
        <v>754</v>
      </c>
      <c r="B755" s="10" t="s">
        <v>333</v>
      </c>
      <c r="C755" s="5">
        <v>51</v>
      </c>
      <c r="D755" s="5">
        <v>2</v>
      </c>
      <c r="E755" s="11">
        <v>45231</v>
      </c>
      <c r="F755" s="12">
        <v>0.86149305555555555</v>
      </c>
      <c r="G755" s="11">
        <v>45238</v>
      </c>
      <c r="H755" s="12">
        <v>0.92584490740740744</v>
      </c>
      <c r="I755" s="10" t="s">
        <v>516</v>
      </c>
      <c r="J755" s="10" t="s">
        <v>8</v>
      </c>
      <c r="K755" s="18" t="str">
        <f>_xlfn.XLOOKUP(tblMaster[[#This Row],[Customer_ID]],tblCustomers[Customer_ID],tblCustomers[City],"Not Found",0)</f>
        <v>Raurkela Industrial Township</v>
      </c>
      <c r="L755" s="18" t="str">
        <f>_xlfn.XLOOKUP(tblMaster[[#This Row],[Customer_ID]],tblCustomers[Customer_ID],tblCustomers[Name],"Not Found",0)</f>
        <v>Aaryahi Sodhi</v>
      </c>
      <c r="M755" s="18" t="str">
        <f>_xlfn.XLOOKUP(tblMaster[[#This Row],[Customer_ID]],tblCustomers[Customer_ID],tblCustomers[Gender],"Not Found",0)</f>
        <v>Male</v>
      </c>
      <c r="N755" s="18" t="str">
        <f>_xlfn.XLOOKUP(tblMaster[[#This Row],[Product_ID]],tblProducts[Product_ID],tblProducts[Product_Name],"Not Found",0)</f>
        <v>Fugit Set</v>
      </c>
      <c r="O755" s="18" t="str">
        <f>_xlfn.XLOOKUP(tblMaster[[#This Row],[Product_ID]],tblProducts[Product_ID],tblProducts[Category],"Not Found",0)</f>
        <v>Soft Toys</v>
      </c>
      <c r="P755" s="18" t="str">
        <f>_xlfn.XLOOKUP(tblMaster[[#This Row],[Product_ID]],tblProducts[Product_ID],tblProducts[Occasion],"Not Found",0)</f>
        <v>All Occasions</v>
      </c>
      <c r="Q755" s="18">
        <f>_xlfn.XLOOKUP(tblMaster[[#This Row],[Product_ID]],tblProducts[Product_ID],tblProducts[Price (INR)],"Not Found",0)</f>
        <v>1084</v>
      </c>
      <c r="R755" s="19">
        <f>tblMaster[[#This Row],[Price]]*tblMaster[[#This Row],[Quantity]]</f>
        <v>2168</v>
      </c>
      <c r="S755" s="19">
        <f>tblMaster[[#This Row],[Price]]*0.7*tblMaster[[#This Row],[Quantity]]</f>
        <v>1517.6</v>
      </c>
      <c r="T755" s="19">
        <f>tblMaster[[#This Row],[Revenue]]-tblMaster[[#This Row],[Estimated Cost (at 70%) ]]</f>
        <v>650.40000000000009</v>
      </c>
      <c r="U755" s="19">
        <f>tblMaster[[#This Row],[Profit]]/tblMaster[[#This Row],[Revenue]]</f>
        <v>0.30000000000000004</v>
      </c>
      <c r="V755" s="19">
        <f>tblMaster[[#This Row],[Delivery_Date]]-tblMaster[[#This Row],[Order_Date]]</f>
        <v>7</v>
      </c>
      <c r="W755" s="19" t="str">
        <f>TEXT(tblMaster[[#This Row],[Order_Date]],"mmmm")</f>
        <v>November</v>
      </c>
      <c r="X755" s="19">
        <f>MONTH(tblMaster[[#This Row],[Order_Date]])</f>
        <v>11</v>
      </c>
      <c r="Y755" s="19" t="str">
        <f>"Q"&amp;ROUNDUP(tblMaster[[#This Row],[Month Number]]/3,0)</f>
        <v>Q4</v>
      </c>
      <c r="Z755" s="19">
        <f>YEAR(tblMaster[[#This Row],[Order_Date]])</f>
        <v>2023</v>
      </c>
      <c r="AA755" s="19" t="str">
        <f>TEXT(DAY(tblMaster[[#This Row],[Order_Date]]),"dddd")</f>
        <v>Sunday</v>
      </c>
      <c r="AB755" s="19" t="str">
        <f>IF(tblMaster[[#This Row],[Revenue]]&gt;=5000,"High",IF(tblMaster[[#This Row],[Revenue]]&lt;2000,"Low","Medium"))</f>
        <v>Medium</v>
      </c>
    </row>
    <row r="756" spans="1:28" x14ac:dyDescent="0.25">
      <c r="A756" s="7">
        <v>755</v>
      </c>
      <c r="B756" s="7" t="s">
        <v>166</v>
      </c>
      <c r="C756" s="4">
        <v>6</v>
      </c>
      <c r="D756" s="4">
        <v>5</v>
      </c>
      <c r="E756" s="8">
        <v>44984</v>
      </c>
      <c r="F756" s="9">
        <v>0.68988425925925922</v>
      </c>
      <c r="G756" s="8">
        <v>44991</v>
      </c>
      <c r="H756" s="9">
        <v>9.5046296296296295E-2</v>
      </c>
      <c r="I756" s="7" t="s">
        <v>300</v>
      </c>
      <c r="J756" s="7" t="s">
        <v>25</v>
      </c>
      <c r="K756" s="18" t="str">
        <f>_xlfn.XLOOKUP(tblMaster[[#This Row],[Customer_ID]],tblCustomers[Customer_ID],tblCustomers[City],"Not Found",0)</f>
        <v>Davanagere</v>
      </c>
      <c r="L756" s="18" t="str">
        <f>_xlfn.XLOOKUP(tblMaster[[#This Row],[Customer_ID]],tblCustomers[Customer_ID],tblCustomers[Name],"Not Found",0)</f>
        <v>Aradhya Kumar</v>
      </c>
      <c r="M756" s="18" t="str">
        <f>_xlfn.XLOOKUP(tblMaster[[#This Row],[Customer_ID]],tblCustomers[Customer_ID],tblCustomers[Gender],"Not Found",0)</f>
        <v>Male</v>
      </c>
      <c r="N756" s="18" t="str">
        <f>_xlfn.XLOOKUP(tblMaster[[#This Row],[Product_ID]],tblProducts[Product_ID],tblProducts[Product_Name],"Not Found",0)</f>
        <v>Quos Box</v>
      </c>
      <c r="O756" s="18" t="str">
        <f>_xlfn.XLOOKUP(tblMaster[[#This Row],[Product_ID]],tblProducts[Product_ID],tblProducts[Category],"Not Found",0)</f>
        <v>Cake</v>
      </c>
      <c r="P756" s="18" t="str">
        <f>_xlfn.XLOOKUP(tblMaster[[#This Row],[Product_ID]],tblProducts[Product_ID],tblProducts[Occasion],"Not Found",0)</f>
        <v>Holi</v>
      </c>
      <c r="Q756" s="18">
        <f>_xlfn.XLOOKUP(tblMaster[[#This Row],[Product_ID]],tblProducts[Product_ID],tblProducts[Price (INR)],"Not Found",0)</f>
        <v>1112</v>
      </c>
      <c r="R756" s="19">
        <f>tblMaster[[#This Row],[Price]]*tblMaster[[#This Row],[Quantity]]</f>
        <v>5560</v>
      </c>
      <c r="S756" s="19">
        <f>tblMaster[[#This Row],[Price]]*0.7*tblMaster[[#This Row],[Quantity]]</f>
        <v>3892</v>
      </c>
      <c r="T756" s="19">
        <f>tblMaster[[#This Row],[Revenue]]-tblMaster[[#This Row],[Estimated Cost (at 70%) ]]</f>
        <v>1668</v>
      </c>
      <c r="U756" s="19">
        <f>tblMaster[[#This Row],[Profit]]/tblMaster[[#This Row],[Revenue]]</f>
        <v>0.3</v>
      </c>
      <c r="V756" s="19">
        <f>tblMaster[[#This Row],[Delivery_Date]]-tblMaster[[#This Row],[Order_Date]]</f>
        <v>7</v>
      </c>
      <c r="W756" s="19" t="str">
        <f>TEXT(tblMaster[[#This Row],[Order_Date]],"mmmm")</f>
        <v>February</v>
      </c>
      <c r="X756" s="19">
        <f>MONTH(tblMaster[[#This Row],[Order_Date]])</f>
        <v>2</v>
      </c>
      <c r="Y756" s="19" t="str">
        <f>"Q"&amp;ROUNDUP(tblMaster[[#This Row],[Month Number]]/3,0)</f>
        <v>Q1</v>
      </c>
      <c r="Z756" s="19">
        <f>YEAR(tblMaster[[#This Row],[Order_Date]])</f>
        <v>2023</v>
      </c>
      <c r="AA756" s="19" t="str">
        <f>TEXT(DAY(tblMaster[[#This Row],[Order_Date]]),"dddd")</f>
        <v>Friday</v>
      </c>
      <c r="AB756" s="19" t="str">
        <f>IF(tblMaster[[#This Row],[Revenue]]&gt;=5000,"High",IF(tblMaster[[#This Row],[Revenue]]&lt;2000,"Low","Medium"))</f>
        <v>High</v>
      </c>
    </row>
    <row r="757" spans="1:28" x14ac:dyDescent="0.25">
      <c r="A757" s="10">
        <v>756</v>
      </c>
      <c r="B757" s="10" t="s">
        <v>480</v>
      </c>
      <c r="C757" s="5">
        <v>51</v>
      </c>
      <c r="D757" s="5">
        <v>4</v>
      </c>
      <c r="E757" s="11">
        <v>45136</v>
      </c>
      <c r="F757" s="12">
        <v>0.7676736111111111</v>
      </c>
      <c r="G757" s="11">
        <v>45141</v>
      </c>
      <c r="H757" s="12">
        <v>0.41391203703703705</v>
      </c>
      <c r="I757" s="10" t="s">
        <v>507</v>
      </c>
      <c r="J757" s="10" t="s">
        <v>8</v>
      </c>
      <c r="K757" s="18" t="str">
        <f>_xlfn.XLOOKUP(tblMaster[[#This Row],[Customer_ID]],tblCustomers[Customer_ID],tblCustomers[City],"Not Found",0)</f>
        <v>Bhatpara</v>
      </c>
      <c r="L757" s="18" t="str">
        <f>_xlfn.XLOOKUP(tblMaster[[#This Row],[Customer_ID]],tblCustomers[Customer_ID],tblCustomers[Name],"Not Found",0)</f>
        <v>Hridaan Sood</v>
      </c>
      <c r="M757" s="18" t="str">
        <f>_xlfn.XLOOKUP(tblMaster[[#This Row],[Customer_ID]],tblCustomers[Customer_ID],tblCustomers[Gender],"Not Found",0)</f>
        <v>Male</v>
      </c>
      <c r="N757" s="18" t="str">
        <f>_xlfn.XLOOKUP(tblMaster[[#This Row],[Product_ID]],tblProducts[Product_ID],tblProducts[Product_Name],"Not Found",0)</f>
        <v>Fugit Set</v>
      </c>
      <c r="O757" s="18" t="str">
        <f>_xlfn.XLOOKUP(tblMaster[[#This Row],[Product_ID]],tblProducts[Product_ID],tblProducts[Category],"Not Found",0)</f>
        <v>Soft Toys</v>
      </c>
      <c r="P757" s="18" t="str">
        <f>_xlfn.XLOOKUP(tblMaster[[#This Row],[Product_ID]],tblProducts[Product_ID],tblProducts[Occasion],"Not Found",0)</f>
        <v>All Occasions</v>
      </c>
      <c r="Q757" s="18">
        <f>_xlfn.XLOOKUP(tblMaster[[#This Row],[Product_ID]],tblProducts[Product_ID],tblProducts[Price (INR)],"Not Found",0)</f>
        <v>1084</v>
      </c>
      <c r="R757" s="19">
        <f>tblMaster[[#This Row],[Price]]*tblMaster[[#This Row],[Quantity]]</f>
        <v>4336</v>
      </c>
      <c r="S757" s="19">
        <f>tblMaster[[#This Row],[Price]]*0.7*tblMaster[[#This Row],[Quantity]]</f>
        <v>3035.2</v>
      </c>
      <c r="T757" s="19">
        <f>tblMaster[[#This Row],[Revenue]]-tblMaster[[#This Row],[Estimated Cost (at 70%) ]]</f>
        <v>1300.8000000000002</v>
      </c>
      <c r="U757" s="19">
        <f>tblMaster[[#This Row],[Profit]]/tblMaster[[#This Row],[Revenue]]</f>
        <v>0.30000000000000004</v>
      </c>
      <c r="V757" s="19">
        <f>tblMaster[[#This Row],[Delivery_Date]]-tblMaster[[#This Row],[Order_Date]]</f>
        <v>5</v>
      </c>
      <c r="W757" s="19" t="str">
        <f>TEXT(tblMaster[[#This Row],[Order_Date]],"mmmm")</f>
        <v>July</v>
      </c>
      <c r="X757" s="19">
        <f>MONTH(tblMaster[[#This Row],[Order_Date]])</f>
        <v>7</v>
      </c>
      <c r="Y757" s="19" t="str">
        <f>"Q"&amp;ROUNDUP(tblMaster[[#This Row],[Month Number]]/3,0)</f>
        <v>Q3</v>
      </c>
      <c r="Z757" s="19">
        <f>YEAR(tblMaster[[#This Row],[Order_Date]])</f>
        <v>2023</v>
      </c>
      <c r="AA757" s="19" t="str">
        <f>TEXT(DAY(tblMaster[[#This Row],[Order_Date]]),"dddd")</f>
        <v>Sunday</v>
      </c>
      <c r="AB757" s="19" t="str">
        <f>IF(tblMaster[[#This Row],[Revenue]]&gt;=5000,"High",IF(tblMaster[[#This Row],[Revenue]]&lt;2000,"Low","Medium"))</f>
        <v>Medium</v>
      </c>
    </row>
    <row r="758" spans="1:28" x14ac:dyDescent="0.25">
      <c r="A758" s="7">
        <v>757</v>
      </c>
      <c r="B758" s="7" t="s">
        <v>405</v>
      </c>
      <c r="C758" s="4">
        <v>2</v>
      </c>
      <c r="D758" s="4">
        <v>3</v>
      </c>
      <c r="E758" s="8">
        <v>44969</v>
      </c>
      <c r="F758" s="9">
        <v>0.4332523148148148</v>
      </c>
      <c r="G758" s="8">
        <v>44977</v>
      </c>
      <c r="H758" s="9">
        <v>0.19476851851851851</v>
      </c>
      <c r="I758" s="7" t="s">
        <v>281</v>
      </c>
      <c r="J758" s="7" t="s">
        <v>12</v>
      </c>
      <c r="K758" s="18" t="str">
        <f>_xlfn.XLOOKUP(tblMaster[[#This Row],[Customer_ID]],tblCustomers[Customer_ID],tblCustomers[City],"Not Found",0)</f>
        <v>Panchkula</v>
      </c>
      <c r="L758" s="18" t="str">
        <f>_xlfn.XLOOKUP(tblMaster[[#This Row],[Customer_ID]],tblCustomers[Customer_ID],tblCustomers[Name],"Not Found",0)</f>
        <v>Tara Krishnan</v>
      </c>
      <c r="M758" s="18" t="str">
        <f>_xlfn.XLOOKUP(tblMaster[[#This Row],[Customer_ID]],tblCustomers[Customer_ID],tblCustomers[Gender],"Not Found",0)</f>
        <v>Female</v>
      </c>
      <c r="N758" s="18" t="str">
        <f>_xlfn.XLOOKUP(tblMaster[[#This Row],[Product_ID]],tblProducts[Product_ID],tblProducts[Product_Name],"Not Found",0)</f>
        <v>Voluptas Box</v>
      </c>
      <c r="O758" s="18" t="str">
        <f>_xlfn.XLOOKUP(tblMaster[[#This Row],[Product_ID]],tblProducts[Product_ID],tblProducts[Category],"Not Found",0)</f>
        <v>Plants</v>
      </c>
      <c r="P758" s="18" t="str">
        <f>_xlfn.XLOOKUP(tblMaster[[#This Row],[Product_ID]],tblProducts[Product_ID],tblProducts[Occasion],"Not Found",0)</f>
        <v>Valentine's Day</v>
      </c>
      <c r="Q758" s="18">
        <f>_xlfn.XLOOKUP(tblMaster[[#This Row],[Product_ID]],tblProducts[Product_ID],tblProducts[Price (INR)],"Not Found",0)</f>
        <v>441</v>
      </c>
      <c r="R758" s="19">
        <f>tblMaster[[#This Row],[Price]]*tblMaster[[#This Row],[Quantity]]</f>
        <v>1323</v>
      </c>
      <c r="S758" s="19">
        <f>tblMaster[[#This Row],[Price]]*0.7*tblMaster[[#This Row],[Quantity]]</f>
        <v>926.09999999999991</v>
      </c>
      <c r="T758" s="19">
        <f>tblMaster[[#This Row],[Revenue]]-tblMaster[[#This Row],[Estimated Cost (at 70%) ]]</f>
        <v>396.90000000000009</v>
      </c>
      <c r="U758" s="19">
        <f>tblMaster[[#This Row],[Profit]]/tblMaster[[#This Row],[Revenue]]</f>
        <v>0.30000000000000004</v>
      </c>
      <c r="V758" s="19">
        <f>tblMaster[[#This Row],[Delivery_Date]]-tblMaster[[#This Row],[Order_Date]]</f>
        <v>8</v>
      </c>
      <c r="W758" s="19" t="str">
        <f>TEXT(tblMaster[[#This Row],[Order_Date]],"mmmm")</f>
        <v>February</v>
      </c>
      <c r="X758" s="19">
        <f>MONTH(tblMaster[[#This Row],[Order_Date]])</f>
        <v>2</v>
      </c>
      <c r="Y758" s="19" t="str">
        <f>"Q"&amp;ROUNDUP(tblMaster[[#This Row],[Month Number]]/3,0)</f>
        <v>Q1</v>
      </c>
      <c r="Z758" s="19">
        <f>YEAR(tblMaster[[#This Row],[Order_Date]])</f>
        <v>2023</v>
      </c>
      <c r="AA758" s="19" t="str">
        <f>TEXT(DAY(tblMaster[[#This Row],[Order_Date]]),"dddd")</f>
        <v>Thursday</v>
      </c>
      <c r="AB758" s="19" t="str">
        <f>IF(tblMaster[[#This Row],[Revenue]]&gt;=5000,"High",IF(tblMaster[[#This Row],[Revenue]]&lt;2000,"Low","Medium"))</f>
        <v>Low</v>
      </c>
    </row>
    <row r="759" spans="1:28" x14ac:dyDescent="0.25">
      <c r="A759" s="10">
        <v>758</v>
      </c>
      <c r="B759" s="10" t="s">
        <v>409</v>
      </c>
      <c r="C759" s="5">
        <v>40</v>
      </c>
      <c r="D759" s="5">
        <v>5</v>
      </c>
      <c r="E759" s="11">
        <v>45215</v>
      </c>
      <c r="F759" s="12">
        <v>0.38363425925925926</v>
      </c>
      <c r="G759" s="11">
        <v>45219</v>
      </c>
      <c r="H759" s="12">
        <v>0.15761574074074075</v>
      </c>
      <c r="I759" s="10" t="s">
        <v>542</v>
      </c>
      <c r="J759" s="10" t="s">
        <v>30</v>
      </c>
      <c r="K759" s="18" t="str">
        <f>_xlfn.XLOOKUP(tblMaster[[#This Row],[Customer_ID]],tblCustomers[Customer_ID],tblCustomers[City],"Not Found",0)</f>
        <v>Vellore</v>
      </c>
      <c r="L759" s="18" t="str">
        <f>_xlfn.XLOOKUP(tblMaster[[#This Row],[Customer_ID]],tblCustomers[Customer_ID],tblCustomers[Name],"Not Found",0)</f>
        <v>Yasmin Sheth</v>
      </c>
      <c r="M759" s="18" t="str">
        <f>_xlfn.XLOOKUP(tblMaster[[#This Row],[Customer_ID]],tblCustomers[Customer_ID],tblCustomers[Gender],"Not Found",0)</f>
        <v>Female</v>
      </c>
      <c r="N759" s="18" t="str">
        <f>_xlfn.XLOOKUP(tblMaster[[#This Row],[Product_ID]],tblProducts[Product_ID],tblProducts[Product_Name],"Not Found",0)</f>
        <v>Provident Pack</v>
      </c>
      <c r="O759" s="18" t="str">
        <f>_xlfn.XLOOKUP(tblMaster[[#This Row],[Product_ID]],tblProducts[Product_ID],tblProducts[Category],"Not Found",0)</f>
        <v>Sweets</v>
      </c>
      <c r="P759" s="18" t="str">
        <f>_xlfn.XLOOKUP(tblMaster[[#This Row],[Product_ID]],tblProducts[Product_ID],tblProducts[Occasion],"Not Found",0)</f>
        <v>Anniversary</v>
      </c>
      <c r="Q759" s="18">
        <f>_xlfn.XLOOKUP(tblMaster[[#This Row],[Product_ID]],tblProducts[Product_ID],tblProducts[Price (INR)],"Not Found",0)</f>
        <v>1923</v>
      </c>
      <c r="R759" s="19">
        <f>tblMaster[[#This Row],[Price]]*tblMaster[[#This Row],[Quantity]]</f>
        <v>9615</v>
      </c>
      <c r="S759" s="19">
        <f>tblMaster[[#This Row],[Price]]*0.7*tblMaster[[#This Row],[Quantity]]</f>
        <v>6730.5</v>
      </c>
      <c r="T759" s="19">
        <f>tblMaster[[#This Row],[Revenue]]-tblMaster[[#This Row],[Estimated Cost (at 70%) ]]</f>
        <v>2884.5</v>
      </c>
      <c r="U759" s="19">
        <f>tblMaster[[#This Row],[Profit]]/tblMaster[[#This Row],[Revenue]]</f>
        <v>0.3</v>
      </c>
      <c r="V759" s="19">
        <f>tblMaster[[#This Row],[Delivery_Date]]-tblMaster[[#This Row],[Order_Date]]</f>
        <v>4</v>
      </c>
      <c r="W759" s="19" t="str">
        <f>TEXT(tblMaster[[#This Row],[Order_Date]],"mmmm")</f>
        <v>October</v>
      </c>
      <c r="X759" s="19">
        <f>MONTH(tblMaster[[#This Row],[Order_Date]])</f>
        <v>10</v>
      </c>
      <c r="Y759" s="19" t="str">
        <f>"Q"&amp;ROUNDUP(tblMaster[[#This Row],[Month Number]]/3,0)</f>
        <v>Q4</v>
      </c>
      <c r="Z759" s="19">
        <f>YEAR(tblMaster[[#This Row],[Order_Date]])</f>
        <v>2023</v>
      </c>
      <c r="AA759" s="19" t="str">
        <f>TEXT(DAY(tblMaster[[#This Row],[Order_Date]]),"dddd")</f>
        <v>Monday</v>
      </c>
      <c r="AB759" s="19" t="str">
        <f>IF(tblMaster[[#This Row],[Revenue]]&gt;=5000,"High",IF(tblMaster[[#This Row],[Revenue]]&lt;2000,"Low","Medium"))</f>
        <v>High</v>
      </c>
    </row>
    <row r="760" spans="1:28" x14ac:dyDescent="0.25">
      <c r="A760" s="7">
        <v>759</v>
      </c>
      <c r="B760" s="7" t="s">
        <v>364</v>
      </c>
      <c r="C760" s="4">
        <v>48</v>
      </c>
      <c r="D760" s="4">
        <v>5</v>
      </c>
      <c r="E760" s="8">
        <v>45232</v>
      </c>
      <c r="F760" s="9">
        <v>0.25849537037037035</v>
      </c>
      <c r="G760" s="8">
        <v>45241</v>
      </c>
      <c r="H760" s="9">
        <v>0.25481481481481483</v>
      </c>
      <c r="I760" s="7" t="s">
        <v>203</v>
      </c>
      <c r="J760" s="7" t="s">
        <v>19</v>
      </c>
      <c r="K760" s="18" t="str">
        <f>_xlfn.XLOOKUP(tblMaster[[#This Row],[Customer_ID]],tblCustomers[Customer_ID],tblCustomers[City],"Not Found",0)</f>
        <v>Tiruchirappalli</v>
      </c>
      <c r="L760" s="18" t="str">
        <f>_xlfn.XLOOKUP(tblMaster[[#This Row],[Customer_ID]],tblCustomers[Customer_ID],tblCustomers[Name],"Not Found",0)</f>
        <v>Anahita Shankar</v>
      </c>
      <c r="M760" s="18" t="str">
        <f>_xlfn.XLOOKUP(tblMaster[[#This Row],[Customer_ID]],tblCustomers[Customer_ID],tblCustomers[Gender],"Not Found",0)</f>
        <v>Male</v>
      </c>
      <c r="N760" s="18" t="str">
        <f>_xlfn.XLOOKUP(tblMaster[[#This Row],[Product_ID]],tblProducts[Product_ID],tblProducts[Product_Name],"Not Found",0)</f>
        <v>Maiores Gift</v>
      </c>
      <c r="O760" s="18" t="str">
        <f>_xlfn.XLOOKUP(tblMaster[[#This Row],[Product_ID]],tblProducts[Product_ID],tblProducts[Category],"Not Found",0)</f>
        <v>Colors</v>
      </c>
      <c r="P760" s="18" t="str">
        <f>_xlfn.XLOOKUP(tblMaster[[#This Row],[Product_ID]],tblProducts[Product_ID],tblProducts[Occasion],"Not Found",0)</f>
        <v>Diwali</v>
      </c>
      <c r="Q760" s="18">
        <f>_xlfn.XLOOKUP(tblMaster[[#This Row],[Product_ID]],tblProducts[Product_ID],tblProducts[Price (INR)],"Not Found",0)</f>
        <v>433</v>
      </c>
      <c r="R760" s="19">
        <f>tblMaster[[#This Row],[Price]]*tblMaster[[#This Row],[Quantity]]</f>
        <v>2165</v>
      </c>
      <c r="S760" s="19">
        <f>tblMaster[[#This Row],[Price]]*0.7*tblMaster[[#This Row],[Quantity]]</f>
        <v>1515.4999999999998</v>
      </c>
      <c r="T760" s="19">
        <f>tblMaster[[#This Row],[Revenue]]-tblMaster[[#This Row],[Estimated Cost (at 70%) ]]</f>
        <v>649.50000000000023</v>
      </c>
      <c r="U760" s="19">
        <f>tblMaster[[#This Row],[Profit]]/tblMaster[[#This Row],[Revenue]]</f>
        <v>0.3000000000000001</v>
      </c>
      <c r="V760" s="19">
        <f>tblMaster[[#This Row],[Delivery_Date]]-tblMaster[[#This Row],[Order_Date]]</f>
        <v>9</v>
      </c>
      <c r="W760" s="19" t="str">
        <f>TEXT(tblMaster[[#This Row],[Order_Date]],"mmmm")</f>
        <v>November</v>
      </c>
      <c r="X760" s="19">
        <f>MONTH(tblMaster[[#This Row],[Order_Date]])</f>
        <v>11</v>
      </c>
      <c r="Y760" s="19" t="str">
        <f>"Q"&amp;ROUNDUP(tblMaster[[#This Row],[Month Number]]/3,0)</f>
        <v>Q4</v>
      </c>
      <c r="Z760" s="19">
        <f>YEAR(tblMaster[[#This Row],[Order_Date]])</f>
        <v>2023</v>
      </c>
      <c r="AA760" s="19" t="str">
        <f>TEXT(DAY(tblMaster[[#This Row],[Order_Date]]),"dddd")</f>
        <v>Monday</v>
      </c>
      <c r="AB760" s="19" t="str">
        <f>IF(tblMaster[[#This Row],[Revenue]]&gt;=5000,"High",IF(tblMaster[[#This Row],[Revenue]]&lt;2000,"Low","Medium"))</f>
        <v>Medium</v>
      </c>
    </row>
    <row r="761" spans="1:28" x14ac:dyDescent="0.25">
      <c r="A761" s="10">
        <v>760</v>
      </c>
      <c r="B761" s="10" t="s">
        <v>409</v>
      </c>
      <c r="C761" s="5">
        <v>18</v>
      </c>
      <c r="D761" s="5">
        <v>1</v>
      </c>
      <c r="E761" s="11">
        <v>45188</v>
      </c>
      <c r="F761" s="12">
        <v>0.10283564814814815</v>
      </c>
      <c r="G761" s="11">
        <v>45190</v>
      </c>
      <c r="H761" s="12">
        <v>0.56224537037037037</v>
      </c>
      <c r="I761" s="10" t="s">
        <v>485</v>
      </c>
      <c r="J761" s="10" t="s">
        <v>36</v>
      </c>
      <c r="K761" s="18" t="str">
        <f>_xlfn.XLOOKUP(tblMaster[[#This Row],[Customer_ID]],tblCustomers[Customer_ID],tblCustomers[City],"Not Found",0)</f>
        <v>Vellore</v>
      </c>
      <c r="L761" s="18" t="str">
        <f>_xlfn.XLOOKUP(tblMaster[[#This Row],[Customer_ID]],tblCustomers[Customer_ID],tblCustomers[Name],"Not Found",0)</f>
        <v>Yasmin Sheth</v>
      </c>
      <c r="M761" s="18" t="str">
        <f>_xlfn.XLOOKUP(tblMaster[[#This Row],[Customer_ID]],tblCustomers[Customer_ID],tblCustomers[Gender],"Not Found",0)</f>
        <v>Female</v>
      </c>
      <c r="N761" s="18" t="str">
        <f>_xlfn.XLOOKUP(tblMaster[[#This Row],[Product_ID]],tblProducts[Product_ID],tblProducts[Product_Name],"Not Found",0)</f>
        <v>Nemo Set</v>
      </c>
      <c r="O761" s="18" t="str">
        <f>_xlfn.XLOOKUP(tblMaster[[#This Row],[Product_ID]],tblProducts[Product_ID],tblProducts[Category],"Not Found",0)</f>
        <v>Plants</v>
      </c>
      <c r="P761" s="18" t="str">
        <f>_xlfn.XLOOKUP(tblMaster[[#This Row],[Product_ID]],tblProducts[Product_ID],tblProducts[Occasion],"Not Found",0)</f>
        <v>Birthday</v>
      </c>
      <c r="Q761" s="18">
        <f>_xlfn.XLOOKUP(tblMaster[[#This Row],[Product_ID]],tblProducts[Product_ID],tblProducts[Price (INR)],"Not Found",0)</f>
        <v>781</v>
      </c>
      <c r="R761" s="19">
        <f>tblMaster[[#This Row],[Price]]*tblMaster[[#This Row],[Quantity]]</f>
        <v>781</v>
      </c>
      <c r="S761" s="19">
        <f>tblMaster[[#This Row],[Price]]*0.7*tblMaster[[#This Row],[Quantity]]</f>
        <v>546.69999999999993</v>
      </c>
      <c r="T761" s="19">
        <f>tblMaster[[#This Row],[Revenue]]-tblMaster[[#This Row],[Estimated Cost (at 70%) ]]</f>
        <v>234.30000000000007</v>
      </c>
      <c r="U761" s="19">
        <f>tblMaster[[#This Row],[Profit]]/tblMaster[[#This Row],[Revenue]]</f>
        <v>0.3000000000000001</v>
      </c>
      <c r="V761" s="19">
        <f>tblMaster[[#This Row],[Delivery_Date]]-tblMaster[[#This Row],[Order_Date]]</f>
        <v>2</v>
      </c>
      <c r="W761" s="19" t="str">
        <f>TEXT(tblMaster[[#This Row],[Order_Date]],"mmmm")</f>
        <v>September</v>
      </c>
      <c r="X761" s="19">
        <f>MONTH(tblMaster[[#This Row],[Order_Date]])</f>
        <v>9</v>
      </c>
      <c r="Y761" s="19" t="str">
        <f>"Q"&amp;ROUNDUP(tblMaster[[#This Row],[Month Number]]/3,0)</f>
        <v>Q3</v>
      </c>
      <c r="Z761" s="19">
        <f>YEAR(tblMaster[[#This Row],[Order_Date]])</f>
        <v>2023</v>
      </c>
      <c r="AA761" s="19" t="str">
        <f>TEXT(DAY(tblMaster[[#This Row],[Order_Date]]),"dddd")</f>
        <v>Thursday</v>
      </c>
      <c r="AB761" s="19" t="str">
        <f>IF(tblMaster[[#This Row],[Revenue]]&gt;=5000,"High",IF(tblMaster[[#This Row],[Revenue]]&lt;2000,"Low","Medium"))</f>
        <v>Low</v>
      </c>
    </row>
    <row r="762" spans="1:28" x14ac:dyDescent="0.25">
      <c r="A762" s="7">
        <v>761</v>
      </c>
      <c r="B762" s="7" t="s">
        <v>289</v>
      </c>
      <c r="C762" s="4">
        <v>24</v>
      </c>
      <c r="D762" s="4">
        <v>5</v>
      </c>
      <c r="E762" s="8">
        <v>45034</v>
      </c>
      <c r="F762" s="9">
        <v>0.14251157407407408</v>
      </c>
      <c r="G762" s="8">
        <v>45041</v>
      </c>
      <c r="H762" s="9">
        <v>0.4956712962962963</v>
      </c>
      <c r="I762" s="7" t="s">
        <v>184</v>
      </c>
      <c r="J762" s="7" t="s">
        <v>36</v>
      </c>
      <c r="K762" s="18" t="str">
        <f>_xlfn.XLOOKUP(tblMaster[[#This Row],[Customer_ID]],tblCustomers[Customer_ID],tblCustomers[City],"Not Found",0)</f>
        <v>Chinsurah</v>
      </c>
      <c r="L762" s="18" t="str">
        <f>_xlfn.XLOOKUP(tblMaster[[#This Row],[Customer_ID]],tblCustomers[Customer_ID],tblCustomers[Name],"Not Found",0)</f>
        <v>Veer Ray</v>
      </c>
      <c r="M762" s="18" t="str">
        <f>_xlfn.XLOOKUP(tblMaster[[#This Row],[Customer_ID]],tblCustomers[Customer_ID],tblCustomers[Gender],"Not Found",0)</f>
        <v>Female</v>
      </c>
      <c r="N762" s="18" t="str">
        <f>_xlfn.XLOOKUP(tblMaster[[#This Row],[Product_ID]],tblProducts[Product_ID],tblProducts[Product_Name],"Not Found",0)</f>
        <v>Ad Box</v>
      </c>
      <c r="O762" s="18" t="str">
        <f>_xlfn.XLOOKUP(tblMaster[[#This Row],[Product_ID]],tblProducts[Product_ID],tblProducts[Category],"Not Found",0)</f>
        <v>Mugs</v>
      </c>
      <c r="P762" s="18" t="str">
        <f>_xlfn.XLOOKUP(tblMaster[[#This Row],[Product_ID]],tblProducts[Product_ID],tblProducts[Occasion],"Not Found",0)</f>
        <v>Birthday</v>
      </c>
      <c r="Q762" s="18">
        <f>_xlfn.XLOOKUP(tblMaster[[#This Row],[Product_ID]],tblProducts[Product_ID],tblProducts[Price (INR)],"Not Found",0)</f>
        <v>535</v>
      </c>
      <c r="R762" s="19">
        <f>tblMaster[[#This Row],[Price]]*tblMaster[[#This Row],[Quantity]]</f>
        <v>2675</v>
      </c>
      <c r="S762" s="19">
        <f>tblMaster[[#This Row],[Price]]*0.7*tblMaster[[#This Row],[Quantity]]</f>
        <v>1872.5</v>
      </c>
      <c r="T762" s="19">
        <f>tblMaster[[#This Row],[Revenue]]-tblMaster[[#This Row],[Estimated Cost (at 70%) ]]</f>
        <v>802.5</v>
      </c>
      <c r="U762" s="19">
        <f>tblMaster[[#This Row],[Profit]]/tblMaster[[#This Row],[Revenue]]</f>
        <v>0.3</v>
      </c>
      <c r="V762" s="19">
        <f>tblMaster[[#This Row],[Delivery_Date]]-tblMaster[[#This Row],[Order_Date]]</f>
        <v>7</v>
      </c>
      <c r="W762" s="19" t="str">
        <f>TEXT(tblMaster[[#This Row],[Order_Date]],"mmmm")</f>
        <v>April</v>
      </c>
      <c r="X762" s="19">
        <f>MONTH(tblMaster[[#This Row],[Order_Date]])</f>
        <v>4</v>
      </c>
      <c r="Y762" s="19" t="str">
        <f>"Q"&amp;ROUNDUP(tblMaster[[#This Row],[Month Number]]/3,0)</f>
        <v>Q2</v>
      </c>
      <c r="Z762" s="19">
        <f>YEAR(tblMaster[[#This Row],[Order_Date]])</f>
        <v>2023</v>
      </c>
      <c r="AA762" s="19" t="str">
        <f>TEXT(DAY(tblMaster[[#This Row],[Order_Date]]),"dddd")</f>
        <v>Wednesday</v>
      </c>
      <c r="AB762" s="19" t="str">
        <f>IF(tblMaster[[#This Row],[Revenue]]&gt;=5000,"High",IF(tblMaster[[#This Row],[Revenue]]&lt;2000,"Low","Medium"))</f>
        <v>Medium</v>
      </c>
    </row>
    <row r="763" spans="1:28" x14ac:dyDescent="0.25">
      <c r="A763" s="10">
        <v>762</v>
      </c>
      <c r="B763" s="10" t="s">
        <v>216</v>
      </c>
      <c r="C763" s="5">
        <v>50</v>
      </c>
      <c r="D763" s="5">
        <v>1</v>
      </c>
      <c r="E763" s="11">
        <v>44983</v>
      </c>
      <c r="F763" s="12">
        <v>0.42452546296296295</v>
      </c>
      <c r="G763" s="11">
        <v>44986</v>
      </c>
      <c r="H763" s="12">
        <v>0.16412037037037036</v>
      </c>
      <c r="I763" s="10" t="s">
        <v>444</v>
      </c>
      <c r="J763" s="10" t="s">
        <v>25</v>
      </c>
      <c r="K763" s="18" t="str">
        <f>_xlfn.XLOOKUP(tblMaster[[#This Row],[Customer_ID]],tblCustomers[Customer_ID],tblCustomers[City],"Not Found",0)</f>
        <v>Srikakulam</v>
      </c>
      <c r="L763" s="18" t="str">
        <f>_xlfn.XLOOKUP(tblMaster[[#This Row],[Customer_ID]],tblCustomers[Customer_ID],tblCustomers[Name],"Not Found",0)</f>
        <v>Indrajit Kale</v>
      </c>
      <c r="M763" s="18" t="str">
        <f>_xlfn.XLOOKUP(tblMaster[[#This Row],[Customer_ID]],tblCustomers[Customer_ID],tblCustomers[Gender],"Not Found",0)</f>
        <v>Male</v>
      </c>
      <c r="N763" s="18" t="str">
        <f>_xlfn.XLOOKUP(tblMaster[[#This Row],[Product_ID]],tblProducts[Product_ID],tblProducts[Product_Name],"Not Found",0)</f>
        <v>Eligendi Set</v>
      </c>
      <c r="O763" s="18" t="str">
        <f>_xlfn.XLOOKUP(tblMaster[[#This Row],[Product_ID]],tblProducts[Product_ID],tblProducts[Category],"Not Found",0)</f>
        <v>Plants</v>
      </c>
      <c r="P763" s="18" t="str">
        <f>_xlfn.XLOOKUP(tblMaster[[#This Row],[Product_ID]],tblProducts[Product_ID],tblProducts[Occasion],"Not Found",0)</f>
        <v>Holi</v>
      </c>
      <c r="Q763" s="18">
        <f>_xlfn.XLOOKUP(tblMaster[[#This Row],[Product_ID]],tblProducts[Product_ID],tblProducts[Price (INR)],"Not Found",0)</f>
        <v>422</v>
      </c>
      <c r="R763" s="19">
        <f>tblMaster[[#This Row],[Price]]*tblMaster[[#This Row],[Quantity]]</f>
        <v>422</v>
      </c>
      <c r="S763" s="19">
        <f>tblMaster[[#This Row],[Price]]*0.7*tblMaster[[#This Row],[Quantity]]</f>
        <v>295.39999999999998</v>
      </c>
      <c r="T763" s="19">
        <f>tblMaster[[#This Row],[Revenue]]-tblMaster[[#This Row],[Estimated Cost (at 70%) ]]</f>
        <v>126.60000000000002</v>
      </c>
      <c r="U763" s="19">
        <f>tblMaster[[#This Row],[Profit]]/tblMaster[[#This Row],[Revenue]]</f>
        <v>0.30000000000000004</v>
      </c>
      <c r="V763" s="19">
        <f>tblMaster[[#This Row],[Delivery_Date]]-tblMaster[[#This Row],[Order_Date]]</f>
        <v>3</v>
      </c>
      <c r="W763" s="19" t="str">
        <f>TEXT(tblMaster[[#This Row],[Order_Date]],"mmmm")</f>
        <v>February</v>
      </c>
      <c r="X763" s="19">
        <f>MONTH(tblMaster[[#This Row],[Order_Date]])</f>
        <v>2</v>
      </c>
      <c r="Y763" s="19" t="str">
        <f>"Q"&amp;ROUNDUP(tblMaster[[#This Row],[Month Number]]/3,0)</f>
        <v>Q1</v>
      </c>
      <c r="Z763" s="19">
        <f>YEAR(tblMaster[[#This Row],[Order_Date]])</f>
        <v>2023</v>
      </c>
      <c r="AA763" s="19" t="str">
        <f>TEXT(DAY(tblMaster[[#This Row],[Order_Date]]),"dddd")</f>
        <v>Thursday</v>
      </c>
      <c r="AB763" s="19" t="str">
        <f>IF(tblMaster[[#This Row],[Revenue]]&gt;=5000,"High",IF(tblMaster[[#This Row],[Revenue]]&lt;2000,"Low","Medium"))</f>
        <v>Low</v>
      </c>
    </row>
    <row r="764" spans="1:28" x14ac:dyDescent="0.25">
      <c r="A764" s="7">
        <v>763</v>
      </c>
      <c r="B764" s="7" t="s">
        <v>343</v>
      </c>
      <c r="C764" s="4">
        <v>29</v>
      </c>
      <c r="D764" s="4">
        <v>4</v>
      </c>
      <c r="E764" s="8">
        <v>44987</v>
      </c>
      <c r="F764" s="9">
        <v>0.64038194444444441</v>
      </c>
      <c r="G764" s="8">
        <v>44989</v>
      </c>
      <c r="H764" s="9">
        <v>0.18758101851851852</v>
      </c>
      <c r="I764" s="7" t="s">
        <v>384</v>
      </c>
      <c r="J764" s="7" t="s">
        <v>25</v>
      </c>
      <c r="K764" s="18" t="str">
        <f>_xlfn.XLOOKUP(tblMaster[[#This Row],[Customer_ID]],tblCustomers[Customer_ID],tblCustomers[City],"Not Found",0)</f>
        <v>Bhatpara</v>
      </c>
      <c r="L764" s="18" t="str">
        <f>_xlfn.XLOOKUP(tblMaster[[#This Row],[Customer_ID]],tblCustomers[Customer_ID],tblCustomers[Name],"Not Found",0)</f>
        <v>Emir Gokhale</v>
      </c>
      <c r="M764" s="18" t="str">
        <f>_xlfn.XLOOKUP(tblMaster[[#This Row],[Customer_ID]],tblCustomers[Customer_ID],tblCustomers[Gender],"Not Found",0)</f>
        <v>Male</v>
      </c>
      <c r="N764" s="18" t="str">
        <f>_xlfn.XLOOKUP(tblMaster[[#This Row],[Product_ID]],tblProducts[Product_ID],tblProducts[Product_Name],"Not Found",0)</f>
        <v>In Set</v>
      </c>
      <c r="O764" s="18" t="str">
        <f>_xlfn.XLOOKUP(tblMaster[[#This Row],[Product_ID]],tblProducts[Product_ID],tblProducts[Category],"Not Found",0)</f>
        <v>Colors</v>
      </c>
      <c r="P764" s="18" t="str">
        <f>_xlfn.XLOOKUP(tblMaster[[#This Row],[Product_ID]],tblProducts[Product_ID],tblProducts[Occasion],"Not Found",0)</f>
        <v>Holi</v>
      </c>
      <c r="Q764" s="18">
        <f>_xlfn.XLOOKUP(tblMaster[[#This Row],[Product_ID]],tblProducts[Product_ID],tblProducts[Price (INR)],"Not Found",0)</f>
        <v>1252</v>
      </c>
      <c r="R764" s="19">
        <f>tblMaster[[#This Row],[Price]]*tblMaster[[#This Row],[Quantity]]</f>
        <v>5008</v>
      </c>
      <c r="S764" s="19">
        <f>tblMaster[[#This Row],[Price]]*0.7*tblMaster[[#This Row],[Quantity]]</f>
        <v>3505.6</v>
      </c>
      <c r="T764" s="19">
        <f>tblMaster[[#This Row],[Revenue]]-tblMaster[[#This Row],[Estimated Cost (at 70%) ]]</f>
        <v>1502.4</v>
      </c>
      <c r="U764" s="19">
        <f>tblMaster[[#This Row],[Profit]]/tblMaster[[#This Row],[Revenue]]</f>
        <v>0.30000000000000004</v>
      </c>
      <c r="V764" s="19">
        <f>tblMaster[[#This Row],[Delivery_Date]]-tblMaster[[#This Row],[Order_Date]]</f>
        <v>2</v>
      </c>
      <c r="W764" s="19" t="str">
        <f>TEXT(tblMaster[[#This Row],[Order_Date]],"mmmm")</f>
        <v>March</v>
      </c>
      <c r="X764" s="19">
        <f>MONTH(tblMaster[[#This Row],[Order_Date]])</f>
        <v>3</v>
      </c>
      <c r="Y764" s="19" t="str">
        <f>"Q"&amp;ROUNDUP(tblMaster[[#This Row],[Month Number]]/3,0)</f>
        <v>Q1</v>
      </c>
      <c r="Z764" s="19">
        <f>YEAR(tblMaster[[#This Row],[Order_Date]])</f>
        <v>2023</v>
      </c>
      <c r="AA764" s="19" t="str">
        <f>TEXT(DAY(tblMaster[[#This Row],[Order_Date]]),"dddd")</f>
        <v>Monday</v>
      </c>
      <c r="AB764" s="19" t="str">
        <f>IF(tblMaster[[#This Row],[Revenue]]&gt;=5000,"High",IF(tblMaster[[#This Row],[Revenue]]&lt;2000,"Low","Medium"))</f>
        <v>High</v>
      </c>
    </row>
    <row r="765" spans="1:28" x14ac:dyDescent="0.25">
      <c r="A765" s="10">
        <v>764</v>
      </c>
      <c r="B765" s="10" t="s">
        <v>308</v>
      </c>
      <c r="C765" s="5">
        <v>65</v>
      </c>
      <c r="D765" s="5">
        <v>3</v>
      </c>
      <c r="E765" s="11">
        <v>45139</v>
      </c>
      <c r="F765" s="12">
        <v>0.83305555555555555</v>
      </c>
      <c r="G765" s="11">
        <v>45143</v>
      </c>
      <c r="H765" s="12">
        <v>0.39208333333333334</v>
      </c>
      <c r="I765" s="10" t="s">
        <v>273</v>
      </c>
      <c r="J765" s="10" t="s">
        <v>8</v>
      </c>
      <c r="K765" s="18" t="str">
        <f>_xlfn.XLOOKUP(tblMaster[[#This Row],[Customer_ID]],tblCustomers[Customer_ID],tblCustomers[City],"Not Found",0)</f>
        <v>Kamarhati</v>
      </c>
      <c r="L765" s="18" t="str">
        <f>_xlfn.XLOOKUP(tblMaster[[#This Row],[Customer_ID]],tblCustomers[Customer_ID],tblCustomers[Name],"Not Found",0)</f>
        <v>Kaira Bahl</v>
      </c>
      <c r="M765" s="18" t="str">
        <f>_xlfn.XLOOKUP(tblMaster[[#This Row],[Customer_ID]],tblCustomers[Customer_ID],tblCustomers[Gender],"Not Found",0)</f>
        <v>Male</v>
      </c>
      <c r="N765" s="18" t="str">
        <f>_xlfn.XLOOKUP(tblMaster[[#This Row],[Product_ID]],tblProducts[Product_ID],tblProducts[Product_Name],"Not Found",0)</f>
        <v>Error Gift</v>
      </c>
      <c r="O765" s="18" t="str">
        <f>_xlfn.XLOOKUP(tblMaster[[#This Row],[Product_ID]],tblProducts[Product_ID],tblProducts[Category],"Not Found",0)</f>
        <v>Raksha Bandhan</v>
      </c>
      <c r="P765" s="18" t="str">
        <f>_xlfn.XLOOKUP(tblMaster[[#This Row],[Product_ID]],tblProducts[Product_ID],tblProducts[Occasion],"Not Found",0)</f>
        <v>All Occasions</v>
      </c>
      <c r="Q765" s="18">
        <f>_xlfn.XLOOKUP(tblMaster[[#This Row],[Product_ID]],tblProducts[Product_ID],tblProducts[Price (INR)],"Not Found",0)</f>
        <v>1895</v>
      </c>
      <c r="R765" s="19">
        <f>tblMaster[[#This Row],[Price]]*tblMaster[[#This Row],[Quantity]]</f>
        <v>5685</v>
      </c>
      <c r="S765" s="19">
        <f>tblMaster[[#This Row],[Price]]*0.7*tblMaster[[#This Row],[Quantity]]</f>
        <v>3979.5</v>
      </c>
      <c r="T765" s="19">
        <f>tblMaster[[#This Row],[Revenue]]-tblMaster[[#This Row],[Estimated Cost (at 70%) ]]</f>
        <v>1705.5</v>
      </c>
      <c r="U765" s="19">
        <f>tblMaster[[#This Row],[Profit]]/tblMaster[[#This Row],[Revenue]]</f>
        <v>0.3</v>
      </c>
      <c r="V765" s="19">
        <f>tblMaster[[#This Row],[Delivery_Date]]-tblMaster[[#This Row],[Order_Date]]</f>
        <v>4</v>
      </c>
      <c r="W765" s="19" t="str">
        <f>TEXT(tblMaster[[#This Row],[Order_Date]],"mmmm")</f>
        <v>August</v>
      </c>
      <c r="X765" s="19">
        <f>MONTH(tblMaster[[#This Row],[Order_Date]])</f>
        <v>8</v>
      </c>
      <c r="Y765" s="19" t="str">
        <f>"Q"&amp;ROUNDUP(tblMaster[[#This Row],[Month Number]]/3,0)</f>
        <v>Q3</v>
      </c>
      <c r="Z765" s="19">
        <f>YEAR(tblMaster[[#This Row],[Order_Date]])</f>
        <v>2023</v>
      </c>
      <c r="AA765" s="19" t="str">
        <f>TEXT(DAY(tblMaster[[#This Row],[Order_Date]]),"dddd")</f>
        <v>Sunday</v>
      </c>
      <c r="AB765" s="19" t="str">
        <f>IF(tblMaster[[#This Row],[Revenue]]&gt;=5000,"High",IF(tblMaster[[#This Row],[Revenue]]&lt;2000,"Low","Medium"))</f>
        <v>High</v>
      </c>
    </row>
    <row r="766" spans="1:28" x14ac:dyDescent="0.25">
      <c r="A766" s="7">
        <v>765</v>
      </c>
      <c r="B766" s="7" t="s">
        <v>224</v>
      </c>
      <c r="C766" s="4">
        <v>41</v>
      </c>
      <c r="D766" s="4">
        <v>2</v>
      </c>
      <c r="E766" s="8">
        <v>45233</v>
      </c>
      <c r="F766" s="9">
        <v>0.10949074074074074</v>
      </c>
      <c r="G766" s="8">
        <v>45236</v>
      </c>
      <c r="H766" s="9">
        <v>0.16142361111111111</v>
      </c>
      <c r="I766" s="7" t="s">
        <v>184</v>
      </c>
      <c r="J766" s="7" t="s">
        <v>19</v>
      </c>
      <c r="K766" s="18" t="str">
        <f>_xlfn.XLOOKUP(tblMaster[[#This Row],[Customer_ID]],tblCustomers[Customer_ID],tblCustomers[City],"Not Found",0)</f>
        <v>Imphal</v>
      </c>
      <c r="L766" s="18" t="str">
        <f>_xlfn.XLOOKUP(tblMaster[[#This Row],[Customer_ID]],tblCustomers[Customer_ID],tblCustomers[Name],"Not Found",0)</f>
        <v>Umang Luthra</v>
      </c>
      <c r="M766" s="18" t="str">
        <f>_xlfn.XLOOKUP(tblMaster[[#This Row],[Customer_ID]],tblCustomers[Customer_ID],tblCustomers[Gender],"Not Found",0)</f>
        <v>Male</v>
      </c>
      <c r="N766" s="18" t="str">
        <f>_xlfn.XLOOKUP(tblMaster[[#This Row],[Product_ID]],tblProducts[Product_ID],tblProducts[Product_Name],"Not Found",0)</f>
        <v>Aut Box</v>
      </c>
      <c r="O766" s="18" t="str">
        <f>_xlfn.XLOOKUP(tblMaster[[#This Row],[Product_ID]],tblProducts[Product_ID],tblProducts[Category],"Not Found",0)</f>
        <v>Sweets</v>
      </c>
      <c r="P766" s="18" t="str">
        <f>_xlfn.XLOOKUP(tblMaster[[#This Row],[Product_ID]],tblProducts[Product_ID],tblProducts[Occasion],"Not Found",0)</f>
        <v>Diwali</v>
      </c>
      <c r="Q766" s="18">
        <f>_xlfn.XLOOKUP(tblMaster[[#This Row],[Product_ID]],tblProducts[Product_ID],tblProducts[Price (INR)],"Not Found",0)</f>
        <v>1977</v>
      </c>
      <c r="R766" s="19">
        <f>tblMaster[[#This Row],[Price]]*tblMaster[[#This Row],[Quantity]]</f>
        <v>3954</v>
      </c>
      <c r="S766" s="19">
        <f>tblMaster[[#This Row],[Price]]*0.7*tblMaster[[#This Row],[Quantity]]</f>
        <v>2767.7999999999997</v>
      </c>
      <c r="T766" s="19">
        <f>tblMaster[[#This Row],[Revenue]]-tblMaster[[#This Row],[Estimated Cost (at 70%) ]]</f>
        <v>1186.2000000000003</v>
      </c>
      <c r="U766" s="19">
        <f>tblMaster[[#This Row],[Profit]]/tblMaster[[#This Row],[Revenue]]</f>
        <v>0.30000000000000004</v>
      </c>
      <c r="V766" s="19">
        <f>tblMaster[[#This Row],[Delivery_Date]]-tblMaster[[#This Row],[Order_Date]]</f>
        <v>3</v>
      </c>
      <c r="W766" s="19" t="str">
        <f>TEXT(tblMaster[[#This Row],[Order_Date]],"mmmm")</f>
        <v>November</v>
      </c>
      <c r="X766" s="19">
        <f>MONTH(tblMaster[[#This Row],[Order_Date]])</f>
        <v>11</v>
      </c>
      <c r="Y766" s="19" t="str">
        <f>"Q"&amp;ROUNDUP(tblMaster[[#This Row],[Month Number]]/3,0)</f>
        <v>Q4</v>
      </c>
      <c r="Z766" s="19">
        <f>YEAR(tblMaster[[#This Row],[Order_Date]])</f>
        <v>2023</v>
      </c>
      <c r="AA766" s="19" t="str">
        <f>TEXT(DAY(tblMaster[[#This Row],[Order_Date]]),"dddd")</f>
        <v>Tuesday</v>
      </c>
      <c r="AB766" s="19" t="str">
        <f>IF(tblMaster[[#This Row],[Revenue]]&gt;=5000,"High",IF(tblMaster[[#This Row],[Revenue]]&lt;2000,"Low","Medium"))</f>
        <v>Medium</v>
      </c>
    </row>
    <row r="767" spans="1:28" x14ac:dyDescent="0.25">
      <c r="A767" s="10">
        <v>766</v>
      </c>
      <c r="B767" s="10" t="s">
        <v>261</v>
      </c>
      <c r="C767" s="5">
        <v>1</v>
      </c>
      <c r="D767" s="5">
        <v>4</v>
      </c>
      <c r="E767" s="11">
        <v>45109</v>
      </c>
      <c r="F767" s="12">
        <v>0.68672453703703706</v>
      </c>
      <c r="G767" s="11">
        <v>45114</v>
      </c>
      <c r="H767" s="12">
        <v>1.3703703703703704E-2</v>
      </c>
      <c r="I767" s="10" t="s">
        <v>253</v>
      </c>
      <c r="J767" s="10" t="s">
        <v>8</v>
      </c>
      <c r="K767" s="18" t="str">
        <f>_xlfn.XLOOKUP(tblMaster[[#This Row],[Customer_ID]],tblCustomers[Customer_ID],tblCustomers[City],"Not Found",0)</f>
        <v>Panchkula</v>
      </c>
      <c r="L767" s="18" t="str">
        <f>_xlfn.XLOOKUP(tblMaster[[#This Row],[Customer_ID]],tblCustomers[Customer_ID],tblCustomers[Name],"Not Found",0)</f>
        <v>Gokul Ahluwalia</v>
      </c>
      <c r="M767" s="18" t="str">
        <f>_xlfn.XLOOKUP(tblMaster[[#This Row],[Customer_ID]],tblCustomers[Customer_ID],tblCustomers[Gender],"Not Found",0)</f>
        <v>Female</v>
      </c>
      <c r="N767" s="18" t="str">
        <f>_xlfn.XLOOKUP(tblMaster[[#This Row],[Product_ID]],tblProducts[Product_ID],tblProducts[Product_Name],"Not Found",0)</f>
        <v>Magnam Set</v>
      </c>
      <c r="O767" s="18" t="str">
        <f>_xlfn.XLOOKUP(tblMaster[[#This Row],[Product_ID]],tblProducts[Product_ID],tblProducts[Category],"Not Found",0)</f>
        <v>Soft Toys</v>
      </c>
      <c r="P767" s="18" t="str">
        <f>_xlfn.XLOOKUP(tblMaster[[#This Row],[Product_ID]],tblProducts[Product_ID],tblProducts[Occasion],"Not Found",0)</f>
        <v>All Occasions</v>
      </c>
      <c r="Q767" s="18">
        <f>_xlfn.XLOOKUP(tblMaster[[#This Row],[Product_ID]],tblProducts[Product_ID],tblProducts[Price (INR)],"Not Found",0)</f>
        <v>1935</v>
      </c>
      <c r="R767" s="19">
        <f>tblMaster[[#This Row],[Price]]*tblMaster[[#This Row],[Quantity]]</f>
        <v>7740</v>
      </c>
      <c r="S767" s="19">
        <f>tblMaster[[#This Row],[Price]]*0.7*tblMaster[[#This Row],[Quantity]]</f>
        <v>5418</v>
      </c>
      <c r="T767" s="19">
        <f>tblMaster[[#This Row],[Revenue]]-tblMaster[[#This Row],[Estimated Cost (at 70%) ]]</f>
        <v>2322</v>
      </c>
      <c r="U767" s="19">
        <f>tblMaster[[#This Row],[Profit]]/tblMaster[[#This Row],[Revenue]]</f>
        <v>0.3</v>
      </c>
      <c r="V767" s="19">
        <f>tblMaster[[#This Row],[Delivery_Date]]-tblMaster[[#This Row],[Order_Date]]</f>
        <v>5</v>
      </c>
      <c r="W767" s="19" t="str">
        <f>TEXT(tblMaster[[#This Row],[Order_Date]],"mmmm")</f>
        <v>July</v>
      </c>
      <c r="X767" s="19">
        <f>MONTH(tblMaster[[#This Row],[Order_Date]])</f>
        <v>7</v>
      </c>
      <c r="Y767" s="19" t="str">
        <f>"Q"&amp;ROUNDUP(tblMaster[[#This Row],[Month Number]]/3,0)</f>
        <v>Q3</v>
      </c>
      <c r="Z767" s="19">
        <f>YEAR(tblMaster[[#This Row],[Order_Date]])</f>
        <v>2023</v>
      </c>
      <c r="AA767" s="19" t="str">
        <f>TEXT(DAY(tblMaster[[#This Row],[Order_Date]]),"dddd")</f>
        <v>Monday</v>
      </c>
      <c r="AB767" s="19" t="str">
        <f>IF(tblMaster[[#This Row],[Revenue]]&gt;=5000,"High",IF(tblMaster[[#This Row],[Revenue]]&lt;2000,"Low","Medium"))</f>
        <v>High</v>
      </c>
    </row>
    <row r="768" spans="1:28" x14ac:dyDescent="0.25">
      <c r="A768" s="7">
        <v>767</v>
      </c>
      <c r="B768" s="7" t="s">
        <v>261</v>
      </c>
      <c r="C768" s="4">
        <v>13</v>
      </c>
      <c r="D768" s="4">
        <v>2</v>
      </c>
      <c r="E768" s="8">
        <v>44988</v>
      </c>
      <c r="F768" s="9">
        <v>9.8067129629629629E-2</v>
      </c>
      <c r="G768" s="8">
        <v>44989</v>
      </c>
      <c r="H768" s="9">
        <v>1.0335648148148148E-2</v>
      </c>
      <c r="I768" s="7" t="s">
        <v>305</v>
      </c>
      <c r="J768" s="7" t="s">
        <v>25</v>
      </c>
      <c r="K768" s="18" t="str">
        <f>_xlfn.XLOOKUP(tblMaster[[#This Row],[Customer_ID]],tblCustomers[Customer_ID],tblCustomers[City],"Not Found",0)</f>
        <v>Panchkula</v>
      </c>
      <c r="L768" s="18" t="str">
        <f>_xlfn.XLOOKUP(tblMaster[[#This Row],[Customer_ID]],tblCustomers[Customer_ID],tblCustomers[Name],"Not Found",0)</f>
        <v>Gokul Ahluwalia</v>
      </c>
      <c r="M768" s="18" t="str">
        <f>_xlfn.XLOOKUP(tblMaster[[#This Row],[Customer_ID]],tblCustomers[Customer_ID],tblCustomers[Gender],"Not Found",0)</f>
        <v>Female</v>
      </c>
      <c r="N768" s="18" t="str">
        <f>_xlfn.XLOOKUP(tblMaster[[#This Row],[Product_ID]],tblProducts[Product_ID],tblProducts[Product_Name],"Not Found",0)</f>
        <v>Et Set</v>
      </c>
      <c r="O768" s="18" t="str">
        <f>_xlfn.XLOOKUP(tblMaster[[#This Row],[Product_ID]],tblProducts[Product_ID],tblProducts[Category],"Not Found",0)</f>
        <v>Mugs</v>
      </c>
      <c r="P768" s="18" t="str">
        <f>_xlfn.XLOOKUP(tblMaster[[#This Row],[Product_ID]],tblProducts[Product_ID],tblProducts[Occasion],"Not Found",0)</f>
        <v>Holi</v>
      </c>
      <c r="Q768" s="18">
        <f>_xlfn.XLOOKUP(tblMaster[[#This Row],[Product_ID]],tblProducts[Product_ID],tblProducts[Price (INR)],"Not Found",0)</f>
        <v>1141</v>
      </c>
      <c r="R768" s="19">
        <f>tblMaster[[#This Row],[Price]]*tblMaster[[#This Row],[Quantity]]</f>
        <v>2282</v>
      </c>
      <c r="S768" s="19">
        <f>tblMaster[[#This Row],[Price]]*0.7*tblMaster[[#This Row],[Quantity]]</f>
        <v>1597.3999999999999</v>
      </c>
      <c r="T768" s="19">
        <f>tblMaster[[#This Row],[Revenue]]-tblMaster[[#This Row],[Estimated Cost (at 70%) ]]</f>
        <v>684.60000000000014</v>
      </c>
      <c r="U768" s="19">
        <f>tblMaster[[#This Row],[Profit]]/tblMaster[[#This Row],[Revenue]]</f>
        <v>0.30000000000000004</v>
      </c>
      <c r="V768" s="19">
        <f>tblMaster[[#This Row],[Delivery_Date]]-tblMaster[[#This Row],[Order_Date]]</f>
        <v>1</v>
      </c>
      <c r="W768" s="19" t="str">
        <f>TEXT(tblMaster[[#This Row],[Order_Date]],"mmmm")</f>
        <v>March</v>
      </c>
      <c r="X768" s="19">
        <f>MONTH(tblMaster[[#This Row],[Order_Date]])</f>
        <v>3</v>
      </c>
      <c r="Y768" s="19" t="str">
        <f>"Q"&amp;ROUNDUP(tblMaster[[#This Row],[Month Number]]/3,0)</f>
        <v>Q1</v>
      </c>
      <c r="Z768" s="19">
        <f>YEAR(tblMaster[[#This Row],[Order_Date]])</f>
        <v>2023</v>
      </c>
      <c r="AA768" s="19" t="str">
        <f>TEXT(DAY(tblMaster[[#This Row],[Order_Date]]),"dddd")</f>
        <v>Tuesday</v>
      </c>
      <c r="AB768" s="19" t="str">
        <f>IF(tblMaster[[#This Row],[Revenue]]&gt;=5000,"High",IF(tblMaster[[#This Row],[Revenue]]&lt;2000,"Low","Medium"))</f>
        <v>Medium</v>
      </c>
    </row>
    <row r="769" spans="1:28" x14ac:dyDescent="0.25">
      <c r="A769" s="10">
        <v>768</v>
      </c>
      <c r="B769" s="10" t="s">
        <v>347</v>
      </c>
      <c r="C769" s="5">
        <v>1</v>
      </c>
      <c r="D769" s="5">
        <v>1</v>
      </c>
      <c r="E769" s="11">
        <v>45241</v>
      </c>
      <c r="F769" s="12">
        <v>0.7761689814814815</v>
      </c>
      <c r="G769" s="11">
        <v>45246</v>
      </c>
      <c r="H769" s="12">
        <v>0.51368055555555558</v>
      </c>
      <c r="I769" s="10" t="s">
        <v>327</v>
      </c>
      <c r="J769" s="10" t="s">
        <v>8</v>
      </c>
      <c r="K769" s="18" t="str">
        <f>_xlfn.XLOOKUP(tblMaster[[#This Row],[Customer_ID]],tblCustomers[Customer_ID],tblCustomers[City],"Not Found",0)</f>
        <v>North Dumdum</v>
      </c>
      <c r="L769" s="18" t="str">
        <f>_xlfn.XLOOKUP(tblMaster[[#This Row],[Customer_ID]],tblCustomers[Customer_ID],tblCustomers[Name],"Not Found",0)</f>
        <v>Rania Bhatt</v>
      </c>
      <c r="M769" s="18" t="str">
        <f>_xlfn.XLOOKUP(tblMaster[[#This Row],[Customer_ID]],tblCustomers[Customer_ID],tblCustomers[Gender],"Not Found",0)</f>
        <v>Female</v>
      </c>
      <c r="N769" s="18" t="str">
        <f>_xlfn.XLOOKUP(tblMaster[[#This Row],[Product_ID]],tblProducts[Product_ID],tblProducts[Product_Name],"Not Found",0)</f>
        <v>Magnam Set</v>
      </c>
      <c r="O769" s="18" t="str">
        <f>_xlfn.XLOOKUP(tblMaster[[#This Row],[Product_ID]],tblProducts[Product_ID],tblProducts[Category],"Not Found",0)</f>
        <v>Soft Toys</v>
      </c>
      <c r="P769" s="18" t="str">
        <f>_xlfn.XLOOKUP(tblMaster[[#This Row],[Product_ID]],tblProducts[Product_ID],tblProducts[Occasion],"Not Found",0)</f>
        <v>All Occasions</v>
      </c>
      <c r="Q769" s="18">
        <f>_xlfn.XLOOKUP(tblMaster[[#This Row],[Product_ID]],tblProducts[Product_ID],tblProducts[Price (INR)],"Not Found",0)</f>
        <v>1935</v>
      </c>
      <c r="R769" s="19">
        <f>tblMaster[[#This Row],[Price]]*tblMaster[[#This Row],[Quantity]]</f>
        <v>1935</v>
      </c>
      <c r="S769" s="19">
        <f>tblMaster[[#This Row],[Price]]*0.7*tblMaster[[#This Row],[Quantity]]</f>
        <v>1354.5</v>
      </c>
      <c r="T769" s="19">
        <f>tblMaster[[#This Row],[Revenue]]-tblMaster[[#This Row],[Estimated Cost (at 70%) ]]</f>
        <v>580.5</v>
      </c>
      <c r="U769" s="19">
        <f>tblMaster[[#This Row],[Profit]]/tblMaster[[#This Row],[Revenue]]</f>
        <v>0.3</v>
      </c>
      <c r="V769" s="19">
        <f>tblMaster[[#This Row],[Delivery_Date]]-tblMaster[[#This Row],[Order_Date]]</f>
        <v>5</v>
      </c>
      <c r="W769" s="19" t="str">
        <f>TEXT(tblMaster[[#This Row],[Order_Date]],"mmmm")</f>
        <v>November</v>
      </c>
      <c r="X769" s="19">
        <f>MONTH(tblMaster[[#This Row],[Order_Date]])</f>
        <v>11</v>
      </c>
      <c r="Y769" s="19" t="str">
        <f>"Q"&amp;ROUNDUP(tblMaster[[#This Row],[Month Number]]/3,0)</f>
        <v>Q4</v>
      </c>
      <c r="Z769" s="19">
        <f>YEAR(tblMaster[[#This Row],[Order_Date]])</f>
        <v>2023</v>
      </c>
      <c r="AA769" s="19" t="str">
        <f>TEXT(DAY(tblMaster[[#This Row],[Order_Date]]),"dddd")</f>
        <v>Wednesday</v>
      </c>
      <c r="AB769" s="19" t="str">
        <f>IF(tblMaster[[#This Row],[Revenue]]&gt;=5000,"High",IF(tblMaster[[#This Row],[Revenue]]&lt;2000,"Low","Medium"))</f>
        <v>Low</v>
      </c>
    </row>
    <row r="770" spans="1:28" x14ac:dyDescent="0.25">
      <c r="A770" s="7">
        <v>769</v>
      </c>
      <c r="B770" s="7" t="s">
        <v>170</v>
      </c>
      <c r="C770" s="4">
        <v>28</v>
      </c>
      <c r="D770" s="4">
        <v>2</v>
      </c>
      <c r="E770" s="8">
        <v>45163</v>
      </c>
      <c r="F770" s="9">
        <v>0.40114583333333331</v>
      </c>
      <c r="G770" s="8">
        <v>45171</v>
      </c>
      <c r="H770" s="9">
        <v>0.84050925925925923</v>
      </c>
      <c r="I770" s="7" t="s">
        <v>478</v>
      </c>
      <c r="J770" s="7" t="s">
        <v>33</v>
      </c>
      <c r="K770" s="18" t="str">
        <f>_xlfn.XLOOKUP(tblMaster[[#This Row],[Customer_ID]],tblCustomers[Customer_ID],tblCustomers[City],"Not Found",0)</f>
        <v>Haridwar</v>
      </c>
      <c r="L770" s="18" t="str">
        <f>_xlfn.XLOOKUP(tblMaster[[#This Row],[Customer_ID]],tblCustomers[Customer_ID],tblCustomers[Name],"Not Found",0)</f>
        <v>Badal Sathe</v>
      </c>
      <c r="M770" s="18" t="str">
        <f>_xlfn.XLOOKUP(tblMaster[[#This Row],[Customer_ID]],tblCustomers[Customer_ID],tblCustomers[Gender],"Not Found",0)</f>
        <v>Female</v>
      </c>
      <c r="N770" s="18" t="str">
        <f>_xlfn.XLOOKUP(tblMaster[[#This Row],[Product_ID]],tblProducts[Product_ID],tblProducts[Product_Name],"Not Found",0)</f>
        <v>Velit Set</v>
      </c>
      <c r="O770" s="18" t="str">
        <f>_xlfn.XLOOKUP(tblMaster[[#This Row],[Product_ID]],tblProducts[Product_ID],tblProducts[Category],"Not Found",0)</f>
        <v>Sweets</v>
      </c>
      <c r="P770" s="18" t="str">
        <f>_xlfn.XLOOKUP(tblMaster[[#This Row],[Product_ID]],tblProducts[Product_ID],tblProducts[Occasion],"Not Found",0)</f>
        <v>Raksha Bandhan</v>
      </c>
      <c r="Q770" s="18">
        <f>_xlfn.XLOOKUP(tblMaster[[#This Row],[Product_ID]],tblProducts[Product_ID],tblProducts[Price (INR)],"Not Found",0)</f>
        <v>1778</v>
      </c>
      <c r="R770" s="19">
        <f>tblMaster[[#This Row],[Price]]*tblMaster[[#This Row],[Quantity]]</f>
        <v>3556</v>
      </c>
      <c r="S770" s="19">
        <f>tblMaster[[#This Row],[Price]]*0.7*tblMaster[[#This Row],[Quantity]]</f>
        <v>2489.1999999999998</v>
      </c>
      <c r="T770" s="19">
        <f>tblMaster[[#This Row],[Revenue]]-tblMaster[[#This Row],[Estimated Cost (at 70%) ]]</f>
        <v>1066.8000000000002</v>
      </c>
      <c r="U770" s="19">
        <f>tblMaster[[#This Row],[Profit]]/tblMaster[[#This Row],[Revenue]]</f>
        <v>0.30000000000000004</v>
      </c>
      <c r="V770" s="19">
        <f>tblMaster[[#This Row],[Delivery_Date]]-tblMaster[[#This Row],[Order_Date]]</f>
        <v>8</v>
      </c>
      <c r="W770" s="19" t="str">
        <f>TEXT(tblMaster[[#This Row],[Order_Date]],"mmmm")</f>
        <v>August</v>
      </c>
      <c r="X770" s="19">
        <f>MONTH(tblMaster[[#This Row],[Order_Date]])</f>
        <v>8</v>
      </c>
      <c r="Y770" s="19" t="str">
        <f>"Q"&amp;ROUNDUP(tblMaster[[#This Row],[Month Number]]/3,0)</f>
        <v>Q3</v>
      </c>
      <c r="Z770" s="19">
        <f>YEAR(tblMaster[[#This Row],[Order_Date]])</f>
        <v>2023</v>
      </c>
      <c r="AA770" s="19" t="str">
        <f>TEXT(DAY(tblMaster[[#This Row],[Order_Date]]),"dddd")</f>
        <v>Wednesday</v>
      </c>
      <c r="AB770" s="19" t="str">
        <f>IF(tblMaster[[#This Row],[Revenue]]&gt;=5000,"High",IF(tblMaster[[#This Row],[Revenue]]&lt;2000,"Low","Medium"))</f>
        <v>Medium</v>
      </c>
    </row>
    <row r="771" spans="1:28" x14ac:dyDescent="0.25">
      <c r="A771" s="10">
        <v>770</v>
      </c>
      <c r="B771" s="10" t="s">
        <v>235</v>
      </c>
      <c r="C771" s="5">
        <v>25</v>
      </c>
      <c r="D771" s="5">
        <v>3</v>
      </c>
      <c r="E771" s="11">
        <v>45075</v>
      </c>
      <c r="F771" s="12">
        <v>1.4548611111111111E-2</v>
      </c>
      <c r="G771" s="11">
        <v>45084</v>
      </c>
      <c r="H771" s="12">
        <v>0.4022222222222222</v>
      </c>
      <c r="I771" s="10" t="s">
        <v>286</v>
      </c>
      <c r="J771" s="10" t="s">
        <v>30</v>
      </c>
      <c r="K771" s="18" t="str">
        <f>_xlfn.XLOOKUP(tblMaster[[#This Row],[Customer_ID]],tblCustomers[Customer_ID],tblCustomers[City],"Not Found",0)</f>
        <v>Bhopal</v>
      </c>
      <c r="L771" s="18" t="str">
        <f>_xlfn.XLOOKUP(tblMaster[[#This Row],[Customer_ID]],tblCustomers[Customer_ID],tblCustomers[Name],"Not Found",0)</f>
        <v>Mohanlal Garde</v>
      </c>
      <c r="M771" s="18" t="str">
        <f>_xlfn.XLOOKUP(tblMaster[[#This Row],[Customer_ID]],tblCustomers[Customer_ID],tblCustomers[Gender],"Not Found",0)</f>
        <v>Male</v>
      </c>
      <c r="N771" s="18" t="str">
        <f>_xlfn.XLOOKUP(tblMaster[[#This Row],[Product_ID]],tblProducts[Product_ID],tblProducts[Product_Name],"Not Found",0)</f>
        <v>Qui Gift</v>
      </c>
      <c r="O771" s="18" t="str">
        <f>_xlfn.XLOOKUP(tblMaster[[#This Row],[Product_ID]],tblProducts[Product_ID],tblProducts[Category],"Not Found",0)</f>
        <v>Plants</v>
      </c>
      <c r="P771" s="18" t="str">
        <f>_xlfn.XLOOKUP(tblMaster[[#This Row],[Product_ID]],tblProducts[Product_ID],tblProducts[Occasion],"Not Found",0)</f>
        <v>Anniversary</v>
      </c>
      <c r="Q771" s="18">
        <f>_xlfn.XLOOKUP(tblMaster[[#This Row],[Product_ID]],tblProducts[Product_ID],tblProducts[Price (INR)],"Not Found",0)</f>
        <v>1202</v>
      </c>
      <c r="R771" s="19">
        <f>tblMaster[[#This Row],[Price]]*tblMaster[[#This Row],[Quantity]]</f>
        <v>3606</v>
      </c>
      <c r="S771" s="19">
        <f>tblMaster[[#This Row],[Price]]*0.7*tblMaster[[#This Row],[Quantity]]</f>
        <v>2524.1999999999998</v>
      </c>
      <c r="T771" s="19">
        <f>tblMaster[[#This Row],[Revenue]]-tblMaster[[#This Row],[Estimated Cost (at 70%) ]]</f>
        <v>1081.8000000000002</v>
      </c>
      <c r="U771" s="19">
        <f>tblMaster[[#This Row],[Profit]]/tblMaster[[#This Row],[Revenue]]</f>
        <v>0.30000000000000004</v>
      </c>
      <c r="V771" s="19">
        <f>tblMaster[[#This Row],[Delivery_Date]]-tblMaster[[#This Row],[Order_Date]]</f>
        <v>9</v>
      </c>
      <c r="W771" s="19" t="str">
        <f>TEXT(tblMaster[[#This Row],[Order_Date]],"mmmm")</f>
        <v>May</v>
      </c>
      <c r="X771" s="19">
        <f>MONTH(tblMaster[[#This Row],[Order_Date]])</f>
        <v>5</v>
      </c>
      <c r="Y771" s="19" t="str">
        <f>"Q"&amp;ROUNDUP(tblMaster[[#This Row],[Month Number]]/3,0)</f>
        <v>Q2</v>
      </c>
      <c r="Z771" s="19">
        <f>YEAR(tblMaster[[#This Row],[Order_Date]])</f>
        <v>2023</v>
      </c>
      <c r="AA771" s="19" t="str">
        <f>TEXT(DAY(tblMaster[[#This Row],[Order_Date]]),"dddd")</f>
        <v>Sunday</v>
      </c>
      <c r="AB771" s="19" t="str">
        <f>IF(tblMaster[[#This Row],[Revenue]]&gt;=5000,"High",IF(tblMaster[[#This Row],[Revenue]]&lt;2000,"Low","Medium"))</f>
        <v>Medium</v>
      </c>
    </row>
    <row r="772" spans="1:28" x14ac:dyDescent="0.25">
      <c r="A772" s="7">
        <v>771</v>
      </c>
      <c r="B772" s="7" t="s">
        <v>195</v>
      </c>
      <c r="C772" s="4">
        <v>9</v>
      </c>
      <c r="D772" s="4">
        <v>2</v>
      </c>
      <c r="E772" s="8">
        <v>45164</v>
      </c>
      <c r="F772" s="9">
        <v>0.70841435185185186</v>
      </c>
      <c r="G772" s="8">
        <v>45170</v>
      </c>
      <c r="H772" s="9">
        <v>0.45435185185185184</v>
      </c>
      <c r="I772" s="7" t="s">
        <v>199</v>
      </c>
      <c r="J772" s="7" t="s">
        <v>33</v>
      </c>
      <c r="K772" s="18" t="str">
        <f>_xlfn.XLOOKUP(tblMaster[[#This Row],[Customer_ID]],tblCustomers[Customer_ID],tblCustomers[City],"Not Found",0)</f>
        <v>Haridwar</v>
      </c>
      <c r="L772" s="18" t="str">
        <f>_xlfn.XLOOKUP(tblMaster[[#This Row],[Customer_ID]],tblCustomers[Customer_ID],tblCustomers[Name],"Not Found",0)</f>
        <v>Pihu Choudhury</v>
      </c>
      <c r="M772" s="18" t="str">
        <f>_xlfn.XLOOKUP(tblMaster[[#This Row],[Customer_ID]],tblCustomers[Customer_ID],tblCustomers[Gender],"Not Found",0)</f>
        <v>Male</v>
      </c>
      <c r="N772" s="18" t="str">
        <f>_xlfn.XLOOKUP(tblMaster[[#This Row],[Product_ID]],tblProducts[Product_ID],tblProducts[Product_Name],"Not Found",0)</f>
        <v>Aperiam Box</v>
      </c>
      <c r="O772" s="18" t="str">
        <f>_xlfn.XLOOKUP(tblMaster[[#This Row],[Product_ID]],tblProducts[Product_ID],tblProducts[Category],"Not Found",0)</f>
        <v>Colors</v>
      </c>
      <c r="P772" s="18" t="str">
        <f>_xlfn.XLOOKUP(tblMaster[[#This Row],[Product_ID]],tblProducts[Product_ID],tblProducts[Occasion],"Not Found",0)</f>
        <v>Raksha Bandhan</v>
      </c>
      <c r="Q772" s="18">
        <f>_xlfn.XLOOKUP(tblMaster[[#This Row],[Product_ID]],tblProducts[Product_ID],tblProducts[Price (INR)],"Not Found",0)</f>
        <v>1605</v>
      </c>
      <c r="R772" s="19">
        <f>tblMaster[[#This Row],[Price]]*tblMaster[[#This Row],[Quantity]]</f>
        <v>3210</v>
      </c>
      <c r="S772" s="19">
        <f>tblMaster[[#This Row],[Price]]*0.7*tblMaster[[#This Row],[Quantity]]</f>
        <v>2247</v>
      </c>
      <c r="T772" s="19">
        <f>tblMaster[[#This Row],[Revenue]]-tblMaster[[#This Row],[Estimated Cost (at 70%) ]]</f>
        <v>963</v>
      </c>
      <c r="U772" s="19">
        <f>tblMaster[[#This Row],[Profit]]/tblMaster[[#This Row],[Revenue]]</f>
        <v>0.3</v>
      </c>
      <c r="V772" s="19">
        <f>tblMaster[[#This Row],[Delivery_Date]]-tblMaster[[#This Row],[Order_Date]]</f>
        <v>6</v>
      </c>
      <c r="W772" s="19" t="str">
        <f>TEXT(tblMaster[[#This Row],[Order_Date]],"mmmm")</f>
        <v>August</v>
      </c>
      <c r="X772" s="19">
        <f>MONTH(tblMaster[[#This Row],[Order_Date]])</f>
        <v>8</v>
      </c>
      <c r="Y772" s="19" t="str">
        <f>"Q"&amp;ROUNDUP(tblMaster[[#This Row],[Month Number]]/3,0)</f>
        <v>Q3</v>
      </c>
      <c r="Z772" s="19">
        <f>YEAR(tblMaster[[#This Row],[Order_Date]])</f>
        <v>2023</v>
      </c>
      <c r="AA772" s="19" t="str">
        <f>TEXT(DAY(tblMaster[[#This Row],[Order_Date]]),"dddd")</f>
        <v>Thursday</v>
      </c>
      <c r="AB772" s="19" t="str">
        <f>IF(tblMaster[[#This Row],[Revenue]]&gt;=5000,"High",IF(tblMaster[[#This Row],[Revenue]]&lt;2000,"Low","Medium"))</f>
        <v>Medium</v>
      </c>
    </row>
    <row r="773" spans="1:28" x14ac:dyDescent="0.25">
      <c r="A773" s="10">
        <v>772</v>
      </c>
      <c r="B773" s="10" t="s">
        <v>382</v>
      </c>
      <c r="C773" s="5">
        <v>35</v>
      </c>
      <c r="D773" s="5">
        <v>5</v>
      </c>
      <c r="E773" s="11">
        <v>44986</v>
      </c>
      <c r="F773" s="12">
        <v>0.21048611111111112</v>
      </c>
      <c r="G773" s="11">
        <v>44989</v>
      </c>
      <c r="H773" s="12">
        <v>0.34728009259259257</v>
      </c>
      <c r="I773" s="10" t="s">
        <v>555</v>
      </c>
      <c r="J773" s="10" t="s">
        <v>25</v>
      </c>
      <c r="K773" s="18" t="str">
        <f>_xlfn.XLOOKUP(tblMaster[[#This Row],[Customer_ID]],tblCustomers[Customer_ID],tblCustomers[City],"Not Found",0)</f>
        <v>Raipur</v>
      </c>
      <c r="L773" s="18" t="str">
        <f>_xlfn.XLOOKUP(tblMaster[[#This Row],[Customer_ID]],tblCustomers[Customer_ID],tblCustomers[Name],"Not Found",0)</f>
        <v>Bhamini Johal</v>
      </c>
      <c r="M773" s="18" t="str">
        <f>_xlfn.XLOOKUP(tblMaster[[#This Row],[Customer_ID]],tblCustomers[Customer_ID],tblCustomers[Gender],"Not Found",0)</f>
        <v>Male</v>
      </c>
      <c r="N773" s="18" t="str">
        <f>_xlfn.XLOOKUP(tblMaster[[#This Row],[Product_ID]],tblProducts[Product_ID],tblProducts[Product_Name],"Not Found",0)</f>
        <v>Nam Gift</v>
      </c>
      <c r="O773" s="18" t="str">
        <f>_xlfn.XLOOKUP(tblMaster[[#This Row],[Product_ID]],tblProducts[Product_ID],tblProducts[Category],"Not Found",0)</f>
        <v>Colors</v>
      </c>
      <c r="P773" s="18" t="str">
        <f>_xlfn.XLOOKUP(tblMaster[[#This Row],[Product_ID]],tblProducts[Product_ID],tblProducts[Occasion],"Not Found",0)</f>
        <v>Holi</v>
      </c>
      <c r="Q773" s="18">
        <f>_xlfn.XLOOKUP(tblMaster[[#This Row],[Product_ID]],tblProducts[Product_ID],tblProducts[Price (INR)],"Not Found",0)</f>
        <v>1865</v>
      </c>
      <c r="R773" s="19">
        <f>tblMaster[[#This Row],[Price]]*tblMaster[[#This Row],[Quantity]]</f>
        <v>9325</v>
      </c>
      <c r="S773" s="19">
        <f>tblMaster[[#This Row],[Price]]*0.7*tblMaster[[#This Row],[Quantity]]</f>
        <v>6527.5</v>
      </c>
      <c r="T773" s="19">
        <f>tblMaster[[#This Row],[Revenue]]-tblMaster[[#This Row],[Estimated Cost (at 70%) ]]</f>
        <v>2797.5</v>
      </c>
      <c r="U773" s="19">
        <f>tblMaster[[#This Row],[Profit]]/tblMaster[[#This Row],[Revenue]]</f>
        <v>0.3</v>
      </c>
      <c r="V773" s="19">
        <f>tblMaster[[#This Row],[Delivery_Date]]-tblMaster[[#This Row],[Order_Date]]</f>
        <v>3</v>
      </c>
      <c r="W773" s="19" t="str">
        <f>TEXT(tblMaster[[#This Row],[Order_Date]],"mmmm")</f>
        <v>March</v>
      </c>
      <c r="X773" s="19">
        <f>MONTH(tblMaster[[#This Row],[Order_Date]])</f>
        <v>3</v>
      </c>
      <c r="Y773" s="19" t="str">
        <f>"Q"&amp;ROUNDUP(tblMaster[[#This Row],[Month Number]]/3,0)</f>
        <v>Q1</v>
      </c>
      <c r="Z773" s="19">
        <f>YEAR(tblMaster[[#This Row],[Order_Date]])</f>
        <v>2023</v>
      </c>
      <c r="AA773" s="19" t="str">
        <f>TEXT(DAY(tblMaster[[#This Row],[Order_Date]]),"dddd")</f>
        <v>Sunday</v>
      </c>
      <c r="AB773" s="19" t="str">
        <f>IF(tblMaster[[#This Row],[Revenue]]&gt;=5000,"High",IF(tblMaster[[#This Row],[Revenue]]&lt;2000,"Low","Medium"))</f>
        <v>High</v>
      </c>
    </row>
    <row r="774" spans="1:28" x14ac:dyDescent="0.25">
      <c r="A774" s="7">
        <v>773</v>
      </c>
      <c r="B774" s="7" t="s">
        <v>244</v>
      </c>
      <c r="C774" s="4">
        <v>39</v>
      </c>
      <c r="D774" s="4">
        <v>4</v>
      </c>
      <c r="E774" s="8">
        <v>44933</v>
      </c>
      <c r="F774" s="9">
        <v>9.1249999999999998E-2</v>
      </c>
      <c r="G774" s="8">
        <v>44939</v>
      </c>
      <c r="H774" s="9">
        <v>0.99159722222222224</v>
      </c>
      <c r="I774" s="7" t="s">
        <v>372</v>
      </c>
      <c r="J774" s="7" t="s">
        <v>8</v>
      </c>
      <c r="K774" s="18" t="str">
        <f>_xlfn.XLOOKUP(tblMaster[[#This Row],[Customer_ID]],tblCustomers[Customer_ID],tblCustomers[City],"Not Found",0)</f>
        <v>Sasaram</v>
      </c>
      <c r="L774" s="18" t="str">
        <f>_xlfn.XLOOKUP(tblMaster[[#This Row],[Customer_ID]],tblCustomers[Customer_ID],tblCustomers[Name],"Not Found",0)</f>
        <v>Madhup Wable</v>
      </c>
      <c r="M774" s="18" t="str">
        <f>_xlfn.XLOOKUP(tblMaster[[#This Row],[Customer_ID]],tblCustomers[Customer_ID],tblCustomers[Gender],"Not Found",0)</f>
        <v>Female</v>
      </c>
      <c r="N774" s="18" t="str">
        <f>_xlfn.XLOOKUP(tblMaster[[#This Row],[Product_ID]],tblProducts[Product_ID],tblProducts[Product_Name],"Not Found",0)</f>
        <v>Voluptate Set</v>
      </c>
      <c r="O774" s="18" t="str">
        <f>_xlfn.XLOOKUP(tblMaster[[#This Row],[Product_ID]],tblProducts[Product_ID],tblProducts[Category],"Not Found",0)</f>
        <v>Mugs</v>
      </c>
      <c r="P774" s="18" t="str">
        <f>_xlfn.XLOOKUP(tblMaster[[#This Row],[Product_ID]],tblProducts[Product_ID],tblProducts[Occasion],"Not Found",0)</f>
        <v>All Occasions</v>
      </c>
      <c r="Q774" s="18">
        <f>_xlfn.XLOOKUP(tblMaster[[#This Row],[Product_ID]],tblProducts[Product_ID],tblProducts[Price (INR)],"Not Found",0)</f>
        <v>387</v>
      </c>
      <c r="R774" s="19">
        <f>tblMaster[[#This Row],[Price]]*tblMaster[[#This Row],[Quantity]]</f>
        <v>1548</v>
      </c>
      <c r="S774" s="19">
        <f>tblMaster[[#This Row],[Price]]*0.7*tblMaster[[#This Row],[Quantity]]</f>
        <v>1083.5999999999999</v>
      </c>
      <c r="T774" s="19">
        <f>tblMaster[[#This Row],[Revenue]]-tblMaster[[#This Row],[Estimated Cost (at 70%) ]]</f>
        <v>464.40000000000009</v>
      </c>
      <c r="U774" s="19">
        <f>tblMaster[[#This Row],[Profit]]/tblMaster[[#This Row],[Revenue]]</f>
        <v>0.30000000000000004</v>
      </c>
      <c r="V774" s="19">
        <f>tblMaster[[#This Row],[Delivery_Date]]-tblMaster[[#This Row],[Order_Date]]</f>
        <v>6</v>
      </c>
      <c r="W774" s="19" t="str">
        <f>TEXT(tblMaster[[#This Row],[Order_Date]],"mmmm")</f>
        <v>January</v>
      </c>
      <c r="X774" s="19">
        <f>MONTH(tblMaster[[#This Row],[Order_Date]])</f>
        <v>1</v>
      </c>
      <c r="Y774" s="19" t="str">
        <f>"Q"&amp;ROUNDUP(tblMaster[[#This Row],[Month Number]]/3,0)</f>
        <v>Q1</v>
      </c>
      <c r="Z774" s="19">
        <f>YEAR(tblMaster[[#This Row],[Order_Date]])</f>
        <v>2023</v>
      </c>
      <c r="AA774" s="19" t="str">
        <f>TEXT(DAY(tblMaster[[#This Row],[Order_Date]]),"dddd")</f>
        <v>Saturday</v>
      </c>
      <c r="AB774" s="19" t="str">
        <f>IF(tblMaster[[#This Row],[Revenue]]&gt;=5000,"High",IF(tblMaster[[#This Row],[Revenue]]&lt;2000,"Low","Medium"))</f>
        <v>Low</v>
      </c>
    </row>
    <row r="775" spans="1:28" x14ac:dyDescent="0.25">
      <c r="A775" s="10">
        <v>774</v>
      </c>
      <c r="B775" s="10" t="s">
        <v>341</v>
      </c>
      <c r="C775" s="5">
        <v>65</v>
      </c>
      <c r="D775" s="5">
        <v>5</v>
      </c>
      <c r="E775" s="11">
        <v>45094</v>
      </c>
      <c r="F775" s="12">
        <v>0.89468749999999997</v>
      </c>
      <c r="G775" s="11">
        <v>45104</v>
      </c>
      <c r="H775" s="12">
        <v>0.12592592592592591</v>
      </c>
      <c r="I775" s="10" t="s">
        <v>396</v>
      </c>
      <c r="J775" s="10" t="s">
        <v>8</v>
      </c>
      <c r="K775" s="18" t="str">
        <f>_xlfn.XLOOKUP(tblMaster[[#This Row],[Customer_ID]],tblCustomers[Customer_ID],tblCustomers[City],"Not Found",0)</f>
        <v>Kota</v>
      </c>
      <c r="L775" s="18" t="str">
        <f>_xlfn.XLOOKUP(tblMaster[[#This Row],[Customer_ID]],tblCustomers[Customer_ID],tblCustomers[Name],"Not Found",0)</f>
        <v>Aradhya Batta</v>
      </c>
      <c r="M775" s="18" t="str">
        <f>_xlfn.XLOOKUP(tblMaster[[#This Row],[Customer_ID]],tblCustomers[Customer_ID],tblCustomers[Gender],"Not Found",0)</f>
        <v>Female</v>
      </c>
      <c r="N775" s="18" t="str">
        <f>_xlfn.XLOOKUP(tblMaster[[#This Row],[Product_ID]],tblProducts[Product_ID],tblProducts[Product_Name],"Not Found",0)</f>
        <v>Error Gift</v>
      </c>
      <c r="O775" s="18" t="str">
        <f>_xlfn.XLOOKUP(tblMaster[[#This Row],[Product_ID]],tblProducts[Product_ID],tblProducts[Category],"Not Found",0)</f>
        <v>Raksha Bandhan</v>
      </c>
      <c r="P775" s="18" t="str">
        <f>_xlfn.XLOOKUP(tblMaster[[#This Row],[Product_ID]],tblProducts[Product_ID],tblProducts[Occasion],"Not Found",0)</f>
        <v>All Occasions</v>
      </c>
      <c r="Q775" s="18">
        <f>_xlfn.XLOOKUP(tblMaster[[#This Row],[Product_ID]],tblProducts[Product_ID],tblProducts[Price (INR)],"Not Found",0)</f>
        <v>1895</v>
      </c>
      <c r="R775" s="19">
        <f>tblMaster[[#This Row],[Price]]*tblMaster[[#This Row],[Quantity]]</f>
        <v>9475</v>
      </c>
      <c r="S775" s="19">
        <f>tblMaster[[#This Row],[Price]]*0.7*tblMaster[[#This Row],[Quantity]]</f>
        <v>6632.5</v>
      </c>
      <c r="T775" s="19">
        <f>tblMaster[[#This Row],[Revenue]]-tblMaster[[#This Row],[Estimated Cost (at 70%) ]]</f>
        <v>2842.5</v>
      </c>
      <c r="U775" s="19">
        <f>tblMaster[[#This Row],[Profit]]/tblMaster[[#This Row],[Revenue]]</f>
        <v>0.3</v>
      </c>
      <c r="V775" s="19">
        <f>tblMaster[[#This Row],[Delivery_Date]]-tblMaster[[#This Row],[Order_Date]]</f>
        <v>10</v>
      </c>
      <c r="W775" s="19" t="str">
        <f>TEXT(tblMaster[[#This Row],[Order_Date]],"mmmm")</f>
        <v>June</v>
      </c>
      <c r="X775" s="19">
        <f>MONTH(tblMaster[[#This Row],[Order_Date]])</f>
        <v>6</v>
      </c>
      <c r="Y775" s="19" t="str">
        <f>"Q"&amp;ROUNDUP(tblMaster[[#This Row],[Month Number]]/3,0)</f>
        <v>Q2</v>
      </c>
      <c r="Z775" s="19">
        <f>YEAR(tblMaster[[#This Row],[Order_Date]])</f>
        <v>2023</v>
      </c>
      <c r="AA775" s="19" t="str">
        <f>TEXT(DAY(tblMaster[[#This Row],[Order_Date]]),"dddd")</f>
        <v>Tuesday</v>
      </c>
      <c r="AB775" s="19" t="str">
        <f>IF(tblMaster[[#This Row],[Revenue]]&gt;=5000,"High",IF(tblMaster[[#This Row],[Revenue]]&lt;2000,"Low","Medium"))</f>
        <v>High</v>
      </c>
    </row>
    <row r="776" spans="1:28" x14ac:dyDescent="0.25">
      <c r="A776" s="7">
        <v>775</v>
      </c>
      <c r="B776" s="7" t="s">
        <v>261</v>
      </c>
      <c r="C776" s="4">
        <v>45</v>
      </c>
      <c r="D776" s="4">
        <v>1</v>
      </c>
      <c r="E776" s="8">
        <v>44976</v>
      </c>
      <c r="F776" s="9">
        <v>0.15844907407407408</v>
      </c>
      <c r="G776" s="8">
        <v>44981</v>
      </c>
      <c r="H776" s="9">
        <v>0.98040509259259256</v>
      </c>
      <c r="I776" s="7" t="s">
        <v>282</v>
      </c>
      <c r="J776" s="7" t="s">
        <v>36</v>
      </c>
      <c r="K776" s="18" t="str">
        <f>_xlfn.XLOOKUP(tblMaster[[#This Row],[Customer_ID]],tblCustomers[Customer_ID],tblCustomers[City],"Not Found",0)</f>
        <v>Panchkula</v>
      </c>
      <c r="L776" s="18" t="str">
        <f>_xlfn.XLOOKUP(tblMaster[[#This Row],[Customer_ID]],tblCustomers[Customer_ID],tblCustomers[Name],"Not Found",0)</f>
        <v>Gokul Ahluwalia</v>
      </c>
      <c r="M776" s="18" t="str">
        <f>_xlfn.XLOOKUP(tblMaster[[#This Row],[Customer_ID]],tblCustomers[Customer_ID],tblCustomers[Gender],"Not Found",0)</f>
        <v>Female</v>
      </c>
      <c r="N776" s="18" t="str">
        <f>_xlfn.XLOOKUP(tblMaster[[#This Row],[Product_ID]],tblProducts[Product_ID],tblProducts[Product_Name],"Not Found",0)</f>
        <v>Iusto Set</v>
      </c>
      <c r="O776" s="18" t="str">
        <f>_xlfn.XLOOKUP(tblMaster[[#This Row],[Product_ID]],tblProducts[Product_ID],tblProducts[Category],"Not Found",0)</f>
        <v>Raksha Bandhan</v>
      </c>
      <c r="P776" s="18" t="str">
        <f>_xlfn.XLOOKUP(tblMaster[[#This Row],[Product_ID]],tblProducts[Product_ID],tblProducts[Occasion],"Not Found",0)</f>
        <v>Birthday</v>
      </c>
      <c r="Q776" s="18">
        <f>_xlfn.XLOOKUP(tblMaster[[#This Row],[Product_ID]],tblProducts[Product_ID],tblProducts[Price (INR)],"Not Found",0)</f>
        <v>722</v>
      </c>
      <c r="R776" s="19">
        <f>tblMaster[[#This Row],[Price]]*tblMaster[[#This Row],[Quantity]]</f>
        <v>722</v>
      </c>
      <c r="S776" s="19">
        <f>tblMaster[[#This Row],[Price]]*0.7*tblMaster[[#This Row],[Quantity]]</f>
        <v>505.4</v>
      </c>
      <c r="T776" s="19">
        <f>tblMaster[[#This Row],[Revenue]]-tblMaster[[#This Row],[Estimated Cost (at 70%) ]]</f>
        <v>216.60000000000002</v>
      </c>
      <c r="U776" s="19">
        <f>tblMaster[[#This Row],[Profit]]/tblMaster[[#This Row],[Revenue]]</f>
        <v>0.30000000000000004</v>
      </c>
      <c r="V776" s="19">
        <f>tblMaster[[#This Row],[Delivery_Date]]-tblMaster[[#This Row],[Order_Date]]</f>
        <v>5</v>
      </c>
      <c r="W776" s="19" t="str">
        <f>TEXT(tblMaster[[#This Row],[Order_Date]],"mmmm")</f>
        <v>February</v>
      </c>
      <c r="X776" s="19">
        <f>MONTH(tblMaster[[#This Row],[Order_Date]])</f>
        <v>2</v>
      </c>
      <c r="Y776" s="19" t="str">
        <f>"Q"&amp;ROUNDUP(tblMaster[[#This Row],[Month Number]]/3,0)</f>
        <v>Q1</v>
      </c>
      <c r="Z776" s="19">
        <f>YEAR(tblMaster[[#This Row],[Order_Date]])</f>
        <v>2023</v>
      </c>
      <c r="AA776" s="19" t="str">
        <f>TEXT(DAY(tblMaster[[#This Row],[Order_Date]]),"dddd")</f>
        <v>Thursday</v>
      </c>
      <c r="AB776" s="19" t="str">
        <f>IF(tblMaster[[#This Row],[Revenue]]&gt;=5000,"High",IF(tblMaster[[#This Row],[Revenue]]&lt;2000,"Low","Medium"))</f>
        <v>Low</v>
      </c>
    </row>
    <row r="777" spans="1:28" x14ac:dyDescent="0.25">
      <c r="A777" s="10">
        <v>776</v>
      </c>
      <c r="B777" s="10" t="s">
        <v>341</v>
      </c>
      <c r="C777" s="5">
        <v>43</v>
      </c>
      <c r="D777" s="5">
        <v>1</v>
      </c>
      <c r="E777" s="11">
        <v>45239</v>
      </c>
      <c r="F777" s="12">
        <v>0.3117361111111111</v>
      </c>
      <c r="G777" s="11">
        <v>45242</v>
      </c>
      <c r="H777" s="12">
        <v>0.90212962962962961</v>
      </c>
      <c r="I777" s="10" t="s">
        <v>439</v>
      </c>
      <c r="J777" s="10" t="s">
        <v>19</v>
      </c>
      <c r="K777" s="18" t="str">
        <f>_xlfn.XLOOKUP(tblMaster[[#This Row],[Customer_ID]],tblCustomers[Customer_ID],tblCustomers[City],"Not Found",0)</f>
        <v>Kota</v>
      </c>
      <c r="L777" s="18" t="str">
        <f>_xlfn.XLOOKUP(tblMaster[[#This Row],[Customer_ID]],tblCustomers[Customer_ID],tblCustomers[Name],"Not Found",0)</f>
        <v>Aradhya Batta</v>
      </c>
      <c r="M777" s="18" t="str">
        <f>_xlfn.XLOOKUP(tblMaster[[#This Row],[Customer_ID]],tblCustomers[Customer_ID],tblCustomers[Gender],"Not Found",0)</f>
        <v>Female</v>
      </c>
      <c r="N777" s="18" t="str">
        <f>_xlfn.XLOOKUP(tblMaster[[#This Row],[Product_ID]],tblProducts[Product_ID],tblProducts[Product_Name],"Not Found",0)</f>
        <v>Quisquam Pack</v>
      </c>
      <c r="O777" s="18" t="str">
        <f>_xlfn.XLOOKUP(tblMaster[[#This Row],[Product_ID]],tblProducts[Product_ID],tblProducts[Category],"Not Found",0)</f>
        <v>Raksha Bandhan</v>
      </c>
      <c r="P777" s="18" t="str">
        <f>_xlfn.XLOOKUP(tblMaster[[#This Row],[Product_ID]],tblProducts[Product_ID],tblProducts[Occasion],"Not Found",0)</f>
        <v>Diwali</v>
      </c>
      <c r="Q777" s="18">
        <f>_xlfn.XLOOKUP(tblMaster[[#This Row],[Product_ID]],tblProducts[Product_ID],tblProducts[Price (INR)],"Not Found",0)</f>
        <v>750</v>
      </c>
      <c r="R777" s="19">
        <f>tblMaster[[#This Row],[Price]]*tblMaster[[#This Row],[Quantity]]</f>
        <v>750</v>
      </c>
      <c r="S777" s="19">
        <f>tblMaster[[#This Row],[Price]]*0.7*tblMaster[[#This Row],[Quantity]]</f>
        <v>525</v>
      </c>
      <c r="T777" s="19">
        <f>tblMaster[[#This Row],[Revenue]]-tblMaster[[#This Row],[Estimated Cost (at 70%) ]]</f>
        <v>225</v>
      </c>
      <c r="U777" s="19">
        <f>tblMaster[[#This Row],[Profit]]/tblMaster[[#This Row],[Revenue]]</f>
        <v>0.3</v>
      </c>
      <c r="V777" s="19">
        <f>tblMaster[[#This Row],[Delivery_Date]]-tblMaster[[#This Row],[Order_Date]]</f>
        <v>3</v>
      </c>
      <c r="W777" s="19" t="str">
        <f>TEXT(tblMaster[[#This Row],[Order_Date]],"mmmm")</f>
        <v>November</v>
      </c>
      <c r="X777" s="19">
        <f>MONTH(tblMaster[[#This Row],[Order_Date]])</f>
        <v>11</v>
      </c>
      <c r="Y777" s="19" t="str">
        <f>"Q"&amp;ROUNDUP(tblMaster[[#This Row],[Month Number]]/3,0)</f>
        <v>Q4</v>
      </c>
      <c r="Z777" s="19">
        <f>YEAR(tblMaster[[#This Row],[Order_Date]])</f>
        <v>2023</v>
      </c>
      <c r="AA777" s="19" t="str">
        <f>TEXT(DAY(tblMaster[[#This Row],[Order_Date]]),"dddd")</f>
        <v>Monday</v>
      </c>
      <c r="AB777" s="19" t="str">
        <f>IF(tblMaster[[#This Row],[Revenue]]&gt;=5000,"High",IF(tblMaster[[#This Row],[Revenue]]&lt;2000,"Low","Medium"))</f>
        <v>Low</v>
      </c>
    </row>
    <row r="778" spans="1:28" x14ac:dyDescent="0.25">
      <c r="A778" s="7">
        <v>777</v>
      </c>
      <c r="B778" s="7" t="s">
        <v>392</v>
      </c>
      <c r="C778" s="4">
        <v>70</v>
      </c>
      <c r="D778" s="4">
        <v>3</v>
      </c>
      <c r="E778" s="8">
        <v>44981</v>
      </c>
      <c r="F778" s="9">
        <v>0.64857638888888891</v>
      </c>
      <c r="G778" s="8">
        <v>44984</v>
      </c>
      <c r="H778" s="9">
        <v>0.47892361111111109</v>
      </c>
      <c r="I778" s="7" t="s">
        <v>517</v>
      </c>
      <c r="J778" s="7" t="s">
        <v>36</v>
      </c>
      <c r="K778" s="18" t="str">
        <f>_xlfn.XLOOKUP(tblMaster[[#This Row],[Customer_ID]],tblCustomers[Customer_ID],tblCustomers[City],"Not Found",0)</f>
        <v>Tenali</v>
      </c>
      <c r="L778" s="18" t="str">
        <f>_xlfn.XLOOKUP(tblMaster[[#This Row],[Customer_ID]],tblCustomers[Customer_ID],tblCustomers[Name],"Not Found",0)</f>
        <v>Amani Ganesh</v>
      </c>
      <c r="M778" s="18" t="str">
        <f>_xlfn.XLOOKUP(tblMaster[[#This Row],[Customer_ID]],tblCustomers[Customer_ID],tblCustomers[Gender],"Not Found",0)</f>
        <v>Male</v>
      </c>
      <c r="N778" s="18" t="str">
        <f>_xlfn.XLOOKUP(tblMaster[[#This Row],[Product_ID]],tblProducts[Product_ID],tblProducts[Product_Name],"Not Found",0)</f>
        <v>Error Gift</v>
      </c>
      <c r="O778" s="18" t="str">
        <f>_xlfn.XLOOKUP(tblMaster[[#This Row],[Product_ID]],tblProducts[Product_ID],tblProducts[Category],"Not Found",0)</f>
        <v>Sweets</v>
      </c>
      <c r="P778" s="18" t="str">
        <f>_xlfn.XLOOKUP(tblMaster[[#This Row],[Product_ID]],tblProducts[Product_ID],tblProducts[Occasion],"Not Found",0)</f>
        <v>Birthday</v>
      </c>
      <c r="Q778" s="18">
        <f>_xlfn.XLOOKUP(tblMaster[[#This Row],[Product_ID]],tblProducts[Product_ID],tblProducts[Price (INR)],"Not Found",0)</f>
        <v>866</v>
      </c>
      <c r="R778" s="19">
        <f>tblMaster[[#This Row],[Price]]*tblMaster[[#This Row],[Quantity]]</f>
        <v>2598</v>
      </c>
      <c r="S778" s="19">
        <f>tblMaster[[#This Row],[Price]]*0.7*tblMaster[[#This Row],[Quantity]]</f>
        <v>1818.6</v>
      </c>
      <c r="T778" s="19">
        <f>tblMaster[[#This Row],[Revenue]]-tblMaster[[#This Row],[Estimated Cost (at 70%) ]]</f>
        <v>779.40000000000009</v>
      </c>
      <c r="U778" s="19">
        <f>tblMaster[[#This Row],[Profit]]/tblMaster[[#This Row],[Revenue]]</f>
        <v>0.30000000000000004</v>
      </c>
      <c r="V778" s="19">
        <f>tblMaster[[#This Row],[Delivery_Date]]-tblMaster[[#This Row],[Order_Date]]</f>
        <v>3</v>
      </c>
      <c r="W778" s="19" t="str">
        <f>TEXT(tblMaster[[#This Row],[Order_Date]],"mmmm")</f>
        <v>February</v>
      </c>
      <c r="X778" s="19">
        <f>MONTH(tblMaster[[#This Row],[Order_Date]])</f>
        <v>2</v>
      </c>
      <c r="Y778" s="19" t="str">
        <f>"Q"&amp;ROUNDUP(tblMaster[[#This Row],[Month Number]]/3,0)</f>
        <v>Q1</v>
      </c>
      <c r="Z778" s="19">
        <f>YEAR(tblMaster[[#This Row],[Order_Date]])</f>
        <v>2023</v>
      </c>
      <c r="AA778" s="19" t="str">
        <f>TEXT(DAY(tblMaster[[#This Row],[Order_Date]]),"dddd")</f>
        <v>Tuesday</v>
      </c>
      <c r="AB778" s="19" t="str">
        <f>IF(tblMaster[[#This Row],[Revenue]]&gt;=5000,"High",IF(tblMaster[[#This Row],[Revenue]]&lt;2000,"Low","Medium"))</f>
        <v>Medium</v>
      </c>
    </row>
    <row r="779" spans="1:28" x14ac:dyDescent="0.25">
      <c r="A779" s="10">
        <v>778</v>
      </c>
      <c r="B779" s="10" t="s">
        <v>272</v>
      </c>
      <c r="C779" s="5">
        <v>61</v>
      </c>
      <c r="D779" s="5">
        <v>4</v>
      </c>
      <c r="E779" s="11">
        <v>45056</v>
      </c>
      <c r="F779" s="12">
        <v>0.16574074074074074</v>
      </c>
      <c r="G779" s="11">
        <v>45059</v>
      </c>
      <c r="H779" s="12">
        <v>0.49811342592592595</v>
      </c>
      <c r="I779" s="10" t="s">
        <v>448</v>
      </c>
      <c r="J779" s="10" t="s">
        <v>30</v>
      </c>
      <c r="K779" s="18" t="str">
        <f>_xlfn.XLOOKUP(tblMaster[[#This Row],[Customer_ID]],tblCustomers[Customer_ID],tblCustomers[City],"Not Found",0)</f>
        <v>Indore</v>
      </c>
      <c r="L779" s="18" t="str">
        <f>_xlfn.XLOOKUP(tblMaster[[#This Row],[Customer_ID]],tblCustomers[Customer_ID],tblCustomers[Name],"Not Found",0)</f>
        <v>Suhana Kurian</v>
      </c>
      <c r="M779" s="18" t="str">
        <f>_xlfn.XLOOKUP(tblMaster[[#This Row],[Customer_ID]],tblCustomers[Customer_ID],tblCustomers[Gender],"Not Found",0)</f>
        <v>Female</v>
      </c>
      <c r="N779" s="18" t="str">
        <f>_xlfn.XLOOKUP(tblMaster[[#This Row],[Product_ID]],tblProducts[Product_ID],tblProducts[Product_Name],"Not Found",0)</f>
        <v>Iusto Box</v>
      </c>
      <c r="O779" s="18" t="str">
        <f>_xlfn.XLOOKUP(tblMaster[[#This Row],[Product_ID]],tblProducts[Product_ID],tblProducts[Category],"Not Found",0)</f>
        <v>Plants</v>
      </c>
      <c r="P779" s="18" t="str">
        <f>_xlfn.XLOOKUP(tblMaster[[#This Row],[Product_ID]],tblProducts[Product_ID],tblProducts[Occasion],"Not Found",0)</f>
        <v>Anniversary</v>
      </c>
      <c r="Q779" s="18">
        <f>_xlfn.XLOOKUP(tblMaster[[#This Row],[Product_ID]],tblProducts[Product_ID],tblProducts[Price (INR)],"Not Found",0)</f>
        <v>810</v>
      </c>
      <c r="R779" s="19">
        <f>tblMaster[[#This Row],[Price]]*tblMaster[[#This Row],[Quantity]]</f>
        <v>3240</v>
      </c>
      <c r="S779" s="19">
        <f>tblMaster[[#This Row],[Price]]*0.7*tblMaster[[#This Row],[Quantity]]</f>
        <v>2268</v>
      </c>
      <c r="T779" s="19">
        <f>tblMaster[[#This Row],[Revenue]]-tblMaster[[#This Row],[Estimated Cost (at 70%) ]]</f>
        <v>972</v>
      </c>
      <c r="U779" s="19">
        <f>tblMaster[[#This Row],[Profit]]/tblMaster[[#This Row],[Revenue]]</f>
        <v>0.3</v>
      </c>
      <c r="V779" s="19">
        <f>tblMaster[[#This Row],[Delivery_Date]]-tblMaster[[#This Row],[Order_Date]]</f>
        <v>3</v>
      </c>
      <c r="W779" s="19" t="str">
        <f>TEXT(tblMaster[[#This Row],[Order_Date]],"mmmm")</f>
        <v>May</v>
      </c>
      <c r="X779" s="19">
        <f>MONTH(tblMaster[[#This Row],[Order_Date]])</f>
        <v>5</v>
      </c>
      <c r="Y779" s="19" t="str">
        <f>"Q"&amp;ROUNDUP(tblMaster[[#This Row],[Month Number]]/3,0)</f>
        <v>Q2</v>
      </c>
      <c r="Z779" s="19">
        <f>YEAR(tblMaster[[#This Row],[Order_Date]])</f>
        <v>2023</v>
      </c>
      <c r="AA779" s="19" t="str">
        <f>TEXT(DAY(tblMaster[[#This Row],[Order_Date]]),"dddd")</f>
        <v>Tuesday</v>
      </c>
      <c r="AB779" s="19" t="str">
        <f>IF(tblMaster[[#This Row],[Revenue]]&gt;=5000,"High",IF(tblMaster[[#This Row],[Revenue]]&lt;2000,"Low","Medium"))</f>
        <v>Medium</v>
      </c>
    </row>
    <row r="780" spans="1:28" x14ac:dyDescent="0.25">
      <c r="A780" s="7">
        <v>779</v>
      </c>
      <c r="B780" s="7" t="s">
        <v>437</v>
      </c>
      <c r="C780" s="4">
        <v>3</v>
      </c>
      <c r="D780" s="4">
        <v>1</v>
      </c>
      <c r="E780" s="8">
        <v>44963</v>
      </c>
      <c r="F780" s="9">
        <v>0.26848379629629632</v>
      </c>
      <c r="G780" s="8">
        <v>44965</v>
      </c>
      <c r="H780" s="9">
        <v>0.11934027777777778</v>
      </c>
      <c r="I780" s="7" t="s">
        <v>412</v>
      </c>
      <c r="J780" s="7" t="s">
        <v>12</v>
      </c>
      <c r="K780" s="18" t="str">
        <f>_xlfn.XLOOKUP(tblMaster[[#This Row],[Customer_ID]],tblCustomers[Customer_ID],tblCustomers[City],"Not Found",0)</f>
        <v>Dhanbad</v>
      </c>
      <c r="L780" s="18" t="str">
        <f>_xlfn.XLOOKUP(tblMaster[[#This Row],[Customer_ID]],tblCustomers[Customer_ID],tblCustomers[Name],"Not Found",0)</f>
        <v>Vardaniya Apte</v>
      </c>
      <c r="M780" s="18" t="str">
        <f>_xlfn.XLOOKUP(tblMaster[[#This Row],[Customer_ID]],tblCustomers[Customer_ID],tblCustomers[Gender],"Not Found",0)</f>
        <v>Male</v>
      </c>
      <c r="N780" s="18" t="str">
        <f>_xlfn.XLOOKUP(tblMaster[[#This Row],[Product_ID]],tblProducts[Product_ID],tblProducts[Product_Name],"Not Found",0)</f>
        <v>Eius Gift</v>
      </c>
      <c r="O780" s="18" t="str">
        <f>_xlfn.XLOOKUP(tblMaster[[#This Row],[Product_ID]],tblProducts[Product_ID],tblProducts[Category],"Not Found",0)</f>
        <v>Colors</v>
      </c>
      <c r="P780" s="18" t="str">
        <f>_xlfn.XLOOKUP(tblMaster[[#This Row],[Product_ID]],tblProducts[Product_ID],tblProducts[Occasion],"Not Found",0)</f>
        <v>Valentine's Day</v>
      </c>
      <c r="Q780" s="18">
        <f>_xlfn.XLOOKUP(tblMaster[[#This Row],[Product_ID]],tblProducts[Product_ID],tblProducts[Price (INR)],"Not Found",0)</f>
        <v>1534</v>
      </c>
      <c r="R780" s="19">
        <f>tblMaster[[#This Row],[Price]]*tblMaster[[#This Row],[Quantity]]</f>
        <v>1534</v>
      </c>
      <c r="S780" s="19">
        <f>tblMaster[[#This Row],[Price]]*0.7*tblMaster[[#This Row],[Quantity]]</f>
        <v>1073.8</v>
      </c>
      <c r="T780" s="19">
        <f>tblMaster[[#This Row],[Revenue]]-tblMaster[[#This Row],[Estimated Cost (at 70%) ]]</f>
        <v>460.20000000000005</v>
      </c>
      <c r="U780" s="19">
        <f>tblMaster[[#This Row],[Profit]]/tblMaster[[#This Row],[Revenue]]</f>
        <v>0.30000000000000004</v>
      </c>
      <c r="V780" s="19">
        <f>tblMaster[[#This Row],[Delivery_Date]]-tblMaster[[#This Row],[Order_Date]]</f>
        <v>2</v>
      </c>
      <c r="W780" s="19" t="str">
        <f>TEXT(tblMaster[[#This Row],[Order_Date]],"mmmm")</f>
        <v>February</v>
      </c>
      <c r="X780" s="19">
        <f>MONTH(tblMaster[[#This Row],[Order_Date]])</f>
        <v>2</v>
      </c>
      <c r="Y780" s="19" t="str">
        <f>"Q"&amp;ROUNDUP(tblMaster[[#This Row],[Month Number]]/3,0)</f>
        <v>Q1</v>
      </c>
      <c r="Z780" s="19">
        <f>YEAR(tblMaster[[#This Row],[Order_Date]])</f>
        <v>2023</v>
      </c>
      <c r="AA780" s="19" t="str">
        <f>TEXT(DAY(tblMaster[[#This Row],[Order_Date]]),"dddd")</f>
        <v>Friday</v>
      </c>
      <c r="AB780" s="19" t="str">
        <f>IF(tblMaster[[#This Row],[Revenue]]&gt;=5000,"High",IF(tblMaster[[#This Row],[Revenue]]&lt;2000,"Low","Medium"))</f>
        <v>Low</v>
      </c>
    </row>
    <row r="781" spans="1:28" x14ac:dyDescent="0.25">
      <c r="A781" s="10">
        <v>780</v>
      </c>
      <c r="B781" s="10" t="s">
        <v>343</v>
      </c>
      <c r="C781" s="5">
        <v>33</v>
      </c>
      <c r="D781" s="5">
        <v>2</v>
      </c>
      <c r="E781" s="11">
        <v>44967</v>
      </c>
      <c r="F781" s="12">
        <v>0.47975694444444444</v>
      </c>
      <c r="G781" s="11">
        <v>44970</v>
      </c>
      <c r="H781" s="12">
        <v>0.18640046296296298</v>
      </c>
      <c r="I781" s="10" t="s">
        <v>468</v>
      </c>
      <c r="J781" s="10" t="s">
        <v>12</v>
      </c>
      <c r="K781" s="18" t="str">
        <f>_xlfn.XLOOKUP(tblMaster[[#This Row],[Customer_ID]],tblCustomers[Customer_ID],tblCustomers[City],"Not Found",0)</f>
        <v>Bhatpara</v>
      </c>
      <c r="L781" s="18" t="str">
        <f>_xlfn.XLOOKUP(tblMaster[[#This Row],[Customer_ID]],tblCustomers[Customer_ID],tblCustomers[Name],"Not Found",0)</f>
        <v>Emir Gokhale</v>
      </c>
      <c r="M781" s="18" t="str">
        <f>_xlfn.XLOOKUP(tblMaster[[#This Row],[Customer_ID]],tblCustomers[Customer_ID],tblCustomers[Gender],"Not Found",0)</f>
        <v>Male</v>
      </c>
      <c r="N781" s="18" t="str">
        <f>_xlfn.XLOOKUP(tblMaster[[#This Row],[Product_ID]],tblProducts[Product_ID],tblProducts[Product_Name],"Not Found",0)</f>
        <v>Earum Set</v>
      </c>
      <c r="O781" s="18" t="str">
        <f>_xlfn.XLOOKUP(tblMaster[[#This Row],[Product_ID]],tblProducts[Product_ID],tblProducts[Category],"Not Found",0)</f>
        <v>Colors</v>
      </c>
      <c r="P781" s="18" t="str">
        <f>_xlfn.XLOOKUP(tblMaster[[#This Row],[Product_ID]],tblProducts[Product_ID],tblProducts[Occasion],"Not Found",0)</f>
        <v>Valentine's Day</v>
      </c>
      <c r="Q781" s="18">
        <f>_xlfn.XLOOKUP(tblMaster[[#This Row],[Product_ID]],tblProducts[Product_ID],tblProducts[Price (INR)],"Not Found",0)</f>
        <v>314</v>
      </c>
      <c r="R781" s="19">
        <f>tblMaster[[#This Row],[Price]]*tblMaster[[#This Row],[Quantity]]</f>
        <v>628</v>
      </c>
      <c r="S781" s="19">
        <f>tblMaster[[#This Row],[Price]]*0.7*tblMaster[[#This Row],[Quantity]]</f>
        <v>439.59999999999997</v>
      </c>
      <c r="T781" s="19">
        <f>tblMaster[[#This Row],[Revenue]]-tblMaster[[#This Row],[Estimated Cost (at 70%) ]]</f>
        <v>188.40000000000003</v>
      </c>
      <c r="U781" s="19">
        <f>tblMaster[[#This Row],[Profit]]/tblMaster[[#This Row],[Revenue]]</f>
        <v>0.30000000000000004</v>
      </c>
      <c r="V781" s="19">
        <f>tblMaster[[#This Row],[Delivery_Date]]-tblMaster[[#This Row],[Order_Date]]</f>
        <v>3</v>
      </c>
      <c r="W781" s="19" t="str">
        <f>TEXT(tblMaster[[#This Row],[Order_Date]],"mmmm")</f>
        <v>February</v>
      </c>
      <c r="X781" s="19">
        <f>MONTH(tblMaster[[#This Row],[Order_Date]])</f>
        <v>2</v>
      </c>
      <c r="Y781" s="19" t="str">
        <f>"Q"&amp;ROUNDUP(tblMaster[[#This Row],[Month Number]]/3,0)</f>
        <v>Q1</v>
      </c>
      <c r="Z781" s="19">
        <f>YEAR(tblMaster[[#This Row],[Order_Date]])</f>
        <v>2023</v>
      </c>
      <c r="AA781" s="19" t="str">
        <f>TEXT(DAY(tblMaster[[#This Row],[Order_Date]]),"dddd")</f>
        <v>Tuesday</v>
      </c>
      <c r="AB781" s="19" t="str">
        <f>IF(tblMaster[[#This Row],[Revenue]]&gt;=5000,"High",IF(tblMaster[[#This Row],[Revenue]]&lt;2000,"Low","Medium"))</f>
        <v>Low</v>
      </c>
    </row>
    <row r="782" spans="1:28" x14ac:dyDescent="0.25">
      <c r="A782" s="7">
        <v>781</v>
      </c>
      <c r="B782" s="7" t="s">
        <v>364</v>
      </c>
      <c r="C782" s="4">
        <v>40</v>
      </c>
      <c r="D782" s="4">
        <v>2</v>
      </c>
      <c r="E782" s="8">
        <v>45196</v>
      </c>
      <c r="F782" s="9">
        <v>0.64372685185185186</v>
      </c>
      <c r="G782" s="8">
        <v>45204</v>
      </c>
      <c r="H782" s="9">
        <v>0.81907407407407407</v>
      </c>
      <c r="I782" s="7" t="s">
        <v>455</v>
      </c>
      <c r="J782" s="7" t="s">
        <v>30</v>
      </c>
      <c r="K782" s="18" t="str">
        <f>_xlfn.XLOOKUP(tblMaster[[#This Row],[Customer_ID]],tblCustomers[Customer_ID],tblCustomers[City],"Not Found",0)</f>
        <v>Tiruchirappalli</v>
      </c>
      <c r="L782" s="18" t="str">
        <f>_xlfn.XLOOKUP(tblMaster[[#This Row],[Customer_ID]],tblCustomers[Customer_ID],tblCustomers[Name],"Not Found",0)</f>
        <v>Anahita Shankar</v>
      </c>
      <c r="M782" s="18" t="str">
        <f>_xlfn.XLOOKUP(tblMaster[[#This Row],[Customer_ID]],tblCustomers[Customer_ID],tblCustomers[Gender],"Not Found",0)</f>
        <v>Male</v>
      </c>
      <c r="N782" s="18" t="str">
        <f>_xlfn.XLOOKUP(tblMaster[[#This Row],[Product_ID]],tblProducts[Product_ID],tblProducts[Product_Name],"Not Found",0)</f>
        <v>Provident Pack</v>
      </c>
      <c r="O782" s="18" t="str">
        <f>_xlfn.XLOOKUP(tblMaster[[#This Row],[Product_ID]],tblProducts[Product_ID],tblProducts[Category],"Not Found",0)</f>
        <v>Sweets</v>
      </c>
      <c r="P782" s="18" t="str">
        <f>_xlfn.XLOOKUP(tblMaster[[#This Row],[Product_ID]],tblProducts[Product_ID],tblProducts[Occasion],"Not Found",0)</f>
        <v>Anniversary</v>
      </c>
      <c r="Q782" s="18">
        <f>_xlfn.XLOOKUP(tblMaster[[#This Row],[Product_ID]],tblProducts[Product_ID],tblProducts[Price (INR)],"Not Found",0)</f>
        <v>1923</v>
      </c>
      <c r="R782" s="19">
        <f>tblMaster[[#This Row],[Price]]*tblMaster[[#This Row],[Quantity]]</f>
        <v>3846</v>
      </c>
      <c r="S782" s="19">
        <f>tblMaster[[#This Row],[Price]]*0.7*tblMaster[[#This Row],[Quantity]]</f>
        <v>2692.2</v>
      </c>
      <c r="T782" s="19">
        <f>tblMaster[[#This Row],[Revenue]]-tblMaster[[#This Row],[Estimated Cost (at 70%) ]]</f>
        <v>1153.8000000000002</v>
      </c>
      <c r="U782" s="19">
        <f>tblMaster[[#This Row],[Profit]]/tblMaster[[#This Row],[Revenue]]</f>
        <v>0.30000000000000004</v>
      </c>
      <c r="V782" s="19">
        <f>tblMaster[[#This Row],[Delivery_Date]]-tblMaster[[#This Row],[Order_Date]]</f>
        <v>8</v>
      </c>
      <c r="W782" s="19" t="str">
        <f>TEXT(tblMaster[[#This Row],[Order_Date]],"mmmm")</f>
        <v>September</v>
      </c>
      <c r="X782" s="19">
        <f>MONTH(tblMaster[[#This Row],[Order_Date]])</f>
        <v>9</v>
      </c>
      <c r="Y782" s="19" t="str">
        <f>"Q"&amp;ROUNDUP(tblMaster[[#This Row],[Month Number]]/3,0)</f>
        <v>Q3</v>
      </c>
      <c r="Z782" s="19">
        <f>YEAR(tblMaster[[#This Row],[Order_Date]])</f>
        <v>2023</v>
      </c>
      <c r="AA782" s="19" t="str">
        <f>TEXT(DAY(tblMaster[[#This Row],[Order_Date]]),"dddd")</f>
        <v>Friday</v>
      </c>
      <c r="AB782" s="19" t="str">
        <f>IF(tblMaster[[#This Row],[Revenue]]&gt;=5000,"High",IF(tblMaster[[#This Row],[Revenue]]&lt;2000,"Low","Medium"))</f>
        <v>Medium</v>
      </c>
    </row>
    <row r="783" spans="1:28" x14ac:dyDescent="0.25">
      <c r="A783" s="10">
        <v>782</v>
      </c>
      <c r="B783" s="10" t="s">
        <v>347</v>
      </c>
      <c r="C783" s="5">
        <v>22</v>
      </c>
      <c r="D783" s="5">
        <v>4</v>
      </c>
      <c r="E783" s="11">
        <v>45034</v>
      </c>
      <c r="F783" s="12">
        <v>0.23703703703703705</v>
      </c>
      <c r="G783" s="11">
        <v>45042</v>
      </c>
      <c r="H783" s="12">
        <v>0.80936342592592592</v>
      </c>
      <c r="I783" s="10" t="s">
        <v>481</v>
      </c>
      <c r="J783" s="10" t="s">
        <v>8</v>
      </c>
      <c r="K783" s="18" t="str">
        <f>_xlfn.XLOOKUP(tblMaster[[#This Row],[Customer_ID]],tblCustomers[Customer_ID],tblCustomers[City],"Not Found",0)</f>
        <v>North Dumdum</v>
      </c>
      <c r="L783" s="18" t="str">
        <f>_xlfn.XLOOKUP(tblMaster[[#This Row],[Customer_ID]],tblCustomers[Customer_ID],tblCustomers[Name],"Not Found",0)</f>
        <v>Rania Bhatt</v>
      </c>
      <c r="M783" s="18" t="str">
        <f>_xlfn.XLOOKUP(tblMaster[[#This Row],[Customer_ID]],tblCustomers[Customer_ID],tblCustomers[Gender],"Not Found",0)</f>
        <v>Female</v>
      </c>
      <c r="N783" s="18" t="str">
        <f>_xlfn.XLOOKUP(tblMaster[[#This Row],[Product_ID]],tblProducts[Product_ID],tblProducts[Product_Name],"Not Found",0)</f>
        <v>Exercitationem Pack</v>
      </c>
      <c r="O783" s="18" t="str">
        <f>_xlfn.XLOOKUP(tblMaster[[#This Row],[Product_ID]],tblProducts[Product_ID],tblProducts[Category],"Not Found",0)</f>
        <v>Soft Toys</v>
      </c>
      <c r="P783" s="18" t="str">
        <f>_xlfn.XLOOKUP(tblMaster[[#This Row],[Product_ID]],tblProducts[Product_ID],tblProducts[Occasion],"Not Found",0)</f>
        <v>All Occasions</v>
      </c>
      <c r="Q783" s="18">
        <f>_xlfn.XLOOKUP(tblMaster[[#This Row],[Product_ID]],tblProducts[Product_ID],tblProducts[Price (INR)],"Not Found",0)</f>
        <v>1639</v>
      </c>
      <c r="R783" s="19">
        <f>tblMaster[[#This Row],[Price]]*tblMaster[[#This Row],[Quantity]]</f>
        <v>6556</v>
      </c>
      <c r="S783" s="19">
        <f>tblMaster[[#This Row],[Price]]*0.7*tblMaster[[#This Row],[Quantity]]</f>
        <v>4589.2</v>
      </c>
      <c r="T783" s="19">
        <f>tblMaster[[#This Row],[Revenue]]-tblMaster[[#This Row],[Estimated Cost (at 70%) ]]</f>
        <v>1966.8000000000002</v>
      </c>
      <c r="U783" s="19">
        <f>tblMaster[[#This Row],[Profit]]/tblMaster[[#This Row],[Revenue]]</f>
        <v>0.30000000000000004</v>
      </c>
      <c r="V783" s="19">
        <f>tblMaster[[#This Row],[Delivery_Date]]-tblMaster[[#This Row],[Order_Date]]</f>
        <v>8</v>
      </c>
      <c r="W783" s="19" t="str">
        <f>TEXT(tblMaster[[#This Row],[Order_Date]],"mmmm")</f>
        <v>April</v>
      </c>
      <c r="X783" s="19">
        <f>MONTH(tblMaster[[#This Row],[Order_Date]])</f>
        <v>4</v>
      </c>
      <c r="Y783" s="19" t="str">
        <f>"Q"&amp;ROUNDUP(tblMaster[[#This Row],[Month Number]]/3,0)</f>
        <v>Q2</v>
      </c>
      <c r="Z783" s="19">
        <f>YEAR(tblMaster[[#This Row],[Order_Date]])</f>
        <v>2023</v>
      </c>
      <c r="AA783" s="19" t="str">
        <f>TEXT(DAY(tblMaster[[#This Row],[Order_Date]]),"dddd")</f>
        <v>Wednesday</v>
      </c>
      <c r="AB783" s="19" t="str">
        <f>IF(tblMaster[[#This Row],[Revenue]]&gt;=5000,"High",IF(tblMaster[[#This Row],[Revenue]]&lt;2000,"Low","Medium"))</f>
        <v>High</v>
      </c>
    </row>
    <row r="784" spans="1:28" x14ac:dyDescent="0.25">
      <c r="A784" s="7">
        <v>783</v>
      </c>
      <c r="B784" s="7" t="s">
        <v>188</v>
      </c>
      <c r="C784" s="4">
        <v>55</v>
      </c>
      <c r="D784" s="4">
        <v>5</v>
      </c>
      <c r="E784" s="8">
        <v>45166</v>
      </c>
      <c r="F784" s="9">
        <v>0.18850694444444444</v>
      </c>
      <c r="G784" s="8">
        <v>45167</v>
      </c>
      <c r="H784" s="9">
        <v>0.21586805555555555</v>
      </c>
      <c r="I784" s="7" t="s">
        <v>556</v>
      </c>
      <c r="J784" s="7" t="s">
        <v>33</v>
      </c>
      <c r="K784" s="18" t="str">
        <f>_xlfn.XLOOKUP(tblMaster[[#This Row],[Customer_ID]],tblCustomers[Customer_ID],tblCustomers[City],"Not Found",0)</f>
        <v>Kavali</v>
      </c>
      <c r="L784" s="18" t="str">
        <f>_xlfn.XLOOKUP(tblMaster[[#This Row],[Customer_ID]],tblCustomers[Customer_ID],tblCustomers[Name],"Not Found",0)</f>
        <v>Jhanvi Chowdhury</v>
      </c>
      <c r="M784" s="18" t="str">
        <f>_xlfn.XLOOKUP(tblMaster[[#This Row],[Customer_ID]],tblCustomers[Customer_ID],tblCustomers[Gender],"Not Found",0)</f>
        <v>Female</v>
      </c>
      <c r="N784" s="18" t="str">
        <f>_xlfn.XLOOKUP(tblMaster[[#This Row],[Product_ID]],tblProducts[Product_ID],tblProducts[Product_Name],"Not Found",0)</f>
        <v>Dolores Gift</v>
      </c>
      <c r="O784" s="18" t="str">
        <f>_xlfn.XLOOKUP(tblMaster[[#This Row],[Product_ID]],tblProducts[Product_ID],tblProducts[Category],"Not Found",0)</f>
        <v>Soft Toys</v>
      </c>
      <c r="P784" s="18" t="str">
        <f>_xlfn.XLOOKUP(tblMaster[[#This Row],[Product_ID]],tblProducts[Product_ID],tblProducts[Occasion],"Not Found",0)</f>
        <v>Raksha Bandhan</v>
      </c>
      <c r="Q784" s="18">
        <f>_xlfn.XLOOKUP(tblMaster[[#This Row],[Product_ID]],tblProducts[Product_ID],tblProducts[Price (INR)],"Not Found",0)</f>
        <v>1904</v>
      </c>
      <c r="R784" s="19">
        <f>tblMaster[[#This Row],[Price]]*tblMaster[[#This Row],[Quantity]]</f>
        <v>9520</v>
      </c>
      <c r="S784" s="19">
        <f>tblMaster[[#This Row],[Price]]*0.7*tblMaster[[#This Row],[Quantity]]</f>
        <v>6664</v>
      </c>
      <c r="T784" s="19">
        <f>tblMaster[[#This Row],[Revenue]]-tblMaster[[#This Row],[Estimated Cost (at 70%) ]]</f>
        <v>2856</v>
      </c>
      <c r="U784" s="19">
        <f>tblMaster[[#This Row],[Profit]]/tblMaster[[#This Row],[Revenue]]</f>
        <v>0.3</v>
      </c>
      <c r="V784" s="19">
        <f>tblMaster[[#This Row],[Delivery_Date]]-tblMaster[[#This Row],[Order_Date]]</f>
        <v>1</v>
      </c>
      <c r="W784" s="19" t="str">
        <f>TEXT(tblMaster[[#This Row],[Order_Date]],"mmmm")</f>
        <v>August</v>
      </c>
      <c r="X784" s="19">
        <f>MONTH(tblMaster[[#This Row],[Order_Date]])</f>
        <v>8</v>
      </c>
      <c r="Y784" s="19" t="str">
        <f>"Q"&amp;ROUNDUP(tblMaster[[#This Row],[Month Number]]/3,0)</f>
        <v>Q3</v>
      </c>
      <c r="Z784" s="19">
        <f>YEAR(tblMaster[[#This Row],[Order_Date]])</f>
        <v>2023</v>
      </c>
      <c r="AA784" s="19" t="str">
        <f>TEXT(DAY(tblMaster[[#This Row],[Order_Date]]),"dddd")</f>
        <v>Saturday</v>
      </c>
      <c r="AB784" s="19" t="str">
        <f>IF(tblMaster[[#This Row],[Revenue]]&gt;=5000,"High",IF(tblMaster[[#This Row],[Revenue]]&lt;2000,"Low","Medium"))</f>
        <v>High</v>
      </c>
    </row>
    <row r="785" spans="1:28" x14ac:dyDescent="0.25">
      <c r="A785" s="10">
        <v>784</v>
      </c>
      <c r="B785" s="10" t="s">
        <v>190</v>
      </c>
      <c r="C785" s="5">
        <v>56</v>
      </c>
      <c r="D785" s="5">
        <v>2</v>
      </c>
      <c r="E785" s="11">
        <v>45079</v>
      </c>
      <c r="F785" s="12">
        <v>0.35129629629629627</v>
      </c>
      <c r="G785" s="11">
        <v>45084</v>
      </c>
      <c r="H785" s="12">
        <v>0.26133101851851853</v>
      </c>
      <c r="I785" s="10" t="s">
        <v>419</v>
      </c>
      <c r="J785" s="10" t="s">
        <v>30</v>
      </c>
      <c r="K785" s="18" t="str">
        <f>_xlfn.XLOOKUP(tblMaster[[#This Row],[Customer_ID]],tblCustomers[Customer_ID],tblCustomers[City],"Not Found",0)</f>
        <v>Ajmer</v>
      </c>
      <c r="L785" s="18" t="str">
        <f>_xlfn.XLOOKUP(tblMaster[[#This Row],[Customer_ID]],tblCustomers[Customer_ID],tblCustomers[Name],"Not Found",0)</f>
        <v>Eshani Sharma</v>
      </c>
      <c r="M785" s="18" t="str">
        <f>_xlfn.XLOOKUP(tblMaster[[#This Row],[Customer_ID]],tblCustomers[Customer_ID],tblCustomers[Gender],"Not Found",0)</f>
        <v>Male</v>
      </c>
      <c r="N785" s="18" t="str">
        <f>_xlfn.XLOOKUP(tblMaster[[#This Row],[Product_ID]],tblProducts[Product_ID],tblProducts[Product_Name],"Not Found",0)</f>
        <v>Quia Gift</v>
      </c>
      <c r="O785" s="18" t="str">
        <f>_xlfn.XLOOKUP(tblMaster[[#This Row],[Product_ID]],tblProducts[Product_ID],tblProducts[Category],"Not Found",0)</f>
        <v>Raksha Bandhan</v>
      </c>
      <c r="P785" s="18" t="str">
        <f>_xlfn.XLOOKUP(tblMaster[[#This Row],[Product_ID]],tblProducts[Product_ID],tblProducts[Occasion],"Not Found",0)</f>
        <v>Anniversary</v>
      </c>
      <c r="Q785" s="18">
        <f>_xlfn.XLOOKUP(tblMaster[[#This Row],[Product_ID]],tblProducts[Product_ID],tblProducts[Price (INR)],"Not Found",0)</f>
        <v>1272</v>
      </c>
      <c r="R785" s="19">
        <f>tblMaster[[#This Row],[Price]]*tblMaster[[#This Row],[Quantity]]</f>
        <v>2544</v>
      </c>
      <c r="S785" s="19">
        <f>tblMaster[[#This Row],[Price]]*0.7*tblMaster[[#This Row],[Quantity]]</f>
        <v>1780.8</v>
      </c>
      <c r="T785" s="19">
        <f>tblMaster[[#This Row],[Revenue]]-tblMaster[[#This Row],[Estimated Cost (at 70%) ]]</f>
        <v>763.2</v>
      </c>
      <c r="U785" s="19">
        <f>tblMaster[[#This Row],[Profit]]/tblMaster[[#This Row],[Revenue]]</f>
        <v>0.30000000000000004</v>
      </c>
      <c r="V785" s="19">
        <f>tblMaster[[#This Row],[Delivery_Date]]-tblMaster[[#This Row],[Order_Date]]</f>
        <v>5</v>
      </c>
      <c r="W785" s="19" t="str">
        <f>TEXT(tblMaster[[#This Row],[Order_Date]],"mmmm")</f>
        <v>June</v>
      </c>
      <c r="X785" s="19">
        <f>MONTH(tblMaster[[#This Row],[Order_Date]])</f>
        <v>6</v>
      </c>
      <c r="Y785" s="19" t="str">
        <f>"Q"&amp;ROUNDUP(tblMaster[[#This Row],[Month Number]]/3,0)</f>
        <v>Q2</v>
      </c>
      <c r="Z785" s="19">
        <f>YEAR(tblMaster[[#This Row],[Order_Date]])</f>
        <v>2023</v>
      </c>
      <c r="AA785" s="19" t="str">
        <f>TEXT(DAY(tblMaster[[#This Row],[Order_Date]]),"dddd")</f>
        <v>Monday</v>
      </c>
      <c r="AB785" s="19" t="str">
        <f>IF(tblMaster[[#This Row],[Revenue]]&gt;=5000,"High",IF(tblMaster[[#This Row],[Revenue]]&lt;2000,"Low","Medium"))</f>
        <v>Medium</v>
      </c>
    </row>
    <row r="786" spans="1:28" x14ac:dyDescent="0.25">
      <c r="A786" s="7">
        <v>785</v>
      </c>
      <c r="B786" s="7" t="s">
        <v>437</v>
      </c>
      <c r="C786" s="4">
        <v>47</v>
      </c>
      <c r="D786" s="4">
        <v>5</v>
      </c>
      <c r="E786" s="8">
        <v>44983</v>
      </c>
      <c r="F786" s="9">
        <v>0.73719907407407403</v>
      </c>
      <c r="G786" s="8">
        <v>44986</v>
      </c>
      <c r="H786" s="9">
        <v>0.54818287037037039</v>
      </c>
      <c r="I786" s="7" t="s">
        <v>358</v>
      </c>
      <c r="J786" s="7" t="s">
        <v>25</v>
      </c>
      <c r="K786" s="18" t="str">
        <f>_xlfn.XLOOKUP(tblMaster[[#This Row],[Customer_ID]],tblCustomers[Customer_ID],tblCustomers[City],"Not Found",0)</f>
        <v>Dhanbad</v>
      </c>
      <c r="L786" s="18" t="str">
        <f>_xlfn.XLOOKUP(tblMaster[[#This Row],[Customer_ID]],tblCustomers[Customer_ID],tblCustomers[Name],"Not Found",0)</f>
        <v>Vardaniya Apte</v>
      </c>
      <c r="M786" s="18" t="str">
        <f>_xlfn.XLOOKUP(tblMaster[[#This Row],[Customer_ID]],tblCustomers[Customer_ID],tblCustomers[Gender],"Not Found",0)</f>
        <v>Male</v>
      </c>
      <c r="N786" s="18" t="str">
        <f>_xlfn.XLOOKUP(tblMaster[[#This Row],[Product_ID]],tblProducts[Product_ID],tblProducts[Product_Name],"Not Found",0)</f>
        <v>Harum Pack</v>
      </c>
      <c r="O786" s="18" t="str">
        <f>_xlfn.XLOOKUP(tblMaster[[#This Row],[Product_ID]],tblProducts[Product_ID],tblProducts[Category],"Not Found",0)</f>
        <v>Colors</v>
      </c>
      <c r="P786" s="18" t="str">
        <f>_xlfn.XLOOKUP(tblMaster[[#This Row],[Product_ID]],tblProducts[Product_ID],tblProducts[Occasion],"Not Found",0)</f>
        <v>Holi</v>
      </c>
      <c r="Q786" s="18">
        <f>_xlfn.XLOOKUP(tblMaster[[#This Row],[Product_ID]],tblProducts[Product_ID],tblProducts[Price (INR)],"Not Found",0)</f>
        <v>1638</v>
      </c>
      <c r="R786" s="19">
        <f>tblMaster[[#This Row],[Price]]*tblMaster[[#This Row],[Quantity]]</f>
        <v>8190</v>
      </c>
      <c r="S786" s="19">
        <f>tblMaster[[#This Row],[Price]]*0.7*tblMaster[[#This Row],[Quantity]]</f>
        <v>5733</v>
      </c>
      <c r="T786" s="19">
        <f>tblMaster[[#This Row],[Revenue]]-tblMaster[[#This Row],[Estimated Cost (at 70%) ]]</f>
        <v>2457</v>
      </c>
      <c r="U786" s="19">
        <f>tblMaster[[#This Row],[Profit]]/tblMaster[[#This Row],[Revenue]]</f>
        <v>0.3</v>
      </c>
      <c r="V786" s="19">
        <f>tblMaster[[#This Row],[Delivery_Date]]-tblMaster[[#This Row],[Order_Date]]</f>
        <v>3</v>
      </c>
      <c r="W786" s="19" t="str">
        <f>TEXT(tblMaster[[#This Row],[Order_Date]],"mmmm")</f>
        <v>February</v>
      </c>
      <c r="X786" s="19">
        <f>MONTH(tblMaster[[#This Row],[Order_Date]])</f>
        <v>2</v>
      </c>
      <c r="Y786" s="19" t="str">
        <f>"Q"&amp;ROUNDUP(tblMaster[[#This Row],[Month Number]]/3,0)</f>
        <v>Q1</v>
      </c>
      <c r="Z786" s="19">
        <f>YEAR(tblMaster[[#This Row],[Order_Date]])</f>
        <v>2023</v>
      </c>
      <c r="AA786" s="19" t="str">
        <f>TEXT(DAY(tblMaster[[#This Row],[Order_Date]]),"dddd")</f>
        <v>Thursday</v>
      </c>
      <c r="AB786" s="19" t="str">
        <f>IF(tblMaster[[#This Row],[Revenue]]&gt;=5000,"High",IF(tblMaster[[#This Row],[Revenue]]&lt;2000,"Low","Medium"))</f>
        <v>High</v>
      </c>
    </row>
    <row r="787" spans="1:28" x14ac:dyDescent="0.25">
      <c r="A787" s="10">
        <v>786</v>
      </c>
      <c r="B787" s="10" t="s">
        <v>440</v>
      </c>
      <c r="C787" s="5">
        <v>47</v>
      </c>
      <c r="D787" s="5">
        <v>1</v>
      </c>
      <c r="E787" s="11">
        <v>44990</v>
      </c>
      <c r="F787" s="12">
        <v>0.94936342592592593</v>
      </c>
      <c r="G787" s="11">
        <v>44992</v>
      </c>
      <c r="H787" s="12">
        <v>0.3033912037037037</v>
      </c>
      <c r="I787" s="10" t="s">
        <v>325</v>
      </c>
      <c r="J787" s="10" t="s">
        <v>25</v>
      </c>
      <c r="K787" s="18" t="str">
        <f>_xlfn.XLOOKUP(tblMaster[[#This Row],[Customer_ID]],tblCustomers[Customer_ID],tblCustomers[City],"Not Found",0)</f>
        <v>Bilaspur</v>
      </c>
      <c r="L787" s="18" t="str">
        <f>_xlfn.XLOOKUP(tblMaster[[#This Row],[Customer_ID]],tblCustomers[Customer_ID],tblCustomers[Name],"Not Found",0)</f>
        <v>Jayesh Lanka</v>
      </c>
      <c r="M787" s="18" t="str">
        <f>_xlfn.XLOOKUP(tblMaster[[#This Row],[Customer_ID]],tblCustomers[Customer_ID],tblCustomers[Gender],"Not Found",0)</f>
        <v>Male</v>
      </c>
      <c r="N787" s="18" t="str">
        <f>_xlfn.XLOOKUP(tblMaster[[#This Row],[Product_ID]],tblProducts[Product_ID],tblProducts[Product_Name],"Not Found",0)</f>
        <v>Harum Pack</v>
      </c>
      <c r="O787" s="18" t="str">
        <f>_xlfn.XLOOKUP(tblMaster[[#This Row],[Product_ID]],tblProducts[Product_ID],tblProducts[Category],"Not Found",0)</f>
        <v>Colors</v>
      </c>
      <c r="P787" s="18" t="str">
        <f>_xlfn.XLOOKUP(tblMaster[[#This Row],[Product_ID]],tblProducts[Product_ID],tblProducts[Occasion],"Not Found",0)</f>
        <v>Holi</v>
      </c>
      <c r="Q787" s="18">
        <f>_xlfn.XLOOKUP(tblMaster[[#This Row],[Product_ID]],tblProducts[Product_ID],tblProducts[Price (INR)],"Not Found",0)</f>
        <v>1638</v>
      </c>
      <c r="R787" s="19">
        <f>tblMaster[[#This Row],[Price]]*tblMaster[[#This Row],[Quantity]]</f>
        <v>1638</v>
      </c>
      <c r="S787" s="19">
        <f>tblMaster[[#This Row],[Price]]*0.7*tblMaster[[#This Row],[Quantity]]</f>
        <v>1146.5999999999999</v>
      </c>
      <c r="T787" s="19">
        <f>tblMaster[[#This Row],[Revenue]]-tblMaster[[#This Row],[Estimated Cost (at 70%) ]]</f>
        <v>491.40000000000009</v>
      </c>
      <c r="U787" s="19">
        <f>tblMaster[[#This Row],[Profit]]/tblMaster[[#This Row],[Revenue]]</f>
        <v>0.30000000000000004</v>
      </c>
      <c r="V787" s="19">
        <f>tblMaster[[#This Row],[Delivery_Date]]-tblMaster[[#This Row],[Order_Date]]</f>
        <v>2</v>
      </c>
      <c r="W787" s="19" t="str">
        <f>TEXT(tblMaster[[#This Row],[Order_Date]],"mmmm")</f>
        <v>March</v>
      </c>
      <c r="X787" s="19">
        <f>MONTH(tblMaster[[#This Row],[Order_Date]])</f>
        <v>3</v>
      </c>
      <c r="Y787" s="19" t="str">
        <f>"Q"&amp;ROUNDUP(tblMaster[[#This Row],[Month Number]]/3,0)</f>
        <v>Q1</v>
      </c>
      <c r="Z787" s="19">
        <f>YEAR(tblMaster[[#This Row],[Order_Date]])</f>
        <v>2023</v>
      </c>
      <c r="AA787" s="19" t="str">
        <f>TEXT(DAY(tblMaster[[#This Row],[Order_Date]]),"dddd")</f>
        <v>Thursday</v>
      </c>
      <c r="AB787" s="19" t="str">
        <f>IF(tblMaster[[#This Row],[Revenue]]&gt;=5000,"High",IF(tblMaster[[#This Row],[Revenue]]&lt;2000,"Low","Medium"))</f>
        <v>Low</v>
      </c>
    </row>
    <row r="788" spans="1:28" x14ac:dyDescent="0.25">
      <c r="A788" s="7">
        <v>787</v>
      </c>
      <c r="B788" s="7" t="s">
        <v>191</v>
      </c>
      <c r="C788" s="4">
        <v>9</v>
      </c>
      <c r="D788" s="4">
        <v>1</v>
      </c>
      <c r="E788" s="8">
        <v>45163</v>
      </c>
      <c r="F788" s="9">
        <v>0.90430555555555558</v>
      </c>
      <c r="G788" s="8">
        <v>45165</v>
      </c>
      <c r="H788" s="9">
        <v>0.59096064814814819</v>
      </c>
      <c r="I788" s="7" t="s">
        <v>512</v>
      </c>
      <c r="J788" s="7" t="s">
        <v>33</v>
      </c>
      <c r="K788" s="18" t="str">
        <f>_xlfn.XLOOKUP(tblMaster[[#This Row],[Customer_ID]],tblCustomers[Customer_ID],tblCustomers[City],"Not Found",0)</f>
        <v>Madhyamgram</v>
      </c>
      <c r="L788" s="18" t="str">
        <f>_xlfn.XLOOKUP(tblMaster[[#This Row],[Customer_ID]],tblCustomers[Customer_ID],tblCustomers[Name],"Not Found",0)</f>
        <v>Hunar Tripathi</v>
      </c>
      <c r="M788" s="18" t="str">
        <f>_xlfn.XLOOKUP(tblMaster[[#This Row],[Customer_ID]],tblCustomers[Customer_ID],tblCustomers[Gender],"Not Found",0)</f>
        <v>Female</v>
      </c>
      <c r="N788" s="18" t="str">
        <f>_xlfn.XLOOKUP(tblMaster[[#This Row],[Product_ID]],tblProducts[Product_ID],tblProducts[Product_Name],"Not Found",0)</f>
        <v>Aperiam Box</v>
      </c>
      <c r="O788" s="18" t="str">
        <f>_xlfn.XLOOKUP(tblMaster[[#This Row],[Product_ID]],tblProducts[Product_ID],tblProducts[Category],"Not Found",0)</f>
        <v>Colors</v>
      </c>
      <c r="P788" s="18" t="str">
        <f>_xlfn.XLOOKUP(tblMaster[[#This Row],[Product_ID]],tblProducts[Product_ID],tblProducts[Occasion],"Not Found",0)</f>
        <v>Raksha Bandhan</v>
      </c>
      <c r="Q788" s="18">
        <f>_xlfn.XLOOKUP(tblMaster[[#This Row],[Product_ID]],tblProducts[Product_ID],tblProducts[Price (INR)],"Not Found",0)</f>
        <v>1605</v>
      </c>
      <c r="R788" s="19">
        <f>tblMaster[[#This Row],[Price]]*tblMaster[[#This Row],[Quantity]]</f>
        <v>1605</v>
      </c>
      <c r="S788" s="19">
        <f>tblMaster[[#This Row],[Price]]*0.7*tblMaster[[#This Row],[Quantity]]</f>
        <v>1123.5</v>
      </c>
      <c r="T788" s="19">
        <f>tblMaster[[#This Row],[Revenue]]-tblMaster[[#This Row],[Estimated Cost (at 70%) ]]</f>
        <v>481.5</v>
      </c>
      <c r="U788" s="19">
        <f>tblMaster[[#This Row],[Profit]]/tblMaster[[#This Row],[Revenue]]</f>
        <v>0.3</v>
      </c>
      <c r="V788" s="19">
        <f>tblMaster[[#This Row],[Delivery_Date]]-tblMaster[[#This Row],[Order_Date]]</f>
        <v>2</v>
      </c>
      <c r="W788" s="19" t="str">
        <f>TEXT(tblMaster[[#This Row],[Order_Date]],"mmmm")</f>
        <v>August</v>
      </c>
      <c r="X788" s="19">
        <f>MONTH(tblMaster[[#This Row],[Order_Date]])</f>
        <v>8</v>
      </c>
      <c r="Y788" s="19" t="str">
        <f>"Q"&amp;ROUNDUP(tblMaster[[#This Row],[Month Number]]/3,0)</f>
        <v>Q3</v>
      </c>
      <c r="Z788" s="19">
        <f>YEAR(tblMaster[[#This Row],[Order_Date]])</f>
        <v>2023</v>
      </c>
      <c r="AA788" s="19" t="str">
        <f>TEXT(DAY(tblMaster[[#This Row],[Order_Date]]),"dddd")</f>
        <v>Wednesday</v>
      </c>
      <c r="AB788" s="19" t="str">
        <f>IF(tblMaster[[#This Row],[Revenue]]&gt;=5000,"High",IF(tblMaster[[#This Row],[Revenue]]&lt;2000,"Low","Medium"))</f>
        <v>Low</v>
      </c>
    </row>
    <row r="789" spans="1:28" x14ac:dyDescent="0.25">
      <c r="A789" s="10">
        <v>788</v>
      </c>
      <c r="B789" s="10" t="s">
        <v>183</v>
      </c>
      <c r="C789" s="5">
        <v>53</v>
      </c>
      <c r="D789" s="5">
        <v>3</v>
      </c>
      <c r="E789" s="11">
        <v>45162</v>
      </c>
      <c r="F789" s="12">
        <v>0.20761574074074074</v>
      </c>
      <c r="G789" s="11">
        <v>45165</v>
      </c>
      <c r="H789" s="12">
        <v>0.37282407407407409</v>
      </c>
      <c r="I789" s="10" t="s">
        <v>412</v>
      </c>
      <c r="J789" s="10" t="s">
        <v>33</v>
      </c>
      <c r="K789" s="18" t="str">
        <f>_xlfn.XLOOKUP(tblMaster[[#This Row],[Customer_ID]],tblCustomers[Customer_ID],tblCustomers[City],"Not Found",0)</f>
        <v>Dhanbad</v>
      </c>
      <c r="L789" s="18" t="str">
        <f>_xlfn.XLOOKUP(tblMaster[[#This Row],[Customer_ID]],tblCustomers[Customer_ID],tblCustomers[Name],"Not Found",0)</f>
        <v>Ranbir Loyal</v>
      </c>
      <c r="M789" s="18" t="str">
        <f>_xlfn.XLOOKUP(tblMaster[[#This Row],[Customer_ID]],tblCustomers[Customer_ID],tblCustomers[Gender],"Not Found",0)</f>
        <v>Female</v>
      </c>
      <c r="N789" s="18" t="str">
        <f>_xlfn.XLOOKUP(tblMaster[[#This Row],[Product_ID]],tblProducts[Product_ID],tblProducts[Product_Name],"Not Found",0)</f>
        <v>Ipsam Set</v>
      </c>
      <c r="O789" s="18" t="str">
        <f>_xlfn.XLOOKUP(tblMaster[[#This Row],[Product_ID]],tblProducts[Product_ID],tblProducts[Category],"Not Found",0)</f>
        <v>Sweets</v>
      </c>
      <c r="P789" s="18" t="str">
        <f>_xlfn.XLOOKUP(tblMaster[[#This Row],[Product_ID]],tblProducts[Product_ID],tblProducts[Occasion],"Not Found",0)</f>
        <v>Raksha Bandhan</v>
      </c>
      <c r="Q789" s="18">
        <f>_xlfn.XLOOKUP(tblMaster[[#This Row],[Product_ID]],tblProducts[Product_ID],tblProducts[Price (INR)],"Not Found",0)</f>
        <v>1672</v>
      </c>
      <c r="R789" s="19">
        <f>tblMaster[[#This Row],[Price]]*tblMaster[[#This Row],[Quantity]]</f>
        <v>5016</v>
      </c>
      <c r="S789" s="19">
        <f>tblMaster[[#This Row],[Price]]*0.7*tblMaster[[#This Row],[Quantity]]</f>
        <v>3511.2</v>
      </c>
      <c r="T789" s="19">
        <f>tblMaster[[#This Row],[Revenue]]-tblMaster[[#This Row],[Estimated Cost (at 70%) ]]</f>
        <v>1504.8000000000002</v>
      </c>
      <c r="U789" s="19">
        <f>tblMaster[[#This Row],[Profit]]/tblMaster[[#This Row],[Revenue]]</f>
        <v>0.30000000000000004</v>
      </c>
      <c r="V789" s="19">
        <f>tblMaster[[#This Row],[Delivery_Date]]-tblMaster[[#This Row],[Order_Date]]</f>
        <v>3</v>
      </c>
      <c r="W789" s="19" t="str">
        <f>TEXT(tblMaster[[#This Row],[Order_Date]],"mmmm")</f>
        <v>August</v>
      </c>
      <c r="X789" s="19">
        <f>MONTH(tblMaster[[#This Row],[Order_Date]])</f>
        <v>8</v>
      </c>
      <c r="Y789" s="19" t="str">
        <f>"Q"&amp;ROUNDUP(tblMaster[[#This Row],[Month Number]]/3,0)</f>
        <v>Q3</v>
      </c>
      <c r="Z789" s="19">
        <f>YEAR(tblMaster[[#This Row],[Order_Date]])</f>
        <v>2023</v>
      </c>
      <c r="AA789" s="19" t="str">
        <f>TEXT(DAY(tblMaster[[#This Row],[Order_Date]]),"dddd")</f>
        <v>Tuesday</v>
      </c>
      <c r="AB789" s="19" t="str">
        <f>IF(tblMaster[[#This Row],[Revenue]]&gt;=5000,"High",IF(tblMaster[[#This Row],[Revenue]]&lt;2000,"Low","Medium"))</f>
        <v>High</v>
      </c>
    </row>
    <row r="790" spans="1:28" x14ac:dyDescent="0.25">
      <c r="A790" s="7">
        <v>789</v>
      </c>
      <c r="B790" s="7" t="s">
        <v>331</v>
      </c>
      <c r="C790" s="4">
        <v>58</v>
      </c>
      <c r="D790" s="4">
        <v>4</v>
      </c>
      <c r="E790" s="8">
        <v>44965</v>
      </c>
      <c r="F790" s="9">
        <v>0.76361111111111113</v>
      </c>
      <c r="G790" s="8">
        <v>44972</v>
      </c>
      <c r="H790" s="9">
        <v>0.33369212962962963</v>
      </c>
      <c r="I790" s="7" t="s">
        <v>278</v>
      </c>
      <c r="J790" s="7" t="s">
        <v>12</v>
      </c>
      <c r="K790" s="18" t="str">
        <f>_xlfn.XLOOKUP(tblMaster[[#This Row],[Customer_ID]],tblCustomers[Customer_ID],tblCustomers[City],"Not Found",0)</f>
        <v>Guntakal</v>
      </c>
      <c r="L790" s="18" t="str">
        <f>_xlfn.XLOOKUP(tblMaster[[#This Row],[Customer_ID]],tblCustomers[Customer_ID],tblCustomers[Name],"Not Found",0)</f>
        <v>Aradhya Kale</v>
      </c>
      <c r="M790" s="18" t="str">
        <f>_xlfn.XLOOKUP(tblMaster[[#This Row],[Customer_ID]],tblCustomers[Customer_ID],tblCustomers[Gender],"Not Found",0)</f>
        <v>Male</v>
      </c>
      <c r="N790" s="18" t="str">
        <f>_xlfn.XLOOKUP(tblMaster[[#This Row],[Product_ID]],tblProducts[Product_ID],tblProducts[Product_Name],"Not Found",0)</f>
        <v>Sed Pack</v>
      </c>
      <c r="O790" s="18" t="str">
        <f>_xlfn.XLOOKUP(tblMaster[[#This Row],[Product_ID]],tblProducts[Product_ID],tblProducts[Category],"Not Found",0)</f>
        <v>Cake</v>
      </c>
      <c r="P790" s="18" t="str">
        <f>_xlfn.XLOOKUP(tblMaster[[#This Row],[Product_ID]],tblProducts[Product_ID],tblProducts[Occasion],"Not Found",0)</f>
        <v>Valentine's Day</v>
      </c>
      <c r="Q790" s="18">
        <f>_xlfn.XLOOKUP(tblMaster[[#This Row],[Product_ID]],tblProducts[Product_ID],tblProducts[Price (INR)],"Not Found",0)</f>
        <v>1492</v>
      </c>
      <c r="R790" s="19">
        <f>tblMaster[[#This Row],[Price]]*tblMaster[[#This Row],[Quantity]]</f>
        <v>5968</v>
      </c>
      <c r="S790" s="19">
        <f>tblMaster[[#This Row],[Price]]*0.7*tblMaster[[#This Row],[Quantity]]</f>
        <v>4177.5999999999995</v>
      </c>
      <c r="T790" s="19">
        <f>tblMaster[[#This Row],[Revenue]]-tblMaster[[#This Row],[Estimated Cost (at 70%) ]]</f>
        <v>1790.4000000000005</v>
      </c>
      <c r="U790" s="19">
        <f>tblMaster[[#This Row],[Profit]]/tblMaster[[#This Row],[Revenue]]</f>
        <v>0.3000000000000001</v>
      </c>
      <c r="V790" s="19">
        <f>tblMaster[[#This Row],[Delivery_Date]]-tblMaster[[#This Row],[Order_Date]]</f>
        <v>7</v>
      </c>
      <c r="W790" s="19" t="str">
        <f>TEXT(tblMaster[[#This Row],[Order_Date]],"mmmm")</f>
        <v>February</v>
      </c>
      <c r="X790" s="19">
        <f>MONTH(tblMaster[[#This Row],[Order_Date]])</f>
        <v>2</v>
      </c>
      <c r="Y790" s="19" t="str">
        <f>"Q"&amp;ROUNDUP(tblMaster[[#This Row],[Month Number]]/3,0)</f>
        <v>Q1</v>
      </c>
      <c r="Z790" s="19">
        <f>YEAR(tblMaster[[#This Row],[Order_Date]])</f>
        <v>2023</v>
      </c>
      <c r="AA790" s="19" t="str">
        <f>TEXT(DAY(tblMaster[[#This Row],[Order_Date]]),"dddd")</f>
        <v>Sunday</v>
      </c>
      <c r="AB790" s="19" t="str">
        <f>IF(tblMaster[[#This Row],[Revenue]]&gt;=5000,"High",IF(tblMaster[[#This Row],[Revenue]]&lt;2000,"Low","Medium"))</f>
        <v>High</v>
      </c>
    </row>
    <row r="791" spans="1:28" x14ac:dyDescent="0.25">
      <c r="A791" s="10">
        <v>790</v>
      </c>
      <c r="B791" s="10" t="s">
        <v>237</v>
      </c>
      <c r="C791" s="5">
        <v>26</v>
      </c>
      <c r="D791" s="5">
        <v>2</v>
      </c>
      <c r="E791" s="11">
        <v>44985</v>
      </c>
      <c r="F791" s="12">
        <v>0.25241898148148151</v>
      </c>
      <c r="G791" s="11">
        <v>44993</v>
      </c>
      <c r="H791" s="12">
        <v>0.18099537037037036</v>
      </c>
      <c r="I791" s="10" t="s">
        <v>385</v>
      </c>
      <c r="J791" s="10" t="s">
        <v>25</v>
      </c>
      <c r="K791" s="18" t="str">
        <f>_xlfn.XLOOKUP(tblMaster[[#This Row],[Customer_ID]],tblCustomers[Customer_ID],tblCustomers[City],"Not Found",0)</f>
        <v>Guna</v>
      </c>
      <c r="L791" s="18" t="str">
        <f>_xlfn.XLOOKUP(tblMaster[[#This Row],[Customer_ID]],tblCustomers[Customer_ID],tblCustomers[Name],"Not Found",0)</f>
        <v>Tara Kannan</v>
      </c>
      <c r="M791" s="18" t="str">
        <f>_xlfn.XLOOKUP(tblMaster[[#This Row],[Customer_ID]],tblCustomers[Customer_ID],tblCustomers[Gender],"Not Found",0)</f>
        <v>Male</v>
      </c>
      <c r="N791" s="18" t="str">
        <f>_xlfn.XLOOKUP(tblMaster[[#This Row],[Product_ID]],tblProducts[Product_ID],tblProducts[Product_Name],"Not Found",0)</f>
        <v>Aliquam Box</v>
      </c>
      <c r="O791" s="18" t="str">
        <f>_xlfn.XLOOKUP(tblMaster[[#This Row],[Product_ID]],tblProducts[Product_ID],tblProducts[Category],"Not Found",0)</f>
        <v>Colors</v>
      </c>
      <c r="P791" s="18" t="str">
        <f>_xlfn.XLOOKUP(tblMaster[[#This Row],[Product_ID]],tblProducts[Product_ID],tblProducts[Occasion],"Not Found",0)</f>
        <v>Holi</v>
      </c>
      <c r="Q791" s="18">
        <f>_xlfn.XLOOKUP(tblMaster[[#This Row],[Product_ID]],tblProducts[Product_ID],tblProducts[Price (INR)],"Not Found",0)</f>
        <v>289</v>
      </c>
      <c r="R791" s="19">
        <f>tblMaster[[#This Row],[Price]]*tblMaster[[#This Row],[Quantity]]</f>
        <v>578</v>
      </c>
      <c r="S791" s="19">
        <f>tblMaster[[#This Row],[Price]]*0.7*tblMaster[[#This Row],[Quantity]]</f>
        <v>404.59999999999997</v>
      </c>
      <c r="T791" s="19">
        <f>tblMaster[[#This Row],[Revenue]]-tblMaster[[#This Row],[Estimated Cost (at 70%) ]]</f>
        <v>173.40000000000003</v>
      </c>
      <c r="U791" s="19">
        <f>tblMaster[[#This Row],[Profit]]/tblMaster[[#This Row],[Revenue]]</f>
        <v>0.30000000000000004</v>
      </c>
      <c r="V791" s="19">
        <f>tblMaster[[#This Row],[Delivery_Date]]-tblMaster[[#This Row],[Order_Date]]</f>
        <v>8</v>
      </c>
      <c r="W791" s="19" t="str">
        <f>TEXT(tblMaster[[#This Row],[Order_Date]],"mmmm")</f>
        <v>February</v>
      </c>
      <c r="X791" s="19">
        <f>MONTH(tblMaster[[#This Row],[Order_Date]])</f>
        <v>2</v>
      </c>
      <c r="Y791" s="19" t="str">
        <f>"Q"&amp;ROUNDUP(tblMaster[[#This Row],[Month Number]]/3,0)</f>
        <v>Q1</v>
      </c>
      <c r="Z791" s="19">
        <f>YEAR(tblMaster[[#This Row],[Order_Date]])</f>
        <v>2023</v>
      </c>
      <c r="AA791" s="19" t="str">
        <f>TEXT(DAY(tblMaster[[#This Row],[Order_Date]]),"dddd")</f>
        <v>Saturday</v>
      </c>
      <c r="AB791" s="19" t="str">
        <f>IF(tblMaster[[#This Row],[Revenue]]&gt;=5000,"High",IF(tblMaster[[#This Row],[Revenue]]&lt;2000,"Low","Medium"))</f>
        <v>Low</v>
      </c>
    </row>
    <row r="792" spans="1:28" x14ac:dyDescent="0.25">
      <c r="A792" s="7">
        <v>791</v>
      </c>
      <c r="B792" s="7" t="s">
        <v>398</v>
      </c>
      <c r="C792" s="4">
        <v>51</v>
      </c>
      <c r="D792" s="4">
        <v>2</v>
      </c>
      <c r="E792" s="8">
        <v>45052</v>
      </c>
      <c r="F792" s="9">
        <v>0.1040625</v>
      </c>
      <c r="G792" s="8">
        <v>45055</v>
      </c>
      <c r="H792" s="9">
        <v>0.28736111111111112</v>
      </c>
      <c r="I792" s="7" t="s">
        <v>515</v>
      </c>
      <c r="J792" s="7" t="s">
        <v>8</v>
      </c>
      <c r="K792" s="18" t="str">
        <f>_xlfn.XLOOKUP(tblMaster[[#This Row],[Customer_ID]],tblCustomers[Customer_ID],tblCustomers[City],"Not Found",0)</f>
        <v>Tumkur</v>
      </c>
      <c r="L792" s="18" t="str">
        <f>_xlfn.XLOOKUP(tblMaster[[#This Row],[Customer_ID]],tblCustomers[Customer_ID],tblCustomers[Name],"Not Found",0)</f>
        <v>Mamooty Bawa</v>
      </c>
      <c r="M792" s="18" t="str">
        <f>_xlfn.XLOOKUP(tblMaster[[#This Row],[Customer_ID]],tblCustomers[Customer_ID],tblCustomers[Gender],"Not Found",0)</f>
        <v>Male</v>
      </c>
      <c r="N792" s="18" t="str">
        <f>_xlfn.XLOOKUP(tblMaster[[#This Row],[Product_ID]],tblProducts[Product_ID],tblProducts[Product_Name],"Not Found",0)</f>
        <v>Fugit Set</v>
      </c>
      <c r="O792" s="18" t="str">
        <f>_xlfn.XLOOKUP(tblMaster[[#This Row],[Product_ID]],tblProducts[Product_ID],tblProducts[Category],"Not Found",0)</f>
        <v>Soft Toys</v>
      </c>
      <c r="P792" s="18" t="str">
        <f>_xlfn.XLOOKUP(tblMaster[[#This Row],[Product_ID]],tblProducts[Product_ID],tblProducts[Occasion],"Not Found",0)</f>
        <v>All Occasions</v>
      </c>
      <c r="Q792" s="18">
        <f>_xlfn.XLOOKUP(tblMaster[[#This Row],[Product_ID]],tblProducts[Product_ID],tblProducts[Price (INR)],"Not Found",0)</f>
        <v>1084</v>
      </c>
      <c r="R792" s="19">
        <f>tblMaster[[#This Row],[Price]]*tblMaster[[#This Row],[Quantity]]</f>
        <v>2168</v>
      </c>
      <c r="S792" s="19">
        <f>tblMaster[[#This Row],[Price]]*0.7*tblMaster[[#This Row],[Quantity]]</f>
        <v>1517.6</v>
      </c>
      <c r="T792" s="19">
        <f>tblMaster[[#This Row],[Revenue]]-tblMaster[[#This Row],[Estimated Cost (at 70%) ]]</f>
        <v>650.40000000000009</v>
      </c>
      <c r="U792" s="19">
        <f>tblMaster[[#This Row],[Profit]]/tblMaster[[#This Row],[Revenue]]</f>
        <v>0.30000000000000004</v>
      </c>
      <c r="V792" s="19">
        <f>tblMaster[[#This Row],[Delivery_Date]]-tblMaster[[#This Row],[Order_Date]]</f>
        <v>3</v>
      </c>
      <c r="W792" s="19" t="str">
        <f>TEXT(tblMaster[[#This Row],[Order_Date]],"mmmm")</f>
        <v>May</v>
      </c>
      <c r="X792" s="19">
        <f>MONTH(tblMaster[[#This Row],[Order_Date]])</f>
        <v>5</v>
      </c>
      <c r="Y792" s="19" t="str">
        <f>"Q"&amp;ROUNDUP(tblMaster[[#This Row],[Month Number]]/3,0)</f>
        <v>Q2</v>
      </c>
      <c r="Z792" s="19">
        <f>YEAR(tblMaster[[#This Row],[Order_Date]])</f>
        <v>2023</v>
      </c>
      <c r="AA792" s="19" t="str">
        <f>TEXT(DAY(tblMaster[[#This Row],[Order_Date]]),"dddd")</f>
        <v>Friday</v>
      </c>
      <c r="AB792" s="19" t="str">
        <f>IF(tblMaster[[#This Row],[Revenue]]&gt;=5000,"High",IF(tblMaster[[#This Row],[Revenue]]&lt;2000,"Low","Medium"))</f>
        <v>Medium</v>
      </c>
    </row>
    <row r="793" spans="1:28" x14ac:dyDescent="0.25">
      <c r="A793" s="10">
        <v>792</v>
      </c>
      <c r="B793" s="10" t="s">
        <v>270</v>
      </c>
      <c r="C793" s="5">
        <v>43</v>
      </c>
      <c r="D793" s="5">
        <v>2</v>
      </c>
      <c r="E793" s="11">
        <v>45239</v>
      </c>
      <c r="F793" s="12">
        <v>0.29231481481481481</v>
      </c>
      <c r="G793" s="11">
        <v>45240</v>
      </c>
      <c r="H793" s="12">
        <v>0.21819444444444444</v>
      </c>
      <c r="I793" s="10" t="s">
        <v>269</v>
      </c>
      <c r="J793" s="10" t="s">
        <v>19</v>
      </c>
      <c r="K793" s="18" t="str">
        <f>_xlfn.XLOOKUP(tblMaster[[#This Row],[Customer_ID]],tblCustomers[Customer_ID],tblCustomers[City],"Not Found",0)</f>
        <v>Kolkata</v>
      </c>
      <c r="L793" s="18" t="str">
        <f>_xlfn.XLOOKUP(tblMaster[[#This Row],[Customer_ID]],tblCustomers[Customer_ID],tblCustomers[Name],"Not Found",0)</f>
        <v>Romil Bajwa</v>
      </c>
      <c r="M793" s="18" t="str">
        <f>_xlfn.XLOOKUP(tblMaster[[#This Row],[Customer_ID]],tblCustomers[Customer_ID],tblCustomers[Gender],"Not Found",0)</f>
        <v>Female</v>
      </c>
      <c r="N793" s="18" t="str">
        <f>_xlfn.XLOOKUP(tblMaster[[#This Row],[Product_ID]],tblProducts[Product_ID],tblProducts[Product_Name],"Not Found",0)</f>
        <v>Quisquam Pack</v>
      </c>
      <c r="O793" s="18" t="str">
        <f>_xlfn.XLOOKUP(tblMaster[[#This Row],[Product_ID]],tblProducts[Product_ID],tblProducts[Category],"Not Found",0)</f>
        <v>Raksha Bandhan</v>
      </c>
      <c r="P793" s="18" t="str">
        <f>_xlfn.XLOOKUP(tblMaster[[#This Row],[Product_ID]],tblProducts[Product_ID],tblProducts[Occasion],"Not Found",0)</f>
        <v>Diwali</v>
      </c>
      <c r="Q793" s="18">
        <f>_xlfn.XLOOKUP(tblMaster[[#This Row],[Product_ID]],tblProducts[Product_ID],tblProducts[Price (INR)],"Not Found",0)</f>
        <v>750</v>
      </c>
      <c r="R793" s="19">
        <f>tblMaster[[#This Row],[Price]]*tblMaster[[#This Row],[Quantity]]</f>
        <v>1500</v>
      </c>
      <c r="S793" s="19">
        <f>tblMaster[[#This Row],[Price]]*0.7*tblMaster[[#This Row],[Quantity]]</f>
        <v>1050</v>
      </c>
      <c r="T793" s="19">
        <f>tblMaster[[#This Row],[Revenue]]-tblMaster[[#This Row],[Estimated Cost (at 70%) ]]</f>
        <v>450</v>
      </c>
      <c r="U793" s="19">
        <f>tblMaster[[#This Row],[Profit]]/tblMaster[[#This Row],[Revenue]]</f>
        <v>0.3</v>
      </c>
      <c r="V793" s="19">
        <f>tblMaster[[#This Row],[Delivery_Date]]-tblMaster[[#This Row],[Order_Date]]</f>
        <v>1</v>
      </c>
      <c r="W793" s="19" t="str">
        <f>TEXT(tblMaster[[#This Row],[Order_Date]],"mmmm")</f>
        <v>November</v>
      </c>
      <c r="X793" s="19">
        <f>MONTH(tblMaster[[#This Row],[Order_Date]])</f>
        <v>11</v>
      </c>
      <c r="Y793" s="19" t="str">
        <f>"Q"&amp;ROUNDUP(tblMaster[[#This Row],[Month Number]]/3,0)</f>
        <v>Q4</v>
      </c>
      <c r="Z793" s="19">
        <f>YEAR(tblMaster[[#This Row],[Order_Date]])</f>
        <v>2023</v>
      </c>
      <c r="AA793" s="19" t="str">
        <f>TEXT(DAY(tblMaster[[#This Row],[Order_Date]]),"dddd")</f>
        <v>Monday</v>
      </c>
      <c r="AB793" s="19" t="str">
        <f>IF(tblMaster[[#This Row],[Revenue]]&gt;=5000,"High",IF(tblMaster[[#This Row],[Revenue]]&lt;2000,"Low","Medium"))</f>
        <v>Low</v>
      </c>
    </row>
    <row r="794" spans="1:28" x14ac:dyDescent="0.25">
      <c r="A794" s="7">
        <v>793</v>
      </c>
      <c r="B794" s="7" t="s">
        <v>258</v>
      </c>
      <c r="C794" s="4">
        <v>58</v>
      </c>
      <c r="D794" s="4">
        <v>5</v>
      </c>
      <c r="E794" s="8">
        <v>44962</v>
      </c>
      <c r="F794" s="9">
        <v>0.73421296296296301</v>
      </c>
      <c r="G794" s="8">
        <v>44972</v>
      </c>
      <c r="H794" s="9">
        <v>6.1307870370370374E-2</v>
      </c>
      <c r="I794" s="7" t="s">
        <v>504</v>
      </c>
      <c r="J794" s="7" t="s">
        <v>12</v>
      </c>
      <c r="K794" s="18" t="str">
        <f>_xlfn.XLOOKUP(tblMaster[[#This Row],[Customer_ID]],tblCustomers[Customer_ID],tblCustomers[City],"Not Found",0)</f>
        <v>Warangal</v>
      </c>
      <c r="L794" s="18" t="str">
        <f>_xlfn.XLOOKUP(tblMaster[[#This Row],[Customer_ID]],tblCustomers[Customer_ID],tblCustomers[Name],"Not Found",0)</f>
        <v>Mahika Cherian</v>
      </c>
      <c r="M794" s="18" t="str">
        <f>_xlfn.XLOOKUP(tblMaster[[#This Row],[Customer_ID]],tblCustomers[Customer_ID],tblCustomers[Gender],"Not Found",0)</f>
        <v>Female</v>
      </c>
      <c r="N794" s="18" t="str">
        <f>_xlfn.XLOOKUP(tblMaster[[#This Row],[Product_ID]],tblProducts[Product_ID],tblProducts[Product_Name],"Not Found",0)</f>
        <v>Sed Pack</v>
      </c>
      <c r="O794" s="18" t="str">
        <f>_xlfn.XLOOKUP(tblMaster[[#This Row],[Product_ID]],tblProducts[Product_ID],tblProducts[Category],"Not Found",0)</f>
        <v>Cake</v>
      </c>
      <c r="P794" s="18" t="str">
        <f>_xlfn.XLOOKUP(tblMaster[[#This Row],[Product_ID]],tblProducts[Product_ID],tblProducts[Occasion],"Not Found",0)</f>
        <v>Valentine's Day</v>
      </c>
      <c r="Q794" s="18">
        <f>_xlfn.XLOOKUP(tblMaster[[#This Row],[Product_ID]],tblProducts[Product_ID],tblProducts[Price (INR)],"Not Found",0)</f>
        <v>1492</v>
      </c>
      <c r="R794" s="19">
        <f>tblMaster[[#This Row],[Price]]*tblMaster[[#This Row],[Quantity]]</f>
        <v>7460</v>
      </c>
      <c r="S794" s="19">
        <f>tblMaster[[#This Row],[Price]]*0.7*tblMaster[[#This Row],[Quantity]]</f>
        <v>5221.9999999999991</v>
      </c>
      <c r="T794" s="19">
        <f>tblMaster[[#This Row],[Revenue]]-tblMaster[[#This Row],[Estimated Cost (at 70%) ]]</f>
        <v>2238.0000000000009</v>
      </c>
      <c r="U794" s="19">
        <f>tblMaster[[#This Row],[Profit]]/tblMaster[[#This Row],[Revenue]]</f>
        <v>0.3000000000000001</v>
      </c>
      <c r="V794" s="19">
        <f>tblMaster[[#This Row],[Delivery_Date]]-tblMaster[[#This Row],[Order_Date]]</f>
        <v>10</v>
      </c>
      <c r="W794" s="19" t="str">
        <f>TEXT(tblMaster[[#This Row],[Order_Date]],"mmmm")</f>
        <v>February</v>
      </c>
      <c r="X794" s="19">
        <f>MONTH(tblMaster[[#This Row],[Order_Date]])</f>
        <v>2</v>
      </c>
      <c r="Y794" s="19" t="str">
        <f>"Q"&amp;ROUNDUP(tblMaster[[#This Row],[Month Number]]/3,0)</f>
        <v>Q1</v>
      </c>
      <c r="Z794" s="19">
        <f>YEAR(tblMaster[[#This Row],[Order_Date]])</f>
        <v>2023</v>
      </c>
      <c r="AA794" s="19" t="str">
        <f>TEXT(DAY(tblMaster[[#This Row],[Order_Date]]),"dddd")</f>
        <v>Thursday</v>
      </c>
      <c r="AB794" s="19" t="str">
        <f>IF(tblMaster[[#This Row],[Revenue]]&gt;=5000,"High",IF(tblMaster[[#This Row],[Revenue]]&lt;2000,"Low","Medium"))</f>
        <v>High</v>
      </c>
    </row>
    <row r="795" spans="1:28" x14ac:dyDescent="0.25">
      <c r="A795" s="10">
        <v>794</v>
      </c>
      <c r="B795" s="10" t="s">
        <v>424</v>
      </c>
      <c r="C795" s="5">
        <v>13</v>
      </c>
      <c r="D795" s="5">
        <v>4</v>
      </c>
      <c r="E795" s="11">
        <v>44989</v>
      </c>
      <c r="F795" s="12">
        <v>0.71664351851851849</v>
      </c>
      <c r="G795" s="11">
        <v>44994</v>
      </c>
      <c r="H795" s="12">
        <v>0.61881944444444448</v>
      </c>
      <c r="I795" s="10" t="s">
        <v>481</v>
      </c>
      <c r="J795" s="10" t="s">
        <v>25</v>
      </c>
      <c r="K795" s="18" t="str">
        <f>_xlfn.XLOOKUP(tblMaster[[#This Row],[Customer_ID]],tblCustomers[Customer_ID],tblCustomers[City],"Not Found",0)</f>
        <v>Bhilai</v>
      </c>
      <c r="L795" s="18" t="str">
        <f>_xlfn.XLOOKUP(tblMaster[[#This Row],[Customer_ID]],tblCustomers[Customer_ID],tblCustomers[Name],"Not Found",0)</f>
        <v>Vedika Sankaran</v>
      </c>
      <c r="M795" s="18" t="str">
        <f>_xlfn.XLOOKUP(tblMaster[[#This Row],[Customer_ID]],tblCustomers[Customer_ID],tblCustomers[Gender],"Not Found",0)</f>
        <v>Female</v>
      </c>
      <c r="N795" s="18" t="str">
        <f>_xlfn.XLOOKUP(tblMaster[[#This Row],[Product_ID]],tblProducts[Product_ID],tblProducts[Product_Name],"Not Found",0)</f>
        <v>Et Set</v>
      </c>
      <c r="O795" s="18" t="str">
        <f>_xlfn.XLOOKUP(tblMaster[[#This Row],[Product_ID]],tblProducts[Product_ID],tblProducts[Category],"Not Found",0)</f>
        <v>Mugs</v>
      </c>
      <c r="P795" s="18" t="str">
        <f>_xlfn.XLOOKUP(tblMaster[[#This Row],[Product_ID]],tblProducts[Product_ID],tblProducts[Occasion],"Not Found",0)</f>
        <v>Holi</v>
      </c>
      <c r="Q795" s="18">
        <f>_xlfn.XLOOKUP(tblMaster[[#This Row],[Product_ID]],tblProducts[Product_ID],tblProducts[Price (INR)],"Not Found",0)</f>
        <v>1141</v>
      </c>
      <c r="R795" s="19">
        <f>tblMaster[[#This Row],[Price]]*tblMaster[[#This Row],[Quantity]]</f>
        <v>4564</v>
      </c>
      <c r="S795" s="19">
        <f>tblMaster[[#This Row],[Price]]*0.7*tblMaster[[#This Row],[Quantity]]</f>
        <v>3194.7999999999997</v>
      </c>
      <c r="T795" s="19">
        <f>tblMaster[[#This Row],[Revenue]]-tblMaster[[#This Row],[Estimated Cost (at 70%) ]]</f>
        <v>1369.2000000000003</v>
      </c>
      <c r="U795" s="19">
        <f>tblMaster[[#This Row],[Profit]]/tblMaster[[#This Row],[Revenue]]</f>
        <v>0.30000000000000004</v>
      </c>
      <c r="V795" s="19">
        <f>tblMaster[[#This Row],[Delivery_Date]]-tblMaster[[#This Row],[Order_Date]]</f>
        <v>5</v>
      </c>
      <c r="W795" s="19" t="str">
        <f>TEXT(tblMaster[[#This Row],[Order_Date]],"mmmm")</f>
        <v>March</v>
      </c>
      <c r="X795" s="19">
        <f>MONTH(tblMaster[[#This Row],[Order_Date]])</f>
        <v>3</v>
      </c>
      <c r="Y795" s="19" t="str">
        <f>"Q"&amp;ROUNDUP(tblMaster[[#This Row],[Month Number]]/3,0)</f>
        <v>Q1</v>
      </c>
      <c r="Z795" s="19">
        <f>YEAR(tblMaster[[#This Row],[Order_Date]])</f>
        <v>2023</v>
      </c>
      <c r="AA795" s="19" t="str">
        <f>TEXT(DAY(tblMaster[[#This Row],[Order_Date]]),"dddd")</f>
        <v>Wednesday</v>
      </c>
      <c r="AB795" s="19" t="str">
        <f>IF(tblMaster[[#This Row],[Revenue]]&gt;=5000,"High",IF(tblMaster[[#This Row],[Revenue]]&lt;2000,"Low","Medium"))</f>
        <v>Medium</v>
      </c>
    </row>
    <row r="796" spans="1:28" x14ac:dyDescent="0.25">
      <c r="A796" s="7">
        <v>795</v>
      </c>
      <c r="B796" s="7" t="s">
        <v>343</v>
      </c>
      <c r="C796" s="4">
        <v>7</v>
      </c>
      <c r="D796" s="4">
        <v>1</v>
      </c>
      <c r="E796" s="8">
        <v>44988</v>
      </c>
      <c r="F796" s="9">
        <v>0.74902777777777774</v>
      </c>
      <c r="G796" s="8">
        <v>44992</v>
      </c>
      <c r="H796" s="9">
        <v>0.9290046296296296</v>
      </c>
      <c r="I796" s="7" t="s">
        <v>374</v>
      </c>
      <c r="J796" s="7" t="s">
        <v>25</v>
      </c>
      <c r="K796" s="18" t="str">
        <f>_xlfn.XLOOKUP(tblMaster[[#This Row],[Customer_ID]],tblCustomers[Customer_ID],tblCustomers[City],"Not Found",0)</f>
        <v>Bhatpara</v>
      </c>
      <c r="L796" s="18" t="str">
        <f>_xlfn.XLOOKUP(tblMaster[[#This Row],[Customer_ID]],tblCustomers[Customer_ID],tblCustomers[Name],"Not Found",0)</f>
        <v>Emir Gokhale</v>
      </c>
      <c r="M796" s="18" t="str">
        <f>_xlfn.XLOOKUP(tblMaster[[#This Row],[Customer_ID]],tblCustomers[Customer_ID],tblCustomers[Gender],"Not Found",0)</f>
        <v>Male</v>
      </c>
      <c r="N796" s="18" t="str">
        <f>_xlfn.XLOOKUP(tblMaster[[#This Row],[Product_ID]],tblProducts[Product_ID],tblProducts[Product_Name],"Not Found",0)</f>
        <v>Quos Set</v>
      </c>
      <c r="O796" s="18" t="str">
        <f>_xlfn.XLOOKUP(tblMaster[[#This Row],[Product_ID]],tblProducts[Product_ID],tblProducts[Category],"Not Found",0)</f>
        <v>Soft Toys</v>
      </c>
      <c r="P796" s="18" t="str">
        <f>_xlfn.XLOOKUP(tblMaster[[#This Row],[Product_ID]],tblProducts[Product_ID],tblProducts[Occasion],"Not Found",0)</f>
        <v>Holi</v>
      </c>
      <c r="Q796" s="18">
        <f>_xlfn.XLOOKUP(tblMaster[[#This Row],[Product_ID]],tblProducts[Product_ID],tblProducts[Price (INR)],"Not Found",0)</f>
        <v>409</v>
      </c>
      <c r="R796" s="19">
        <f>tblMaster[[#This Row],[Price]]*tblMaster[[#This Row],[Quantity]]</f>
        <v>409</v>
      </c>
      <c r="S796" s="19">
        <f>tblMaster[[#This Row],[Price]]*0.7*tblMaster[[#This Row],[Quantity]]</f>
        <v>286.29999999999995</v>
      </c>
      <c r="T796" s="19">
        <f>tblMaster[[#This Row],[Revenue]]-tblMaster[[#This Row],[Estimated Cost (at 70%) ]]</f>
        <v>122.70000000000005</v>
      </c>
      <c r="U796" s="19">
        <f>tblMaster[[#This Row],[Profit]]/tblMaster[[#This Row],[Revenue]]</f>
        <v>0.3000000000000001</v>
      </c>
      <c r="V796" s="19">
        <f>tblMaster[[#This Row],[Delivery_Date]]-tblMaster[[#This Row],[Order_Date]]</f>
        <v>4</v>
      </c>
      <c r="W796" s="19" t="str">
        <f>TEXT(tblMaster[[#This Row],[Order_Date]],"mmmm")</f>
        <v>March</v>
      </c>
      <c r="X796" s="19">
        <f>MONTH(tblMaster[[#This Row],[Order_Date]])</f>
        <v>3</v>
      </c>
      <c r="Y796" s="19" t="str">
        <f>"Q"&amp;ROUNDUP(tblMaster[[#This Row],[Month Number]]/3,0)</f>
        <v>Q1</v>
      </c>
      <c r="Z796" s="19">
        <f>YEAR(tblMaster[[#This Row],[Order_Date]])</f>
        <v>2023</v>
      </c>
      <c r="AA796" s="19" t="str">
        <f>TEXT(DAY(tblMaster[[#This Row],[Order_Date]]),"dddd")</f>
        <v>Tuesday</v>
      </c>
      <c r="AB796" s="19" t="str">
        <f>IF(tblMaster[[#This Row],[Revenue]]&gt;=5000,"High",IF(tblMaster[[#This Row],[Revenue]]&lt;2000,"Low","Medium"))</f>
        <v>Low</v>
      </c>
    </row>
    <row r="797" spans="1:28" x14ac:dyDescent="0.25">
      <c r="A797" s="10">
        <v>796</v>
      </c>
      <c r="B797" s="10" t="s">
        <v>488</v>
      </c>
      <c r="C797" s="5">
        <v>61</v>
      </c>
      <c r="D797" s="5">
        <v>4</v>
      </c>
      <c r="E797" s="11">
        <v>45051</v>
      </c>
      <c r="F797" s="12">
        <v>0.32877314814814818</v>
      </c>
      <c r="G797" s="11">
        <v>45060</v>
      </c>
      <c r="H797" s="12">
        <v>0.33917824074074077</v>
      </c>
      <c r="I797" s="10" t="s">
        <v>175</v>
      </c>
      <c r="J797" s="10" t="s">
        <v>30</v>
      </c>
      <c r="K797" s="18" t="str">
        <f>_xlfn.XLOOKUP(tblMaster[[#This Row],[Customer_ID]],tblCustomers[Customer_ID],tblCustomers[City],"Not Found",0)</f>
        <v>Bulandshahr</v>
      </c>
      <c r="L797" s="18" t="str">
        <f>_xlfn.XLOOKUP(tblMaster[[#This Row],[Customer_ID]],tblCustomers[Customer_ID],tblCustomers[Name],"Not Found",0)</f>
        <v>Myra Edwin</v>
      </c>
      <c r="M797" s="18" t="str">
        <f>_xlfn.XLOOKUP(tblMaster[[#This Row],[Customer_ID]],tblCustomers[Customer_ID],tblCustomers[Gender],"Not Found",0)</f>
        <v>Female</v>
      </c>
      <c r="N797" s="18" t="str">
        <f>_xlfn.XLOOKUP(tblMaster[[#This Row],[Product_ID]],tblProducts[Product_ID],tblProducts[Product_Name],"Not Found",0)</f>
        <v>Iusto Box</v>
      </c>
      <c r="O797" s="18" t="str">
        <f>_xlfn.XLOOKUP(tblMaster[[#This Row],[Product_ID]],tblProducts[Product_ID],tblProducts[Category],"Not Found",0)</f>
        <v>Plants</v>
      </c>
      <c r="P797" s="18" t="str">
        <f>_xlfn.XLOOKUP(tblMaster[[#This Row],[Product_ID]],tblProducts[Product_ID],tblProducts[Occasion],"Not Found",0)</f>
        <v>Anniversary</v>
      </c>
      <c r="Q797" s="18">
        <f>_xlfn.XLOOKUP(tblMaster[[#This Row],[Product_ID]],tblProducts[Product_ID],tblProducts[Price (INR)],"Not Found",0)</f>
        <v>810</v>
      </c>
      <c r="R797" s="19">
        <f>tblMaster[[#This Row],[Price]]*tblMaster[[#This Row],[Quantity]]</f>
        <v>3240</v>
      </c>
      <c r="S797" s="19">
        <f>tblMaster[[#This Row],[Price]]*0.7*tblMaster[[#This Row],[Quantity]]</f>
        <v>2268</v>
      </c>
      <c r="T797" s="19">
        <f>tblMaster[[#This Row],[Revenue]]-tblMaster[[#This Row],[Estimated Cost (at 70%) ]]</f>
        <v>972</v>
      </c>
      <c r="U797" s="19">
        <f>tblMaster[[#This Row],[Profit]]/tblMaster[[#This Row],[Revenue]]</f>
        <v>0.3</v>
      </c>
      <c r="V797" s="19">
        <f>tblMaster[[#This Row],[Delivery_Date]]-tblMaster[[#This Row],[Order_Date]]</f>
        <v>9</v>
      </c>
      <c r="W797" s="19" t="str">
        <f>TEXT(tblMaster[[#This Row],[Order_Date]],"mmmm")</f>
        <v>May</v>
      </c>
      <c r="X797" s="19">
        <f>MONTH(tblMaster[[#This Row],[Order_Date]])</f>
        <v>5</v>
      </c>
      <c r="Y797" s="19" t="str">
        <f>"Q"&amp;ROUNDUP(tblMaster[[#This Row],[Month Number]]/3,0)</f>
        <v>Q2</v>
      </c>
      <c r="Z797" s="19">
        <f>YEAR(tblMaster[[#This Row],[Order_Date]])</f>
        <v>2023</v>
      </c>
      <c r="AA797" s="19" t="str">
        <f>TEXT(DAY(tblMaster[[#This Row],[Order_Date]]),"dddd")</f>
        <v>Thursday</v>
      </c>
      <c r="AB797" s="19" t="str">
        <f>IF(tblMaster[[#This Row],[Revenue]]&gt;=5000,"High",IF(tblMaster[[#This Row],[Revenue]]&lt;2000,"Low","Medium"))</f>
        <v>Medium</v>
      </c>
    </row>
    <row r="798" spans="1:28" x14ac:dyDescent="0.25">
      <c r="A798" s="7">
        <v>797</v>
      </c>
      <c r="B798" s="7" t="s">
        <v>221</v>
      </c>
      <c r="C798" s="4">
        <v>13</v>
      </c>
      <c r="D798" s="4">
        <v>2</v>
      </c>
      <c r="E798" s="8">
        <v>44988</v>
      </c>
      <c r="F798" s="9">
        <v>0.87349537037037039</v>
      </c>
      <c r="G798" s="8">
        <v>44995</v>
      </c>
      <c r="H798" s="9">
        <v>0.18684027777777779</v>
      </c>
      <c r="I798" s="7" t="s">
        <v>378</v>
      </c>
      <c r="J798" s="7" t="s">
        <v>25</v>
      </c>
      <c r="K798" s="18" t="str">
        <f>_xlfn.XLOOKUP(tblMaster[[#This Row],[Customer_ID]],tblCustomers[Customer_ID],tblCustomers[City],"Not Found",0)</f>
        <v>Jorhat</v>
      </c>
      <c r="L798" s="18" t="str">
        <f>_xlfn.XLOOKUP(tblMaster[[#This Row],[Customer_ID]],tblCustomers[Customer_ID],tblCustomers[Name],"Not Found",0)</f>
        <v>Bhamini Ravi</v>
      </c>
      <c r="M798" s="18" t="str">
        <f>_xlfn.XLOOKUP(tblMaster[[#This Row],[Customer_ID]],tblCustomers[Customer_ID],tblCustomers[Gender],"Not Found",0)</f>
        <v>Male</v>
      </c>
      <c r="N798" s="18" t="str">
        <f>_xlfn.XLOOKUP(tblMaster[[#This Row],[Product_ID]],tblProducts[Product_ID],tblProducts[Product_Name],"Not Found",0)</f>
        <v>Et Set</v>
      </c>
      <c r="O798" s="18" t="str">
        <f>_xlfn.XLOOKUP(tblMaster[[#This Row],[Product_ID]],tblProducts[Product_ID],tblProducts[Category],"Not Found",0)</f>
        <v>Mugs</v>
      </c>
      <c r="P798" s="18" t="str">
        <f>_xlfn.XLOOKUP(tblMaster[[#This Row],[Product_ID]],tblProducts[Product_ID],tblProducts[Occasion],"Not Found",0)</f>
        <v>Holi</v>
      </c>
      <c r="Q798" s="18">
        <f>_xlfn.XLOOKUP(tblMaster[[#This Row],[Product_ID]],tblProducts[Product_ID],tblProducts[Price (INR)],"Not Found",0)</f>
        <v>1141</v>
      </c>
      <c r="R798" s="19">
        <f>tblMaster[[#This Row],[Price]]*tblMaster[[#This Row],[Quantity]]</f>
        <v>2282</v>
      </c>
      <c r="S798" s="19">
        <f>tblMaster[[#This Row],[Price]]*0.7*tblMaster[[#This Row],[Quantity]]</f>
        <v>1597.3999999999999</v>
      </c>
      <c r="T798" s="19">
        <f>tblMaster[[#This Row],[Revenue]]-tblMaster[[#This Row],[Estimated Cost (at 70%) ]]</f>
        <v>684.60000000000014</v>
      </c>
      <c r="U798" s="19">
        <f>tblMaster[[#This Row],[Profit]]/tblMaster[[#This Row],[Revenue]]</f>
        <v>0.30000000000000004</v>
      </c>
      <c r="V798" s="19">
        <f>tblMaster[[#This Row],[Delivery_Date]]-tblMaster[[#This Row],[Order_Date]]</f>
        <v>7</v>
      </c>
      <c r="W798" s="19" t="str">
        <f>TEXT(tblMaster[[#This Row],[Order_Date]],"mmmm")</f>
        <v>March</v>
      </c>
      <c r="X798" s="19">
        <f>MONTH(tblMaster[[#This Row],[Order_Date]])</f>
        <v>3</v>
      </c>
      <c r="Y798" s="19" t="str">
        <f>"Q"&amp;ROUNDUP(tblMaster[[#This Row],[Month Number]]/3,0)</f>
        <v>Q1</v>
      </c>
      <c r="Z798" s="19">
        <f>YEAR(tblMaster[[#This Row],[Order_Date]])</f>
        <v>2023</v>
      </c>
      <c r="AA798" s="19" t="str">
        <f>TEXT(DAY(tblMaster[[#This Row],[Order_Date]]),"dddd")</f>
        <v>Tuesday</v>
      </c>
      <c r="AB798" s="19" t="str">
        <f>IF(tblMaster[[#This Row],[Revenue]]&gt;=5000,"High",IF(tblMaster[[#This Row],[Revenue]]&lt;2000,"Low","Medium"))</f>
        <v>Medium</v>
      </c>
    </row>
    <row r="799" spans="1:28" x14ac:dyDescent="0.25">
      <c r="A799" s="10">
        <v>798</v>
      </c>
      <c r="B799" s="10" t="s">
        <v>409</v>
      </c>
      <c r="C799" s="5">
        <v>30</v>
      </c>
      <c r="D799" s="5">
        <v>5</v>
      </c>
      <c r="E799" s="11">
        <v>45277</v>
      </c>
      <c r="F799" s="12">
        <v>0.73284722222222221</v>
      </c>
      <c r="G799" s="11">
        <v>45286</v>
      </c>
      <c r="H799" s="12">
        <v>7.7881944444444448E-2</v>
      </c>
      <c r="I799" s="10" t="s">
        <v>557</v>
      </c>
      <c r="J799" s="10" t="s">
        <v>30</v>
      </c>
      <c r="K799" s="18" t="str">
        <f>_xlfn.XLOOKUP(tblMaster[[#This Row],[Customer_ID]],tblCustomers[Customer_ID],tblCustomers[City],"Not Found",0)</f>
        <v>Vellore</v>
      </c>
      <c r="L799" s="18" t="str">
        <f>_xlfn.XLOOKUP(tblMaster[[#This Row],[Customer_ID]],tblCustomers[Customer_ID],tblCustomers[Name],"Not Found",0)</f>
        <v>Yasmin Sheth</v>
      </c>
      <c r="M799" s="18" t="str">
        <f>_xlfn.XLOOKUP(tblMaster[[#This Row],[Customer_ID]],tblCustomers[Customer_ID],tblCustomers[Gender],"Not Found",0)</f>
        <v>Female</v>
      </c>
      <c r="N799" s="18" t="str">
        <f>_xlfn.XLOOKUP(tblMaster[[#This Row],[Product_ID]],tblProducts[Product_ID],tblProducts[Product_Name],"Not Found",0)</f>
        <v>Recusandae Pack</v>
      </c>
      <c r="O799" s="18" t="str">
        <f>_xlfn.XLOOKUP(tblMaster[[#This Row],[Product_ID]],tblProducts[Product_ID],tblProducts[Category],"Not Found",0)</f>
        <v>Colors</v>
      </c>
      <c r="P799" s="18" t="str">
        <f>_xlfn.XLOOKUP(tblMaster[[#This Row],[Product_ID]],tblProducts[Product_ID],tblProducts[Occasion],"Not Found",0)</f>
        <v>Anniversary</v>
      </c>
      <c r="Q799" s="18">
        <f>_xlfn.XLOOKUP(tblMaster[[#This Row],[Product_ID]],tblProducts[Product_ID],tblProducts[Price (INR)],"Not Found",0)</f>
        <v>751</v>
      </c>
      <c r="R799" s="19">
        <f>tblMaster[[#This Row],[Price]]*tblMaster[[#This Row],[Quantity]]</f>
        <v>3755</v>
      </c>
      <c r="S799" s="19">
        <f>tblMaster[[#This Row],[Price]]*0.7*tblMaster[[#This Row],[Quantity]]</f>
        <v>2628.4999999999995</v>
      </c>
      <c r="T799" s="19">
        <f>tblMaster[[#This Row],[Revenue]]-tblMaster[[#This Row],[Estimated Cost (at 70%) ]]</f>
        <v>1126.5000000000005</v>
      </c>
      <c r="U799" s="19">
        <f>tblMaster[[#This Row],[Profit]]/tblMaster[[#This Row],[Revenue]]</f>
        <v>0.3000000000000001</v>
      </c>
      <c r="V799" s="19">
        <f>tblMaster[[#This Row],[Delivery_Date]]-tblMaster[[#This Row],[Order_Date]]</f>
        <v>9</v>
      </c>
      <c r="W799" s="19" t="str">
        <f>TEXT(tblMaster[[#This Row],[Order_Date]],"mmmm")</f>
        <v>December</v>
      </c>
      <c r="X799" s="19">
        <f>MONTH(tblMaster[[#This Row],[Order_Date]])</f>
        <v>12</v>
      </c>
      <c r="Y799" s="19" t="str">
        <f>"Q"&amp;ROUNDUP(tblMaster[[#This Row],[Month Number]]/3,0)</f>
        <v>Q4</v>
      </c>
      <c r="Z799" s="19">
        <f>YEAR(tblMaster[[#This Row],[Order_Date]])</f>
        <v>2023</v>
      </c>
      <c r="AA799" s="19" t="str">
        <f>TEXT(DAY(tblMaster[[#This Row],[Order_Date]]),"dddd")</f>
        <v>Tuesday</v>
      </c>
      <c r="AB799" s="19" t="str">
        <f>IF(tblMaster[[#This Row],[Revenue]]&gt;=5000,"High",IF(tblMaster[[#This Row],[Revenue]]&lt;2000,"Low","Medium"))</f>
        <v>Medium</v>
      </c>
    </row>
    <row r="800" spans="1:28" x14ac:dyDescent="0.25">
      <c r="A800" s="7">
        <v>799</v>
      </c>
      <c r="B800" s="7" t="s">
        <v>364</v>
      </c>
      <c r="C800" s="4">
        <v>32</v>
      </c>
      <c r="D800" s="4">
        <v>5</v>
      </c>
      <c r="E800" s="8">
        <v>45221</v>
      </c>
      <c r="F800" s="9">
        <v>7.649305555555555E-2</v>
      </c>
      <c r="G800" s="8">
        <v>45231</v>
      </c>
      <c r="H800" s="9">
        <v>0.84891203703703699</v>
      </c>
      <c r="I800" s="7" t="s">
        <v>449</v>
      </c>
      <c r="J800" s="7" t="s">
        <v>36</v>
      </c>
      <c r="K800" s="18" t="str">
        <f>_xlfn.XLOOKUP(tblMaster[[#This Row],[Customer_ID]],tblCustomers[Customer_ID],tblCustomers[City],"Not Found",0)</f>
        <v>Tiruchirappalli</v>
      </c>
      <c r="L800" s="18" t="str">
        <f>_xlfn.XLOOKUP(tblMaster[[#This Row],[Customer_ID]],tblCustomers[Customer_ID],tblCustomers[Name],"Not Found",0)</f>
        <v>Anahita Shankar</v>
      </c>
      <c r="M800" s="18" t="str">
        <f>_xlfn.XLOOKUP(tblMaster[[#This Row],[Customer_ID]],tblCustomers[Customer_ID],tblCustomers[Gender],"Not Found",0)</f>
        <v>Male</v>
      </c>
      <c r="N800" s="18" t="str">
        <f>_xlfn.XLOOKUP(tblMaster[[#This Row],[Product_ID]],tblProducts[Product_ID],tblProducts[Product_Name],"Not Found",0)</f>
        <v>Fuga Set</v>
      </c>
      <c r="O800" s="18" t="str">
        <f>_xlfn.XLOOKUP(tblMaster[[#This Row],[Product_ID]],tblProducts[Product_ID],tblProducts[Category],"Not Found",0)</f>
        <v>Soft Toys</v>
      </c>
      <c r="P800" s="18" t="str">
        <f>_xlfn.XLOOKUP(tblMaster[[#This Row],[Product_ID]],tblProducts[Product_ID],tblProducts[Occasion],"Not Found",0)</f>
        <v>Birthday</v>
      </c>
      <c r="Q800" s="18">
        <f>_xlfn.XLOOKUP(tblMaster[[#This Row],[Product_ID]],tblProducts[Product_ID],tblProducts[Price (INR)],"Not Found",0)</f>
        <v>1792</v>
      </c>
      <c r="R800" s="19">
        <f>tblMaster[[#This Row],[Price]]*tblMaster[[#This Row],[Quantity]]</f>
        <v>8960</v>
      </c>
      <c r="S800" s="19">
        <f>tblMaster[[#This Row],[Price]]*0.7*tblMaster[[#This Row],[Quantity]]</f>
        <v>6271.9999999999991</v>
      </c>
      <c r="T800" s="19">
        <f>tblMaster[[#This Row],[Revenue]]-tblMaster[[#This Row],[Estimated Cost (at 70%) ]]</f>
        <v>2688.0000000000009</v>
      </c>
      <c r="U800" s="19">
        <f>tblMaster[[#This Row],[Profit]]/tblMaster[[#This Row],[Revenue]]</f>
        <v>0.3000000000000001</v>
      </c>
      <c r="V800" s="19">
        <f>tblMaster[[#This Row],[Delivery_Date]]-tblMaster[[#This Row],[Order_Date]]</f>
        <v>10</v>
      </c>
      <c r="W800" s="19" t="str">
        <f>TEXT(tblMaster[[#This Row],[Order_Date]],"mmmm")</f>
        <v>October</v>
      </c>
      <c r="X800" s="19">
        <f>MONTH(tblMaster[[#This Row],[Order_Date]])</f>
        <v>10</v>
      </c>
      <c r="Y800" s="19" t="str">
        <f>"Q"&amp;ROUNDUP(tblMaster[[#This Row],[Month Number]]/3,0)</f>
        <v>Q4</v>
      </c>
      <c r="Z800" s="19">
        <f>YEAR(tblMaster[[#This Row],[Order_Date]])</f>
        <v>2023</v>
      </c>
      <c r="AA800" s="19" t="str">
        <f>TEXT(DAY(tblMaster[[#This Row],[Order_Date]]),"dddd")</f>
        <v>Sunday</v>
      </c>
      <c r="AB800" s="19" t="str">
        <f>IF(tblMaster[[#This Row],[Revenue]]&gt;=5000,"High",IF(tblMaster[[#This Row],[Revenue]]&lt;2000,"Low","Medium"))</f>
        <v>High</v>
      </c>
    </row>
    <row r="801" spans="1:28" x14ac:dyDescent="0.25">
      <c r="A801" s="10">
        <v>800</v>
      </c>
      <c r="B801" s="10" t="s">
        <v>248</v>
      </c>
      <c r="C801" s="5">
        <v>24</v>
      </c>
      <c r="D801" s="5">
        <v>5</v>
      </c>
      <c r="E801" s="11">
        <v>45094</v>
      </c>
      <c r="F801" s="12">
        <v>0.90997685185185184</v>
      </c>
      <c r="G801" s="11">
        <v>45098</v>
      </c>
      <c r="H801" s="12">
        <v>0.30068287037037039</v>
      </c>
      <c r="I801" s="10" t="s">
        <v>555</v>
      </c>
      <c r="J801" s="10" t="s">
        <v>36</v>
      </c>
      <c r="K801" s="18" t="str">
        <f>_xlfn.XLOOKUP(tblMaster[[#This Row],[Customer_ID]],tblCustomers[Customer_ID],tblCustomers[City],"Not Found",0)</f>
        <v>Panvel</v>
      </c>
      <c r="L801" s="18" t="str">
        <f>_xlfn.XLOOKUP(tblMaster[[#This Row],[Customer_ID]],tblCustomers[Customer_ID],tblCustomers[Name],"Not Found",0)</f>
        <v>Indrans Shukla</v>
      </c>
      <c r="M801" s="18" t="str">
        <f>_xlfn.XLOOKUP(tblMaster[[#This Row],[Customer_ID]],tblCustomers[Customer_ID],tblCustomers[Gender],"Not Found",0)</f>
        <v>Female</v>
      </c>
      <c r="N801" s="18" t="str">
        <f>_xlfn.XLOOKUP(tblMaster[[#This Row],[Product_ID]],tblProducts[Product_ID],tblProducts[Product_Name],"Not Found",0)</f>
        <v>Ad Box</v>
      </c>
      <c r="O801" s="18" t="str">
        <f>_xlfn.XLOOKUP(tblMaster[[#This Row],[Product_ID]],tblProducts[Product_ID],tblProducts[Category],"Not Found",0)</f>
        <v>Mugs</v>
      </c>
      <c r="P801" s="18" t="str">
        <f>_xlfn.XLOOKUP(tblMaster[[#This Row],[Product_ID]],tblProducts[Product_ID],tblProducts[Occasion],"Not Found",0)</f>
        <v>Birthday</v>
      </c>
      <c r="Q801" s="18">
        <f>_xlfn.XLOOKUP(tblMaster[[#This Row],[Product_ID]],tblProducts[Product_ID],tblProducts[Price (INR)],"Not Found",0)</f>
        <v>535</v>
      </c>
      <c r="R801" s="19">
        <f>tblMaster[[#This Row],[Price]]*tblMaster[[#This Row],[Quantity]]</f>
        <v>2675</v>
      </c>
      <c r="S801" s="19">
        <f>tblMaster[[#This Row],[Price]]*0.7*tblMaster[[#This Row],[Quantity]]</f>
        <v>1872.5</v>
      </c>
      <c r="T801" s="19">
        <f>tblMaster[[#This Row],[Revenue]]-tblMaster[[#This Row],[Estimated Cost (at 70%) ]]</f>
        <v>802.5</v>
      </c>
      <c r="U801" s="19">
        <f>tblMaster[[#This Row],[Profit]]/tblMaster[[#This Row],[Revenue]]</f>
        <v>0.3</v>
      </c>
      <c r="V801" s="19">
        <f>tblMaster[[#This Row],[Delivery_Date]]-tblMaster[[#This Row],[Order_Date]]</f>
        <v>4</v>
      </c>
      <c r="W801" s="19" t="str">
        <f>TEXT(tblMaster[[#This Row],[Order_Date]],"mmmm")</f>
        <v>June</v>
      </c>
      <c r="X801" s="19">
        <f>MONTH(tblMaster[[#This Row],[Order_Date]])</f>
        <v>6</v>
      </c>
      <c r="Y801" s="19" t="str">
        <f>"Q"&amp;ROUNDUP(tblMaster[[#This Row],[Month Number]]/3,0)</f>
        <v>Q2</v>
      </c>
      <c r="Z801" s="19">
        <f>YEAR(tblMaster[[#This Row],[Order_Date]])</f>
        <v>2023</v>
      </c>
      <c r="AA801" s="19" t="str">
        <f>TEXT(DAY(tblMaster[[#This Row],[Order_Date]]),"dddd")</f>
        <v>Tuesday</v>
      </c>
      <c r="AB801" s="19" t="str">
        <f>IF(tblMaster[[#This Row],[Revenue]]&gt;=5000,"High",IF(tblMaster[[#This Row],[Revenue]]&lt;2000,"Low","Medium"))</f>
        <v>Medium</v>
      </c>
    </row>
    <row r="802" spans="1:28" x14ac:dyDescent="0.25">
      <c r="A802" s="7">
        <v>801</v>
      </c>
      <c r="B802" s="7" t="s">
        <v>265</v>
      </c>
      <c r="C802" s="4">
        <v>35</v>
      </c>
      <c r="D802" s="4">
        <v>1</v>
      </c>
      <c r="E802" s="8">
        <v>44992</v>
      </c>
      <c r="F802" s="9">
        <v>0.8026388888888889</v>
      </c>
      <c r="G802" s="8">
        <v>45000</v>
      </c>
      <c r="H802" s="9">
        <v>0.27444444444444444</v>
      </c>
      <c r="I802" s="7" t="s">
        <v>558</v>
      </c>
      <c r="J802" s="7" t="s">
        <v>25</v>
      </c>
      <c r="K802" s="18" t="str">
        <f>_xlfn.XLOOKUP(tblMaster[[#This Row],[Customer_ID]],tblCustomers[Customer_ID],tblCustomers[City],"Not Found",0)</f>
        <v>Guntakal</v>
      </c>
      <c r="L802" s="18" t="str">
        <f>_xlfn.XLOOKUP(tblMaster[[#This Row],[Customer_ID]],tblCustomers[Customer_ID],tblCustomers[Name],"Not Found",0)</f>
        <v>Charvi Kanda</v>
      </c>
      <c r="M802" s="18" t="str">
        <f>_xlfn.XLOOKUP(tblMaster[[#This Row],[Customer_ID]],tblCustomers[Customer_ID],tblCustomers[Gender],"Not Found",0)</f>
        <v>Male</v>
      </c>
      <c r="N802" s="18" t="str">
        <f>_xlfn.XLOOKUP(tblMaster[[#This Row],[Product_ID]],tblProducts[Product_ID],tblProducts[Product_Name],"Not Found",0)</f>
        <v>Nam Gift</v>
      </c>
      <c r="O802" s="18" t="str">
        <f>_xlfn.XLOOKUP(tblMaster[[#This Row],[Product_ID]],tblProducts[Product_ID],tblProducts[Category],"Not Found",0)</f>
        <v>Colors</v>
      </c>
      <c r="P802" s="18" t="str">
        <f>_xlfn.XLOOKUP(tblMaster[[#This Row],[Product_ID]],tblProducts[Product_ID],tblProducts[Occasion],"Not Found",0)</f>
        <v>Holi</v>
      </c>
      <c r="Q802" s="18">
        <f>_xlfn.XLOOKUP(tblMaster[[#This Row],[Product_ID]],tblProducts[Product_ID],tblProducts[Price (INR)],"Not Found",0)</f>
        <v>1865</v>
      </c>
      <c r="R802" s="19">
        <f>tblMaster[[#This Row],[Price]]*tblMaster[[#This Row],[Quantity]]</f>
        <v>1865</v>
      </c>
      <c r="S802" s="19">
        <f>tblMaster[[#This Row],[Price]]*0.7*tblMaster[[#This Row],[Quantity]]</f>
        <v>1305.5</v>
      </c>
      <c r="T802" s="19">
        <f>tblMaster[[#This Row],[Revenue]]-tblMaster[[#This Row],[Estimated Cost (at 70%) ]]</f>
        <v>559.5</v>
      </c>
      <c r="U802" s="19">
        <f>tblMaster[[#This Row],[Profit]]/tblMaster[[#This Row],[Revenue]]</f>
        <v>0.3</v>
      </c>
      <c r="V802" s="19">
        <f>tblMaster[[#This Row],[Delivery_Date]]-tblMaster[[#This Row],[Order_Date]]</f>
        <v>8</v>
      </c>
      <c r="W802" s="19" t="str">
        <f>TEXT(tblMaster[[#This Row],[Order_Date]],"mmmm")</f>
        <v>March</v>
      </c>
      <c r="X802" s="19">
        <f>MONTH(tblMaster[[#This Row],[Order_Date]])</f>
        <v>3</v>
      </c>
      <c r="Y802" s="19" t="str">
        <f>"Q"&amp;ROUNDUP(tblMaster[[#This Row],[Month Number]]/3,0)</f>
        <v>Q1</v>
      </c>
      <c r="Z802" s="19">
        <f>YEAR(tblMaster[[#This Row],[Order_Date]])</f>
        <v>2023</v>
      </c>
      <c r="AA802" s="19" t="str">
        <f>TEXT(DAY(tblMaster[[#This Row],[Order_Date]]),"dddd")</f>
        <v>Saturday</v>
      </c>
      <c r="AB802" s="19" t="str">
        <f>IF(tblMaster[[#This Row],[Revenue]]&gt;=5000,"High",IF(tblMaster[[#This Row],[Revenue]]&lt;2000,"Low","Medium"))</f>
        <v>Low</v>
      </c>
    </row>
    <row r="803" spans="1:28" x14ac:dyDescent="0.25">
      <c r="A803" s="10">
        <v>802</v>
      </c>
      <c r="B803" s="10" t="s">
        <v>180</v>
      </c>
      <c r="C803" s="5">
        <v>45</v>
      </c>
      <c r="D803" s="5">
        <v>3</v>
      </c>
      <c r="E803" s="11">
        <v>45008</v>
      </c>
      <c r="F803" s="12">
        <v>0.52596064814814814</v>
      </c>
      <c r="G803" s="11">
        <v>45011</v>
      </c>
      <c r="H803" s="12">
        <v>0.26319444444444445</v>
      </c>
      <c r="I803" s="10" t="s">
        <v>510</v>
      </c>
      <c r="J803" s="10" t="s">
        <v>36</v>
      </c>
      <c r="K803" s="18" t="str">
        <f>_xlfn.XLOOKUP(tblMaster[[#This Row],[Customer_ID]],tblCustomers[Customer_ID],tblCustomers[City],"Not Found",0)</f>
        <v>Sri Ganganagar</v>
      </c>
      <c r="L803" s="18" t="str">
        <f>_xlfn.XLOOKUP(tblMaster[[#This Row],[Customer_ID]],tblCustomers[Customer_ID],tblCustomers[Name],"Not Found",0)</f>
        <v>Nakul Randhawa</v>
      </c>
      <c r="M803" s="18" t="str">
        <f>_xlfn.XLOOKUP(tblMaster[[#This Row],[Customer_ID]],tblCustomers[Customer_ID],tblCustomers[Gender],"Not Found",0)</f>
        <v>Female</v>
      </c>
      <c r="N803" s="18" t="str">
        <f>_xlfn.XLOOKUP(tblMaster[[#This Row],[Product_ID]],tblProducts[Product_ID],tblProducts[Product_Name],"Not Found",0)</f>
        <v>Iusto Set</v>
      </c>
      <c r="O803" s="18" t="str">
        <f>_xlfn.XLOOKUP(tblMaster[[#This Row],[Product_ID]],tblProducts[Product_ID],tblProducts[Category],"Not Found",0)</f>
        <v>Raksha Bandhan</v>
      </c>
      <c r="P803" s="18" t="str">
        <f>_xlfn.XLOOKUP(tblMaster[[#This Row],[Product_ID]],tblProducts[Product_ID],tblProducts[Occasion],"Not Found",0)</f>
        <v>Birthday</v>
      </c>
      <c r="Q803" s="18">
        <f>_xlfn.XLOOKUP(tblMaster[[#This Row],[Product_ID]],tblProducts[Product_ID],tblProducts[Price (INR)],"Not Found",0)</f>
        <v>722</v>
      </c>
      <c r="R803" s="19">
        <f>tblMaster[[#This Row],[Price]]*tblMaster[[#This Row],[Quantity]]</f>
        <v>2166</v>
      </c>
      <c r="S803" s="19">
        <f>tblMaster[[#This Row],[Price]]*0.7*tblMaster[[#This Row],[Quantity]]</f>
        <v>1516.1999999999998</v>
      </c>
      <c r="T803" s="19">
        <f>tblMaster[[#This Row],[Revenue]]-tblMaster[[#This Row],[Estimated Cost (at 70%) ]]</f>
        <v>649.80000000000018</v>
      </c>
      <c r="U803" s="19">
        <f>tblMaster[[#This Row],[Profit]]/tblMaster[[#This Row],[Revenue]]</f>
        <v>0.3000000000000001</v>
      </c>
      <c r="V803" s="19">
        <f>tblMaster[[#This Row],[Delivery_Date]]-tblMaster[[#This Row],[Order_Date]]</f>
        <v>3</v>
      </c>
      <c r="W803" s="19" t="str">
        <f>TEXT(tblMaster[[#This Row],[Order_Date]],"mmmm")</f>
        <v>March</v>
      </c>
      <c r="X803" s="19">
        <f>MONTH(tblMaster[[#This Row],[Order_Date]])</f>
        <v>3</v>
      </c>
      <c r="Y803" s="19" t="str">
        <f>"Q"&amp;ROUNDUP(tblMaster[[#This Row],[Month Number]]/3,0)</f>
        <v>Q1</v>
      </c>
      <c r="Z803" s="19">
        <f>YEAR(tblMaster[[#This Row],[Order_Date]])</f>
        <v>2023</v>
      </c>
      <c r="AA803" s="19" t="str">
        <f>TEXT(DAY(tblMaster[[#This Row],[Order_Date]]),"dddd")</f>
        <v>Monday</v>
      </c>
      <c r="AB803" s="19" t="str">
        <f>IF(tblMaster[[#This Row],[Revenue]]&gt;=5000,"High",IF(tblMaster[[#This Row],[Revenue]]&lt;2000,"Low","Medium"))</f>
        <v>Medium</v>
      </c>
    </row>
    <row r="804" spans="1:28" x14ac:dyDescent="0.25">
      <c r="A804" s="7">
        <v>803</v>
      </c>
      <c r="B804" s="7" t="s">
        <v>176</v>
      </c>
      <c r="C804" s="4">
        <v>26</v>
      </c>
      <c r="D804" s="4">
        <v>1</v>
      </c>
      <c r="E804" s="8">
        <v>44988</v>
      </c>
      <c r="F804" s="9">
        <v>0.50263888888888886</v>
      </c>
      <c r="G804" s="8">
        <v>44995</v>
      </c>
      <c r="H804" s="9">
        <v>0.11811342592592593</v>
      </c>
      <c r="I804" s="7" t="s">
        <v>238</v>
      </c>
      <c r="J804" s="7" t="s">
        <v>25</v>
      </c>
      <c r="K804" s="18" t="str">
        <f>_xlfn.XLOOKUP(tblMaster[[#This Row],[Customer_ID]],tblCustomers[Customer_ID],tblCustomers[City],"Not Found",0)</f>
        <v>Pallavaram</v>
      </c>
      <c r="L804" s="18" t="str">
        <f>_xlfn.XLOOKUP(tblMaster[[#This Row],[Customer_ID]],tblCustomers[Customer_ID],tblCustomers[Name],"Not Found",0)</f>
        <v>Hazel Mangat</v>
      </c>
      <c r="M804" s="18" t="str">
        <f>_xlfn.XLOOKUP(tblMaster[[#This Row],[Customer_ID]],tblCustomers[Customer_ID],tblCustomers[Gender],"Not Found",0)</f>
        <v>Female</v>
      </c>
      <c r="N804" s="18" t="str">
        <f>_xlfn.XLOOKUP(tblMaster[[#This Row],[Product_ID]],tblProducts[Product_ID],tblProducts[Product_Name],"Not Found",0)</f>
        <v>Aliquam Box</v>
      </c>
      <c r="O804" s="18" t="str">
        <f>_xlfn.XLOOKUP(tblMaster[[#This Row],[Product_ID]],tblProducts[Product_ID],tblProducts[Category],"Not Found",0)</f>
        <v>Colors</v>
      </c>
      <c r="P804" s="18" t="str">
        <f>_xlfn.XLOOKUP(tblMaster[[#This Row],[Product_ID]],tblProducts[Product_ID],tblProducts[Occasion],"Not Found",0)</f>
        <v>Holi</v>
      </c>
      <c r="Q804" s="18">
        <f>_xlfn.XLOOKUP(tblMaster[[#This Row],[Product_ID]],tblProducts[Product_ID],tblProducts[Price (INR)],"Not Found",0)</f>
        <v>289</v>
      </c>
      <c r="R804" s="19">
        <f>tblMaster[[#This Row],[Price]]*tblMaster[[#This Row],[Quantity]]</f>
        <v>289</v>
      </c>
      <c r="S804" s="19">
        <f>tblMaster[[#This Row],[Price]]*0.7*tblMaster[[#This Row],[Quantity]]</f>
        <v>202.29999999999998</v>
      </c>
      <c r="T804" s="19">
        <f>tblMaster[[#This Row],[Revenue]]-tblMaster[[#This Row],[Estimated Cost (at 70%) ]]</f>
        <v>86.700000000000017</v>
      </c>
      <c r="U804" s="19">
        <f>tblMaster[[#This Row],[Profit]]/tblMaster[[#This Row],[Revenue]]</f>
        <v>0.30000000000000004</v>
      </c>
      <c r="V804" s="19">
        <f>tblMaster[[#This Row],[Delivery_Date]]-tblMaster[[#This Row],[Order_Date]]</f>
        <v>7</v>
      </c>
      <c r="W804" s="19" t="str">
        <f>TEXT(tblMaster[[#This Row],[Order_Date]],"mmmm")</f>
        <v>March</v>
      </c>
      <c r="X804" s="19">
        <f>MONTH(tblMaster[[#This Row],[Order_Date]])</f>
        <v>3</v>
      </c>
      <c r="Y804" s="19" t="str">
        <f>"Q"&amp;ROUNDUP(tblMaster[[#This Row],[Month Number]]/3,0)</f>
        <v>Q1</v>
      </c>
      <c r="Z804" s="19">
        <f>YEAR(tblMaster[[#This Row],[Order_Date]])</f>
        <v>2023</v>
      </c>
      <c r="AA804" s="19" t="str">
        <f>TEXT(DAY(tblMaster[[#This Row],[Order_Date]]),"dddd")</f>
        <v>Tuesday</v>
      </c>
      <c r="AB804" s="19" t="str">
        <f>IF(tblMaster[[#This Row],[Revenue]]&gt;=5000,"High",IF(tblMaster[[#This Row],[Revenue]]&lt;2000,"Low","Medium"))</f>
        <v>Low</v>
      </c>
    </row>
    <row r="805" spans="1:28" x14ac:dyDescent="0.25">
      <c r="A805" s="10">
        <v>804</v>
      </c>
      <c r="B805" s="10" t="s">
        <v>178</v>
      </c>
      <c r="C805" s="5">
        <v>3</v>
      </c>
      <c r="D805" s="5">
        <v>3</v>
      </c>
      <c r="E805" s="11">
        <v>44962</v>
      </c>
      <c r="F805" s="12">
        <v>0.23423611111111112</v>
      </c>
      <c r="G805" s="11">
        <v>44964</v>
      </c>
      <c r="H805" s="12">
        <v>8.2037037037037033E-2</v>
      </c>
      <c r="I805" s="10" t="s">
        <v>380</v>
      </c>
      <c r="J805" s="10" t="s">
        <v>12</v>
      </c>
      <c r="K805" s="18" t="str">
        <f>_xlfn.XLOOKUP(tblMaster[[#This Row],[Customer_ID]],tblCustomers[Customer_ID],tblCustomers[City],"Not Found",0)</f>
        <v>Madurai</v>
      </c>
      <c r="L805" s="18" t="str">
        <f>_xlfn.XLOOKUP(tblMaster[[#This Row],[Customer_ID]],tblCustomers[Customer_ID],tblCustomers[Name],"Not Found",0)</f>
        <v>Ritvik Borah</v>
      </c>
      <c r="M805" s="18" t="str">
        <f>_xlfn.XLOOKUP(tblMaster[[#This Row],[Customer_ID]],tblCustomers[Customer_ID],tblCustomers[Gender],"Not Found",0)</f>
        <v>Female</v>
      </c>
      <c r="N805" s="18" t="str">
        <f>_xlfn.XLOOKUP(tblMaster[[#This Row],[Product_ID]],tblProducts[Product_ID],tblProducts[Product_Name],"Not Found",0)</f>
        <v>Eius Gift</v>
      </c>
      <c r="O805" s="18" t="str">
        <f>_xlfn.XLOOKUP(tblMaster[[#This Row],[Product_ID]],tblProducts[Product_ID],tblProducts[Category],"Not Found",0)</f>
        <v>Colors</v>
      </c>
      <c r="P805" s="18" t="str">
        <f>_xlfn.XLOOKUP(tblMaster[[#This Row],[Product_ID]],tblProducts[Product_ID],tblProducts[Occasion],"Not Found",0)</f>
        <v>Valentine's Day</v>
      </c>
      <c r="Q805" s="18">
        <f>_xlfn.XLOOKUP(tblMaster[[#This Row],[Product_ID]],tblProducts[Product_ID],tblProducts[Price (INR)],"Not Found",0)</f>
        <v>1534</v>
      </c>
      <c r="R805" s="19">
        <f>tblMaster[[#This Row],[Price]]*tblMaster[[#This Row],[Quantity]]</f>
        <v>4602</v>
      </c>
      <c r="S805" s="19">
        <f>tblMaster[[#This Row],[Price]]*0.7*tblMaster[[#This Row],[Quantity]]</f>
        <v>3221.3999999999996</v>
      </c>
      <c r="T805" s="19">
        <f>tblMaster[[#This Row],[Revenue]]-tblMaster[[#This Row],[Estimated Cost (at 70%) ]]</f>
        <v>1380.6000000000004</v>
      </c>
      <c r="U805" s="19">
        <f>tblMaster[[#This Row],[Profit]]/tblMaster[[#This Row],[Revenue]]</f>
        <v>0.3000000000000001</v>
      </c>
      <c r="V805" s="19">
        <f>tblMaster[[#This Row],[Delivery_Date]]-tblMaster[[#This Row],[Order_Date]]</f>
        <v>2</v>
      </c>
      <c r="W805" s="19" t="str">
        <f>TEXT(tblMaster[[#This Row],[Order_Date]],"mmmm")</f>
        <v>February</v>
      </c>
      <c r="X805" s="19">
        <f>MONTH(tblMaster[[#This Row],[Order_Date]])</f>
        <v>2</v>
      </c>
      <c r="Y805" s="19" t="str">
        <f>"Q"&amp;ROUNDUP(tblMaster[[#This Row],[Month Number]]/3,0)</f>
        <v>Q1</v>
      </c>
      <c r="Z805" s="19">
        <f>YEAR(tblMaster[[#This Row],[Order_Date]])</f>
        <v>2023</v>
      </c>
      <c r="AA805" s="19" t="str">
        <f>TEXT(DAY(tblMaster[[#This Row],[Order_Date]]),"dddd")</f>
        <v>Thursday</v>
      </c>
      <c r="AB805" s="19" t="str">
        <f>IF(tblMaster[[#This Row],[Revenue]]&gt;=5000,"High",IF(tblMaster[[#This Row],[Revenue]]&lt;2000,"Low","Medium"))</f>
        <v>Medium</v>
      </c>
    </row>
    <row r="806" spans="1:28" x14ac:dyDescent="0.25">
      <c r="A806" s="7">
        <v>805</v>
      </c>
      <c r="B806" s="7" t="s">
        <v>283</v>
      </c>
      <c r="C806" s="4">
        <v>24</v>
      </c>
      <c r="D806" s="4">
        <v>3</v>
      </c>
      <c r="E806" s="8">
        <v>45088</v>
      </c>
      <c r="F806" s="9">
        <v>0.61050925925925925</v>
      </c>
      <c r="G806" s="8">
        <v>45091</v>
      </c>
      <c r="H806" s="9">
        <v>0.7550810185185185</v>
      </c>
      <c r="I806" s="7" t="s">
        <v>399</v>
      </c>
      <c r="J806" s="7" t="s">
        <v>36</v>
      </c>
      <c r="K806" s="18" t="str">
        <f>_xlfn.XLOOKUP(tblMaster[[#This Row],[Customer_ID]],tblCustomers[Customer_ID],tblCustomers[City],"Not Found",0)</f>
        <v>Noida</v>
      </c>
      <c r="L806" s="18" t="str">
        <f>_xlfn.XLOOKUP(tblMaster[[#This Row],[Customer_ID]],tblCustomers[Customer_ID],tblCustomers[Name],"Not Found",0)</f>
        <v>Hridaan Rajagopalan</v>
      </c>
      <c r="M806" s="18" t="str">
        <f>_xlfn.XLOOKUP(tblMaster[[#This Row],[Customer_ID]],tblCustomers[Customer_ID],tblCustomers[Gender],"Not Found",0)</f>
        <v>Female</v>
      </c>
      <c r="N806" s="18" t="str">
        <f>_xlfn.XLOOKUP(tblMaster[[#This Row],[Product_ID]],tblProducts[Product_ID],tblProducts[Product_Name],"Not Found",0)</f>
        <v>Ad Box</v>
      </c>
      <c r="O806" s="18" t="str">
        <f>_xlfn.XLOOKUP(tblMaster[[#This Row],[Product_ID]],tblProducts[Product_ID],tblProducts[Category],"Not Found",0)</f>
        <v>Mugs</v>
      </c>
      <c r="P806" s="18" t="str">
        <f>_xlfn.XLOOKUP(tblMaster[[#This Row],[Product_ID]],tblProducts[Product_ID],tblProducts[Occasion],"Not Found",0)</f>
        <v>Birthday</v>
      </c>
      <c r="Q806" s="18">
        <f>_xlfn.XLOOKUP(tblMaster[[#This Row],[Product_ID]],tblProducts[Product_ID],tblProducts[Price (INR)],"Not Found",0)</f>
        <v>535</v>
      </c>
      <c r="R806" s="19">
        <f>tblMaster[[#This Row],[Price]]*tblMaster[[#This Row],[Quantity]]</f>
        <v>1605</v>
      </c>
      <c r="S806" s="19">
        <f>tblMaster[[#This Row],[Price]]*0.7*tblMaster[[#This Row],[Quantity]]</f>
        <v>1123.5</v>
      </c>
      <c r="T806" s="19">
        <f>tblMaster[[#This Row],[Revenue]]-tblMaster[[#This Row],[Estimated Cost (at 70%) ]]</f>
        <v>481.5</v>
      </c>
      <c r="U806" s="19">
        <f>tblMaster[[#This Row],[Profit]]/tblMaster[[#This Row],[Revenue]]</f>
        <v>0.3</v>
      </c>
      <c r="V806" s="19">
        <f>tblMaster[[#This Row],[Delivery_Date]]-tblMaster[[#This Row],[Order_Date]]</f>
        <v>3</v>
      </c>
      <c r="W806" s="19" t="str">
        <f>TEXT(tblMaster[[#This Row],[Order_Date]],"mmmm")</f>
        <v>June</v>
      </c>
      <c r="X806" s="19">
        <f>MONTH(tblMaster[[#This Row],[Order_Date]])</f>
        <v>6</v>
      </c>
      <c r="Y806" s="19" t="str">
        <f>"Q"&amp;ROUNDUP(tblMaster[[#This Row],[Month Number]]/3,0)</f>
        <v>Q2</v>
      </c>
      <c r="Z806" s="19">
        <f>YEAR(tblMaster[[#This Row],[Order_Date]])</f>
        <v>2023</v>
      </c>
      <c r="AA806" s="19" t="str">
        <f>TEXT(DAY(tblMaster[[#This Row],[Order_Date]]),"dddd")</f>
        <v>Wednesday</v>
      </c>
      <c r="AB806" s="19" t="str">
        <f>IF(tblMaster[[#This Row],[Revenue]]&gt;=5000,"High",IF(tblMaster[[#This Row],[Revenue]]&lt;2000,"Low","Medium"))</f>
        <v>Low</v>
      </c>
    </row>
    <row r="807" spans="1:28" x14ac:dyDescent="0.25">
      <c r="A807" s="10">
        <v>806</v>
      </c>
      <c r="B807" s="10" t="s">
        <v>215</v>
      </c>
      <c r="C807" s="5">
        <v>29</v>
      </c>
      <c r="D807" s="5">
        <v>2</v>
      </c>
      <c r="E807" s="11">
        <v>44985</v>
      </c>
      <c r="F807" s="12">
        <v>0.5426157407407407</v>
      </c>
      <c r="G807" s="11">
        <v>44993</v>
      </c>
      <c r="H807" s="12">
        <v>0.27706018518518516</v>
      </c>
      <c r="I807" s="10" t="s">
        <v>326</v>
      </c>
      <c r="J807" s="10" t="s">
        <v>25</v>
      </c>
      <c r="K807" s="18" t="str">
        <f>_xlfn.XLOOKUP(tblMaster[[#This Row],[Customer_ID]],tblCustomers[Customer_ID],tblCustomers[City],"Not Found",0)</f>
        <v xml:space="preserve">Khora </v>
      </c>
      <c r="L807" s="18" t="str">
        <f>_xlfn.XLOOKUP(tblMaster[[#This Row],[Customer_ID]],tblCustomers[Customer_ID],tblCustomers[Name],"Not Found",0)</f>
        <v>Shalv Kulkarni</v>
      </c>
      <c r="M807" s="18" t="str">
        <f>_xlfn.XLOOKUP(tblMaster[[#This Row],[Customer_ID]],tblCustomers[Customer_ID],tblCustomers[Gender],"Not Found",0)</f>
        <v>Female</v>
      </c>
      <c r="N807" s="18" t="str">
        <f>_xlfn.XLOOKUP(tblMaster[[#This Row],[Product_ID]],tblProducts[Product_ID],tblProducts[Product_Name],"Not Found",0)</f>
        <v>In Set</v>
      </c>
      <c r="O807" s="18" t="str">
        <f>_xlfn.XLOOKUP(tblMaster[[#This Row],[Product_ID]],tblProducts[Product_ID],tblProducts[Category],"Not Found",0)</f>
        <v>Colors</v>
      </c>
      <c r="P807" s="18" t="str">
        <f>_xlfn.XLOOKUP(tblMaster[[#This Row],[Product_ID]],tblProducts[Product_ID],tblProducts[Occasion],"Not Found",0)</f>
        <v>Holi</v>
      </c>
      <c r="Q807" s="18">
        <f>_xlfn.XLOOKUP(tblMaster[[#This Row],[Product_ID]],tblProducts[Product_ID],tblProducts[Price (INR)],"Not Found",0)</f>
        <v>1252</v>
      </c>
      <c r="R807" s="19">
        <f>tblMaster[[#This Row],[Price]]*tblMaster[[#This Row],[Quantity]]</f>
        <v>2504</v>
      </c>
      <c r="S807" s="19">
        <f>tblMaster[[#This Row],[Price]]*0.7*tblMaster[[#This Row],[Quantity]]</f>
        <v>1752.8</v>
      </c>
      <c r="T807" s="19">
        <f>tblMaster[[#This Row],[Revenue]]-tblMaster[[#This Row],[Estimated Cost (at 70%) ]]</f>
        <v>751.2</v>
      </c>
      <c r="U807" s="19">
        <f>tblMaster[[#This Row],[Profit]]/tblMaster[[#This Row],[Revenue]]</f>
        <v>0.30000000000000004</v>
      </c>
      <c r="V807" s="19">
        <f>tblMaster[[#This Row],[Delivery_Date]]-tblMaster[[#This Row],[Order_Date]]</f>
        <v>8</v>
      </c>
      <c r="W807" s="19" t="str">
        <f>TEXT(tblMaster[[#This Row],[Order_Date]],"mmmm")</f>
        <v>February</v>
      </c>
      <c r="X807" s="19">
        <f>MONTH(tblMaster[[#This Row],[Order_Date]])</f>
        <v>2</v>
      </c>
      <c r="Y807" s="19" t="str">
        <f>"Q"&amp;ROUNDUP(tblMaster[[#This Row],[Month Number]]/3,0)</f>
        <v>Q1</v>
      </c>
      <c r="Z807" s="19">
        <f>YEAR(tblMaster[[#This Row],[Order_Date]])</f>
        <v>2023</v>
      </c>
      <c r="AA807" s="19" t="str">
        <f>TEXT(DAY(tblMaster[[#This Row],[Order_Date]]),"dddd")</f>
        <v>Saturday</v>
      </c>
      <c r="AB807" s="19" t="str">
        <f>IF(tblMaster[[#This Row],[Revenue]]&gt;=5000,"High",IF(tblMaster[[#This Row],[Revenue]]&lt;2000,"Low","Medium"))</f>
        <v>Medium</v>
      </c>
    </row>
    <row r="808" spans="1:28" x14ac:dyDescent="0.25">
      <c r="A808" s="7">
        <v>807</v>
      </c>
      <c r="B808" s="7" t="s">
        <v>239</v>
      </c>
      <c r="C808" s="4">
        <v>40</v>
      </c>
      <c r="D808" s="4">
        <v>4</v>
      </c>
      <c r="E808" s="8">
        <v>45259</v>
      </c>
      <c r="F808" s="9">
        <v>0.68077546296296299</v>
      </c>
      <c r="G808" s="8">
        <v>45269</v>
      </c>
      <c r="H808" s="9">
        <v>0.13190972222222222</v>
      </c>
      <c r="I808" s="7" t="s">
        <v>543</v>
      </c>
      <c r="J808" s="7" t="s">
        <v>30</v>
      </c>
      <c r="K808" s="18" t="str">
        <f>_xlfn.XLOOKUP(tblMaster[[#This Row],[Customer_ID]],tblCustomers[Customer_ID],tblCustomers[City],"Not Found",0)</f>
        <v>Karimnagar</v>
      </c>
      <c r="L808" s="18" t="str">
        <f>_xlfn.XLOOKUP(tblMaster[[#This Row],[Customer_ID]],tblCustomers[Customer_ID],tblCustomers[Name],"Not Found",0)</f>
        <v>Rania Mann</v>
      </c>
      <c r="M808" s="18" t="str">
        <f>_xlfn.XLOOKUP(tblMaster[[#This Row],[Customer_ID]],tblCustomers[Customer_ID],tblCustomers[Gender],"Not Found",0)</f>
        <v>Female</v>
      </c>
      <c r="N808" s="18" t="str">
        <f>_xlfn.XLOOKUP(tblMaster[[#This Row],[Product_ID]],tblProducts[Product_ID],tblProducts[Product_Name],"Not Found",0)</f>
        <v>Provident Pack</v>
      </c>
      <c r="O808" s="18" t="str">
        <f>_xlfn.XLOOKUP(tblMaster[[#This Row],[Product_ID]],tblProducts[Product_ID],tblProducts[Category],"Not Found",0)</f>
        <v>Sweets</v>
      </c>
      <c r="P808" s="18" t="str">
        <f>_xlfn.XLOOKUP(tblMaster[[#This Row],[Product_ID]],tblProducts[Product_ID],tblProducts[Occasion],"Not Found",0)</f>
        <v>Anniversary</v>
      </c>
      <c r="Q808" s="18">
        <f>_xlfn.XLOOKUP(tblMaster[[#This Row],[Product_ID]],tblProducts[Product_ID],tblProducts[Price (INR)],"Not Found",0)</f>
        <v>1923</v>
      </c>
      <c r="R808" s="19">
        <f>tblMaster[[#This Row],[Price]]*tblMaster[[#This Row],[Quantity]]</f>
        <v>7692</v>
      </c>
      <c r="S808" s="19">
        <f>tblMaster[[#This Row],[Price]]*0.7*tblMaster[[#This Row],[Quantity]]</f>
        <v>5384.4</v>
      </c>
      <c r="T808" s="19">
        <f>tblMaster[[#This Row],[Revenue]]-tblMaster[[#This Row],[Estimated Cost (at 70%) ]]</f>
        <v>2307.6000000000004</v>
      </c>
      <c r="U808" s="19">
        <f>tblMaster[[#This Row],[Profit]]/tblMaster[[#This Row],[Revenue]]</f>
        <v>0.30000000000000004</v>
      </c>
      <c r="V808" s="19">
        <f>tblMaster[[#This Row],[Delivery_Date]]-tblMaster[[#This Row],[Order_Date]]</f>
        <v>10</v>
      </c>
      <c r="W808" s="19" t="str">
        <f>TEXT(tblMaster[[#This Row],[Order_Date]],"mmmm")</f>
        <v>November</v>
      </c>
      <c r="X808" s="19">
        <f>MONTH(tblMaster[[#This Row],[Order_Date]])</f>
        <v>11</v>
      </c>
      <c r="Y808" s="19" t="str">
        <f>"Q"&amp;ROUNDUP(tblMaster[[#This Row],[Month Number]]/3,0)</f>
        <v>Q4</v>
      </c>
      <c r="Z808" s="19">
        <f>YEAR(tblMaster[[#This Row],[Order_Date]])</f>
        <v>2023</v>
      </c>
      <c r="AA808" s="19" t="str">
        <f>TEXT(DAY(tblMaster[[#This Row],[Order_Date]]),"dddd")</f>
        <v>Sunday</v>
      </c>
      <c r="AB808" s="19" t="str">
        <f>IF(tblMaster[[#This Row],[Revenue]]&gt;=5000,"High",IF(tblMaster[[#This Row],[Revenue]]&lt;2000,"Low","Medium"))</f>
        <v>High</v>
      </c>
    </row>
    <row r="809" spans="1:28" x14ac:dyDescent="0.25">
      <c r="A809" s="10">
        <v>808</v>
      </c>
      <c r="B809" s="10" t="s">
        <v>488</v>
      </c>
      <c r="C809" s="5">
        <v>9</v>
      </c>
      <c r="D809" s="5">
        <v>2</v>
      </c>
      <c r="E809" s="11">
        <v>45167</v>
      </c>
      <c r="F809" s="12">
        <v>0.65045138888888887</v>
      </c>
      <c r="G809" s="11">
        <v>45168</v>
      </c>
      <c r="H809" s="12">
        <v>0.42454861111111108</v>
      </c>
      <c r="I809" s="10" t="s">
        <v>389</v>
      </c>
      <c r="J809" s="10" t="s">
        <v>33</v>
      </c>
      <c r="K809" s="18" t="str">
        <f>_xlfn.XLOOKUP(tblMaster[[#This Row],[Customer_ID]],tblCustomers[Customer_ID],tblCustomers[City],"Not Found",0)</f>
        <v>Bulandshahr</v>
      </c>
      <c r="L809" s="18" t="str">
        <f>_xlfn.XLOOKUP(tblMaster[[#This Row],[Customer_ID]],tblCustomers[Customer_ID],tblCustomers[Name],"Not Found",0)</f>
        <v>Myra Edwin</v>
      </c>
      <c r="M809" s="18" t="str">
        <f>_xlfn.XLOOKUP(tblMaster[[#This Row],[Customer_ID]],tblCustomers[Customer_ID],tblCustomers[Gender],"Not Found",0)</f>
        <v>Female</v>
      </c>
      <c r="N809" s="18" t="str">
        <f>_xlfn.XLOOKUP(tblMaster[[#This Row],[Product_ID]],tblProducts[Product_ID],tblProducts[Product_Name],"Not Found",0)</f>
        <v>Aperiam Box</v>
      </c>
      <c r="O809" s="18" t="str">
        <f>_xlfn.XLOOKUP(tblMaster[[#This Row],[Product_ID]],tblProducts[Product_ID],tblProducts[Category],"Not Found",0)</f>
        <v>Colors</v>
      </c>
      <c r="P809" s="18" t="str">
        <f>_xlfn.XLOOKUP(tblMaster[[#This Row],[Product_ID]],tblProducts[Product_ID],tblProducts[Occasion],"Not Found",0)</f>
        <v>Raksha Bandhan</v>
      </c>
      <c r="Q809" s="18">
        <f>_xlfn.XLOOKUP(tblMaster[[#This Row],[Product_ID]],tblProducts[Product_ID],tblProducts[Price (INR)],"Not Found",0)</f>
        <v>1605</v>
      </c>
      <c r="R809" s="19">
        <f>tblMaster[[#This Row],[Price]]*tblMaster[[#This Row],[Quantity]]</f>
        <v>3210</v>
      </c>
      <c r="S809" s="19">
        <f>tblMaster[[#This Row],[Price]]*0.7*tblMaster[[#This Row],[Quantity]]</f>
        <v>2247</v>
      </c>
      <c r="T809" s="19">
        <f>tblMaster[[#This Row],[Revenue]]-tblMaster[[#This Row],[Estimated Cost (at 70%) ]]</f>
        <v>963</v>
      </c>
      <c r="U809" s="19">
        <f>tblMaster[[#This Row],[Profit]]/tblMaster[[#This Row],[Revenue]]</f>
        <v>0.3</v>
      </c>
      <c r="V809" s="19">
        <f>tblMaster[[#This Row],[Delivery_Date]]-tblMaster[[#This Row],[Order_Date]]</f>
        <v>1</v>
      </c>
      <c r="W809" s="19" t="str">
        <f>TEXT(tblMaster[[#This Row],[Order_Date]],"mmmm")</f>
        <v>August</v>
      </c>
      <c r="X809" s="19">
        <f>MONTH(tblMaster[[#This Row],[Order_Date]])</f>
        <v>8</v>
      </c>
      <c r="Y809" s="19" t="str">
        <f>"Q"&amp;ROUNDUP(tblMaster[[#This Row],[Month Number]]/3,0)</f>
        <v>Q3</v>
      </c>
      <c r="Z809" s="19">
        <f>YEAR(tblMaster[[#This Row],[Order_Date]])</f>
        <v>2023</v>
      </c>
      <c r="AA809" s="19" t="str">
        <f>TEXT(DAY(tblMaster[[#This Row],[Order_Date]]),"dddd")</f>
        <v>Sunday</v>
      </c>
      <c r="AB809" s="19" t="str">
        <f>IF(tblMaster[[#This Row],[Revenue]]&gt;=5000,"High",IF(tblMaster[[#This Row],[Revenue]]&lt;2000,"Low","Medium"))</f>
        <v>Medium</v>
      </c>
    </row>
    <row r="810" spans="1:28" x14ac:dyDescent="0.25">
      <c r="A810" s="7">
        <v>809</v>
      </c>
      <c r="B810" s="7" t="s">
        <v>285</v>
      </c>
      <c r="C810" s="4">
        <v>35</v>
      </c>
      <c r="D810" s="4">
        <v>1</v>
      </c>
      <c r="E810" s="8">
        <v>44992</v>
      </c>
      <c r="F810" s="9">
        <v>0.82693287037037033</v>
      </c>
      <c r="G810" s="8">
        <v>45002</v>
      </c>
      <c r="H810" s="9">
        <v>7.7476851851851852E-2</v>
      </c>
      <c r="I810" s="7" t="s">
        <v>207</v>
      </c>
      <c r="J810" s="7" t="s">
        <v>25</v>
      </c>
      <c r="K810" s="18" t="str">
        <f>_xlfn.XLOOKUP(tblMaster[[#This Row],[Customer_ID]],tblCustomers[Customer_ID],tblCustomers[City],"Not Found",0)</f>
        <v>Nagpur</v>
      </c>
      <c r="L810" s="18" t="str">
        <f>_xlfn.XLOOKUP(tblMaster[[#This Row],[Customer_ID]],tblCustomers[Customer_ID],tblCustomers[Name],"Not Found",0)</f>
        <v>Inaaya  Sarraf</v>
      </c>
      <c r="M810" s="18" t="str">
        <f>_xlfn.XLOOKUP(tblMaster[[#This Row],[Customer_ID]],tblCustomers[Customer_ID],tblCustomers[Gender],"Not Found",0)</f>
        <v>Male</v>
      </c>
      <c r="N810" s="18" t="str">
        <f>_xlfn.XLOOKUP(tblMaster[[#This Row],[Product_ID]],tblProducts[Product_ID],tblProducts[Product_Name],"Not Found",0)</f>
        <v>Nam Gift</v>
      </c>
      <c r="O810" s="18" t="str">
        <f>_xlfn.XLOOKUP(tblMaster[[#This Row],[Product_ID]],tblProducts[Product_ID],tblProducts[Category],"Not Found",0)</f>
        <v>Colors</v>
      </c>
      <c r="P810" s="18" t="str">
        <f>_xlfn.XLOOKUP(tblMaster[[#This Row],[Product_ID]],tblProducts[Product_ID],tblProducts[Occasion],"Not Found",0)</f>
        <v>Holi</v>
      </c>
      <c r="Q810" s="18">
        <f>_xlfn.XLOOKUP(tblMaster[[#This Row],[Product_ID]],tblProducts[Product_ID],tblProducts[Price (INR)],"Not Found",0)</f>
        <v>1865</v>
      </c>
      <c r="R810" s="19">
        <f>tblMaster[[#This Row],[Price]]*tblMaster[[#This Row],[Quantity]]</f>
        <v>1865</v>
      </c>
      <c r="S810" s="19">
        <f>tblMaster[[#This Row],[Price]]*0.7*tblMaster[[#This Row],[Quantity]]</f>
        <v>1305.5</v>
      </c>
      <c r="T810" s="19">
        <f>tblMaster[[#This Row],[Revenue]]-tblMaster[[#This Row],[Estimated Cost (at 70%) ]]</f>
        <v>559.5</v>
      </c>
      <c r="U810" s="19">
        <f>tblMaster[[#This Row],[Profit]]/tblMaster[[#This Row],[Revenue]]</f>
        <v>0.3</v>
      </c>
      <c r="V810" s="19">
        <f>tblMaster[[#This Row],[Delivery_Date]]-tblMaster[[#This Row],[Order_Date]]</f>
        <v>10</v>
      </c>
      <c r="W810" s="19" t="str">
        <f>TEXT(tblMaster[[#This Row],[Order_Date]],"mmmm")</f>
        <v>March</v>
      </c>
      <c r="X810" s="19">
        <f>MONTH(tblMaster[[#This Row],[Order_Date]])</f>
        <v>3</v>
      </c>
      <c r="Y810" s="19" t="str">
        <f>"Q"&amp;ROUNDUP(tblMaster[[#This Row],[Month Number]]/3,0)</f>
        <v>Q1</v>
      </c>
      <c r="Z810" s="19">
        <f>YEAR(tblMaster[[#This Row],[Order_Date]])</f>
        <v>2023</v>
      </c>
      <c r="AA810" s="19" t="str">
        <f>TEXT(DAY(tblMaster[[#This Row],[Order_Date]]),"dddd")</f>
        <v>Saturday</v>
      </c>
      <c r="AB810" s="19" t="str">
        <f>IF(tblMaster[[#This Row],[Revenue]]&gt;=5000,"High",IF(tblMaster[[#This Row],[Revenue]]&lt;2000,"Low","Medium"))</f>
        <v>Low</v>
      </c>
    </row>
    <row r="811" spans="1:28" x14ac:dyDescent="0.25">
      <c r="A811" s="10">
        <v>810</v>
      </c>
      <c r="B811" s="10" t="s">
        <v>242</v>
      </c>
      <c r="C811" s="5">
        <v>24</v>
      </c>
      <c r="D811" s="5">
        <v>3</v>
      </c>
      <c r="E811" s="11">
        <v>45275</v>
      </c>
      <c r="F811" s="12">
        <v>0.24807870370370369</v>
      </c>
      <c r="G811" s="11">
        <v>45277</v>
      </c>
      <c r="H811" s="12">
        <v>0.50407407407407412</v>
      </c>
      <c r="I811" s="10" t="s">
        <v>226</v>
      </c>
      <c r="J811" s="10" t="s">
        <v>36</v>
      </c>
      <c r="K811" s="18" t="str">
        <f>_xlfn.XLOOKUP(tblMaster[[#This Row],[Customer_ID]],tblCustomers[Customer_ID],tblCustomers[City],"Not Found",0)</f>
        <v>Kalyan-Dombivli</v>
      </c>
      <c r="L811" s="18" t="str">
        <f>_xlfn.XLOOKUP(tblMaster[[#This Row],[Customer_ID]],tblCustomers[Customer_ID],tblCustomers[Name],"Not Found",0)</f>
        <v>Nirvi Wagle</v>
      </c>
      <c r="M811" s="18" t="str">
        <f>_xlfn.XLOOKUP(tblMaster[[#This Row],[Customer_ID]],tblCustomers[Customer_ID],tblCustomers[Gender],"Not Found",0)</f>
        <v>Male</v>
      </c>
      <c r="N811" s="18" t="str">
        <f>_xlfn.XLOOKUP(tblMaster[[#This Row],[Product_ID]],tblProducts[Product_ID],tblProducts[Product_Name],"Not Found",0)</f>
        <v>Ad Box</v>
      </c>
      <c r="O811" s="18" t="str">
        <f>_xlfn.XLOOKUP(tblMaster[[#This Row],[Product_ID]],tblProducts[Product_ID],tblProducts[Category],"Not Found",0)</f>
        <v>Mugs</v>
      </c>
      <c r="P811" s="18" t="str">
        <f>_xlfn.XLOOKUP(tblMaster[[#This Row],[Product_ID]],tblProducts[Product_ID],tblProducts[Occasion],"Not Found",0)</f>
        <v>Birthday</v>
      </c>
      <c r="Q811" s="18">
        <f>_xlfn.XLOOKUP(tblMaster[[#This Row],[Product_ID]],tblProducts[Product_ID],tblProducts[Price (INR)],"Not Found",0)</f>
        <v>535</v>
      </c>
      <c r="R811" s="19">
        <f>tblMaster[[#This Row],[Price]]*tblMaster[[#This Row],[Quantity]]</f>
        <v>1605</v>
      </c>
      <c r="S811" s="19">
        <f>tblMaster[[#This Row],[Price]]*0.7*tblMaster[[#This Row],[Quantity]]</f>
        <v>1123.5</v>
      </c>
      <c r="T811" s="19">
        <f>tblMaster[[#This Row],[Revenue]]-tblMaster[[#This Row],[Estimated Cost (at 70%) ]]</f>
        <v>481.5</v>
      </c>
      <c r="U811" s="19">
        <f>tblMaster[[#This Row],[Profit]]/tblMaster[[#This Row],[Revenue]]</f>
        <v>0.3</v>
      </c>
      <c r="V811" s="19">
        <f>tblMaster[[#This Row],[Delivery_Date]]-tblMaster[[#This Row],[Order_Date]]</f>
        <v>2</v>
      </c>
      <c r="W811" s="19" t="str">
        <f>TEXT(tblMaster[[#This Row],[Order_Date]],"mmmm")</f>
        <v>December</v>
      </c>
      <c r="X811" s="19">
        <f>MONTH(tblMaster[[#This Row],[Order_Date]])</f>
        <v>12</v>
      </c>
      <c r="Y811" s="19" t="str">
        <f>"Q"&amp;ROUNDUP(tblMaster[[#This Row],[Month Number]]/3,0)</f>
        <v>Q4</v>
      </c>
      <c r="Z811" s="19">
        <f>YEAR(tblMaster[[#This Row],[Order_Date]])</f>
        <v>2023</v>
      </c>
      <c r="AA811" s="19" t="str">
        <f>TEXT(DAY(tblMaster[[#This Row],[Order_Date]]),"dddd")</f>
        <v>Sunday</v>
      </c>
      <c r="AB811" s="19" t="str">
        <f>IF(tblMaster[[#This Row],[Revenue]]&gt;=5000,"High",IF(tblMaster[[#This Row],[Revenue]]&lt;2000,"Low","Medium"))</f>
        <v>Low</v>
      </c>
    </row>
    <row r="812" spans="1:28" x14ac:dyDescent="0.25">
      <c r="A812" s="7">
        <v>811</v>
      </c>
      <c r="B812" s="7" t="s">
        <v>246</v>
      </c>
      <c r="C812" s="4">
        <v>14</v>
      </c>
      <c r="D812" s="4">
        <v>5</v>
      </c>
      <c r="E812" s="8">
        <v>45217</v>
      </c>
      <c r="F812" s="9">
        <v>0.50290509259259264</v>
      </c>
      <c r="G812" s="8">
        <v>45224</v>
      </c>
      <c r="H812" s="9">
        <v>0.91379629629629633</v>
      </c>
      <c r="I812" s="7" t="s">
        <v>462</v>
      </c>
      <c r="J812" s="7" t="s">
        <v>36</v>
      </c>
      <c r="K812" s="18" t="str">
        <f>_xlfn.XLOOKUP(tblMaster[[#This Row],[Customer_ID]],tblCustomers[Customer_ID],tblCustomers[City],"Not Found",0)</f>
        <v>Machilipatnam</v>
      </c>
      <c r="L812" s="18" t="str">
        <f>_xlfn.XLOOKUP(tblMaster[[#This Row],[Customer_ID]],tblCustomers[Customer_ID],tblCustomers[Name],"Not Found",0)</f>
        <v>Samaira Ganesh</v>
      </c>
      <c r="M812" s="18" t="str">
        <f>_xlfn.XLOOKUP(tblMaster[[#This Row],[Customer_ID]],tblCustomers[Customer_ID],tblCustomers[Gender],"Not Found",0)</f>
        <v>Male</v>
      </c>
      <c r="N812" s="18" t="str">
        <f>_xlfn.XLOOKUP(tblMaster[[#This Row],[Product_ID]],tblProducts[Product_ID],tblProducts[Product_Name],"Not Found",0)</f>
        <v>Deserunt Box</v>
      </c>
      <c r="O812" s="18" t="str">
        <f>_xlfn.XLOOKUP(tblMaster[[#This Row],[Product_ID]],tblProducts[Product_ID],tblProducts[Category],"Not Found",0)</f>
        <v>Colors</v>
      </c>
      <c r="P812" s="18" t="str">
        <f>_xlfn.XLOOKUP(tblMaster[[#This Row],[Product_ID]],tblProducts[Product_ID],tblProducts[Occasion],"Not Found",0)</f>
        <v>Birthday</v>
      </c>
      <c r="Q812" s="18">
        <f>_xlfn.XLOOKUP(tblMaster[[#This Row],[Product_ID]],tblProducts[Product_ID],tblProducts[Price (INR)],"Not Found",0)</f>
        <v>1915</v>
      </c>
      <c r="R812" s="19">
        <f>tblMaster[[#This Row],[Price]]*tblMaster[[#This Row],[Quantity]]</f>
        <v>9575</v>
      </c>
      <c r="S812" s="19">
        <f>tblMaster[[#This Row],[Price]]*0.7*tblMaster[[#This Row],[Quantity]]</f>
        <v>6702.5</v>
      </c>
      <c r="T812" s="19">
        <f>tblMaster[[#This Row],[Revenue]]-tblMaster[[#This Row],[Estimated Cost (at 70%) ]]</f>
        <v>2872.5</v>
      </c>
      <c r="U812" s="19">
        <f>tblMaster[[#This Row],[Profit]]/tblMaster[[#This Row],[Revenue]]</f>
        <v>0.3</v>
      </c>
      <c r="V812" s="19">
        <f>tblMaster[[#This Row],[Delivery_Date]]-tblMaster[[#This Row],[Order_Date]]</f>
        <v>7</v>
      </c>
      <c r="W812" s="19" t="str">
        <f>TEXT(tblMaster[[#This Row],[Order_Date]],"mmmm")</f>
        <v>October</v>
      </c>
      <c r="X812" s="19">
        <f>MONTH(tblMaster[[#This Row],[Order_Date]])</f>
        <v>10</v>
      </c>
      <c r="Y812" s="19" t="str">
        <f>"Q"&amp;ROUNDUP(tblMaster[[#This Row],[Month Number]]/3,0)</f>
        <v>Q4</v>
      </c>
      <c r="Z812" s="19">
        <f>YEAR(tblMaster[[#This Row],[Order_Date]])</f>
        <v>2023</v>
      </c>
      <c r="AA812" s="19" t="str">
        <f>TEXT(DAY(tblMaster[[#This Row],[Order_Date]]),"dddd")</f>
        <v>Wednesday</v>
      </c>
      <c r="AB812" s="19" t="str">
        <f>IF(tblMaster[[#This Row],[Revenue]]&gt;=5000,"High",IF(tblMaster[[#This Row],[Revenue]]&lt;2000,"Low","Medium"))</f>
        <v>High</v>
      </c>
    </row>
    <row r="813" spans="1:28" x14ac:dyDescent="0.25">
      <c r="A813" s="10">
        <v>812</v>
      </c>
      <c r="B813" s="10" t="s">
        <v>265</v>
      </c>
      <c r="C813" s="5">
        <v>40</v>
      </c>
      <c r="D813" s="5">
        <v>2</v>
      </c>
      <c r="E813" s="11">
        <v>45272</v>
      </c>
      <c r="F813" s="12">
        <v>0.72209490740740745</v>
      </c>
      <c r="G813" s="11">
        <v>45274</v>
      </c>
      <c r="H813" s="12">
        <v>6.1481481481481484E-2</v>
      </c>
      <c r="I813" s="10" t="s">
        <v>478</v>
      </c>
      <c r="J813" s="10" t="s">
        <v>30</v>
      </c>
      <c r="K813" s="18" t="str">
        <f>_xlfn.XLOOKUP(tblMaster[[#This Row],[Customer_ID]],tblCustomers[Customer_ID],tblCustomers[City],"Not Found",0)</f>
        <v>Guntakal</v>
      </c>
      <c r="L813" s="18" t="str">
        <f>_xlfn.XLOOKUP(tblMaster[[#This Row],[Customer_ID]],tblCustomers[Customer_ID],tblCustomers[Name],"Not Found",0)</f>
        <v>Charvi Kanda</v>
      </c>
      <c r="M813" s="18" t="str">
        <f>_xlfn.XLOOKUP(tblMaster[[#This Row],[Customer_ID]],tblCustomers[Customer_ID],tblCustomers[Gender],"Not Found",0)</f>
        <v>Male</v>
      </c>
      <c r="N813" s="18" t="str">
        <f>_xlfn.XLOOKUP(tblMaster[[#This Row],[Product_ID]],tblProducts[Product_ID],tblProducts[Product_Name],"Not Found",0)</f>
        <v>Provident Pack</v>
      </c>
      <c r="O813" s="18" t="str">
        <f>_xlfn.XLOOKUP(tblMaster[[#This Row],[Product_ID]],tblProducts[Product_ID],tblProducts[Category],"Not Found",0)</f>
        <v>Sweets</v>
      </c>
      <c r="P813" s="18" t="str">
        <f>_xlfn.XLOOKUP(tblMaster[[#This Row],[Product_ID]],tblProducts[Product_ID],tblProducts[Occasion],"Not Found",0)</f>
        <v>Anniversary</v>
      </c>
      <c r="Q813" s="18">
        <f>_xlfn.XLOOKUP(tblMaster[[#This Row],[Product_ID]],tblProducts[Product_ID],tblProducts[Price (INR)],"Not Found",0)</f>
        <v>1923</v>
      </c>
      <c r="R813" s="19">
        <f>tblMaster[[#This Row],[Price]]*tblMaster[[#This Row],[Quantity]]</f>
        <v>3846</v>
      </c>
      <c r="S813" s="19">
        <f>tblMaster[[#This Row],[Price]]*0.7*tblMaster[[#This Row],[Quantity]]</f>
        <v>2692.2</v>
      </c>
      <c r="T813" s="19">
        <f>tblMaster[[#This Row],[Revenue]]-tblMaster[[#This Row],[Estimated Cost (at 70%) ]]</f>
        <v>1153.8000000000002</v>
      </c>
      <c r="U813" s="19">
        <f>tblMaster[[#This Row],[Profit]]/tblMaster[[#This Row],[Revenue]]</f>
        <v>0.30000000000000004</v>
      </c>
      <c r="V813" s="19">
        <f>tblMaster[[#This Row],[Delivery_Date]]-tblMaster[[#This Row],[Order_Date]]</f>
        <v>2</v>
      </c>
      <c r="W813" s="19" t="str">
        <f>TEXT(tblMaster[[#This Row],[Order_Date]],"mmmm")</f>
        <v>December</v>
      </c>
      <c r="X813" s="19">
        <f>MONTH(tblMaster[[#This Row],[Order_Date]])</f>
        <v>12</v>
      </c>
      <c r="Y813" s="19" t="str">
        <f>"Q"&amp;ROUNDUP(tblMaster[[#This Row],[Month Number]]/3,0)</f>
        <v>Q4</v>
      </c>
      <c r="Z813" s="19">
        <f>YEAR(tblMaster[[#This Row],[Order_Date]])</f>
        <v>2023</v>
      </c>
      <c r="AA813" s="19" t="str">
        <f>TEXT(DAY(tblMaster[[#This Row],[Order_Date]]),"dddd")</f>
        <v>Thursday</v>
      </c>
      <c r="AB813" s="19" t="str">
        <f>IF(tblMaster[[#This Row],[Revenue]]&gt;=5000,"High",IF(tblMaster[[#This Row],[Revenue]]&lt;2000,"Low","Medium"))</f>
        <v>Medium</v>
      </c>
    </row>
    <row r="814" spans="1:28" x14ac:dyDescent="0.25">
      <c r="A814" s="7">
        <v>813</v>
      </c>
      <c r="B814" s="7" t="s">
        <v>365</v>
      </c>
      <c r="C814" s="4">
        <v>32</v>
      </c>
      <c r="D814" s="4">
        <v>4</v>
      </c>
      <c r="E814" s="8">
        <v>44945</v>
      </c>
      <c r="F814" s="9">
        <v>0.37063657407407408</v>
      </c>
      <c r="G814" s="8">
        <v>44949</v>
      </c>
      <c r="H814" s="9">
        <v>0.91737268518518522</v>
      </c>
      <c r="I814" s="7" t="s">
        <v>559</v>
      </c>
      <c r="J814" s="7" t="s">
        <v>36</v>
      </c>
      <c r="K814" s="18" t="str">
        <f>_xlfn.XLOOKUP(tblMaster[[#This Row],[Customer_ID]],tblCustomers[Customer_ID],tblCustomers[City],"Not Found",0)</f>
        <v>Deoghar</v>
      </c>
      <c r="L814" s="18" t="str">
        <f>_xlfn.XLOOKUP(tblMaster[[#This Row],[Customer_ID]],tblCustomers[Customer_ID],tblCustomers[Name],"Not Found",0)</f>
        <v>Raghav Babu</v>
      </c>
      <c r="M814" s="18" t="str">
        <f>_xlfn.XLOOKUP(tblMaster[[#This Row],[Customer_ID]],tblCustomers[Customer_ID],tblCustomers[Gender],"Not Found",0)</f>
        <v>Female</v>
      </c>
      <c r="N814" s="18" t="str">
        <f>_xlfn.XLOOKUP(tblMaster[[#This Row],[Product_ID]],tblProducts[Product_ID],tblProducts[Product_Name],"Not Found",0)</f>
        <v>Fuga Set</v>
      </c>
      <c r="O814" s="18" t="str">
        <f>_xlfn.XLOOKUP(tblMaster[[#This Row],[Product_ID]],tblProducts[Product_ID],tblProducts[Category],"Not Found",0)</f>
        <v>Soft Toys</v>
      </c>
      <c r="P814" s="18" t="str">
        <f>_xlfn.XLOOKUP(tblMaster[[#This Row],[Product_ID]],tblProducts[Product_ID],tblProducts[Occasion],"Not Found",0)</f>
        <v>Birthday</v>
      </c>
      <c r="Q814" s="18">
        <f>_xlfn.XLOOKUP(tblMaster[[#This Row],[Product_ID]],tblProducts[Product_ID],tblProducts[Price (INR)],"Not Found",0)</f>
        <v>1792</v>
      </c>
      <c r="R814" s="19">
        <f>tblMaster[[#This Row],[Price]]*tblMaster[[#This Row],[Quantity]]</f>
        <v>7168</v>
      </c>
      <c r="S814" s="19">
        <f>tblMaster[[#This Row],[Price]]*0.7*tblMaster[[#This Row],[Quantity]]</f>
        <v>5017.5999999999995</v>
      </c>
      <c r="T814" s="19">
        <f>tblMaster[[#This Row],[Revenue]]-tblMaster[[#This Row],[Estimated Cost (at 70%) ]]</f>
        <v>2150.4000000000005</v>
      </c>
      <c r="U814" s="19">
        <f>tblMaster[[#This Row],[Profit]]/tblMaster[[#This Row],[Revenue]]</f>
        <v>0.3000000000000001</v>
      </c>
      <c r="V814" s="19">
        <f>tblMaster[[#This Row],[Delivery_Date]]-tblMaster[[#This Row],[Order_Date]]</f>
        <v>4</v>
      </c>
      <c r="W814" s="19" t="str">
        <f>TEXT(tblMaster[[#This Row],[Order_Date]],"mmmm")</f>
        <v>January</v>
      </c>
      <c r="X814" s="19">
        <f>MONTH(tblMaster[[#This Row],[Order_Date]])</f>
        <v>1</v>
      </c>
      <c r="Y814" s="19" t="str">
        <f>"Q"&amp;ROUNDUP(tblMaster[[#This Row],[Month Number]]/3,0)</f>
        <v>Q1</v>
      </c>
      <c r="Z814" s="19">
        <f>YEAR(tblMaster[[#This Row],[Order_Date]])</f>
        <v>2023</v>
      </c>
      <c r="AA814" s="19" t="str">
        <f>TEXT(DAY(tblMaster[[#This Row],[Order_Date]]),"dddd")</f>
        <v>Thursday</v>
      </c>
      <c r="AB814" s="19" t="str">
        <f>IF(tblMaster[[#This Row],[Revenue]]&gt;=5000,"High",IF(tblMaster[[#This Row],[Revenue]]&lt;2000,"Low","Medium"))</f>
        <v>High</v>
      </c>
    </row>
    <row r="815" spans="1:28" x14ac:dyDescent="0.25">
      <c r="A815" s="10">
        <v>814</v>
      </c>
      <c r="B815" s="10" t="s">
        <v>365</v>
      </c>
      <c r="C815" s="5">
        <v>47</v>
      </c>
      <c r="D815" s="5">
        <v>5</v>
      </c>
      <c r="E815" s="11">
        <v>44990</v>
      </c>
      <c r="F815" s="12">
        <v>8.2870370370370372E-2</v>
      </c>
      <c r="G815" s="11">
        <v>44999</v>
      </c>
      <c r="H815" s="12">
        <v>0.19532407407407407</v>
      </c>
      <c r="I815" s="10" t="s">
        <v>356</v>
      </c>
      <c r="J815" s="10" t="s">
        <v>25</v>
      </c>
      <c r="K815" s="18" t="str">
        <f>_xlfn.XLOOKUP(tblMaster[[#This Row],[Customer_ID]],tblCustomers[Customer_ID],tblCustomers[City],"Not Found",0)</f>
        <v>Deoghar</v>
      </c>
      <c r="L815" s="18" t="str">
        <f>_xlfn.XLOOKUP(tblMaster[[#This Row],[Customer_ID]],tblCustomers[Customer_ID],tblCustomers[Name],"Not Found",0)</f>
        <v>Raghav Babu</v>
      </c>
      <c r="M815" s="18" t="str">
        <f>_xlfn.XLOOKUP(tblMaster[[#This Row],[Customer_ID]],tblCustomers[Customer_ID],tblCustomers[Gender],"Not Found",0)</f>
        <v>Female</v>
      </c>
      <c r="N815" s="18" t="str">
        <f>_xlfn.XLOOKUP(tblMaster[[#This Row],[Product_ID]],tblProducts[Product_ID],tblProducts[Product_Name],"Not Found",0)</f>
        <v>Harum Pack</v>
      </c>
      <c r="O815" s="18" t="str">
        <f>_xlfn.XLOOKUP(tblMaster[[#This Row],[Product_ID]],tblProducts[Product_ID],tblProducts[Category],"Not Found",0)</f>
        <v>Colors</v>
      </c>
      <c r="P815" s="18" t="str">
        <f>_xlfn.XLOOKUP(tblMaster[[#This Row],[Product_ID]],tblProducts[Product_ID],tblProducts[Occasion],"Not Found",0)</f>
        <v>Holi</v>
      </c>
      <c r="Q815" s="18">
        <f>_xlfn.XLOOKUP(tblMaster[[#This Row],[Product_ID]],tblProducts[Product_ID],tblProducts[Price (INR)],"Not Found",0)</f>
        <v>1638</v>
      </c>
      <c r="R815" s="19">
        <f>tblMaster[[#This Row],[Price]]*tblMaster[[#This Row],[Quantity]]</f>
        <v>8190</v>
      </c>
      <c r="S815" s="19">
        <f>tblMaster[[#This Row],[Price]]*0.7*tblMaster[[#This Row],[Quantity]]</f>
        <v>5733</v>
      </c>
      <c r="T815" s="19">
        <f>tblMaster[[#This Row],[Revenue]]-tblMaster[[#This Row],[Estimated Cost (at 70%) ]]</f>
        <v>2457</v>
      </c>
      <c r="U815" s="19">
        <f>tblMaster[[#This Row],[Profit]]/tblMaster[[#This Row],[Revenue]]</f>
        <v>0.3</v>
      </c>
      <c r="V815" s="19">
        <f>tblMaster[[#This Row],[Delivery_Date]]-tblMaster[[#This Row],[Order_Date]]</f>
        <v>9</v>
      </c>
      <c r="W815" s="19" t="str">
        <f>TEXT(tblMaster[[#This Row],[Order_Date]],"mmmm")</f>
        <v>March</v>
      </c>
      <c r="X815" s="19">
        <f>MONTH(tblMaster[[#This Row],[Order_Date]])</f>
        <v>3</v>
      </c>
      <c r="Y815" s="19" t="str">
        <f>"Q"&amp;ROUNDUP(tblMaster[[#This Row],[Month Number]]/3,0)</f>
        <v>Q1</v>
      </c>
      <c r="Z815" s="19">
        <f>YEAR(tblMaster[[#This Row],[Order_Date]])</f>
        <v>2023</v>
      </c>
      <c r="AA815" s="19" t="str">
        <f>TEXT(DAY(tblMaster[[#This Row],[Order_Date]]),"dddd")</f>
        <v>Thursday</v>
      </c>
      <c r="AB815" s="19" t="str">
        <f>IF(tblMaster[[#This Row],[Revenue]]&gt;=5000,"High",IF(tblMaster[[#This Row],[Revenue]]&lt;2000,"Low","Medium"))</f>
        <v>High</v>
      </c>
    </row>
    <row r="816" spans="1:28" x14ac:dyDescent="0.25">
      <c r="A816" s="7">
        <v>815</v>
      </c>
      <c r="B816" s="7" t="s">
        <v>413</v>
      </c>
      <c r="C816" s="4">
        <v>61</v>
      </c>
      <c r="D816" s="4">
        <v>3</v>
      </c>
      <c r="E816" s="8">
        <v>45198</v>
      </c>
      <c r="F816" s="9">
        <v>0.29737268518518517</v>
      </c>
      <c r="G816" s="8">
        <v>45207</v>
      </c>
      <c r="H816" s="9">
        <v>0.61548611111111107</v>
      </c>
      <c r="I816" s="7" t="s">
        <v>414</v>
      </c>
      <c r="J816" s="7" t="s">
        <v>30</v>
      </c>
      <c r="K816" s="18" t="str">
        <f>_xlfn.XLOOKUP(tblMaster[[#This Row],[Customer_ID]],tblCustomers[Customer_ID],tblCustomers[City],"Not Found",0)</f>
        <v>Cuttack</v>
      </c>
      <c r="L816" s="18" t="str">
        <f>_xlfn.XLOOKUP(tblMaster[[#This Row],[Customer_ID]],tblCustomers[Customer_ID],tblCustomers[Name],"Not Found",0)</f>
        <v>Navya Golla</v>
      </c>
      <c r="M816" s="18" t="str">
        <f>_xlfn.XLOOKUP(tblMaster[[#This Row],[Customer_ID]],tblCustomers[Customer_ID],tblCustomers[Gender],"Not Found",0)</f>
        <v>Male</v>
      </c>
      <c r="N816" s="18" t="str">
        <f>_xlfn.XLOOKUP(tblMaster[[#This Row],[Product_ID]],tblProducts[Product_ID],tblProducts[Product_Name],"Not Found",0)</f>
        <v>Iusto Box</v>
      </c>
      <c r="O816" s="18" t="str">
        <f>_xlfn.XLOOKUP(tblMaster[[#This Row],[Product_ID]],tblProducts[Product_ID],tblProducts[Category],"Not Found",0)</f>
        <v>Plants</v>
      </c>
      <c r="P816" s="18" t="str">
        <f>_xlfn.XLOOKUP(tblMaster[[#This Row],[Product_ID]],tblProducts[Product_ID],tblProducts[Occasion],"Not Found",0)</f>
        <v>Anniversary</v>
      </c>
      <c r="Q816" s="18">
        <f>_xlfn.XLOOKUP(tblMaster[[#This Row],[Product_ID]],tblProducts[Product_ID],tblProducts[Price (INR)],"Not Found",0)</f>
        <v>810</v>
      </c>
      <c r="R816" s="19">
        <f>tblMaster[[#This Row],[Price]]*tblMaster[[#This Row],[Quantity]]</f>
        <v>2430</v>
      </c>
      <c r="S816" s="19">
        <f>tblMaster[[#This Row],[Price]]*0.7*tblMaster[[#This Row],[Quantity]]</f>
        <v>1701</v>
      </c>
      <c r="T816" s="19">
        <f>tblMaster[[#This Row],[Revenue]]-tblMaster[[#This Row],[Estimated Cost (at 70%) ]]</f>
        <v>729</v>
      </c>
      <c r="U816" s="19">
        <f>tblMaster[[#This Row],[Profit]]/tblMaster[[#This Row],[Revenue]]</f>
        <v>0.3</v>
      </c>
      <c r="V816" s="19">
        <f>tblMaster[[#This Row],[Delivery_Date]]-tblMaster[[#This Row],[Order_Date]]</f>
        <v>9</v>
      </c>
      <c r="W816" s="19" t="str">
        <f>TEXT(tblMaster[[#This Row],[Order_Date]],"mmmm")</f>
        <v>September</v>
      </c>
      <c r="X816" s="19">
        <f>MONTH(tblMaster[[#This Row],[Order_Date]])</f>
        <v>9</v>
      </c>
      <c r="Y816" s="19" t="str">
        <f>"Q"&amp;ROUNDUP(tblMaster[[#This Row],[Month Number]]/3,0)</f>
        <v>Q3</v>
      </c>
      <c r="Z816" s="19">
        <f>YEAR(tblMaster[[#This Row],[Order_Date]])</f>
        <v>2023</v>
      </c>
      <c r="AA816" s="19" t="str">
        <f>TEXT(DAY(tblMaster[[#This Row],[Order_Date]]),"dddd")</f>
        <v>Sunday</v>
      </c>
      <c r="AB816" s="19" t="str">
        <f>IF(tblMaster[[#This Row],[Revenue]]&gt;=5000,"High",IF(tblMaster[[#This Row],[Revenue]]&lt;2000,"Low","Medium"))</f>
        <v>Medium</v>
      </c>
    </row>
    <row r="817" spans="1:28" x14ac:dyDescent="0.25">
      <c r="A817" s="10">
        <v>816</v>
      </c>
      <c r="B817" s="10" t="s">
        <v>190</v>
      </c>
      <c r="C817" s="5">
        <v>35</v>
      </c>
      <c r="D817" s="5">
        <v>3</v>
      </c>
      <c r="E817" s="11">
        <v>44985</v>
      </c>
      <c r="F817" s="12">
        <v>0.82251157407407405</v>
      </c>
      <c r="G817" s="11">
        <v>44995</v>
      </c>
      <c r="H817" s="12">
        <v>0.57056712962962963</v>
      </c>
      <c r="I817" s="10" t="s">
        <v>374</v>
      </c>
      <c r="J817" s="10" t="s">
        <v>25</v>
      </c>
      <c r="K817" s="18" t="str">
        <f>_xlfn.XLOOKUP(tblMaster[[#This Row],[Customer_ID]],tblCustomers[Customer_ID],tblCustomers[City],"Not Found",0)</f>
        <v>Ajmer</v>
      </c>
      <c r="L817" s="18" t="str">
        <f>_xlfn.XLOOKUP(tblMaster[[#This Row],[Customer_ID]],tblCustomers[Customer_ID],tblCustomers[Name],"Not Found",0)</f>
        <v>Eshani Sharma</v>
      </c>
      <c r="M817" s="18" t="str">
        <f>_xlfn.XLOOKUP(tblMaster[[#This Row],[Customer_ID]],tblCustomers[Customer_ID],tblCustomers[Gender],"Not Found",0)</f>
        <v>Male</v>
      </c>
      <c r="N817" s="18" t="str">
        <f>_xlfn.XLOOKUP(tblMaster[[#This Row],[Product_ID]],tblProducts[Product_ID],tblProducts[Product_Name],"Not Found",0)</f>
        <v>Nam Gift</v>
      </c>
      <c r="O817" s="18" t="str">
        <f>_xlfn.XLOOKUP(tblMaster[[#This Row],[Product_ID]],tblProducts[Product_ID],tblProducts[Category],"Not Found",0)</f>
        <v>Colors</v>
      </c>
      <c r="P817" s="18" t="str">
        <f>_xlfn.XLOOKUP(tblMaster[[#This Row],[Product_ID]],tblProducts[Product_ID],tblProducts[Occasion],"Not Found",0)</f>
        <v>Holi</v>
      </c>
      <c r="Q817" s="18">
        <f>_xlfn.XLOOKUP(tblMaster[[#This Row],[Product_ID]],tblProducts[Product_ID],tblProducts[Price (INR)],"Not Found",0)</f>
        <v>1865</v>
      </c>
      <c r="R817" s="19">
        <f>tblMaster[[#This Row],[Price]]*tblMaster[[#This Row],[Quantity]]</f>
        <v>5595</v>
      </c>
      <c r="S817" s="19">
        <f>tblMaster[[#This Row],[Price]]*0.7*tblMaster[[#This Row],[Quantity]]</f>
        <v>3916.5</v>
      </c>
      <c r="T817" s="19">
        <f>tblMaster[[#This Row],[Revenue]]-tblMaster[[#This Row],[Estimated Cost (at 70%) ]]</f>
        <v>1678.5</v>
      </c>
      <c r="U817" s="19">
        <f>tblMaster[[#This Row],[Profit]]/tblMaster[[#This Row],[Revenue]]</f>
        <v>0.3</v>
      </c>
      <c r="V817" s="19">
        <f>tblMaster[[#This Row],[Delivery_Date]]-tblMaster[[#This Row],[Order_Date]]</f>
        <v>10</v>
      </c>
      <c r="W817" s="19" t="str">
        <f>TEXT(tblMaster[[#This Row],[Order_Date]],"mmmm")</f>
        <v>February</v>
      </c>
      <c r="X817" s="19">
        <f>MONTH(tblMaster[[#This Row],[Order_Date]])</f>
        <v>2</v>
      </c>
      <c r="Y817" s="19" t="str">
        <f>"Q"&amp;ROUNDUP(tblMaster[[#This Row],[Month Number]]/3,0)</f>
        <v>Q1</v>
      </c>
      <c r="Z817" s="19">
        <f>YEAR(tblMaster[[#This Row],[Order_Date]])</f>
        <v>2023</v>
      </c>
      <c r="AA817" s="19" t="str">
        <f>TEXT(DAY(tblMaster[[#This Row],[Order_Date]]),"dddd")</f>
        <v>Saturday</v>
      </c>
      <c r="AB817" s="19" t="str">
        <f>IF(tblMaster[[#This Row],[Revenue]]&gt;=5000,"High",IF(tblMaster[[#This Row],[Revenue]]&lt;2000,"Low","Medium"))</f>
        <v>High</v>
      </c>
    </row>
    <row r="818" spans="1:28" x14ac:dyDescent="0.25">
      <c r="A818" s="7">
        <v>817</v>
      </c>
      <c r="B818" s="7" t="s">
        <v>232</v>
      </c>
      <c r="C818" s="4">
        <v>21</v>
      </c>
      <c r="D818" s="4">
        <v>2</v>
      </c>
      <c r="E818" s="8">
        <v>45166</v>
      </c>
      <c r="F818" s="9">
        <v>0.23402777777777778</v>
      </c>
      <c r="G818" s="8">
        <v>45170</v>
      </c>
      <c r="H818" s="9">
        <v>0.92017361111111107</v>
      </c>
      <c r="I818" s="7" t="s">
        <v>416</v>
      </c>
      <c r="J818" s="7" t="s">
        <v>33</v>
      </c>
      <c r="K818" s="18" t="str">
        <f>_xlfn.XLOOKUP(tblMaster[[#This Row],[Customer_ID]],tblCustomers[Customer_ID],tblCustomers[City],"Not Found",0)</f>
        <v>Malegaon</v>
      </c>
      <c r="L818" s="18" t="str">
        <f>_xlfn.XLOOKUP(tblMaster[[#This Row],[Customer_ID]],tblCustomers[Customer_ID],tblCustomers[Name],"Not Found",0)</f>
        <v>Eshani Buch</v>
      </c>
      <c r="M818" s="18" t="str">
        <f>_xlfn.XLOOKUP(tblMaster[[#This Row],[Customer_ID]],tblCustomers[Customer_ID],tblCustomers[Gender],"Not Found",0)</f>
        <v>Female</v>
      </c>
      <c r="N818" s="18" t="str">
        <f>_xlfn.XLOOKUP(tblMaster[[#This Row],[Product_ID]],tblProducts[Product_ID],tblProducts[Product_Name],"Not Found",0)</f>
        <v>Quia Gift</v>
      </c>
      <c r="O818" s="18" t="str">
        <f>_xlfn.XLOOKUP(tblMaster[[#This Row],[Product_ID]],tblProducts[Product_ID],tblProducts[Category],"Not Found",0)</f>
        <v>Colors</v>
      </c>
      <c r="P818" s="18" t="str">
        <f>_xlfn.XLOOKUP(tblMaster[[#This Row],[Product_ID]],tblProducts[Product_ID],tblProducts[Occasion],"Not Found",0)</f>
        <v>Raksha Bandhan</v>
      </c>
      <c r="Q818" s="18">
        <f>_xlfn.XLOOKUP(tblMaster[[#This Row],[Product_ID]],tblProducts[Product_ID],tblProducts[Price (INR)],"Not Found",0)</f>
        <v>1561</v>
      </c>
      <c r="R818" s="19">
        <f>tblMaster[[#This Row],[Price]]*tblMaster[[#This Row],[Quantity]]</f>
        <v>3122</v>
      </c>
      <c r="S818" s="19">
        <f>tblMaster[[#This Row],[Price]]*0.7*tblMaster[[#This Row],[Quantity]]</f>
        <v>2185.3999999999996</v>
      </c>
      <c r="T818" s="19">
        <f>tblMaster[[#This Row],[Revenue]]-tblMaster[[#This Row],[Estimated Cost (at 70%) ]]</f>
        <v>936.60000000000036</v>
      </c>
      <c r="U818" s="19">
        <f>tblMaster[[#This Row],[Profit]]/tblMaster[[#This Row],[Revenue]]</f>
        <v>0.3000000000000001</v>
      </c>
      <c r="V818" s="19">
        <f>tblMaster[[#This Row],[Delivery_Date]]-tblMaster[[#This Row],[Order_Date]]</f>
        <v>4</v>
      </c>
      <c r="W818" s="19" t="str">
        <f>TEXT(tblMaster[[#This Row],[Order_Date]],"mmmm")</f>
        <v>August</v>
      </c>
      <c r="X818" s="19">
        <f>MONTH(tblMaster[[#This Row],[Order_Date]])</f>
        <v>8</v>
      </c>
      <c r="Y818" s="19" t="str">
        <f>"Q"&amp;ROUNDUP(tblMaster[[#This Row],[Month Number]]/3,0)</f>
        <v>Q3</v>
      </c>
      <c r="Z818" s="19">
        <f>YEAR(tblMaster[[#This Row],[Order_Date]])</f>
        <v>2023</v>
      </c>
      <c r="AA818" s="19" t="str">
        <f>TEXT(DAY(tblMaster[[#This Row],[Order_Date]]),"dddd")</f>
        <v>Saturday</v>
      </c>
      <c r="AB818" s="19" t="str">
        <f>IF(tblMaster[[#This Row],[Revenue]]&gt;=5000,"High",IF(tblMaster[[#This Row],[Revenue]]&lt;2000,"Low","Medium"))</f>
        <v>Medium</v>
      </c>
    </row>
    <row r="819" spans="1:28" x14ac:dyDescent="0.25">
      <c r="A819" s="10">
        <v>818</v>
      </c>
      <c r="B819" s="10" t="s">
        <v>400</v>
      </c>
      <c r="C819" s="5">
        <v>8</v>
      </c>
      <c r="D819" s="5">
        <v>4</v>
      </c>
      <c r="E819" s="11">
        <v>44987</v>
      </c>
      <c r="F819" s="12">
        <v>0.32715277777777779</v>
      </c>
      <c r="G819" s="11">
        <v>44994</v>
      </c>
      <c r="H819" s="12">
        <v>0.38033564814814813</v>
      </c>
      <c r="I819" s="10" t="s">
        <v>275</v>
      </c>
      <c r="J819" s="10" t="s">
        <v>30</v>
      </c>
      <c r="K819" s="18" t="str">
        <f>_xlfn.XLOOKUP(tblMaster[[#This Row],[Customer_ID]],tblCustomers[Customer_ID],tblCustomers[City],"Not Found",0)</f>
        <v>Miryalaguda</v>
      </c>
      <c r="L819" s="18" t="str">
        <f>_xlfn.XLOOKUP(tblMaster[[#This Row],[Customer_ID]],tblCustomers[Customer_ID],tblCustomers[Name],"Not Found",0)</f>
        <v>Tarini Bava</v>
      </c>
      <c r="M819" s="18" t="str">
        <f>_xlfn.XLOOKUP(tblMaster[[#This Row],[Customer_ID]],tblCustomers[Customer_ID],tblCustomers[Gender],"Not Found",0)</f>
        <v>Male</v>
      </c>
      <c r="N819" s="18" t="str">
        <f>_xlfn.XLOOKUP(tblMaster[[#This Row],[Product_ID]],tblProducts[Product_ID],tblProducts[Product_Name],"Not Found",0)</f>
        <v>Qui Box</v>
      </c>
      <c r="O819" s="18" t="str">
        <f>_xlfn.XLOOKUP(tblMaster[[#This Row],[Product_ID]],tblProducts[Product_ID],tblProducts[Category],"Not Found",0)</f>
        <v>Sweets</v>
      </c>
      <c r="P819" s="18" t="str">
        <f>_xlfn.XLOOKUP(tblMaster[[#This Row],[Product_ID]],tblProducts[Product_ID],tblProducts[Occasion],"Not Found",0)</f>
        <v>Anniversary</v>
      </c>
      <c r="Q819" s="18">
        <f>_xlfn.XLOOKUP(tblMaster[[#This Row],[Product_ID]],tblProducts[Product_ID],tblProducts[Price (INR)],"Not Found",0)</f>
        <v>252</v>
      </c>
      <c r="R819" s="19">
        <f>tblMaster[[#This Row],[Price]]*tblMaster[[#This Row],[Quantity]]</f>
        <v>1008</v>
      </c>
      <c r="S819" s="19">
        <f>tblMaster[[#This Row],[Price]]*0.7*tblMaster[[#This Row],[Quantity]]</f>
        <v>705.59999999999991</v>
      </c>
      <c r="T819" s="19">
        <f>tblMaster[[#This Row],[Revenue]]-tblMaster[[#This Row],[Estimated Cost (at 70%) ]]</f>
        <v>302.40000000000009</v>
      </c>
      <c r="U819" s="19">
        <f>tblMaster[[#This Row],[Profit]]/tblMaster[[#This Row],[Revenue]]</f>
        <v>0.3000000000000001</v>
      </c>
      <c r="V819" s="19">
        <f>tblMaster[[#This Row],[Delivery_Date]]-tblMaster[[#This Row],[Order_Date]]</f>
        <v>7</v>
      </c>
      <c r="W819" s="19" t="str">
        <f>TEXT(tblMaster[[#This Row],[Order_Date]],"mmmm")</f>
        <v>March</v>
      </c>
      <c r="X819" s="19">
        <f>MONTH(tblMaster[[#This Row],[Order_Date]])</f>
        <v>3</v>
      </c>
      <c r="Y819" s="19" t="str">
        <f>"Q"&amp;ROUNDUP(tblMaster[[#This Row],[Month Number]]/3,0)</f>
        <v>Q1</v>
      </c>
      <c r="Z819" s="19">
        <f>YEAR(tblMaster[[#This Row],[Order_Date]])</f>
        <v>2023</v>
      </c>
      <c r="AA819" s="19" t="str">
        <f>TEXT(DAY(tblMaster[[#This Row],[Order_Date]]),"dddd")</f>
        <v>Monday</v>
      </c>
      <c r="AB819" s="19" t="str">
        <f>IF(tblMaster[[#This Row],[Revenue]]&gt;=5000,"High",IF(tblMaster[[#This Row],[Revenue]]&lt;2000,"Low","Medium"))</f>
        <v>Low</v>
      </c>
    </row>
    <row r="820" spans="1:28" x14ac:dyDescent="0.25">
      <c r="A820" s="7">
        <v>819</v>
      </c>
      <c r="B820" s="7" t="s">
        <v>437</v>
      </c>
      <c r="C820" s="4">
        <v>55</v>
      </c>
      <c r="D820" s="4">
        <v>5</v>
      </c>
      <c r="E820" s="8">
        <v>45160</v>
      </c>
      <c r="F820" s="9">
        <v>0.54540509259259262</v>
      </c>
      <c r="G820" s="8">
        <v>45162</v>
      </c>
      <c r="H820" s="9">
        <v>6.4212962962962958E-2</v>
      </c>
      <c r="I820" s="7" t="s">
        <v>257</v>
      </c>
      <c r="J820" s="7" t="s">
        <v>33</v>
      </c>
      <c r="K820" s="18" t="str">
        <f>_xlfn.XLOOKUP(tblMaster[[#This Row],[Customer_ID]],tblCustomers[Customer_ID],tblCustomers[City],"Not Found",0)</f>
        <v>Dhanbad</v>
      </c>
      <c r="L820" s="18" t="str">
        <f>_xlfn.XLOOKUP(tblMaster[[#This Row],[Customer_ID]],tblCustomers[Customer_ID],tblCustomers[Name],"Not Found",0)</f>
        <v>Vardaniya Apte</v>
      </c>
      <c r="M820" s="18" t="str">
        <f>_xlfn.XLOOKUP(tblMaster[[#This Row],[Customer_ID]],tblCustomers[Customer_ID],tblCustomers[Gender],"Not Found",0)</f>
        <v>Male</v>
      </c>
      <c r="N820" s="18" t="str">
        <f>_xlfn.XLOOKUP(tblMaster[[#This Row],[Product_ID]],tblProducts[Product_ID],tblProducts[Product_Name],"Not Found",0)</f>
        <v>Dolores Gift</v>
      </c>
      <c r="O820" s="18" t="str">
        <f>_xlfn.XLOOKUP(tblMaster[[#This Row],[Product_ID]],tblProducts[Product_ID],tblProducts[Category],"Not Found",0)</f>
        <v>Soft Toys</v>
      </c>
      <c r="P820" s="18" t="str">
        <f>_xlfn.XLOOKUP(tblMaster[[#This Row],[Product_ID]],tblProducts[Product_ID],tblProducts[Occasion],"Not Found",0)</f>
        <v>Raksha Bandhan</v>
      </c>
      <c r="Q820" s="18">
        <f>_xlfn.XLOOKUP(tblMaster[[#This Row],[Product_ID]],tblProducts[Product_ID],tblProducts[Price (INR)],"Not Found",0)</f>
        <v>1904</v>
      </c>
      <c r="R820" s="19">
        <f>tblMaster[[#This Row],[Price]]*tblMaster[[#This Row],[Quantity]]</f>
        <v>9520</v>
      </c>
      <c r="S820" s="19">
        <f>tblMaster[[#This Row],[Price]]*0.7*tblMaster[[#This Row],[Quantity]]</f>
        <v>6664</v>
      </c>
      <c r="T820" s="19">
        <f>tblMaster[[#This Row],[Revenue]]-tblMaster[[#This Row],[Estimated Cost (at 70%) ]]</f>
        <v>2856</v>
      </c>
      <c r="U820" s="19">
        <f>tblMaster[[#This Row],[Profit]]/tblMaster[[#This Row],[Revenue]]</f>
        <v>0.3</v>
      </c>
      <c r="V820" s="19">
        <f>tblMaster[[#This Row],[Delivery_Date]]-tblMaster[[#This Row],[Order_Date]]</f>
        <v>2</v>
      </c>
      <c r="W820" s="19" t="str">
        <f>TEXT(tblMaster[[#This Row],[Order_Date]],"mmmm")</f>
        <v>August</v>
      </c>
      <c r="X820" s="19">
        <f>MONTH(tblMaster[[#This Row],[Order_Date]])</f>
        <v>8</v>
      </c>
      <c r="Y820" s="19" t="str">
        <f>"Q"&amp;ROUNDUP(tblMaster[[#This Row],[Month Number]]/3,0)</f>
        <v>Q3</v>
      </c>
      <c r="Z820" s="19">
        <f>YEAR(tblMaster[[#This Row],[Order_Date]])</f>
        <v>2023</v>
      </c>
      <c r="AA820" s="19" t="str">
        <f>TEXT(DAY(tblMaster[[#This Row],[Order_Date]]),"dddd")</f>
        <v>Sunday</v>
      </c>
      <c r="AB820" s="19" t="str">
        <f>IF(tblMaster[[#This Row],[Revenue]]&gt;=5000,"High",IF(tblMaster[[#This Row],[Revenue]]&lt;2000,"Low","Medium"))</f>
        <v>High</v>
      </c>
    </row>
    <row r="821" spans="1:28" x14ac:dyDescent="0.25">
      <c r="A821" s="10">
        <v>820</v>
      </c>
      <c r="B821" s="10" t="s">
        <v>272</v>
      </c>
      <c r="C821" s="5">
        <v>64</v>
      </c>
      <c r="D821" s="5">
        <v>3</v>
      </c>
      <c r="E821" s="11">
        <v>45160</v>
      </c>
      <c r="F821" s="12">
        <v>0.24424768518518519</v>
      </c>
      <c r="G821" s="11">
        <v>45164</v>
      </c>
      <c r="H821" s="12">
        <v>0.20304398148148148</v>
      </c>
      <c r="I821" s="10" t="s">
        <v>560</v>
      </c>
      <c r="J821" s="10" t="s">
        <v>33</v>
      </c>
      <c r="K821" s="18" t="str">
        <f>_xlfn.XLOOKUP(tblMaster[[#This Row],[Customer_ID]],tblCustomers[Customer_ID],tblCustomers[City],"Not Found",0)</f>
        <v>Indore</v>
      </c>
      <c r="L821" s="18" t="str">
        <f>_xlfn.XLOOKUP(tblMaster[[#This Row],[Customer_ID]],tblCustomers[Customer_ID],tblCustomers[Name],"Not Found",0)</f>
        <v>Suhana Kurian</v>
      </c>
      <c r="M821" s="18" t="str">
        <f>_xlfn.XLOOKUP(tblMaster[[#This Row],[Customer_ID]],tblCustomers[Customer_ID],tblCustomers[Gender],"Not Found",0)</f>
        <v>Female</v>
      </c>
      <c r="N821" s="18" t="str">
        <f>_xlfn.XLOOKUP(tblMaster[[#This Row],[Product_ID]],tblProducts[Product_ID],tblProducts[Product_Name],"Not Found",0)</f>
        <v>Nostrum Box</v>
      </c>
      <c r="O821" s="18" t="str">
        <f>_xlfn.XLOOKUP(tblMaster[[#This Row],[Product_ID]],tblProducts[Product_ID],tblProducts[Category],"Not Found",0)</f>
        <v>Soft Toys</v>
      </c>
      <c r="P821" s="18" t="str">
        <f>_xlfn.XLOOKUP(tblMaster[[#This Row],[Product_ID]],tblProducts[Product_ID],tblProducts[Occasion],"Not Found",0)</f>
        <v>Raksha Bandhan</v>
      </c>
      <c r="Q821" s="18">
        <f>_xlfn.XLOOKUP(tblMaster[[#This Row],[Product_ID]],tblProducts[Product_ID],tblProducts[Price (INR)],"Not Found",0)</f>
        <v>1878</v>
      </c>
      <c r="R821" s="19">
        <f>tblMaster[[#This Row],[Price]]*tblMaster[[#This Row],[Quantity]]</f>
        <v>5634</v>
      </c>
      <c r="S821" s="19">
        <f>tblMaster[[#This Row],[Price]]*0.7*tblMaster[[#This Row],[Quantity]]</f>
        <v>3943.7999999999997</v>
      </c>
      <c r="T821" s="19">
        <f>tblMaster[[#This Row],[Revenue]]-tblMaster[[#This Row],[Estimated Cost (at 70%) ]]</f>
        <v>1690.2000000000003</v>
      </c>
      <c r="U821" s="19">
        <f>tblMaster[[#This Row],[Profit]]/tblMaster[[#This Row],[Revenue]]</f>
        <v>0.30000000000000004</v>
      </c>
      <c r="V821" s="19">
        <f>tblMaster[[#This Row],[Delivery_Date]]-tblMaster[[#This Row],[Order_Date]]</f>
        <v>4</v>
      </c>
      <c r="W821" s="19" t="str">
        <f>TEXT(tblMaster[[#This Row],[Order_Date]],"mmmm")</f>
        <v>August</v>
      </c>
      <c r="X821" s="19">
        <f>MONTH(tblMaster[[#This Row],[Order_Date]])</f>
        <v>8</v>
      </c>
      <c r="Y821" s="19" t="str">
        <f>"Q"&amp;ROUNDUP(tblMaster[[#This Row],[Month Number]]/3,0)</f>
        <v>Q3</v>
      </c>
      <c r="Z821" s="19">
        <f>YEAR(tblMaster[[#This Row],[Order_Date]])</f>
        <v>2023</v>
      </c>
      <c r="AA821" s="19" t="str">
        <f>TEXT(DAY(tblMaster[[#This Row],[Order_Date]]),"dddd")</f>
        <v>Sunday</v>
      </c>
      <c r="AB821" s="19" t="str">
        <f>IF(tblMaster[[#This Row],[Revenue]]&gt;=5000,"High",IF(tblMaster[[#This Row],[Revenue]]&lt;2000,"Low","Medium"))</f>
        <v>High</v>
      </c>
    </row>
    <row r="822" spans="1:28" x14ac:dyDescent="0.25">
      <c r="A822" s="7">
        <v>821</v>
      </c>
      <c r="B822" s="7" t="s">
        <v>276</v>
      </c>
      <c r="C822" s="4">
        <v>32</v>
      </c>
      <c r="D822" s="4">
        <v>4</v>
      </c>
      <c r="E822" s="8">
        <v>44984</v>
      </c>
      <c r="F822" s="9">
        <v>0.84410879629629632</v>
      </c>
      <c r="G822" s="8">
        <v>44992</v>
      </c>
      <c r="H822" s="9">
        <v>0.94861111111111107</v>
      </c>
      <c r="I822" s="7" t="s">
        <v>399</v>
      </c>
      <c r="J822" s="7" t="s">
        <v>36</v>
      </c>
      <c r="K822" s="18" t="str">
        <f>_xlfn.XLOOKUP(tblMaster[[#This Row],[Customer_ID]],tblCustomers[Customer_ID],tblCustomers[City],"Not Found",0)</f>
        <v>Imphal</v>
      </c>
      <c r="L822" s="18" t="str">
        <f>_xlfn.XLOOKUP(tblMaster[[#This Row],[Customer_ID]],tblCustomers[Customer_ID],tblCustomers[Name],"Not Found",0)</f>
        <v>Chirag Srinivas</v>
      </c>
      <c r="M822" s="18" t="str">
        <f>_xlfn.XLOOKUP(tblMaster[[#This Row],[Customer_ID]],tblCustomers[Customer_ID],tblCustomers[Gender],"Not Found",0)</f>
        <v>Female</v>
      </c>
      <c r="N822" s="18" t="str">
        <f>_xlfn.XLOOKUP(tblMaster[[#This Row],[Product_ID]],tblProducts[Product_ID],tblProducts[Product_Name],"Not Found",0)</f>
        <v>Fuga Set</v>
      </c>
      <c r="O822" s="18" t="str">
        <f>_xlfn.XLOOKUP(tblMaster[[#This Row],[Product_ID]],tblProducts[Product_ID],tblProducts[Category],"Not Found",0)</f>
        <v>Soft Toys</v>
      </c>
      <c r="P822" s="18" t="str">
        <f>_xlfn.XLOOKUP(tblMaster[[#This Row],[Product_ID]],tblProducts[Product_ID],tblProducts[Occasion],"Not Found",0)</f>
        <v>Birthday</v>
      </c>
      <c r="Q822" s="18">
        <f>_xlfn.XLOOKUP(tblMaster[[#This Row],[Product_ID]],tblProducts[Product_ID],tblProducts[Price (INR)],"Not Found",0)</f>
        <v>1792</v>
      </c>
      <c r="R822" s="19">
        <f>tblMaster[[#This Row],[Price]]*tblMaster[[#This Row],[Quantity]]</f>
        <v>7168</v>
      </c>
      <c r="S822" s="19">
        <f>tblMaster[[#This Row],[Price]]*0.7*tblMaster[[#This Row],[Quantity]]</f>
        <v>5017.5999999999995</v>
      </c>
      <c r="T822" s="19">
        <f>tblMaster[[#This Row],[Revenue]]-tblMaster[[#This Row],[Estimated Cost (at 70%) ]]</f>
        <v>2150.4000000000005</v>
      </c>
      <c r="U822" s="19">
        <f>tblMaster[[#This Row],[Profit]]/tblMaster[[#This Row],[Revenue]]</f>
        <v>0.3000000000000001</v>
      </c>
      <c r="V822" s="19">
        <f>tblMaster[[#This Row],[Delivery_Date]]-tblMaster[[#This Row],[Order_Date]]</f>
        <v>8</v>
      </c>
      <c r="W822" s="19" t="str">
        <f>TEXT(tblMaster[[#This Row],[Order_Date]],"mmmm")</f>
        <v>February</v>
      </c>
      <c r="X822" s="19">
        <f>MONTH(tblMaster[[#This Row],[Order_Date]])</f>
        <v>2</v>
      </c>
      <c r="Y822" s="19" t="str">
        <f>"Q"&amp;ROUNDUP(tblMaster[[#This Row],[Month Number]]/3,0)</f>
        <v>Q1</v>
      </c>
      <c r="Z822" s="19">
        <f>YEAR(tblMaster[[#This Row],[Order_Date]])</f>
        <v>2023</v>
      </c>
      <c r="AA822" s="19" t="str">
        <f>TEXT(DAY(tblMaster[[#This Row],[Order_Date]]),"dddd")</f>
        <v>Friday</v>
      </c>
      <c r="AB822" s="19" t="str">
        <f>IF(tblMaster[[#This Row],[Revenue]]&gt;=5000,"High",IF(tblMaster[[#This Row],[Revenue]]&lt;2000,"Low","Medium"))</f>
        <v>High</v>
      </c>
    </row>
    <row r="823" spans="1:28" x14ac:dyDescent="0.25">
      <c r="A823" s="10">
        <v>822</v>
      </c>
      <c r="B823" s="10" t="s">
        <v>321</v>
      </c>
      <c r="C823" s="5">
        <v>41</v>
      </c>
      <c r="D823" s="5">
        <v>5</v>
      </c>
      <c r="E823" s="11">
        <v>45239</v>
      </c>
      <c r="F823" s="12">
        <v>0.14104166666666668</v>
      </c>
      <c r="G823" s="11">
        <v>45242</v>
      </c>
      <c r="H823" s="12">
        <v>0.17728009259259259</v>
      </c>
      <c r="I823" s="10" t="s">
        <v>230</v>
      </c>
      <c r="J823" s="10" t="s">
        <v>19</v>
      </c>
      <c r="K823" s="18" t="str">
        <f>_xlfn.XLOOKUP(tblMaster[[#This Row],[Customer_ID]],tblCustomers[Customer_ID],tblCustomers[City],"Not Found",0)</f>
        <v>Aligarh</v>
      </c>
      <c r="L823" s="18" t="str">
        <f>_xlfn.XLOOKUP(tblMaster[[#This Row],[Customer_ID]],tblCustomers[Customer_ID],tblCustomers[Name],"Not Found",0)</f>
        <v>Yashvi Bansal</v>
      </c>
      <c r="M823" s="18" t="str">
        <f>_xlfn.XLOOKUP(tblMaster[[#This Row],[Customer_ID]],tblCustomers[Customer_ID],tblCustomers[Gender],"Not Found",0)</f>
        <v>Female</v>
      </c>
      <c r="N823" s="18" t="str">
        <f>_xlfn.XLOOKUP(tblMaster[[#This Row],[Product_ID]],tblProducts[Product_ID],tblProducts[Product_Name],"Not Found",0)</f>
        <v>Aut Box</v>
      </c>
      <c r="O823" s="18" t="str">
        <f>_xlfn.XLOOKUP(tblMaster[[#This Row],[Product_ID]],tblProducts[Product_ID],tblProducts[Category],"Not Found",0)</f>
        <v>Sweets</v>
      </c>
      <c r="P823" s="18" t="str">
        <f>_xlfn.XLOOKUP(tblMaster[[#This Row],[Product_ID]],tblProducts[Product_ID],tblProducts[Occasion],"Not Found",0)</f>
        <v>Diwali</v>
      </c>
      <c r="Q823" s="18">
        <f>_xlfn.XLOOKUP(tblMaster[[#This Row],[Product_ID]],tblProducts[Product_ID],tblProducts[Price (INR)],"Not Found",0)</f>
        <v>1977</v>
      </c>
      <c r="R823" s="19">
        <f>tblMaster[[#This Row],[Price]]*tblMaster[[#This Row],[Quantity]]</f>
        <v>9885</v>
      </c>
      <c r="S823" s="19">
        <f>tblMaster[[#This Row],[Price]]*0.7*tblMaster[[#This Row],[Quantity]]</f>
        <v>6919.4999999999991</v>
      </c>
      <c r="T823" s="19">
        <f>tblMaster[[#This Row],[Revenue]]-tblMaster[[#This Row],[Estimated Cost (at 70%) ]]</f>
        <v>2965.5000000000009</v>
      </c>
      <c r="U823" s="19">
        <f>tblMaster[[#This Row],[Profit]]/tblMaster[[#This Row],[Revenue]]</f>
        <v>0.3000000000000001</v>
      </c>
      <c r="V823" s="19">
        <f>tblMaster[[#This Row],[Delivery_Date]]-tblMaster[[#This Row],[Order_Date]]</f>
        <v>3</v>
      </c>
      <c r="W823" s="19" t="str">
        <f>TEXT(tblMaster[[#This Row],[Order_Date]],"mmmm")</f>
        <v>November</v>
      </c>
      <c r="X823" s="19">
        <f>MONTH(tblMaster[[#This Row],[Order_Date]])</f>
        <v>11</v>
      </c>
      <c r="Y823" s="19" t="str">
        <f>"Q"&amp;ROUNDUP(tblMaster[[#This Row],[Month Number]]/3,0)</f>
        <v>Q4</v>
      </c>
      <c r="Z823" s="19">
        <f>YEAR(tblMaster[[#This Row],[Order_Date]])</f>
        <v>2023</v>
      </c>
      <c r="AA823" s="19" t="str">
        <f>TEXT(DAY(tblMaster[[#This Row],[Order_Date]]),"dddd")</f>
        <v>Monday</v>
      </c>
      <c r="AB823" s="19" t="str">
        <f>IF(tblMaster[[#This Row],[Revenue]]&gt;=5000,"High",IF(tblMaster[[#This Row],[Revenue]]&lt;2000,"Low","Medium"))</f>
        <v>High</v>
      </c>
    </row>
    <row r="824" spans="1:28" x14ac:dyDescent="0.25">
      <c r="A824" s="7">
        <v>823</v>
      </c>
      <c r="B824" s="7" t="s">
        <v>347</v>
      </c>
      <c r="C824" s="4">
        <v>64</v>
      </c>
      <c r="D824" s="4">
        <v>3</v>
      </c>
      <c r="E824" s="8">
        <v>45165</v>
      </c>
      <c r="F824" s="9">
        <v>0.64126157407407403</v>
      </c>
      <c r="G824" s="8">
        <v>45170</v>
      </c>
      <c r="H824" s="9">
        <v>0.61990740740740746</v>
      </c>
      <c r="I824" s="7" t="s">
        <v>497</v>
      </c>
      <c r="J824" s="7" t="s">
        <v>33</v>
      </c>
      <c r="K824" s="18" t="str">
        <f>_xlfn.XLOOKUP(tblMaster[[#This Row],[Customer_ID]],tblCustomers[Customer_ID],tblCustomers[City],"Not Found",0)</f>
        <v>North Dumdum</v>
      </c>
      <c r="L824" s="18" t="str">
        <f>_xlfn.XLOOKUP(tblMaster[[#This Row],[Customer_ID]],tblCustomers[Customer_ID],tblCustomers[Name],"Not Found",0)</f>
        <v>Rania Bhatt</v>
      </c>
      <c r="M824" s="18" t="str">
        <f>_xlfn.XLOOKUP(tblMaster[[#This Row],[Customer_ID]],tblCustomers[Customer_ID],tblCustomers[Gender],"Not Found",0)</f>
        <v>Female</v>
      </c>
      <c r="N824" s="18" t="str">
        <f>_xlfn.XLOOKUP(tblMaster[[#This Row],[Product_ID]],tblProducts[Product_ID],tblProducts[Product_Name],"Not Found",0)</f>
        <v>Nostrum Box</v>
      </c>
      <c r="O824" s="18" t="str">
        <f>_xlfn.XLOOKUP(tblMaster[[#This Row],[Product_ID]],tblProducts[Product_ID],tblProducts[Category],"Not Found",0)</f>
        <v>Soft Toys</v>
      </c>
      <c r="P824" s="18" t="str">
        <f>_xlfn.XLOOKUP(tblMaster[[#This Row],[Product_ID]],tblProducts[Product_ID],tblProducts[Occasion],"Not Found",0)</f>
        <v>Raksha Bandhan</v>
      </c>
      <c r="Q824" s="18">
        <f>_xlfn.XLOOKUP(tblMaster[[#This Row],[Product_ID]],tblProducts[Product_ID],tblProducts[Price (INR)],"Not Found",0)</f>
        <v>1878</v>
      </c>
      <c r="R824" s="19">
        <f>tblMaster[[#This Row],[Price]]*tblMaster[[#This Row],[Quantity]]</f>
        <v>5634</v>
      </c>
      <c r="S824" s="19">
        <f>tblMaster[[#This Row],[Price]]*0.7*tblMaster[[#This Row],[Quantity]]</f>
        <v>3943.7999999999997</v>
      </c>
      <c r="T824" s="19">
        <f>tblMaster[[#This Row],[Revenue]]-tblMaster[[#This Row],[Estimated Cost (at 70%) ]]</f>
        <v>1690.2000000000003</v>
      </c>
      <c r="U824" s="19">
        <f>tblMaster[[#This Row],[Profit]]/tblMaster[[#This Row],[Revenue]]</f>
        <v>0.30000000000000004</v>
      </c>
      <c r="V824" s="19">
        <f>tblMaster[[#This Row],[Delivery_Date]]-tblMaster[[#This Row],[Order_Date]]</f>
        <v>5</v>
      </c>
      <c r="W824" s="19" t="str">
        <f>TEXT(tblMaster[[#This Row],[Order_Date]],"mmmm")</f>
        <v>August</v>
      </c>
      <c r="X824" s="19">
        <f>MONTH(tblMaster[[#This Row],[Order_Date]])</f>
        <v>8</v>
      </c>
      <c r="Y824" s="19" t="str">
        <f>"Q"&amp;ROUNDUP(tblMaster[[#This Row],[Month Number]]/3,0)</f>
        <v>Q3</v>
      </c>
      <c r="Z824" s="19">
        <f>YEAR(tblMaster[[#This Row],[Order_Date]])</f>
        <v>2023</v>
      </c>
      <c r="AA824" s="19" t="str">
        <f>TEXT(DAY(tblMaster[[#This Row],[Order_Date]]),"dddd")</f>
        <v>Friday</v>
      </c>
      <c r="AB824" s="19" t="str">
        <f>IF(tblMaster[[#This Row],[Revenue]]&gt;=5000,"High",IF(tblMaster[[#This Row],[Revenue]]&lt;2000,"Low","Medium"))</f>
        <v>High</v>
      </c>
    </row>
    <row r="825" spans="1:28" x14ac:dyDescent="0.25">
      <c r="A825" s="10">
        <v>824</v>
      </c>
      <c r="B825" s="10" t="s">
        <v>180</v>
      </c>
      <c r="C825" s="5">
        <v>46</v>
      </c>
      <c r="D825" s="5">
        <v>4</v>
      </c>
      <c r="E825" s="11">
        <v>45052</v>
      </c>
      <c r="F825" s="12">
        <v>0.33068287037037036</v>
      </c>
      <c r="G825" s="11">
        <v>45053</v>
      </c>
      <c r="H825" s="12">
        <v>0.64157407407407407</v>
      </c>
      <c r="I825" s="10" t="s">
        <v>451</v>
      </c>
      <c r="J825" s="10" t="s">
        <v>30</v>
      </c>
      <c r="K825" s="18" t="str">
        <f>_xlfn.XLOOKUP(tblMaster[[#This Row],[Customer_ID]],tblCustomers[Customer_ID],tblCustomers[City],"Not Found",0)</f>
        <v>Sri Ganganagar</v>
      </c>
      <c r="L825" s="18" t="str">
        <f>_xlfn.XLOOKUP(tblMaster[[#This Row],[Customer_ID]],tblCustomers[Customer_ID],tblCustomers[Name],"Not Found",0)</f>
        <v>Nakul Randhawa</v>
      </c>
      <c r="M825" s="18" t="str">
        <f>_xlfn.XLOOKUP(tblMaster[[#This Row],[Customer_ID]],tblCustomers[Customer_ID],tblCustomers[Gender],"Not Found",0)</f>
        <v>Female</v>
      </c>
      <c r="N825" s="18" t="str">
        <f>_xlfn.XLOOKUP(tblMaster[[#This Row],[Product_ID]],tblProducts[Product_ID],tblProducts[Product_Name],"Not Found",0)</f>
        <v>Pariatur Set</v>
      </c>
      <c r="O825" s="18" t="str">
        <f>_xlfn.XLOOKUP(tblMaster[[#This Row],[Product_ID]],tblProducts[Product_ID],tblProducts[Category],"Not Found",0)</f>
        <v>Cake</v>
      </c>
      <c r="P825" s="18" t="str">
        <f>_xlfn.XLOOKUP(tblMaster[[#This Row],[Product_ID]],tblProducts[Product_ID],tblProducts[Occasion],"Not Found",0)</f>
        <v>Anniversary</v>
      </c>
      <c r="Q825" s="18">
        <f>_xlfn.XLOOKUP(tblMaster[[#This Row],[Product_ID]],tblProducts[Product_ID],tblProducts[Price (INR)],"Not Found",0)</f>
        <v>758</v>
      </c>
      <c r="R825" s="19">
        <f>tblMaster[[#This Row],[Price]]*tblMaster[[#This Row],[Quantity]]</f>
        <v>3032</v>
      </c>
      <c r="S825" s="19">
        <f>tblMaster[[#This Row],[Price]]*0.7*tblMaster[[#This Row],[Quantity]]</f>
        <v>2122.4</v>
      </c>
      <c r="T825" s="19">
        <f>tblMaster[[#This Row],[Revenue]]-tblMaster[[#This Row],[Estimated Cost (at 70%) ]]</f>
        <v>909.59999999999991</v>
      </c>
      <c r="U825" s="19">
        <f>tblMaster[[#This Row],[Profit]]/tblMaster[[#This Row],[Revenue]]</f>
        <v>0.3</v>
      </c>
      <c r="V825" s="19">
        <f>tblMaster[[#This Row],[Delivery_Date]]-tblMaster[[#This Row],[Order_Date]]</f>
        <v>1</v>
      </c>
      <c r="W825" s="19" t="str">
        <f>TEXT(tblMaster[[#This Row],[Order_Date]],"mmmm")</f>
        <v>May</v>
      </c>
      <c r="X825" s="19">
        <f>MONTH(tblMaster[[#This Row],[Order_Date]])</f>
        <v>5</v>
      </c>
      <c r="Y825" s="19" t="str">
        <f>"Q"&amp;ROUNDUP(tblMaster[[#This Row],[Month Number]]/3,0)</f>
        <v>Q2</v>
      </c>
      <c r="Z825" s="19">
        <f>YEAR(tblMaster[[#This Row],[Order_Date]])</f>
        <v>2023</v>
      </c>
      <c r="AA825" s="19" t="str">
        <f>TEXT(DAY(tblMaster[[#This Row],[Order_Date]]),"dddd")</f>
        <v>Friday</v>
      </c>
      <c r="AB825" s="19" t="str">
        <f>IF(tblMaster[[#This Row],[Revenue]]&gt;=5000,"High",IF(tblMaster[[#This Row],[Revenue]]&lt;2000,"Low","Medium"))</f>
        <v>Medium</v>
      </c>
    </row>
    <row r="826" spans="1:28" x14ac:dyDescent="0.25">
      <c r="A826" s="7">
        <v>825</v>
      </c>
      <c r="B826" s="7" t="s">
        <v>182</v>
      </c>
      <c r="C826" s="4">
        <v>25</v>
      </c>
      <c r="D826" s="4">
        <v>5</v>
      </c>
      <c r="E826" s="8">
        <v>45107</v>
      </c>
      <c r="F826" s="9">
        <v>0.45166666666666666</v>
      </c>
      <c r="G826" s="8">
        <v>45108</v>
      </c>
      <c r="H826" s="9">
        <v>0.7556018518518518</v>
      </c>
      <c r="I826" s="7" t="s">
        <v>384</v>
      </c>
      <c r="J826" s="7" t="s">
        <v>30</v>
      </c>
      <c r="K826" s="18" t="str">
        <f>_xlfn.XLOOKUP(tblMaster[[#This Row],[Customer_ID]],tblCustomers[Customer_ID],tblCustomers[City],"Not Found",0)</f>
        <v>Agra</v>
      </c>
      <c r="L826" s="18" t="str">
        <f>_xlfn.XLOOKUP(tblMaster[[#This Row],[Customer_ID]],tblCustomers[Customer_ID],tblCustomers[Name],"Not Found",0)</f>
        <v>Seher Mann</v>
      </c>
      <c r="M826" s="18" t="str">
        <f>_xlfn.XLOOKUP(tblMaster[[#This Row],[Customer_ID]],tblCustomers[Customer_ID],tblCustomers[Gender],"Not Found",0)</f>
        <v>Male</v>
      </c>
      <c r="N826" s="18" t="str">
        <f>_xlfn.XLOOKUP(tblMaster[[#This Row],[Product_ID]],tblProducts[Product_ID],tblProducts[Product_Name],"Not Found",0)</f>
        <v>Qui Gift</v>
      </c>
      <c r="O826" s="18" t="str">
        <f>_xlfn.XLOOKUP(tblMaster[[#This Row],[Product_ID]],tblProducts[Product_ID],tblProducts[Category],"Not Found",0)</f>
        <v>Plants</v>
      </c>
      <c r="P826" s="18" t="str">
        <f>_xlfn.XLOOKUP(tblMaster[[#This Row],[Product_ID]],tblProducts[Product_ID],tblProducts[Occasion],"Not Found",0)</f>
        <v>Anniversary</v>
      </c>
      <c r="Q826" s="18">
        <f>_xlfn.XLOOKUP(tblMaster[[#This Row],[Product_ID]],tblProducts[Product_ID],tblProducts[Price (INR)],"Not Found",0)</f>
        <v>1202</v>
      </c>
      <c r="R826" s="19">
        <f>tblMaster[[#This Row],[Price]]*tblMaster[[#This Row],[Quantity]]</f>
        <v>6010</v>
      </c>
      <c r="S826" s="19">
        <f>tblMaster[[#This Row],[Price]]*0.7*tblMaster[[#This Row],[Quantity]]</f>
        <v>4207</v>
      </c>
      <c r="T826" s="19">
        <f>tblMaster[[#This Row],[Revenue]]-tblMaster[[#This Row],[Estimated Cost (at 70%) ]]</f>
        <v>1803</v>
      </c>
      <c r="U826" s="19">
        <f>tblMaster[[#This Row],[Profit]]/tblMaster[[#This Row],[Revenue]]</f>
        <v>0.3</v>
      </c>
      <c r="V826" s="19">
        <f>tblMaster[[#This Row],[Delivery_Date]]-tblMaster[[#This Row],[Order_Date]]</f>
        <v>1</v>
      </c>
      <c r="W826" s="19" t="str">
        <f>TEXT(tblMaster[[#This Row],[Order_Date]],"mmmm")</f>
        <v>June</v>
      </c>
      <c r="X826" s="19">
        <f>MONTH(tblMaster[[#This Row],[Order_Date]])</f>
        <v>6</v>
      </c>
      <c r="Y826" s="19" t="str">
        <f>"Q"&amp;ROUNDUP(tblMaster[[#This Row],[Month Number]]/3,0)</f>
        <v>Q2</v>
      </c>
      <c r="Z826" s="19">
        <f>YEAR(tblMaster[[#This Row],[Order_Date]])</f>
        <v>2023</v>
      </c>
      <c r="AA826" s="19" t="str">
        <f>TEXT(DAY(tblMaster[[#This Row],[Order_Date]]),"dddd")</f>
        <v>Monday</v>
      </c>
      <c r="AB826" s="19" t="str">
        <f>IF(tblMaster[[#This Row],[Revenue]]&gt;=5000,"High",IF(tblMaster[[#This Row],[Revenue]]&lt;2000,"Low","Medium"))</f>
        <v>High</v>
      </c>
    </row>
    <row r="827" spans="1:28" x14ac:dyDescent="0.25">
      <c r="A827" s="10">
        <v>826</v>
      </c>
      <c r="B827" s="10" t="s">
        <v>261</v>
      </c>
      <c r="C827" s="5">
        <v>16</v>
      </c>
      <c r="D827" s="5">
        <v>5</v>
      </c>
      <c r="E827" s="11">
        <v>44987</v>
      </c>
      <c r="F827" s="12">
        <v>0.83480324074074075</v>
      </c>
      <c r="G827" s="11">
        <v>44993</v>
      </c>
      <c r="H827" s="12">
        <v>0.26131944444444444</v>
      </c>
      <c r="I827" s="10" t="s">
        <v>470</v>
      </c>
      <c r="J827" s="10" t="s">
        <v>25</v>
      </c>
      <c r="K827" s="18" t="str">
        <f>_xlfn.XLOOKUP(tblMaster[[#This Row],[Customer_ID]],tblCustomers[Customer_ID],tblCustomers[City],"Not Found",0)</f>
        <v>Panchkula</v>
      </c>
      <c r="L827" s="18" t="str">
        <f>_xlfn.XLOOKUP(tblMaster[[#This Row],[Customer_ID]],tblCustomers[Customer_ID],tblCustomers[Name],"Not Found",0)</f>
        <v>Gokul Ahluwalia</v>
      </c>
      <c r="M827" s="18" t="str">
        <f>_xlfn.XLOOKUP(tblMaster[[#This Row],[Customer_ID]],tblCustomers[Customer_ID],tblCustomers[Gender],"Not Found",0)</f>
        <v>Female</v>
      </c>
      <c r="N827" s="18" t="str">
        <f>_xlfn.XLOOKUP(tblMaster[[#This Row],[Product_ID]],tblProducts[Product_ID],tblProducts[Product_Name],"Not Found",0)</f>
        <v>Ut Pack</v>
      </c>
      <c r="O827" s="18" t="str">
        <f>_xlfn.XLOOKUP(tblMaster[[#This Row],[Product_ID]],tblProducts[Product_ID],tblProducts[Category],"Not Found",0)</f>
        <v>Sweets</v>
      </c>
      <c r="P827" s="18" t="str">
        <f>_xlfn.XLOOKUP(tblMaster[[#This Row],[Product_ID]],tblProducts[Product_ID],tblProducts[Occasion],"Not Found",0)</f>
        <v>Holi</v>
      </c>
      <c r="Q827" s="18">
        <f>_xlfn.XLOOKUP(tblMaster[[#This Row],[Product_ID]],tblProducts[Product_ID],tblProducts[Price (INR)],"Not Found",0)</f>
        <v>1721</v>
      </c>
      <c r="R827" s="19">
        <f>tblMaster[[#This Row],[Price]]*tblMaster[[#This Row],[Quantity]]</f>
        <v>8605</v>
      </c>
      <c r="S827" s="19">
        <f>tblMaster[[#This Row],[Price]]*0.7*tblMaster[[#This Row],[Quantity]]</f>
        <v>6023.4999999999991</v>
      </c>
      <c r="T827" s="19">
        <f>tblMaster[[#This Row],[Revenue]]-tblMaster[[#This Row],[Estimated Cost (at 70%) ]]</f>
        <v>2581.5000000000009</v>
      </c>
      <c r="U827" s="19">
        <f>tblMaster[[#This Row],[Profit]]/tblMaster[[#This Row],[Revenue]]</f>
        <v>0.3000000000000001</v>
      </c>
      <c r="V827" s="19">
        <f>tblMaster[[#This Row],[Delivery_Date]]-tblMaster[[#This Row],[Order_Date]]</f>
        <v>6</v>
      </c>
      <c r="W827" s="19" t="str">
        <f>TEXT(tblMaster[[#This Row],[Order_Date]],"mmmm")</f>
        <v>March</v>
      </c>
      <c r="X827" s="19">
        <f>MONTH(tblMaster[[#This Row],[Order_Date]])</f>
        <v>3</v>
      </c>
      <c r="Y827" s="19" t="str">
        <f>"Q"&amp;ROUNDUP(tblMaster[[#This Row],[Month Number]]/3,0)</f>
        <v>Q1</v>
      </c>
      <c r="Z827" s="19">
        <f>YEAR(tblMaster[[#This Row],[Order_Date]])</f>
        <v>2023</v>
      </c>
      <c r="AA827" s="19" t="str">
        <f>TEXT(DAY(tblMaster[[#This Row],[Order_Date]]),"dddd")</f>
        <v>Monday</v>
      </c>
      <c r="AB827" s="19" t="str">
        <f>IF(tblMaster[[#This Row],[Revenue]]&gt;=5000,"High",IF(tblMaster[[#This Row],[Revenue]]&lt;2000,"Low","Medium"))</f>
        <v>High</v>
      </c>
    </row>
    <row r="828" spans="1:28" x14ac:dyDescent="0.25">
      <c r="A828" s="7">
        <v>827</v>
      </c>
      <c r="B828" s="7" t="s">
        <v>441</v>
      </c>
      <c r="C828" s="4">
        <v>9</v>
      </c>
      <c r="D828" s="4">
        <v>1</v>
      </c>
      <c r="E828" s="8">
        <v>45167</v>
      </c>
      <c r="F828" s="9">
        <v>0.9241435185185185</v>
      </c>
      <c r="G828" s="8">
        <v>45168</v>
      </c>
      <c r="H828" s="9">
        <v>3.605324074074074E-2</v>
      </c>
      <c r="I828" s="7" t="s">
        <v>493</v>
      </c>
      <c r="J828" s="7" t="s">
        <v>33</v>
      </c>
      <c r="K828" s="18" t="str">
        <f>_xlfn.XLOOKUP(tblMaster[[#This Row],[Customer_ID]],tblCustomers[Customer_ID],tblCustomers[City],"Not Found",0)</f>
        <v>Purnia</v>
      </c>
      <c r="L828" s="18" t="str">
        <f>_xlfn.XLOOKUP(tblMaster[[#This Row],[Customer_ID]],tblCustomers[Customer_ID],tblCustomers[Name],"Not Found",0)</f>
        <v>Ivana Amble</v>
      </c>
      <c r="M828" s="18" t="str">
        <f>_xlfn.XLOOKUP(tblMaster[[#This Row],[Customer_ID]],tblCustomers[Customer_ID],tblCustomers[Gender],"Not Found",0)</f>
        <v>Female</v>
      </c>
      <c r="N828" s="18" t="str">
        <f>_xlfn.XLOOKUP(tblMaster[[#This Row],[Product_ID]],tblProducts[Product_ID],tblProducts[Product_Name],"Not Found",0)</f>
        <v>Aperiam Box</v>
      </c>
      <c r="O828" s="18" t="str">
        <f>_xlfn.XLOOKUP(tblMaster[[#This Row],[Product_ID]],tblProducts[Product_ID],tblProducts[Category],"Not Found",0)</f>
        <v>Colors</v>
      </c>
      <c r="P828" s="18" t="str">
        <f>_xlfn.XLOOKUP(tblMaster[[#This Row],[Product_ID]],tblProducts[Product_ID],tblProducts[Occasion],"Not Found",0)</f>
        <v>Raksha Bandhan</v>
      </c>
      <c r="Q828" s="18">
        <f>_xlfn.XLOOKUP(tblMaster[[#This Row],[Product_ID]],tblProducts[Product_ID],tblProducts[Price (INR)],"Not Found",0)</f>
        <v>1605</v>
      </c>
      <c r="R828" s="19">
        <f>tblMaster[[#This Row],[Price]]*tblMaster[[#This Row],[Quantity]]</f>
        <v>1605</v>
      </c>
      <c r="S828" s="19">
        <f>tblMaster[[#This Row],[Price]]*0.7*tblMaster[[#This Row],[Quantity]]</f>
        <v>1123.5</v>
      </c>
      <c r="T828" s="19">
        <f>tblMaster[[#This Row],[Revenue]]-tblMaster[[#This Row],[Estimated Cost (at 70%) ]]</f>
        <v>481.5</v>
      </c>
      <c r="U828" s="19">
        <f>tblMaster[[#This Row],[Profit]]/tblMaster[[#This Row],[Revenue]]</f>
        <v>0.3</v>
      </c>
      <c r="V828" s="19">
        <f>tblMaster[[#This Row],[Delivery_Date]]-tblMaster[[#This Row],[Order_Date]]</f>
        <v>1</v>
      </c>
      <c r="W828" s="19" t="str">
        <f>TEXT(tblMaster[[#This Row],[Order_Date]],"mmmm")</f>
        <v>August</v>
      </c>
      <c r="X828" s="19">
        <f>MONTH(tblMaster[[#This Row],[Order_Date]])</f>
        <v>8</v>
      </c>
      <c r="Y828" s="19" t="str">
        <f>"Q"&amp;ROUNDUP(tblMaster[[#This Row],[Month Number]]/3,0)</f>
        <v>Q3</v>
      </c>
      <c r="Z828" s="19">
        <f>YEAR(tblMaster[[#This Row],[Order_Date]])</f>
        <v>2023</v>
      </c>
      <c r="AA828" s="19" t="str">
        <f>TEXT(DAY(tblMaster[[#This Row],[Order_Date]]),"dddd")</f>
        <v>Sunday</v>
      </c>
      <c r="AB828" s="19" t="str">
        <f>IF(tblMaster[[#This Row],[Revenue]]&gt;=5000,"High",IF(tblMaster[[#This Row],[Revenue]]&lt;2000,"Low","Medium"))</f>
        <v>Low</v>
      </c>
    </row>
    <row r="829" spans="1:28" x14ac:dyDescent="0.25">
      <c r="A829" s="10">
        <v>828</v>
      </c>
      <c r="B829" s="10" t="s">
        <v>182</v>
      </c>
      <c r="C829" s="5">
        <v>8</v>
      </c>
      <c r="D829" s="5">
        <v>3</v>
      </c>
      <c r="E829" s="11">
        <v>45223</v>
      </c>
      <c r="F829" s="12">
        <v>0.69931712962962966</v>
      </c>
      <c r="G829" s="11">
        <v>45231</v>
      </c>
      <c r="H829" s="12">
        <v>0.92983796296296295</v>
      </c>
      <c r="I829" s="10" t="s">
        <v>294</v>
      </c>
      <c r="J829" s="10" t="s">
        <v>30</v>
      </c>
      <c r="K829" s="18" t="str">
        <f>_xlfn.XLOOKUP(tblMaster[[#This Row],[Customer_ID]],tblCustomers[Customer_ID],tblCustomers[City],"Not Found",0)</f>
        <v>Agra</v>
      </c>
      <c r="L829" s="18" t="str">
        <f>_xlfn.XLOOKUP(tblMaster[[#This Row],[Customer_ID]],tblCustomers[Customer_ID],tblCustomers[Name],"Not Found",0)</f>
        <v>Seher Mann</v>
      </c>
      <c r="M829" s="18" t="str">
        <f>_xlfn.XLOOKUP(tblMaster[[#This Row],[Customer_ID]],tblCustomers[Customer_ID],tblCustomers[Gender],"Not Found",0)</f>
        <v>Male</v>
      </c>
      <c r="N829" s="18" t="str">
        <f>_xlfn.XLOOKUP(tblMaster[[#This Row],[Product_ID]],tblProducts[Product_ID],tblProducts[Product_Name],"Not Found",0)</f>
        <v>Qui Box</v>
      </c>
      <c r="O829" s="18" t="str">
        <f>_xlfn.XLOOKUP(tblMaster[[#This Row],[Product_ID]],tblProducts[Product_ID],tblProducts[Category],"Not Found",0)</f>
        <v>Sweets</v>
      </c>
      <c r="P829" s="18" t="str">
        <f>_xlfn.XLOOKUP(tblMaster[[#This Row],[Product_ID]],tblProducts[Product_ID],tblProducts[Occasion],"Not Found",0)</f>
        <v>Anniversary</v>
      </c>
      <c r="Q829" s="18">
        <f>_xlfn.XLOOKUP(tblMaster[[#This Row],[Product_ID]],tblProducts[Product_ID],tblProducts[Price (INR)],"Not Found",0)</f>
        <v>252</v>
      </c>
      <c r="R829" s="19">
        <f>tblMaster[[#This Row],[Price]]*tblMaster[[#This Row],[Quantity]]</f>
        <v>756</v>
      </c>
      <c r="S829" s="19">
        <f>tblMaster[[#This Row],[Price]]*0.7*tblMaster[[#This Row],[Quantity]]</f>
        <v>529.19999999999993</v>
      </c>
      <c r="T829" s="19">
        <f>tblMaster[[#This Row],[Revenue]]-tblMaster[[#This Row],[Estimated Cost (at 70%) ]]</f>
        <v>226.80000000000007</v>
      </c>
      <c r="U829" s="19">
        <f>tblMaster[[#This Row],[Profit]]/tblMaster[[#This Row],[Revenue]]</f>
        <v>0.3000000000000001</v>
      </c>
      <c r="V829" s="19">
        <f>tblMaster[[#This Row],[Delivery_Date]]-tblMaster[[#This Row],[Order_Date]]</f>
        <v>8</v>
      </c>
      <c r="W829" s="19" t="str">
        <f>TEXT(tblMaster[[#This Row],[Order_Date]],"mmmm")</f>
        <v>October</v>
      </c>
      <c r="X829" s="19">
        <f>MONTH(tblMaster[[#This Row],[Order_Date]])</f>
        <v>10</v>
      </c>
      <c r="Y829" s="19" t="str">
        <f>"Q"&amp;ROUNDUP(tblMaster[[#This Row],[Month Number]]/3,0)</f>
        <v>Q4</v>
      </c>
      <c r="Z829" s="19">
        <f>YEAR(tblMaster[[#This Row],[Order_Date]])</f>
        <v>2023</v>
      </c>
      <c r="AA829" s="19" t="str">
        <f>TEXT(DAY(tblMaster[[#This Row],[Order_Date]]),"dddd")</f>
        <v>Tuesday</v>
      </c>
      <c r="AB829" s="19" t="str">
        <f>IF(tblMaster[[#This Row],[Revenue]]&gt;=5000,"High",IF(tblMaster[[#This Row],[Revenue]]&lt;2000,"Low","Medium"))</f>
        <v>Low</v>
      </c>
    </row>
    <row r="830" spans="1:28" x14ac:dyDescent="0.25">
      <c r="A830" s="7">
        <v>829</v>
      </c>
      <c r="B830" s="7" t="s">
        <v>246</v>
      </c>
      <c r="C830" s="4">
        <v>42</v>
      </c>
      <c r="D830" s="4">
        <v>4</v>
      </c>
      <c r="E830" s="8">
        <v>45279</v>
      </c>
      <c r="F830" s="9">
        <v>0.77478009259259262</v>
      </c>
      <c r="G830" s="8">
        <v>45286</v>
      </c>
      <c r="H830" s="9">
        <v>0.42921296296296296</v>
      </c>
      <c r="I830" s="7" t="s">
        <v>556</v>
      </c>
      <c r="J830" s="7" t="s">
        <v>8</v>
      </c>
      <c r="K830" s="18" t="str">
        <f>_xlfn.XLOOKUP(tblMaster[[#This Row],[Customer_ID]],tblCustomers[Customer_ID],tblCustomers[City],"Not Found",0)</f>
        <v>Machilipatnam</v>
      </c>
      <c r="L830" s="18" t="str">
        <f>_xlfn.XLOOKUP(tblMaster[[#This Row],[Customer_ID]],tblCustomers[Customer_ID],tblCustomers[Name],"Not Found",0)</f>
        <v>Samaira Ganesh</v>
      </c>
      <c r="M830" s="18" t="str">
        <f>_xlfn.XLOOKUP(tblMaster[[#This Row],[Customer_ID]],tblCustomers[Customer_ID],tblCustomers[Gender],"Not Found",0)</f>
        <v>Male</v>
      </c>
      <c r="N830" s="18" t="str">
        <f>_xlfn.XLOOKUP(tblMaster[[#This Row],[Product_ID]],tblProducts[Product_ID],tblProducts[Product_Name],"Not Found",0)</f>
        <v>Expedita Gift</v>
      </c>
      <c r="O830" s="18" t="str">
        <f>_xlfn.XLOOKUP(tblMaster[[#This Row],[Product_ID]],tblProducts[Product_ID],tblProducts[Category],"Not Found",0)</f>
        <v>Sweets</v>
      </c>
      <c r="P830" s="18" t="str">
        <f>_xlfn.XLOOKUP(tblMaster[[#This Row],[Product_ID]],tblProducts[Product_ID],tblProducts[Occasion],"Not Found",0)</f>
        <v>All Occasions</v>
      </c>
      <c r="Q830" s="18">
        <f>_xlfn.XLOOKUP(tblMaster[[#This Row],[Product_ID]],tblProducts[Product_ID],tblProducts[Price (INR)],"Not Found",0)</f>
        <v>1744</v>
      </c>
      <c r="R830" s="19">
        <f>tblMaster[[#This Row],[Price]]*tblMaster[[#This Row],[Quantity]]</f>
        <v>6976</v>
      </c>
      <c r="S830" s="19">
        <f>tblMaster[[#This Row],[Price]]*0.7*tblMaster[[#This Row],[Quantity]]</f>
        <v>4883.2</v>
      </c>
      <c r="T830" s="19">
        <f>tblMaster[[#This Row],[Revenue]]-tblMaster[[#This Row],[Estimated Cost (at 70%) ]]</f>
        <v>2092.8000000000002</v>
      </c>
      <c r="U830" s="19">
        <f>tblMaster[[#This Row],[Profit]]/tblMaster[[#This Row],[Revenue]]</f>
        <v>0.30000000000000004</v>
      </c>
      <c r="V830" s="19">
        <f>tblMaster[[#This Row],[Delivery_Date]]-tblMaster[[#This Row],[Order_Date]]</f>
        <v>7</v>
      </c>
      <c r="W830" s="19" t="str">
        <f>TEXT(tblMaster[[#This Row],[Order_Date]],"mmmm")</f>
        <v>December</v>
      </c>
      <c r="X830" s="19">
        <f>MONTH(tblMaster[[#This Row],[Order_Date]])</f>
        <v>12</v>
      </c>
      <c r="Y830" s="19" t="str">
        <f>"Q"&amp;ROUNDUP(tblMaster[[#This Row],[Month Number]]/3,0)</f>
        <v>Q4</v>
      </c>
      <c r="Z830" s="19">
        <f>YEAR(tblMaster[[#This Row],[Order_Date]])</f>
        <v>2023</v>
      </c>
      <c r="AA830" s="19" t="str">
        <f>TEXT(DAY(tblMaster[[#This Row],[Order_Date]]),"dddd")</f>
        <v>Thursday</v>
      </c>
      <c r="AB830" s="19" t="str">
        <f>IF(tblMaster[[#This Row],[Revenue]]&gt;=5000,"High",IF(tblMaster[[#This Row],[Revenue]]&lt;2000,"Low","Medium"))</f>
        <v>High</v>
      </c>
    </row>
    <row r="831" spans="1:28" x14ac:dyDescent="0.25">
      <c r="A831" s="10">
        <v>830</v>
      </c>
      <c r="B831" s="10" t="s">
        <v>369</v>
      </c>
      <c r="C831" s="5">
        <v>46</v>
      </c>
      <c r="D831" s="5">
        <v>2</v>
      </c>
      <c r="E831" s="11">
        <v>44938</v>
      </c>
      <c r="F831" s="12">
        <v>0.80478009259259264</v>
      </c>
      <c r="G831" s="11">
        <v>44941</v>
      </c>
      <c r="H831" s="12">
        <v>0.21135416666666668</v>
      </c>
      <c r="I831" s="10" t="s">
        <v>230</v>
      </c>
      <c r="J831" s="10" t="s">
        <v>30</v>
      </c>
      <c r="K831" s="18" t="str">
        <f>_xlfn.XLOOKUP(tblMaster[[#This Row],[Customer_ID]],tblCustomers[Customer_ID],tblCustomers[City],"Not Found",0)</f>
        <v>Berhampore</v>
      </c>
      <c r="L831" s="18" t="str">
        <f>_xlfn.XLOOKUP(tblMaster[[#This Row],[Customer_ID]],tblCustomers[Customer_ID],tblCustomers[Name],"Not Found",0)</f>
        <v>Jayant Kamdar</v>
      </c>
      <c r="M831" s="18" t="str">
        <f>_xlfn.XLOOKUP(tblMaster[[#This Row],[Customer_ID]],tblCustomers[Customer_ID],tblCustomers[Gender],"Not Found",0)</f>
        <v>Male</v>
      </c>
      <c r="N831" s="18" t="str">
        <f>_xlfn.XLOOKUP(tblMaster[[#This Row],[Product_ID]],tblProducts[Product_ID],tblProducts[Product_Name],"Not Found",0)</f>
        <v>Pariatur Set</v>
      </c>
      <c r="O831" s="18" t="str">
        <f>_xlfn.XLOOKUP(tblMaster[[#This Row],[Product_ID]],tblProducts[Product_ID],tblProducts[Category],"Not Found",0)</f>
        <v>Cake</v>
      </c>
      <c r="P831" s="18" t="str">
        <f>_xlfn.XLOOKUP(tblMaster[[#This Row],[Product_ID]],tblProducts[Product_ID],tblProducts[Occasion],"Not Found",0)</f>
        <v>Anniversary</v>
      </c>
      <c r="Q831" s="18">
        <f>_xlfn.XLOOKUP(tblMaster[[#This Row],[Product_ID]],tblProducts[Product_ID],tblProducts[Price (INR)],"Not Found",0)</f>
        <v>758</v>
      </c>
      <c r="R831" s="19">
        <f>tblMaster[[#This Row],[Price]]*tblMaster[[#This Row],[Quantity]]</f>
        <v>1516</v>
      </c>
      <c r="S831" s="19">
        <f>tblMaster[[#This Row],[Price]]*0.7*tblMaster[[#This Row],[Quantity]]</f>
        <v>1061.2</v>
      </c>
      <c r="T831" s="19">
        <f>tblMaster[[#This Row],[Revenue]]-tblMaster[[#This Row],[Estimated Cost (at 70%) ]]</f>
        <v>454.79999999999995</v>
      </c>
      <c r="U831" s="19">
        <f>tblMaster[[#This Row],[Profit]]/tblMaster[[#This Row],[Revenue]]</f>
        <v>0.3</v>
      </c>
      <c r="V831" s="19">
        <f>tblMaster[[#This Row],[Delivery_Date]]-tblMaster[[#This Row],[Order_Date]]</f>
        <v>3</v>
      </c>
      <c r="W831" s="19" t="str">
        <f>TEXT(tblMaster[[#This Row],[Order_Date]],"mmmm")</f>
        <v>January</v>
      </c>
      <c r="X831" s="19">
        <f>MONTH(tblMaster[[#This Row],[Order_Date]])</f>
        <v>1</v>
      </c>
      <c r="Y831" s="19" t="str">
        <f>"Q"&amp;ROUNDUP(tblMaster[[#This Row],[Month Number]]/3,0)</f>
        <v>Q1</v>
      </c>
      <c r="Z831" s="19">
        <f>YEAR(tblMaster[[#This Row],[Order_Date]])</f>
        <v>2023</v>
      </c>
      <c r="AA831" s="19" t="str">
        <f>TEXT(DAY(tblMaster[[#This Row],[Order_Date]]),"dddd")</f>
        <v>Thursday</v>
      </c>
      <c r="AB831" s="19" t="str">
        <f>IF(tblMaster[[#This Row],[Revenue]]&gt;=5000,"High",IF(tblMaster[[#This Row],[Revenue]]&lt;2000,"Low","Medium"))</f>
        <v>Low</v>
      </c>
    </row>
    <row r="832" spans="1:28" x14ac:dyDescent="0.25">
      <c r="A832" s="7">
        <v>831</v>
      </c>
      <c r="B832" s="7" t="s">
        <v>424</v>
      </c>
      <c r="C832" s="4">
        <v>56</v>
      </c>
      <c r="D832" s="4">
        <v>5</v>
      </c>
      <c r="E832" s="8">
        <v>45070</v>
      </c>
      <c r="F832" s="9">
        <v>0.77885416666666663</v>
      </c>
      <c r="G832" s="8">
        <v>45080</v>
      </c>
      <c r="H832" s="9">
        <v>0.79603009259259261</v>
      </c>
      <c r="I832" s="7" t="s">
        <v>508</v>
      </c>
      <c r="J832" s="7" t="s">
        <v>30</v>
      </c>
      <c r="K832" s="18" t="str">
        <f>_xlfn.XLOOKUP(tblMaster[[#This Row],[Customer_ID]],tblCustomers[Customer_ID],tblCustomers[City],"Not Found",0)</f>
        <v>Bhilai</v>
      </c>
      <c r="L832" s="18" t="str">
        <f>_xlfn.XLOOKUP(tblMaster[[#This Row],[Customer_ID]],tblCustomers[Customer_ID],tblCustomers[Name],"Not Found",0)</f>
        <v>Vedika Sankaran</v>
      </c>
      <c r="M832" s="18" t="str">
        <f>_xlfn.XLOOKUP(tblMaster[[#This Row],[Customer_ID]],tblCustomers[Customer_ID],tblCustomers[Gender],"Not Found",0)</f>
        <v>Female</v>
      </c>
      <c r="N832" s="18" t="str">
        <f>_xlfn.XLOOKUP(tblMaster[[#This Row],[Product_ID]],tblProducts[Product_ID],tblProducts[Product_Name],"Not Found",0)</f>
        <v>Quia Gift</v>
      </c>
      <c r="O832" s="18" t="str">
        <f>_xlfn.XLOOKUP(tblMaster[[#This Row],[Product_ID]],tblProducts[Product_ID],tblProducts[Category],"Not Found",0)</f>
        <v>Raksha Bandhan</v>
      </c>
      <c r="P832" s="18" t="str">
        <f>_xlfn.XLOOKUP(tblMaster[[#This Row],[Product_ID]],tblProducts[Product_ID],tblProducts[Occasion],"Not Found",0)</f>
        <v>Anniversary</v>
      </c>
      <c r="Q832" s="18">
        <f>_xlfn.XLOOKUP(tblMaster[[#This Row],[Product_ID]],tblProducts[Product_ID],tblProducts[Price (INR)],"Not Found",0)</f>
        <v>1272</v>
      </c>
      <c r="R832" s="19">
        <f>tblMaster[[#This Row],[Price]]*tblMaster[[#This Row],[Quantity]]</f>
        <v>6360</v>
      </c>
      <c r="S832" s="19">
        <f>tblMaster[[#This Row],[Price]]*0.7*tblMaster[[#This Row],[Quantity]]</f>
        <v>4452</v>
      </c>
      <c r="T832" s="19">
        <f>tblMaster[[#This Row],[Revenue]]-tblMaster[[#This Row],[Estimated Cost (at 70%) ]]</f>
        <v>1908</v>
      </c>
      <c r="U832" s="19">
        <f>tblMaster[[#This Row],[Profit]]/tblMaster[[#This Row],[Revenue]]</f>
        <v>0.3</v>
      </c>
      <c r="V832" s="19">
        <f>tblMaster[[#This Row],[Delivery_Date]]-tblMaster[[#This Row],[Order_Date]]</f>
        <v>10</v>
      </c>
      <c r="W832" s="19" t="str">
        <f>TEXT(tblMaster[[#This Row],[Order_Date]],"mmmm")</f>
        <v>May</v>
      </c>
      <c r="X832" s="19">
        <f>MONTH(tblMaster[[#This Row],[Order_Date]])</f>
        <v>5</v>
      </c>
      <c r="Y832" s="19" t="str">
        <f>"Q"&amp;ROUNDUP(tblMaster[[#This Row],[Month Number]]/3,0)</f>
        <v>Q2</v>
      </c>
      <c r="Z832" s="19">
        <f>YEAR(tblMaster[[#This Row],[Order_Date]])</f>
        <v>2023</v>
      </c>
      <c r="AA832" s="19" t="str">
        <f>TEXT(DAY(tblMaster[[#This Row],[Order_Date]]),"dddd")</f>
        <v>Tuesday</v>
      </c>
      <c r="AB832" s="19" t="str">
        <f>IF(tblMaster[[#This Row],[Revenue]]&gt;=5000,"High",IF(tblMaster[[#This Row],[Revenue]]&lt;2000,"Low","Medium"))</f>
        <v>High</v>
      </c>
    </row>
    <row r="833" spans="1:28" x14ac:dyDescent="0.25">
      <c r="A833" s="10">
        <v>832</v>
      </c>
      <c r="B833" s="10" t="s">
        <v>335</v>
      </c>
      <c r="C833" s="5">
        <v>65</v>
      </c>
      <c r="D833" s="5">
        <v>4</v>
      </c>
      <c r="E833" s="11">
        <v>44958</v>
      </c>
      <c r="F833" s="12">
        <v>0.78916666666666668</v>
      </c>
      <c r="G833" s="11">
        <v>44967</v>
      </c>
      <c r="H833" s="12">
        <v>9.6863425925925922E-2</v>
      </c>
      <c r="I833" s="10" t="s">
        <v>394</v>
      </c>
      <c r="J833" s="10" t="s">
        <v>8</v>
      </c>
      <c r="K833" s="18" t="str">
        <f>_xlfn.XLOOKUP(tblMaster[[#This Row],[Customer_ID]],tblCustomers[Customer_ID],tblCustomers[City],"Not Found",0)</f>
        <v>Farrukhabad</v>
      </c>
      <c r="L833" s="18" t="str">
        <f>_xlfn.XLOOKUP(tblMaster[[#This Row],[Customer_ID]],tblCustomers[Customer_ID],tblCustomers[Name],"Not Found",0)</f>
        <v>Ira Chahal</v>
      </c>
      <c r="M833" s="18" t="str">
        <f>_xlfn.XLOOKUP(tblMaster[[#This Row],[Customer_ID]],tblCustomers[Customer_ID],tblCustomers[Gender],"Not Found",0)</f>
        <v>Female</v>
      </c>
      <c r="N833" s="18" t="str">
        <f>_xlfn.XLOOKUP(tblMaster[[#This Row],[Product_ID]],tblProducts[Product_ID],tblProducts[Product_Name],"Not Found",0)</f>
        <v>Error Gift</v>
      </c>
      <c r="O833" s="18" t="str">
        <f>_xlfn.XLOOKUP(tblMaster[[#This Row],[Product_ID]],tblProducts[Product_ID],tblProducts[Category],"Not Found",0)</f>
        <v>Raksha Bandhan</v>
      </c>
      <c r="P833" s="18" t="str">
        <f>_xlfn.XLOOKUP(tblMaster[[#This Row],[Product_ID]],tblProducts[Product_ID],tblProducts[Occasion],"Not Found",0)</f>
        <v>All Occasions</v>
      </c>
      <c r="Q833" s="18">
        <f>_xlfn.XLOOKUP(tblMaster[[#This Row],[Product_ID]],tblProducts[Product_ID],tblProducts[Price (INR)],"Not Found",0)</f>
        <v>1895</v>
      </c>
      <c r="R833" s="19">
        <f>tblMaster[[#This Row],[Price]]*tblMaster[[#This Row],[Quantity]]</f>
        <v>7580</v>
      </c>
      <c r="S833" s="19">
        <f>tblMaster[[#This Row],[Price]]*0.7*tblMaster[[#This Row],[Quantity]]</f>
        <v>5306</v>
      </c>
      <c r="T833" s="19">
        <f>tblMaster[[#This Row],[Revenue]]-tblMaster[[#This Row],[Estimated Cost (at 70%) ]]</f>
        <v>2274</v>
      </c>
      <c r="U833" s="19">
        <f>tblMaster[[#This Row],[Profit]]/tblMaster[[#This Row],[Revenue]]</f>
        <v>0.3</v>
      </c>
      <c r="V833" s="19">
        <f>tblMaster[[#This Row],[Delivery_Date]]-tblMaster[[#This Row],[Order_Date]]</f>
        <v>9</v>
      </c>
      <c r="W833" s="19" t="str">
        <f>TEXT(tblMaster[[#This Row],[Order_Date]],"mmmm")</f>
        <v>February</v>
      </c>
      <c r="X833" s="19">
        <f>MONTH(tblMaster[[#This Row],[Order_Date]])</f>
        <v>2</v>
      </c>
      <c r="Y833" s="19" t="str">
        <f>"Q"&amp;ROUNDUP(tblMaster[[#This Row],[Month Number]]/3,0)</f>
        <v>Q1</v>
      </c>
      <c r="Z833" s="19">
        <f>YEAR(tblMaster[[#This Row],[Order_Date]])</f>
        <v>2023</v>
      </c>
      <c r="AA833" s="19" t="str">
        <f>TEXT(DAY(tblMaster[[#This Row],[Order_Date]]),"dddd")</f>
        <v>Sunday</v>
      </c>
      <c r="AB833" s="19" t="str">
        <f>IF(tblMaster[[#This Row],[Revenue]]&gt;=5000,"High",IF(tblMaster[[#This Row],[Revenue]]&lt;2000,"Low","Medium"))</f>
        <v>High</v>
      </c>
    </row>
    <row r="834" spans="1:28" x14ac:dyDescent="0.25">
      <c r="A834" s="7">
        <v>833</v>
      </c>
      <c r="B834" s="7" t="s">
        <v>488</v>
      </c>
      <c r="C834" s="4">
        <v>26</v>
      </c>
      <c r="D834" s="4">
        <v>3</v>
      </c>
      <c r="E834" s="8">
        <v>44990</v>
      </c>
      <c r="F834" s="9">
        <v>2.8333333333333332E-2</v>
      </c>
      <c r="G834" s="8">
        <v>44998</v>
      </c>
      <c r="H834" s="9">
        <v>6.9641203703703705E-2</v>
      </c>
      <c r="I834" s="7" t="s">
        <v>301</v>
      </c>
      <c r="J834" s="7" t="s">
        <v>25</v>
      </c>
      <c r="K834" s="18" t="str">
        <f>_xlfn.XLOOKUP(tblMaster[[#This Row],[Customer_ID]],tblCustomers[Customer_ID],tblCustomers[City],"Not Found",0)</f>
        <v>Bulandshahr</v>
      </c>
      <c r="L834" s="18" t="str">
        <f>_xlfn.XLOOKUP(tblMaster[[#This Row],[Customer_ID]],tblCustomers[Customer_ID],tblCustomers[Name],"Not Found",0)</f>
        <v>Myra Edwin</v>
      </c>
      <c r="M834" s="18" t="str">
        <f>_xlfn.XLOOKUP(tblMaster[[#This Row],[Customer_ID]],tblCustomers[Customer_ID],tblCustomers[Gender],"Not Found",0)</f>
        <v>Female</v>
      </c>
      <c r="N834" s="18" t="str">
        <f>_xlfn.XLOOKUP(tblMaster[[#This Row],[Product_ID]],tblProducts[Product_ID],tblProducts[Product_Name],"Not Found",0)</f>
        <v>Aliquam Box</v>
      </c>
      <c r="O834" s="18" t="str">
        <f>_xlfn.XLOOKUP(tblMaster[[#This Row],[Product_ID]],tblProducts[Product_ID],tblProducts[Category],"Not Found",0)</f>
        <v>Colors</v>
      </c>
      <c r="P834" s="18" t="str">
        <f>_xlfn.XLOOKUP(tblMaster[[#This Row],[Product_ID]],tblProducts[Product_ID],tblProducts[Occasion],"Not Found",0)</f>
        <v>Holi</v>
      </c>
      <c r="Q834" s="18">
        <f>_xlfn.XLOOKUP(tblMaster[[#This Row],[Product_ID]],tblProducts[Product_ID],tblProducts[Price (INR)],"Not Found",0)</f>
        <v>289</v>
      </c>
      <c r="R834" s="19">
        <f>tblMaster[[#This Row],[Price]]*tblMaster[[#This Row],[Quantity]]</f>
        <v>867</v>
      </c>
      <c r="S834" s="19">
        <f>tblMaster[[#This Row],[Price]]*0.7*tblMaster[[#This Row],[Quantity]]</f>
        <v>606.9</v>
      </c>
      <c r="T834" s="19">
        <f>tblMaster[[#This Row],[Revenue]]-tblMaster[[#This Row],[Estimated Cost (at 70%) ]]</f>
        <v>260.10000000000002</v>
      </c>
      <c r="U834" s="19">
        <f>tblMaster[[#This Row],[Profit]]/tblMaster[[#This Row],[Revenue]]</f>
        <v>0.30000000000000004</v>
      </c>
      <c r="V834" s="19">
        <f>tblMaster[[#This Row],[Delivery_Date]]-tblMaster[[#This Row],[Order_Date]]</f>
        <v>8</v>
      </c>
      <c r="W834" s="19" t="str">
        <f>TEXT(tblMaster[[#This Row],[Order_Date]],"mmmm")</f>
        <v>March</v>
      </c>
      <c r="X834" s="19">
        <f>MONTH(tblMaster[[#This Row],[Order_Date]])</f>
        <v>3</v>
      </c>
      <c r="Y834" s="19" t="str">
        <f>"Q"&amp;ROUNDUP(tblMaster[[#This Row],[Month Number]]/3,0)</f>
        <v>Q1</v>
      </c>
      <c r="Z834" s="19">
        <f>YEAR(tblMaster[[#This Row],[Order_Date]])</f>
        <v>2023</v>
      </c>
      <c r="AA834" s="19" t="str">
        <f>TEXT(DAY(tblMaster[[#This Row],[Order_Date]]),"dddd")</f>
        <v>Thursday</v>
      </c>
      <c r="AB834" s="19" t="str">
        <f>IF(tblMaster[[#This Row],[Revenue]]&gt;=5000,"High",IF(tblMaster[[#This Row],[Revenue]]&lt;2000,"Low","Medium"))</f>
        <v>Low</v>
      </c>
    </row>
    <row r="835" spans="1:28" x14ac:dyDescent="0.25">
      <c r="A835" s="10">
        <v>834</v>
      </c>
      <c r="B835" s="10" t="s">
        <v>170</v>
      </c>
      <c r="C835" s="5">
        <v>60</v>
      </c>
      <c r="D835" s="5">
        <v>5</v>
      </c>
      <c r="E835" s="11">
        <v>45233</v>
      </c>
      <c r="F835" s="12">
        <v>0.77453703703703702</v>
      </c>
      <c r="G835" s="11">
        <v>45242</v>
      </c>
      <c r="H835" s="12">
        <v>0.58459490740740738</v>
      </c>
      <c r="I835" s="10" t="s">
        <v>275</v>
      </c>
      <c r="J835" s="10" t="s">
        <v>19</v>
      </c>
      <c r="K835" s="18" t="str">
        <f>_xlfn.XLOOKUP(tblMaster[[#This Row],[Customer_ID]],tblCustomers[Customer_ID],tblCustomers[City],"Not Found",0)</f>
        <v>Haridwar</v>
      </c>
      <c r="L835" s="18" t="str">
        <f>_xlfn.XLOOKUP(tblMaster[[#This Row],[Customer_ID]],tblCustomers[Customer_ID],tblCustomers[Name],"Not Found",0)</f>
        <v>Badal Sathe</v>
      </c>
      <c r="M835" s="18" t="str">
        <f>_xlfn.XLOOKUP(tblMaster[[#This Row],[Customer_ID]],tblCustomers[Customer_ID],tblCustomers[Gender],"Not Found",0)</f>
        <v>Female</v>
      </c>
      <c r="N835" s="18" t="str">
        <f>_xlfn.XLOOKUP(tblMaster[[#This Row],[Product_ID]],tblProducts[Product_ID],tblProducts[Product_Name],"Not Found",0)</f>
        <v>Ea Set</v>
      </c>
      <c r="O835" s="18" t="str">
        <f>_xlfn.XLOOKUP(tblMaster[[#This Row],[Product_ID]],tblProducts[Product_ID],tblProducts[Category],"Not Found",0)</f>
        <v>Sweets</v>
      </c>
      <c r="P835" s="18" t="str">
        <f>_xlfn.XLOOKUP(tblMaster[[#This Row],[Product_ID]],tblProducts[Product_ID],tblProducts[Occasion],"Not Found",0)</f>
        <v>Diwali</v>
      </c>
      <c r="Q835" s="18">
        <f>_xlfn.XLOOKUP(tblMaster[[#This Row],[Product_ID]],tblProducts[Product_ID],tblProducts[Price (INR)],"Not Found",0)</f>
        <v>827</v>
      </c>
      <c r="R835" s="19">
        <f>tblMaster[[#This Row],[Price]]*tblMaster[[#This Row],[Quantity]]</f>
        <v>4135</v>
      </c>
      <c r="S835" s="19">
        <f>tblMaster[[#This Row],[Price]]*0.7*tblMaster[[#This Row],[Quantity]]</f>
        <v>2894.5</v>
      </c>
      <c r="T835" s="19">
        <f>tblMaster[[#This Row],[Revenue]]-tblMaster[[#This Row],[Estimated Cost (at 70%) ]]</f>
        <v>1240.5</v>
      </c>
      <c r="U835" s="19">
        <f>tblMaster[[#This Row],[Profit]]/tblMaster[[#This Row],[Revenue]]</f>
        <v>0.3</v>
      </c>
      <c r="V835" s="19">
        <f>tblMaster[[#This Row],[Delivery_Date]]-tblMaster[[#This Row],[Order_Date]]</f>
        <v>9</v>
      </c>
      <c r="W835" s="19" t="str">
        <f>TEXT(tblMaster[[#This Row],[Order_Date]],"mmmm")</f>
        <v>November</v>
      </c>
      <c r="X835" s="19">
        <f>MONTH(tblMaster[[#This Row],[Order_Date]])</f>
        <v>11</v>
      </c>
      <c r="Y835" s="19" t="str">
        <f>"Q"&amp;ROUNDUP(tblMaster[[#This Row],[Month Number]]/3,0)</f>
        <v>Q4</v>
      </c>
      <c r="Z835" s="19">
        <f>YEAR(tblMaster[[#This Row],[Order_Date]])</f>
        <v>2023</v>
      </c>
      <c r="AA835" s="19" t="str">
        <f>TEXT(DAY(tblMaster[[#This Row],[Order_Date]]),"dddd")</f>
        <v>Tuesday</v>
      </c>
      <c r="AB835" s="19" t="str">
        <f>IF(tblMaster[[#This Row],[Revenue]]&gt;=5000,"High",IF(tblMaster[[#This Row],[Revenue]]&lt;2000,"Low","Medium"))</f>
        <v>Medium</v>
      </c>
    </row>
    <row r="836" spans="1:28" x14ac:dyDescent="0.25">
      <c r="A836" s="7">
        <v>835</v>
      </c>
      <c r="B836" s="7" t="s">
        <v>402</v>
      </c>
      <c r="C836" s="4">
        <v>32</v>
      </c>
      <c r="D836" s="4">
        <v>2</v>
      </c>
      <c r="E836" s="8">
        <v>45112</v>
      </c>
      <c r="F836" s="9">
        <v>0.73325231481481479</v>
      </c>
      <c r="G836" s="8">
        <v>45113</v>
      </c>
      <c r="H836" s="9">
        <v>0.98207175925925927</v>
      </c>
      <c r="I836" s="7" t="s">
        <v>529</v>
      </c>
      <c r="J836" s="7" t="s">
        <v>36</v>
      </c>
      <c r="K836" s="18" t="str">
        <f>_xlfn.XLOOKUP(tblMaster[[#This Row],[Customer_ID]],tblCustomers[Customer_ID],tblCustomers[City],"Not Found",0)</f>
        <v>Nellore</v>
      </c>
      <c r="L836" s="18" t="str">
        <f>_xlfn.XLOOKUP(tblMaster[[#This Row],[Customer_ID]],tblCustomers[Customer_ID],tblCustomers[Name],"Not Found",0)</f>
        <v>Oorja Dey</v>
      </c>
      <c r="M836" s="18" t="str">
        <f>_xlfn.XLOOKUP(tblMaster[[#This Row],[Customer_ID]],tblCustomers[Customer_ID],tblCustomers[Gender],"Not Found",0)</f>
        <v>Female</v>
      </c>
      <c r="N836" s="18" t="str">
        <f>_xlfn.XLOOKUP(tblMaster[[#This Row],[Product_ID]],tblProducts[Product_ID],tblProducts[Product_Name],"Not Found",0)</f>
        <v>Fuga Set</v>
      </c>
      <c r="O836" s="18" t="str">
        <f>_xlfn.XLOOKUP(tblMaster[[#This Row],[Product_ID]],tblProducts[Product_ID],tblProducts[Category],"Not Found",0)</f>
        <v>Soft Toys</v>
      </c>
      <c r="P836" s="18" t="str">
        <f>_xlfn.XLOOKUP(tblMaster[[#This Row],[Product_ID]],tblProducts[Product_ID],tblProducts[Occasion],"Not Found",0)</f>
        <v>Birthday</v>
      </c>
      <c r="Q836" s="18">
        <f>_xlfn.XLOOKUP(tblMaster[[#This Row],[Product_ID]],tblProducts[Product_ID],tblProducts[Price (INR)],"Not Found",0)</f>
        <v>1792</v>
      </c>
      <c r="R836" s="19">
        <f>tblMaster[[#This Row],[Price]]*tblMaster[[#This Row],[Quantity]]</f>
        <v>3584</v>
      </c>
      <c r="S836" s="19">
        <f>tblMaster[[#This Row],[Price]]*0.7*tblMaster[[#This Row],[Quantity]]</f>
        <v>2508.7999999999997</v>
      </c>
      <c r="T836" s="19">
        <f>tblMaster[[#This Row],[Revenue]]-tblMaster[[#This Row],[Estimated Cost (at 70%) ]]</f>
        <v>1075.2000000000003</v>
      </c>
      <c r="U836" s="19">
        <f>tblMaster[[#This Row],[Profit]]/tblMaster[[#This Row],[Revenue]]</f>
        <v>0.3000000000000001</v>
      </c>
      <c r="V836" s="19">
        <f>tblMaster[[#This Row],[Delivery_Date]]-tblMaster[[#This Row],[Order_Date]]</f>
        <v>1</v>
      </c>
      <c r="W836" s="19" t="str">
        <f>TEXT(tblMaster[[#This Row],[Order_Date]],"mmmm")</f>
        <v>July</v>
      </c>
      <c r="X836" s="19">
        <f>MONTH(tblMaster[[#This Row],[Order_Date]])</f>
        <v>7</v>
      </c>
      <c r="Y836" s="19" t="str">
        <f>"Q"&amp;ROUNDUP(tblMaster[[#This Row],[Month Number]]/3,0)</f>
        <v>Q3</v>
      </c>
      <c r="Z836" s="19">
        <f>YEAR(tblMaster[[#This Row],[Order_Date]])</f>
        <v>2023</v>
      </c>
      <c r="AA836" s="19" t="str">
        <f>TEXT(DAY(tblMaster[[#This Row],[Order_Date]]),"dddd")</f>
        <v>Thursday</v>
      </c>
      <c r="AB836" s="19" t="str">
        <f>IF(tblMaster[[#This Row],[Revenue]]&gt;=5000,"High",IF(tblMaster[[#This Row],[Revenue]]&lt;2000,"Low","Medium"))</f>
        <v>Medium</v>
      </c>
    </row>
    <row r="837" spans="1:28" x14ac:dyDescent="0.25">
      <c r="A837" s="10">
        <v>836</v>
      </c>
      <c r="B837" s="10" t="s">
        <v>246</v>
      </c>
      <c r="C837" s="5">
        <v>44</v>
      </c>
      <c r="D837" s="5">
        <v>5</v>
      </c>
      <c r="E837" s="11">
        <v>45238</v>
      </c>
      <c r="F837" s="12">
        <v>0.1083912037037037</v>
      </c>
      <c r="G837" s="11">
        <v>45241</v>
      </c>
      <c r="H837" s="12">
        <v>0.13295138888888888</v>
      </c>
      <c r="I837" s="10" t="s">
        <v>545</v>
      </c>
      <c r="J837" s="10" t="s">
        <v>19</v>
      </c>
      <c r="K837" s="18" t="str">
        <f>_xlfn.XLOOKUP(tblMaster[[#This Row],[Customer_ID]],tblCustomers[Customer_ID],tblCustomers[City],"Not Found",0)</f>
        <v>Machilipatnam</v>
      </c>
      <c r="L837" s="18" t="str">
        <f>_xlfn.XLOOKUP(tblMaster[[#This Row],[Customer_ID]],tblCustomers[Customer_ID],tblCustomers[Name],"Not Found",0)</f>
        <v>Samaira Ganesh</v>
      </c>
      <c r="M837" s="18" t="str">
        <f>_xlfn.XLOOKUP(tblMaster[[#This Row],[Customer_ID]],tblCustomers[Customer_ID],tblCustomers[Gender],"Not Found",0)</f>
        <v>Male</v>
      </c>
      <c r="N837" s="18" t="str">
        <f>_xlfn.XLOOKUP(tblMaster[[#This Row],[Product_ID]],tblProducts[Product_ID],tblProducts[Product_Name],"Not Found",0)</f>
        <v>Dolorum Set</v>
      </c>
      <c r="O837" s="18" t="str">
        <f>_xlfn.XLOOKUP(tblMaster[[#This Row],[Product_ID]],tblProducts[Product_ID],tblProducts[Category],"Not Found",0)</f>
        <v>Plants</v>
      </c>
      <c r="P837" s="18" t="str">
        <f>_xlfn.XLOOKUP(tblMaster[[#This Row],[Product_ID]],tblProducts[Product_ID],tblProducts[Occasion],"Not Found",0)</f>
        <v>Diwali</v>
      </c>
      <c r="Q837" s="18">
        <f>_xlfn.XLOOKUP(tblMaster[[#This Row],[Product_ID]],tblProducts[Product_ID],tblProducts[Price (INR)],"Not Found",0)</f>
        <v>794</v>
      </c>
      <c r="R837" s="19">
        <f>tblMaster[[#This Row],[Price]]*tblMaster[[#This Row],[Quantity]]</f>
        <v>3970</v>
      </c>
      <c r="S837" s="19">
        <f>tblMaster[[#This Row],[Price]]*0.7*tblMaster[[#This Row],[Quantity]]</f>
        <v>2779</v>
      </c>
      <c r="T837" s="19">
        <f>tblMaster[[#This Row],[Revenue]]-tblMaster[[#This Row],[Estimated Cost (at 70%) ]]</f>
        <v>1191</v>
      </c>
      <c r="U837" s="19">
        <f>tblMaster[[#This Row],[Profit]]/tblMaster[[#This Row],[Revenue]]</f>
        <v>0.3</v>
      </c>
      <c r="V837" s="19">
        <f>tblMaster[[#This Row],[Delivery_Date]]-tblMaster[[#This Row],[Order_Date]]</f>
        <v>3</v>
      </c>
      <c r="W837" s="19" t="str">
        <f>TEXT(tblMaster[[#This Row],[Order_Date]],"mmmm")</f>
        <v>November</v>
      </c>
      <c r="X837" s="19">
        <f>MONTH(tblMaster[[#This Row],[Order_Date]])</f>
        <v>11</v>
      </c>
      <c r="Y837" s="19" t="str">
        <f>"Q"&amp;ROUNDUP(tblMaster[[#This Row],[Month Number]]/3,0)</f>
        <v>Q4</v>
      </c>
      <c r="Z837" s="19">
        <f>YEAR(tblMaster[[#This Row],[Order_Date]])</f>
        <v>2023</v>
      </c>
      <c r="AA837" s="19" t="str">
        <f>TEXT(DAY(tblMaster[[#This Row],[Order_Date]]),"dddd")</f>
        <v>Sunday</v>
      </c>
      <c r="AB837" s="19" t="str">
        <f>IF(tblMaster[[#This Row],[Revenue]]&gt;=5000,"High",IF(tblMaster[[#This Row],[Revenue]]&lt;2000,"Low","Medium"))</f>
        <v>Medium</v>
      </c>
    </row>
    <row r="838" spans="1:28" x14ac:dyDescent="0.25">
      <c r="A838" s="7">
        <v>837</v>
      </c>
      <c r="B838" s="7" t="s">
        <v>250</v>
      </c>
      <c r="C838" s="4">
        <v>14</v>
      </c>
      <c r="D838" s="4">
        <v>5</v>
      </c>
      <c r="E838" s="8">
        <v>45279</v>
      </c>
      <c r="F838" s="9">
        <v>0.53972222222222221</v>
      </c>
      <c r="G838" s="8">
        <v>45281</v>
      </c>
      <c r="H838" s="9">
        <v>4.1666666666666669E-4</v>
      </c>
      <c r="I838" s="7" t="s">
        <v>448</v>
      </c>
      <c r="J838" s="7" t="s">
        <v>36</v>
      </c>
      <c r="K838" s="18" t="str">
        <f>_xlfn.XLOOKUP(tblMaster[[#This Row],[Customer_ID]],tblCustomers[Customer_ID],tblCustomers[City],"Not Found",0)</f>
        <v>Dibrugarh</v>
      </c>
      <c r="L838" s="18" t="str">
        <f>_xlfn.XLOOKUP(tblMaster[[#This Row],[Customer_ID]],tblCustomers[Customer_ID],tblCustomers[Name],"Not Found",0)</f>
        <v>Biju Bajwa</v>
      </c>
      <c r="M838" s="18" t="str">
        <f>_xlfn.XLOOKUP(tblMaster[[#This Row],[Customer_ID]],tblCustomers[Customer_ID],tblCustomers[Gender],"Not Found",0)</f>
        <v>Female</v>
      </c>
      <c r="N838" s="18" t="str">
        <f>_xlfn.XLOOKUP(tblMaster[[#This Row],[Product_ID]],tblProducts[Product_ID],tblProducts[Product_Name],"Not Found",0)</f>
        <v>Deserunt Box</v>
      </c>
      <c r="O838" s="18" t="str">
        <f>_xlfn.XLOOKUP(tblMaster[[#This Row],[Product_ID]],tblProducts[Product_ID],tblProducts[Category],"Not Found",0)</f>
        <v>Colors</v>
      </c>
      <c r="P838" s="18" t="str">
        <f>_xlfn.XLOOKUP(tblMaster[[#This Row],[Product_ID]],tblProducts[Product_ID],tblProducts[Occasion],"Not Found",0)</f>
        <v>Birthday</v>
      </c>
      <c r="Q838" s="18">
        <f>_xlfn.XLOOKUP(tblMaster[[#This Row],[Product_ID]],tblProducts[Product_ID],tblProducts[Price (INR)],"Not Found",0)</f>
        <v>1915</v>
      </c>
      <c r="R838" s="19">
        <f>tblMaster[[#This Row],[Price]]*tblMaster[[#This Row],[Quantity]]</f>
        <v>9575</v>
      </c>
      <c r="S838" s="19">
        <f>tblMaster[[#This Row],[Price]]*0.7*tblMaster[[#This Row],[Quantity]]</f>
        <v>6702.5</v>
      </c>
      <c r="T838" s="19">
        <f>tblMaster[[#This Row],[Revenue]]-tblMaster[[#This Row],[Estimated Cost (at 70%) ]]</f>
        <v>2872.5</v>
      </c>
      <c r="U838" s="19">
        <f>tblMaster[[#This Row],[Profit]]/tblMaster[[#This Row],[Revenue]]</f>
        <v>0.3</v>
      </c>
      <c r="V838" s="19">
        <f>tblMaster[[#This Row],[Delivery_Date]]-tblMaster[[#This Row],[Order_Date]]</f>
        <v>2</v>
      </c>
      <c r="W838" s="19" t="str">
        <f>TEXT(tblMaster[[#This Row],[Order_Date]],"mmmm")</f>
        <v>December</v>
      </c>
      <c r="X838" s="19">
        <f>MONTH(tblMaster[[#This Row],[Order_Date]])</f>
        <v>12</v>
      </c>
      <c r="Y838" s="19" t="str">
        <f>"Q"&amp;ROUNDUP(tblMaster[[#This Row],[Month Number]]/3,0)</f>
        <v>Q4</v>
      </c>
      <c r="Z838" s="19">
        <f>YEAR(tblMaster[[#This Row],[Order_Date]])</f>
        <v>2023</v>
      </c>
      <c r="AA838" s="19" t="str">
        <f>TEXT(DAY(tblMaster[[#This Row],[Order_Date]]),"dddd")</f>
        <v>Thursday</v>
      </c>
      <c r="AB838" s="19" t="str">
        <f>IF(tblMaster[[#This Row],[Revenue]]&gt;=5000,"High",IF(tblMaster[[#This Row],[Revenue]]&lt;2000,"Low","Medium"))</f>
        <v>High</v>
      </c>
    </row>
    <row r="839" spans="1:28" x14ac:dyDescent="0.25">
      <c r="A839" s="10">
        <v>838</v>
      </c>
      <c r="B839" s="10" t="s">
        <v>440</v>
      </c>
      <c r="C839" s="5">
        <v>19</v>
      </c>
      <c r="D839" s="5">
        <v>3</v>
      </c>
      <c r="E839" s="11">
        <v>44966</v>
      </c>
      <c r="F839" s="12">
        <v>0.42917824074074074</v>
      </c>
      <c r="G839" s="11">
        <v>44974</v>
      </c>
      <c r="H839" s="12">
        <v>0.25671296296296298</v>
      </c>
      <c r="I839" s="10" t="s">
        <v>177</v>
      </c>
      <c r="J839" s="10" t="s">
        <v>12</v>
      </c>
      <c r="K839" s="18" t="str">
        <f>_xlfn.XLOOKUP(tblMaster[[#This Row],[Customer_ID]],tblCustomers[Customer_ID],tblCustomers[City],"Not Found",0)</f>
        <v>Bilaspur</v>
      </c>
      <c r="L839" s="18" t="str">
        <f>_xlfn.XLOOKUP(tblMaster[[#This Row],[Customer_ID]],tblCustomers[Customer_ID],tblCustomers[Name],"Not Found",0)</f>
        <v>Jayesh Lanka</v>
      </c>
      <c r="M839" s="18" t="str">
        <f>_xlfn.XLOOKUP(tblMaster[[#This Row],[Customer_ID]],tblCustomers[Customer_ID],tblCustomers[Gender],"Not Found",0)</f>
        <v>Male</v>
      </c>
      <c r="N839" s="18" t="str">
        <f>_xlfn.XLOOKUP(tblMaster[[#This Row],[Product_ID]],tblProducts[Product_ID],tblProducts[Product_Name],"Not Found",0)</f>
        <v>Iure Gift</v>
      </c>
      <c r="O839" s="18" t="str">
        <f>_xlfn.XLOOKUP(tblMaster[[#This Row],[Product_ID]],tblProducts[Product_ID],tblProducts[Category],"Not Found",0)</f>
        <v>Mugs</v>
      </c>
      <c r="P839" s="18" t="str">
        <f>_xlfn.XLOOKUP(tblMaster[[#This Row],[Product_ID]],tblProducts[Product_ID],tblProducts[Occasion],"Not Found",0)</f>
        <v>Valentine's Day</v>
      </c>
      <c r="Q839" s="18">
        <f>_xlfn.XLOOKUP(tblMaster[[#This Row],[Product_ID]],tblProducts[Product_ID],tblProducts[Price (INR)],"Not Found",0)</f>
        <v>1234</v>
      </c>
      <c r="R839" s="19">
        <f>tblMaster[[#This Row],[Price]]*tblMaster[[#This Row],[Quantity]]</f>
        <v>3702</v>
      </c>
      <c r="S839" s="19">
        <f>tblMaster[[#This Row],[Price]]*0.7*tblMaster[[#This Row],[Quantity]]</f>
        <v>2591.3999999999996</v>
      </c>
      <c r="T839" s="19">
        <f>tblMaster[[#This Row],[Revenue]]-tblMaster[[#This Row],[Estimated Cost (at 70%) ]]</f>
        <v>1110.6000000000004</v>
      </c>
      <c r="U839" s="19">
        <f>tblMaster[[#This Row],[Profit]]/tblMaster[[#This Row],[Revenue]]</f>
        <v>0.3000000000000001</v>
      </c>
      <c r="V839" s="19">
        <f>tblMaster[[#This Row],[Delivery_Date]]-tblMaster[[#This Row],[Order_Date]]</f>
        <v>8</v>
      </c>
      <c r="W839" s="19" t="str">
        <f>TEXT(tblMaster[[#This Row],[Order_Date]],"mmmm")</f>
        <v>February</v>
      </c>
      <c r="X839" s="19">
        <f>MONTH(tblMaster[[#This Row],[Order_Date]])</f>
        <v>2</v>
      </c>
      <c r="Y839" s="19" t="str">
        <f>"Q"&amp;ROUNDUP(tblMaster[[#This Row],[Month Number]]/3,0)</f>
        <v>Q1</v>
      </c>
      <c r="Z839" s="19">
        <f>YEAR(tblMaster[[#This Row],[Order_Date]])</f>
        <v>2023</v>
      </c>
      <c r="AA839" s="19" t="str">
        <f>TEXT(DAY(tblMaster[[#This Row],[Order_Date]]),"dddd")</f>
        <v>Monday</v>
      </c>
      <c r="AB839" s="19" t="str">
        <f>IF(tblMaster[[#This Row],[Revenue]]&gt;=5000,"High",IF(tblMaster[[#This Row],[Revenue]]&lt;2000,"Low","Medium"))</f>
        <v>Medium</v>
      </c>
    </row>
    <row r="840" spans="1:28" x14ac:dyDescent="0.25">
      <c r="A840" s="7">
        <v>839</v>
      </c>
      <c r="B840" s="7" t="s">
        <v>197</v>
      </c>
      <c r="C840" s="4">
        <v>51</v>
      </c>
      <c r="D840" s="4">
        <v>4</v>
      </c>
      <c r="E840" s="8">
        <v>45232</v>
      </c>
      <c r="F840" s="9">
        <v>0.16068287037037038</v>
      </c>
      <c r="G840" s="8">
        <v>45242</v>
      </c>
      <c r="H840" s="9">
        <v>7.6284722222222226E-2</v>
      </c>
      <c r="I840" s="7" t="s">
        <v>561</v>
      </c>
      <c r="J840" s="7" t="s">
        <v>8</v>
      </c>
      <c r="K840" s="18" t="str">
        <f>_xlfn.XLOOKUP(tblMaster[[#This Row],[Customer_ID]],tblCustomers[Customer_ID],tblCustomers[City],"Not Found",0)</f>
        <v>Hyderabad</v>
      </c>
      <c r="L840" s="18" t="str">
        <f>_xlfn.XLOOKUP(tblMaster[[#This Row],[Customer_ID]],tblCustomers[Customer_ID],tblCustomers[Name],"Not Found",0)</f>
        <v>Charvi Karnik</v>
      </c>
      <c r="M840" s="18" t="str">
        <f>_xlfn.XLOOKUP(tblMaster[[#This Row],[Customer_ID]],tblCustomers[Customer_ID],tblCustomers[Gender],"Not Found",0)</f>
        <v>Male</v>
      </c>
      <c r="N840" s="18" t="str">
        <f>_xlfn.XLOOKUP(tblMaster[[#This Row],[Product_ID]],tblProducts[Product_ID],tblProducts[Product_Name],"Not Found",0)</f>
        <v>Fugit Set</v>
      </c>
      <c r="O840" s="18" t="str">
        <f>_xlfn.XLOOKUP(tblMaster[[#This Row],[Product_ID]],tblProducts[Product_ID],tblProducts[Category],"Not Found",0)</f>
        <v>Soft Toys</v>
      </c>
      <c r="P840" s="18" t="str">
        <f>_xlfn.XLOOKUP(tblMaster[[#This Row],[Product_ID]],tblProducts[Product_ID],tblProducts[Occasion],"Not Found",0)</f>
        <v>All Occasions</v>
      </c>
      <c r="Q840" s="18">
        <f>_xlfn.XLOOKUP(tblMaster[[#This Row],[Product_ID]],tblProducts[Product_ID],tblProducts[Price (INR)],"Not Found",0)</f>
        <v>1084</v>
      </c>
      <c r="R840" s="19">
        <f>tblMaster[[#This Row],[Price]]*tblMaster[[#This Row],[Quantity]]</f>
        <v>4336</v>
      </c>
      <c r="S840" s="19">
        <f>tblMaster[[#This Row],[Price]]*0.7*tblMaster[[#This Row],[Quantity]]</f>
        <v>3035.2</v>
      </c>
      <c r="T840" s="19">
        <f>tblMaster[[#This Row],[Revenue]]-tblMaster[[#This Row],[Estimated Cost (at 70%) ]]</f>
        <v>1300.8000000000002</v>
      </c>
      <c r="U840" s="19">
        <f>tblMaster[[#This Row],[Profit]]/tblMaster[[#This Row],[Revenue]]</f>
        <v>0.30000000000000004</v>
      </c>
      <c r="V840" s="19">
        <f>tblMaster[[#This Row],[Delivery_Date]]-tblMaster[[#This Row],[Order_Date]]</f>
        <v>10</v>
      </c>
      <c r="W840" s="19" t="str">
        <f>TEXT(tblMaster[[#This Row],[Order_Date]],"mmmm")</f>
        <v>November</v>
      </c>
      <c r="X840" s="19">
        <f>MONTH(tblMaster[[#This Row],[Order_Date]])</f>
        <v>11</v>
      </c>
      <c r="Y840" s="19" t="str">
        <f>"Q"&amp;ROUNDUP(tblMaster[[#This Row],[Month Number]]/3,0)</f>
        <v>Q4</v>
      </c>
      <c r="Z840" s="19">
        <f>YEAR(tblMaster[[#This Row],[Order_Date]])</f>
        <v>2023</v>
      </c>
      <c r="AA840" s="19" t="str">
        <f>TEXT(DAY(tblMaster[[#This Row],[Order_Date]]),"dddd")</f>
        <v>Monday</v>
      </c>
      <c r="AB840" s="19" t="str">
        <f>IF(tblMaster[[#This Row],[Revenue]]&gt;=5000,"High",IF(tblMaster[[#This Row],[Revenue]]&lt;2000,"Low","Medium"))</f>
        <v>Medium</v>
      </c>
    </row>
    <row r="841" spans="1:28" x14ac:dyDescent="0.25">
      <c r="A841" s="10">
        <v>840</v>
      </c>
      <c r="B841" s="10" t="s">
        <v>244</v>
      </c>
      <c r="C841" s="5">
        <v>67</v>
      </c>
      <c r="D841" s="5">
        <v>2</v>
      </c>
      <c r="E841" s="11">
        <v>44939</v>
      </c>
      <c r="F841" s="12">
        <v>0.80526620370370372</v>
      </c>
      <c r="G841" s="11">
        <v>44942</v>
      </c>
      <c r="H841" s="12">
        <v>0.4934027777777778</v>
      </c>
      <c r="I841" s="10" t="s">
        <v>445</v>
      </c>
      <c r="J841" s="10" t="s">
        <v>30</v>
      </c>
      <c r="K841" s="18" t="str">
        <f>_xlfn.XLOOKUP(tblMaster[[#This Row],[Customer_ID]],tblCustomers[Customer_ID],tblCustomers[City],"Not Found",0)</f>
        <v>Sasaram</v>
      </c>
      <c r="L841" s="18" t="str">
        <f>_xlfn.XLOOKUP(tblMaster[[#This Row],[Customer_ID]],tblCustomers[Customer_ID],tblCustomers[Name],"Not Found",0)</f>
        <v>Madhup Wable</v>
      </c>
      <c r="M841" s="18" t="str">
        <f>_xlfn.XLOOKUP(tblMaster[[#This Row],[Customer_ID]],tblCustomers[Customer_ID],tblCustomers[Gender],"Not Found",0)</f>
        <v>Female</v>
      </c>
      <c r="N841" s="18" t="str">
        <f>_xlfn.XLOOKUP(tblMaster[[#This Row],[Product_ID]],tblProducts[Product_ID],tblProducts[Product_Name],"Not Found",0)</f>
        <v>Maiores Box</v>
      </c>
      <c r="O841" s="18" t="str">
        <f>_xlfn.XLOOKUP(tblMaster[[#This Row],[Product_ID]],tblProducts[Product_ID],tblProducts[Category],"Not Found",0)</f>
        <v>Raksha Bandhan</v>
      </c>
      <c r="P841" s="18" t="str">
        <f>_xlfn.XLOOKUP(tblMaster[[#This Row],[Product_ID]],tblProducts[Product_ID],tblProducts[Occasion],"Not Found",0)</f>
        <v>Anniversary</v>
      </c>
      <c r="Q841" s="18">
        <f>_xlfn.XLOOKUP(tblMaster[[#This Row],[Product_ID]],tblProducts[Product_ID],tblProducts[Price (INR)],"Not Found",0)</f>
        <v>1374</v>
      </c>
      <c r="R841" s="19">
        <f>tblMaster[[#This Row],[Price]]*tblMaster[[#This Row],[Quantity]]</f>
        <v>2748</v>
      </c>
      <c r="S841" s="19">
        <f>tblMaster[[#This Row],[Price]]*0.7*tblMaster[[#This Row],[Quantity]]</f>
        <v>1923.6</v>
      </c>
      <c r="T841" s="19">
        <f>tblMaster[[#This Row],[Revenue]]-tblMaster[[#This Row],[Estimated Cost (at 70%) ]]</f>
        <v>824.40000000000009</v>
      </c>
      <c r="U841" s="19">
        <f>tblMaster[[#This Row],[Profit]]/tblMaster[[#This Row],[Revenue]]</f>
        <v>0.30000000000000004</v>
      </c>
      <c r="V841" s="19">
        <f>tblMaster[[#This Row],[Delivery_Date]]-tblMaster[[#This Row],[Order_Date]]</f>
        <v>3</v>
      </c>
      <c r="W841" s="19" t="str">
        <f>TEXT(tblMaster[[#This Row],[Order_Date]],"mmmm")</f>
        <v>January</v>
      </c>
      <c r="X841" s="19">
        <f>MONTH(tblMaster[[#This Row],[Order_Date]])</f>
        <v>1</v>
      </c>
      <c r="Y841" s="19" t="str">
        <f>"Q"&amp;ROUNDUP(tblMaster[[#This Row],[Month Number]]/3,0)</f>
        <v>Q1</v>
      </c>
      <c r="Z841" s="19">
        <f>YEAR(tblMaster[[#This Row],[Order_Date]])</f>
        <v>2023</v>
      </c>
      <c r="AA841" s="19" t="str">
        <f>TEXT(DAY(tblMaster[[#This Row],[Order_Date]]),"dddd")</f>
        <v>Friday</v>
      </c>
      <c r="AB841" s="19" t="str">
        <f>IF(tblMaster[[#This Row],[Revenue]]&gt;=5000,"High",IF(tblMaster[[#This Row],[Revenue]]&lt;2000,"Low","Medium"))</f>
        <v>Medium</v>
      </c>
    </row>
    <row r="842" spans="1:28" x14ac:dyDescent="0.25">
      <c r="A842" s="7">
        <v>841</v>
      </c>
      <c r="B842" s="7" t="s">
        <v>206</v>
      </c>
      <c r="C842" s="4">
        <v>26</v>
      </c>
      <c r="D842" s="4">
        <v>5</v>
      </c>
      <c r="E842" s="8">
        <v>44992</v>
      </c>
      <c r="F842" s="9">
        <v>0.26111111111111113</v>
      </c>
      <c r="G842" s="8">
        <v>44997</v>
      </c>
      <c r="H842" s="9">
        <v>0.96989583333333329</v>
      </c>
      <c r="I842" s="7" t="s">
        <v>419</v>
      </c>
      <c r="J842" s="7" t="s">
        <v>25</v>
      </c>
      <c r="K842" s="18" t="str">
        <f>_xlfn.XLOOKUP(tblMaster[[#This Row],[Customer_ID]],tblCustomers[Customer_ID],tblCustomers[City],"Not Found",0)</f>
        <v>Karaikudi</v>
      </c>
      <c r="L842" s="18" t="str">
        <f>_xlfn.XLOOKUP(tblMaster[[#This Row],[Customer_ID]],tblCustomers[Customer_ID],tblCustomers[Name],"Not Found",0)</f>
        <v>Rati Dhingra</v>
      </c>
      <c r="M842" s="18" t="str">
        <f>_xlfn.XLOOKUP(tblMaster[[#This Row],[Customer_ID]],tblCustomers[Customer_ID],tblCustomers[Gender],"Not Found",0)</f>
        <v>Male</v>
      </c>
      <c r="N842" s="18" t="str">
        <f>_xlfn.XLOOKUP(tblMaster[[#This Row],[Product_ID]],tblProducts[Product_ID],tblProducts[Product_Name],"Not Found",0)</f>
        <v>Aliquam Box</v>
      </c>
      <c r="O842" s="18" t="str">
        <f>_xlfn.XLOOKUP(tblMaster[[#This Row],[Product_ID]],tblProducts[Product_ID],tblProducts[Category],"Not Found",0)</f>
        <v>Colors</v>
      </c>
      <c r="P842" s="18" t="str">
        <f>_xlfn.XLOOKUP(tblMaster[[#This Row],[Product_ID]],tblProducts[Product_ID],tblProducts[Occasion],"Not Found",0)</f>
        <v>Holi</v>
      </c>
      <c r="Q842" s="18">
        <f>_xlfn.XLOOKUP(tblMaster[[#This Row],[Product_ID]],tblProducts[Product_ID],tblProducts[Price (INR)],"Not Found",0)</f>
        <v>289</v>
      </c>
      <c r="R842" s="19">
        <f>tblMaster[[#This Row],[Price]]*tblMaster[[#This Row],[Quantity]]</f>
        <v>1445</v>
      </c>
      <c r="S842" s="19">
        <f>tblMaster[[#This Row],[Price]]*0.7*tblMaster[[#This Row],[Quantity]]</f>
        <v>1011.4999999999999</v>
      </c>
      <c r="T842" s="19">
        <f>tblMaster[[#This Row],[Revenue]]-tblMaster[[#This Row],[Estimated Cost (at 70%) ]]</f>
        <v>433.50000000000011</v>
      </c>
      <c r="U842" s="19">
        <f>tblMaster[[#This Row],[Profit]]/tblMaster[[#This Row],[Revenue]]</f>
        <v>0.3000000000000001</v>
      </c>
      <c r="V842" s="19">
        <f>tblMaster[[#This Row],[Delivery_Date]]-tblMaster[[#This Row],[Order_Date]]</f>
        <v>5</v>
      </c>
      <c r="W842" s="19" t="str">
        <f>TEXT(tblMaster[[#This Row],[Order_Date]],"mmmm")</f>
        <v>March</v>
      </c>
      <c r="X842" s="19">
        <f>MONTH(tblMaster[[#This Row],[Order_Date]])</f>
        <v>3</v>
      </c>
      <c r="Y842" s="19" t="str">
        <f>"Q"&amp;ROUNDUP(tblMaster[[#This Row],[Month Number]]/3,0)</f>
        <v>Q1</v>
      </c>
      <c r="Z842" s="19">
        <f>YEAR(tblMaster[[#This Row],[Order_Date]])</f>
        <v>2023</v>
      </c>
      <c r="AA842" s="19" t="str">
        <f>TEXT(DAY(tblMaster[[#This Row],[Order_Date]]),"dddd")</f>
        <v>Saturday</v>
      </c>
      <c r="AB842" s="19" t="str">
        <f>IF(tblMaster[[#This Row],[Revenue]]&gt;=5000,"High",IF(tblMaster[[#This Row],[Revenue]]&lt;2000,"Low","Medium"))</f>
        <v>Low</v>
      </c>
    </row>
    <row r="843" spans="1:28" x14ac:dyDescent="0.25">
      <c r="A843" s="10">
        <v>842</v>
      </c>
      <c r="B843" s="10" t="s">
        <v>382</v>
      </c>
      <c r="C843" s="5">
        <v>46</v>
      </c>
      <c r="D843" s="5">
        <v>2</v>
      </c>
      <c r="E843" s="11">
        <v>45289</v>
      </c>
      <c r="F843" s="12">
        <v>0.71635416666666663</v>
      </c>
      <c r="G843" s="11">
        <v>45292</v>
      </c>
      <c r="H843" s="12">
        <v>0.10261574074074074</v>
      </c>
      <c r="I843" s="10" t="s">
        <v>406</v>
      </c>
      <c r="J843" s="10" t="s">
        <v>30</v>
      </c>
      <c r="K843" s="18" t="str">
        <f>_xlfn.XLOOKUP(tblMaster[[#This Row],[Customer_ID]],tblCustomers[Customer_ID],tblCustomers[City],"Not Found",0)</f>
        <v>Raipur</v>
      </c>
      <c r="L843" s="18" t="str">
        <f>_xlfn.XLOOKUP(tblMaster[[#This Row],[Customer_ID]],tblCustomers[Customer_ID],tblCustomers[Name],"Not Found",0)</f>
        <v>Bhamini Johal</v>
      </c>
      <c r="M843" s="18" t="str">
        <f>_xlfn.XLOOKUP(tblMaster[[#This Row],[Customer_ID]],tblCustomers[Customer_ID],tblCustomers[Gender],"Not Found",0)</f>
        <v>Male</v>
      </c>
      <c r="N843" s="18" t="str">
        <f>_xlfn.XLOOKUP(tblMaster[[#This Row],[Product_ID]],tblProducts[Product_ID],tblProducts[Product_Name],"Not Found",0)</f>
        <v>Pariatur Set</v>
      </c>
      <c r="O843" s="18" t="str">
        <f>_xlfn.XLOOKUP(tblMaster[[#This Row],[Product_ID]],tblProducts[Product_ID],tblProducts[Category],"Not Found",0)</f>
        <v>Cake</v>
      </c>
      <c r="P843" s="18" t="str">
        <f>_xlfn.XLOOKUP(tblMaster[[#This Row],[Product_ID]],tblProducts[Product_ID],tblProducts[Occasion],"Not Found",0)</f>
        <v>Anniversary</v>
      </c>
      <c r="Q843" s="18">
        <f>_xlfn.XLOOKUP(tblMaster[[#This Row],[Product_ID]],tblProducts[Product_ID],tblProducts[Price (INR)],"Not Found",0)</f>
        <v>758</v>
      </c>
      <c r="R843" s="19">
        <f>tblMaster[[#This Row],[Price]]*tblMaster[[#This Row],[Quantity]]</f>
        <v>1516</v>
      </c>
      <c r="S843" s="19">
        <f>tblMaster[[#This Row],[Price]]*0.7*tblMaster[[#This Row],[Quantity]]</f>
        <v>1061.2</v>
      </c>
      <c r="T843" s="19">
        <f>tblMaster[[#This Row],[Revenue]]-tblMaster[[#This Row],[Estimated Cost (at 70%) ]]</f>
        <v>454.79999999999995</v>
      </c>
      <c r="U843" s="19">
        <f>tblMaster[[#This Row],[Profit]]/tblMaster[[#This Row],[Revenue]]</f>
        <v>0.3</v>
      </c>
      <c r="V843" s="19">
        <f>tblMaster[[#This Row],[Delivery_Date]]-tblMaster[[#This Row],[Order_Date]]</f>
        <v>3</v>
      </c>
      <c r="W843" s="19" t="str">
        <f>TEXT(tblMaster[[#This Row],[Order_Date]],"mmmm")</f>
        <v>December</v>
      </c>
      <c r="X843" s="19">
        <f>MONTH(tblMaster[[#This Row],[Order_Date]])</f>
        <v>12</v>
      </c>
      <c r="Y843" s="19" t="str">
        <f>"Q"&amp;ROUNDUP(tblMaster[[#This Row],[Month Number]]/3,0)</f>
        <v>Q4</v>
      </c>
      <c r="Z843" s="19">
        <f>YEAR(tblMaster[[#This Row],[Order_Date]])</f>
        <v>2023</v>
      </c>
      <c r="AA843" s="19" t="str">
        <f>TEXT(DAY(tblMaster[[#This Row],[Order_Date]]),"dddd")</f>
        <v>Sunday</v>
      </c>
      <c r="AB843" s="19" t="str">
        <f>IF(tblMaster[[#This Row],[Revenue]]&gt;=5000,"High",IF(tblMaster[[#This Row],[Revenue]]&lt;2000,"Low","Medium"))</f>
        <v>Low</v>
      </c>
    </row>
    <row r="844" spans="1:28" x14ac:dyDescent="0.25">
      <c r="A844" s="7">
        <v>843</v>
      </c>
      <c r="B844" s="7" t="s">
        <v>369</v>
      </c>
      <c r="C844" s="4">
        <v>68</v>
      </c>
      <c r="D844" s="4">
        <v>1</v>
      </c>
      <c r="E844" s="8">
        <v>44968</v>
      </c>
      <c r="F844" s="9">
        <v>0.90697916666666667</v>
      </c>
      <c r="G844" s="8">
        <v>44969</v>
      </c>
      <c r="H844" s="9">
        <v>0.81052083333333336</v>
      </c>
      <c r="I844" s="7" t="s">
        <v>468</v>
      </c>
      <c r="J844" s="7" t="s">
        <v>12</v>
      </c>
      <c r="K844" s="18" t="str">
        <f>_xlfn.XLOOKUP(tblMaster[[#This Row],[Customer_ID]],tblCustomers[Customer_ID],tblCustomers[City],"Not Found",0)</f>
        <v>Berhampore</v>
      </c>
      <c r="L844" s="18" t="str">
        <f>_xlfn.XLOOKUP(tblMaster[[#This Row],[Customer_ID]],tblCustomers[Customer_ID],tblCustomers[Name],"Not Found",0)</f>
        <v>Jayant Kamdar</v>
      </c>
      <c r="M844" s="18" t="str">
        <f>_xlfn.XLOOKUP(tblMaster[[#This Row],[Customer_ID]],tblCustomers[Customer_ID],tblCustomers[Gender],"Not Found",0)</f>
        <v>Male</v>
      </c>
      <c r="N844" s="18" t="str">
        <f>_xlfn.XLOOKUP(tblMaster[[#This Row],[Product_ID]],tblProducts[Product_ID],tblProducts[Product_Name],"Not Found",0)</f>
        <v>Quas Gift</v>
      </c>
      <c r="O844" s="18" t="str">
        <f>_xlfn.XLOOKUP(tblMaster[[#This Row],[Product_ID]],tblProducts[Product_ID],tblProducts[Category],"Not Found",0)</f>
        <v>Soft Toys</v>
      </c>
      <c r="P844" s="18" t="str">
        <f>_xlfn.XLOOKUP(tblMaster[[#This Row],[Product_ID]],tblProducts[Product_ID],tblProducts[Occasion],"Not Found",0)</f>
        <v>Valentine's Day</v>
      </c>
      <c r="Q844" s="18">
        <f>_xlfn.XLOOKUP(tblMaster[[#This Row],[Product_ID]],tblProducts[Product_ID],tblProducts[Price (INR)],"Not Found",0)</f>
        <v>597</v>
      </c>
      <c r="R844" s="19">
        <f>tblMaster[[#This Row],[Price]]*tblMaster[[#This Row],[Quantity]]</f>
        <v>597</v>
      </c>
      <c r="S844" s="19">
        <f>tblMaster[[#This Row],[Price]]*0.7*tblMaster[[#This Row],[Quantity]]</f>
        <v>417.9</v>
      </c>
      <c r="T844" s="19">
        <f>tblMaster[[#This Row],[Revenue]]-tblMaster[[#This Row],[Estimated Cost (at 70%) ]]</f>
        <v>179.10000000000002</v>
      </c>
      <c r="U844" s="19">
        <f>tblMaster[[#This Row],[Profit]]/tblMaster[[#This Row],[Revenue]]</f>
        <v>0.30000000000000004</v>
      </c>
      <c r="V844" s="19">
        <f>tblMaster[[#This Row],[Delivery_Date]]-tblMaster[[#This Row],[Order_Date]]</f>
        <v>1</v>
      </c>
      <c r="W844" s="19" t="str">
        <f>TEXT(tblMaster[[#This Row],[Order_Date]],"mmmm")</f>
        <v>February</v>
      </c>
      <c r="X844" s="19">
        <f>MONTH(tblMaster[[#This Row],[Order_Date]])</f>
        <v>2</v>
      </c>
      <c r="Y844" s="19" t="str">
        <f>"Q"&amp;ROUNDUP(tblMaster[[#This Row],[Month Number]]/3,0)</f>
        <v>Q1</v>
      </c>
      <c r="Z844" s="19">
        <f>YEAR(tblMaster[[#This Row],[Order_Date]])</f>
        <v>2023</v>
      </c>
      <c r="AA844" s="19" t="str">
        <f>TEXT(DAY(tblMaster[[#This Row],[Order_Date]]),"dddd")</f>
        <v>Wednesday</v>
      </c>
      <c r="AB844" s="19" t="str">
        <f>IF(tblMaster[[#This Row],[Revenue]]&gt;=5000,"High",IF(tblMaster[[#This Row],[Revenue]]&lt;2000,"Low","Medium"))</f>
        <v>Low</v>
      </c>
    </row>
    <row r="845" spans="1:28" x14ac:dyDescent="0.25">
      <c r="A845" s="10">
        <v>844</v>
      </c>
      <c r="B845" s="10" t="s">
        <v>229</v>
      </c>
      <c r="C845" s="5">
        <v>51</v>
      </c>
      <c r="D845" s="5">
        <v>1</v>
      </c>
      <c r="E845" s="11">
        <v>45208</v>
      </c>
      <c r="F845" s="12">
        <v>0.80063657407407407</v>
      </c>
      <c r="G845" s="11">
        <v>45209</v>
      </c>
      <c r="H845" s="12">
        <v>0.40864583333333332</v>
      </c>
      <c r="I845" s="10" t="s">
        <v>344</v>
      </c>
      <c r="J845" s="10" t="s">
        <v>8</v>
      </c>
      <c r="K845" s="18" t="str">
        <f>_xlfn.XLOOKUP(tblMaster[[#This Row],[Customer_ID]],tblCustomers[Customer_ID],tblCustomers[City],"Not Found",0)</f>
        <v>Anand</v>
      </c>
      <c r="L845" s="18" t="str">
        <f>_xlfn.XLOOKUP(tblMaster[[#This Row],[Customer_ID]],tblCustomers[Customer_ID],tblCustomers[Name],"Not Found",0)</f>
        <v>Eva Sankaran</v>
      </c>
      <c r="M845" s="18" t="str">
        <f>_xlfn.XLOOKUP(tblMaster[[#This Row],[Customer_ID]],tblCustomers[Customer_ID],tblCustomers[Gender],"Not Found",0)</f>
        <v>Male</v>
      </c>
      <c r="N845" s="18" t="str">
        <f>_xlfn.XLOOKUP(tblMaster[[#This Row],[Product_ID]],tblProducts[Product_ID],tblProducts[Product_Name],"Not Found",0)</f>
        <v>Fugit Set</v>
      </c>
      <c r="O845" s="18" t="str">
        <f>_xlfn.XLOOKUP(tblMaster[[#This Row],[Product_ID]],tblProducts[Product_ID],tblProducts[Category],"Not Found",0)</f>
        <v>Soft Toys</v>
      </c>
      <c r="P845" s="18" t="str">
        <f>_xlfn.XLOOKUP(tblMaster[[#This Row],[Product_ID]],tblProducts[Product_ID],tblProducts[Occasion],"Not Found",0)</f>
        <v>All Occasions</v>
      </c>
      <c r="Q845" s="18">
        <f>_xlfn.XLOOKUP(tblMaster[[#This Row],[Product_ID]],tblProducts[Product_ID],tblProducts[Price (INR)],"Not Found",0)</f>
        <v>1084</v>
      </c>
      <c r="R845" s="19">
        <f>tblMaster[[#This Row],[Price]]*tblMaster[[#This Row],[Quantity]]</f>
        <v>1084</v>
      </c>
      <c r="S845" s="19">
        <f>tblMaster[[#This Row],[Price]]*0.7*tblMaster[[#This Row],[Quantity]]</f>
        <v>758.8</v>
      </c>
      <c r="T845" s="19">
        <f>tblMaster[[#This Row],[Revenue]]-tblMaster[[#This Row],[Estimated Cost (at 70%) ]]</f>
        <v>325.20000000000005</v>
      </c>
      <c r="U845" s="19">
        <f>tblMaster[[#This Row],[Profit]]/tblMaster[[#This Row],[Revenue]]</f>
        <v>0.30000000000000004</v>
      </c>
      <c r="V845" s="19">
        <f>tblMaster[[#This Row],[Delivery_Date]]-tblMaster[[#This Row],[Order_Date]]</f>
        <v>1</v>
      </c>
      <c r="W845" s="19" t="str">
        <f>TEXT(tblMaster[[#This Row],[Order_Date]],"mmmm")</f>
        <v>October</v>
      </c>
      <c r="X845" s="19">
        <f>MONTH(tblMaster[[#This Row],[Order_Date]])</f>
        <v>10</v>
      </c>
      <c r="Y845" s="19" t="str">
        <f>"Q"&amp;ROUNDUP(tblMaster[[#This Row],[Month Number]]/3,0)</f>
        <v>Q4</v>
      </c>
      <c r="Z845" s="19">
        <f>YEAR(tblMaster[[#This Row],[Order_Date]])</f>
        <v>2023</v>
      </c>
      <c r="AA845" s="19" t="str">
        <f>TEXT(DAY(tblMaster[[#This Row],[Order_Date]]),"dddd")</f>
        <v>Monday</v>
      </c>
      <c r="AB845" s="19" t="str">
        <f>IF(tblMaster[[#This Row],[Revenue]]&gt;=5000,"High",IF(tblMaster[[#This Row],[Revenue]]&lt;2000,"Low","Medium"))</f>
        <v>Low</v>
      </c>
    </row>
    <row r="846" spans="1:28" x14ac:dyDescent="0.25">
      <c r="A846" s="7">
        <v>845</v>
      </c>
      <c r="B846" s="7" t="s">
        <v>295</v>
      </c>
      <c r="C846" s="4">
        <v>57</v>
      </c>
      <c r="D846" s="4">
        <v>5</v>
      </c>
      <c r="E846" s="8">
        <v>45216</v>
      </c>
      <c r="F846" s="9">
        <v>0.78560185185185183</v>
      </c>
      <c r="G846" s="8">
        <v>45224</v>
      </c>
      <c r="H846" s="9">
        <v>0.1215625</v>
      </c>
      <c r="I846" s="7" t="s">
        <v>253</v>
      </c>
      <c r="J846" s="7" t="s">
        <v>36</v>
      </c>
      <c r="K846" s="18" t="str">
        <f>_xlfn.XLOOKUP(tblMaster[[#This Row],[Customer_ID]],tblCustomers[Customer_ID],tblCustomers[City],"Not Found",0)</f>
        <v>Surat</v>
      </c>
      <c r="L846" s="18" t="str">
        <f>_xlfn.XLOOKUP(tblMaster[[#This Row],[Customer_ID]],tblCustomers[Customer_ID],tblCustomers[Name],"Not Found",0)</f>
        <v>Mannat Anand</v>
      </c>
      <c r="M846" s="18" t="str">
        <f>_xlfn.XLOOKUP(tblMaster[[#This Row],[Customer_ID]],tblCustomers[Customer_ID],tblCustomers[Gender],"Not Found",0)</f>
        <v>Male</v>
      </c>
      <c r="N846" s="18" t="str">
        <f>_xlfn.XLOOKUP(tblMaster[[#This Row],[Product_ID]],tblProducts[Product_ID],tblProducts[Product_Name],"Not Found",0)</f>
        <v>Voluptatem Box</v>
      </c>
      <c r="O846" s="18" t="str">
        <f>_xlfn.XLOOKUP(tblMaster[[#This Row],[Product_ID]],tblProducts[Product_ID],tblProducts[Category],"Not Found",0)</f>
        <v>Colors</v>
      </c>
      <c r="P846" s="18" t="str">
        <f>_xlfn.XLOOKUP(tblMaster[[#This Row],[Product_ID]],tblProducts[Product_ID],tblProducts[Occasion],"Not Found",0)</f>
        <v>Birthday</v>
      </c>
      <c r="Q846" s="18">
        <f>_xlfn.XLOOKUP(tblMaster[[#This Row],[Product_ID]],tblProducts[Product_ID],tblProducts[Price (INR)],"Not Found",0)</f>
        <v>1582</v>
      </c>
      <c r="R846" s="19">
        <f>tblMaster[[#This Row],[Price]]*tblMaster[[#This Row],[Quantity]]</f>
        <v>7910</v>
      </c>
      <c r="S846" s="19">
        <f>tblMaster[[#This Row],[Price]]*0.7*tblMaster[[#This Row],[Quantity]]</f>
        <v>5536.9999999999991</v>
      </c>
      <c r="T846" s="19">
        <f>tblMaster[[#This Row],[Revenue]]-tblMaster[[#This Row],[Estimated Cost (at 70%) ]]</f>
        <v>2373.0000000000009</v>
      </c>
      <c r="U846" s="19">
        <f>tblMaster[[#This Row],[Profit]]/tblMaster[[#This Row],[Revenue]]</f>
        <v>0.3000000000000001</v>
      </c>
      <c r="V846" s="19">
        <f>tblMaster[[#This Row],[Delivery_Date]]-tblMaster[[#This Row],[Order_Date]]</f>
        <v>8</v>
      </c>
      <c r="W846" s="19" t="str">
        <f>TEXT(tblMaster[[#This Row],[Order_Date]],"mmmm")</f>
        <v>October</v>
      </c>
      <c r="X846" s="19">
        <f>MONTH(tblMaster[[#This Row],[Order_Date]])</f>
        <v>10</v>
      </c>
      <c r="Y846" s="19" t="str">
        <f>"Q"&amp;ROUNDUP(tblMaster[[#This Row],[Month Number]]/3,0)</f>
        <v>Q4</v>
      </c>
      <c r="Z846" s="19">
        <f>YEAR(tblMaster[[#This Row],[Order_Date]])</f>
        <v>2023</v>
      </c>
      <c r="AA846" s="19" t="str">
        <f>TEXT(DAY(tblMaster[[#This Row],[Order_Date]]),"dddd")</f>
        <v>Tuesday</v>
      </c>
      <c r="AB846" s="19" t="str">
        <f>IF(tblMaster[[#This Row],[Revenue]]&gt;=5000,"High",IF(tblMaster[[#This Row],[Revenue]]&lt;2000,"Low","Medium"))</f>
        <v>High</v>
      </c>
    </row>
    <row r="847" spans="1:28" x14ac:dyDescent="0.25">
      <c r="A847" s="10">
        <v>846</v>
      </c>
      <c r="B847" s="10" t="s">
        <v>191</v>
      </c>
      <c r="C847" s="5">
        <v>15</v>
      </c>
      <c r="D847" s="5">
        <v>4</v>
      </c>
      <c r="E847" s="11">
        <v>45258</v>
      </c>
      <c r="F847" s="12">
        <v>0.11642361111111112</v>
      </c>
      <c r="G847" s="11">
        <v>45262</v>
      </c>
      <c r="H847" s="12">
        <v>0.28892361111111109</v>
      </c>
      <c r="I847" s="10" t="s">
        <v>419</v>
      </c>
      <c r="J847" s="10" t="s">
        <v>30</v>
      </c>
      <c r="K847" s="18" t="str">
        <f>_xlfn.XLOOKUP(tblMaster[[#This Row],[Customer_ID]],tblCustomers[Customer_ID],tblCustomers[City],"Not Found",0)</f>
        <v>Madhyamgram</v>
      </c>
      <c r="L847" s="18" t="str">
        <f>_xlfn.XLOOKUP(tblMaster[[#This Row],[Customer_ID]],tblCustomers[Customer_ID],tblCustomers[Name],"Not Found",0)</f>
        <v>Hunar Tripathi</v>
      </c>
      <c r="M847" s="18" t="str">
        <f>_xlfn.XLOOKUP(tblMaster[[#This Row],[Customer_ID]],tblCustomers[Customer_ID],tblCustomers[Gender],"Not Found",0)</f>
        <v>Female</v>
      </c>
      <c r="N847" s="18" t="str">
        <f>_xlfn.XLOOKUP(tblMaster[[#This Row],[Product_ID]],tblProducts[Product_ID],tblProducts[Product_Name],"Not Found",0)</f>
        <v>Repudiandae Box</v>
      </c>
      <c r="O847" s="18" t="str">
        <f>_xlfn.XLOOKUP(tblMaster[[#This Row],[Product_ID]],tblProducts[Product_ID],tblProducts[Category],"Not Found",0)</f>
        <v>Raksha Bandhan</v>
      </c>
      <c r="P847" s="18" t="str">
        <f>_xlfn.XLOOKUP(tblMaster[[#This Row],[Product_ID]],tblProducts[Product_ID],tblProducts[Occasion],"Not Found",0)</f>
        <v>Anniversary</v>
      </c>
      <c r="Q847" s="18">
        <f>_xlfn.XLOOKUP(tblMaster[[#This Row],[Product_ID]],tblProducts[Product_ID],tblProducts[Price (INR)],"Not Found",0)</f>
        <v>1488</v>
      </c>
      <c r="R847" s="19">
        <f>tblMaster[[#This Row],[Price]]*tblMaster[[#This Row],[Quantity]]</f>
        <v>5952</v>
      </c>
      <c r="S847" s="19">
        <f>tblMaster[[#This Row],[Price]]*0.7*tblMaster[[#This Row],[Quantity]]</f>
        <v>4166.3999999999996</v>
      </c>
      <c r="T847" s="19">
        <f>tblMaster[[#This Row],[Revenue]]-tblMaster[[#This Row],[Estimated Cost (at 70%) ]]</f>
        <v>1785.6000000000004</v>
      </c>
      <c r="U847" s="19">
        <f>tblMaster[[#This Row],[Profit]]/tblMaster[[#This Row],[Revenue]]</f>
        <v>0.30000000000000004</v>
      </c>
      <c r="V847" s="19">
        <f>tblMaster[[#This Row],[Delivery_Date]]-tblMaster[[#This Row],[Order_Date]]</f>
        <v>4</v>
      </c>
      <c r="W847" s="19" t="str">
        <f>TEXT(tblMaster[[#This Row],[Order_Date]],"mmmm")</f>
        <v>November</v>
      </c>
      <c r="X847" s="19">
        <f>MONTH(tblMaster[[#This Row],[Order_Date]])</f>
        <v>11</v>
      </c>
      <c r="Y847" s="19" t="str">
        <f>"Q"&amp;ROUNDUP(tblMaster[[#This Row],[Month Number]]/3,0)</f>
        <v>Q4</v>
      </c>
      <c r="Z847" s="19">
        <f>YEAR(tblMaster[[#This Row],[Order_Date]])</f>
        <v>2023</v>
      </c>
      <c r="AA847" s="19" t="str">
        <f>TEXT(DAY(tblMaster[[#This Row],[Order_Date]]),"dddd")</f>
        <v>Saturday</v>
      </c>
      <c r="AB847" s="19" t="str">
        <f>IF(tblMaster[[#This Row],[Revenue]]&gt;=5000,"High",IF(tblMaster[[#This Row],[Revenue]]&lt;2000,"Low","Medium"))</f>
        <v>High</v>
      </c>
    </row>
    <row r="848" spans="1:28" x14ac:dyDescent="0.25">
      <c r="A848" s="7">
        <v>847</v>
      </c>
      <c r="B848" s="7" t="s">
        <v>178</v>
      </c>
      <c r="C848" s="4">
        <v>44</v>
      </c>
      <c r="D848" s="4">
        <v>4</v>
      </c>
      <c r="E848" s="8">
        <v>45237</v>
      </c>
      <c r="F848" s="9">
        <v>0.75714120370370375</v>
      </c>
      <c r="G848" s="8">
        <v>45242</v>
      </c>
      <c r="H848" s="9">
        <v>0.43166666666666664</v>
      </c>
      <c r="I848" s="7" t="s">
        <v>399</v>
      </c>
      <c r="J848" s="7" t="s">
        <v>19</v>
      </c>
      <c r="K848" s="18" t="str">
        <f>_xlfn.XLOOKUP(tblMaster[[#This Row],[Customer_ID]],tblCustomers[Customer_ID],tblCustomers[City],"Not Found",0)</f>
        <v>Madurai</v>
      </c>
      <c r="L848" s="18" t="str">
        <f>_xlfn.XLOOKUP(tblMaster[[#This Row],[Customer_ID]],tblCustomers[Customer_ID],tblCustomers[Name],"Not Found",0)</f>
        <v>Ritvik Borah</v>
      </c>
      <c r="M848" s="18" t="str">
        <f>_xlfn.XLOOKUP(tblMaster[[#This Row],[Customer_ID]],tblCustomers[Customer_ID],tblCustomers[Gender],"Not Found",0)</f>
        <v>Female</v>
      </c>
      <c r="N848" s="18" t="str">
        <f>_xlfn.XLOOKUP(tblMaster[[#This Row],[Product_ID]],tblProducts[Product_ID],tblProducts[Product_Name],"Not Found",0)</f>
        <v>Dolorum Set</v>
      </c>
      <c r="O848" s="18" t="str">
        <f>_xlfn.XLOOKUP(tblMaster[[#This Row],[Product_ID]],tblProducts[Product_ID],tblProducts[Category],"Not Found",0)</f>
        <v>Plants</v>
      </c>
      <c r="P848" s="18" t="str">
        <f>_xlfn.XLOOKUP(tblMaster[[#This Row],[Product_ID]],tblProducts[Product_ID],tblProducts[Occasion],"Not Found",0)</f>
        <v>Diwali</v>
      </c>
      <c r="Q848" s="18">
        <f>_xlfn.XLOOKUP(tblMaster[[#This Row],[Product_ID]],tblProducts[Product_ID],tblProducts[Price (INR)],"Not Found",0)</f>
        <v>794</v>
      </c>
      <c r="R848" s="19">
        <f>tblMaster[[#This Row],[Price]]*tblMaster[[#This Row],[Quantity]]</f>
        <v>3176</v>
      </c>
      <c r="S848" s="19">
        <f>tblMaster[[#This Row],[Price]]*0.7*tblMaster[[#This Row],[Quantity]]</f>
        <v>2223.1999999999998</v>
      </c>
      <c r="T848" s="19">
        <f>tblMaster[[#This Row],[Revenue]]-tblMaster[[#This Row],[Estimated Cost (at 70%) ]]</f>
        <v>952.80000000000018</v>
      </c>
      <c r="U848" s="19">
        <f>tblMaster[[#This Row],[Profit]]/tblMaster[[#This Row],[Revenue]]</f>
        <v>0.30000000000000004</v>
      </c>
      <c r="V848" s="19">
        <f>tblMaster[[#This Row],[Delivery_Date]]-tblMaster[[#This Row],[Order_Date]]</f>
        <v>5</v>
      </c>
      <c r="W848" s="19" t="str">
        <f>TEXT(tblMaster[[#This Row],[Order_Date]],"mmmm")</f>
        <v>November</v>
      </c>
      <c r="X848" s="19">
        <f>MONTH(tblMaster[[#This Row],[Order_Date]])</f>
        <v>11</v>
      </c>
      <c r="Y848" s="19" t="str">
        <f>"Q"&amp;ROUNDUP(tblMaster[[#This Row],[Month Number]]/3,0)</f>
        <v>Q4</v>
      </c>
      <c r="Z848" s="19">
        <f>YEAR(tblMaster[[#This Row],[Order_Date]])</f>
        <v>2023</v>
      </c>
      <c r="AA848" s="19" t="str">
        <f>TEXT(DAY(tblMaster[[#This Row],[Order_Date]]),"dddd")</f>
        <v>Saturday</v>
      </c>
      <c r="AB848" s="19" t="str">
        <f>IF(tblMaster[[#This Row],[Revenue]]&gt;=5000,"High",IF(tblMaster[[#This Row],[Revenue]]&lt;2000,"Low","Medium"))</f>
        <v>Medium</v>
      </c>
    </row>
    <row r="849" spans="1:28" x14ac:dyDescent="0.25">
      <c r="A849" s="10">
        <v>848</v>
      </c>
      <c r="B849" s="10" t="s">
        <v>463</v>
      </c>
      <c r="C849" s="5">
        <v>6</v>
      </c>
      <c r="D849" s="5">
        <v>1</v>
      </c>
      <c r="E849" s="11">
        <v>44991</v>
      </c>
      <c r="F849" s="12">
        <v>0.70343750000000005</v>
      </c>
      <c r="G849" s="11">
        <v>44995</v>
      </c>
      <c r="H849" s="12">
        <v>0.93527777777777776</v>
      </c>
      <c r="I849" s="10" t="s">
        <v>534</v>
      </c>
      <c r="J849" s="10" t="s">
        <v>25</v>
      </c>
      <c r="K849" s="18" t="str">
        <f>_xlfn.XLOOKUP(tblMaster[[#This Row],[Customer_ID]],tblCustomers[Customer_ID],tblCustomers[City],"Not Found",0)</f>
        <v>Kottayam</v>
      </c>
      <c r="L849" s="18" t="str">
        <f>_xlfn.XLOOKUP(tblMaster[[#This Row],[Customer_ID]],tblCustomers[Customer_ID],tblCustomers[Name],"Not Found",0)</f>
        <v>Hiran Kaul</v>
      </c>
      <c r="M849" s="18" t="str">
        <f>_xlfn.XLOOKUP(tblMaster[[#This Row],[Customer_ID]],tblCustomers[Customer_ID],tblCustomers[Gender],"Not Found",0)</f>
        <v>Male</v>
      </c>
      <c r="N849" s="18" t="str">
        <f>_xlfn.XLOOKUP(tblMaster[[#This Row],[Product_ID]],tblProducts[Product_ID],tblProducts[Product_Name],"Not Found",0)</f>
        <v>Quos Box</v>
      </c>
      <c r="O849" s="18" t="str">
        <f>_xlfn.XLOOKUP(tblMaster[[#This Row],[Product_ID]],tblProducts[Product_ID],tblProducts[Category],"Not Found",0)</f>
        <v>Cake</v>
      </c>
      <c r="P849" s="18" t="str">
        <f>_xlfn.XLOOKUP(tblMaster[[#This Row],[Product_ID]],tblProducts[Product_ID],tblProducts[Occasion],"Not Found",0)</f>
        <v>Holi</v>
      </c>
      <c r="Q849" s="18">
        <f>_xlfn.XLOOKUP(tblMaster[[#This Row],[Product_ID]],tblProducts[Product_ID],tblProducts[Price (INR)],"Not Found",0)</f>
        <v>1112</v>
      </c>
      <c r="R849" s="19">
        <f>tblMaster[[#This Row],[Price]]*tblMaster[[#This Row],[Quantity]]</f>
        <v>1112</v>
      </c>
      <c r="S849" s="19">
        <f>tblMaster[[#This Row],[Price]]*0.7*tblMaster[[#This Row],[Quantity]]</f>
        <v>778.4</v>
      </c>
      <c r="T849" s="19">
        <f>tblMaster[[#This Row],[Revenue]]-tblMaster[[#This Row],[Estimated Cost (at 70%) ]]</f>
        <v>333.6</v>
      </c>
      <c r="U849" s="19">
        <f>tblMaster[[#This Row],[Profit]]/tblMaster[[#This Row],[Revenue]]</f>
        <v>0.30000000000000004</v>
      </c>
      <c r="V849" s="19">
        <f>tblMaster[[#This Row],[Delivery_Date]]-tblMaster[[#This Row],[Order_Date]]</f>
        <v>4</v>
      </c>
      <c r="W849" s="19" t="str">
        <f>TEXT(tblMaster[[#This Row],[Order_Date]],"mmmm")</f>
        <v>March</v>
      </c>
      <c r="X849" s="19">
        <f>MONTH(tblMaster[[#This Row],[Order_Date]])</f>
        <v>3</v>
      </c>
      <c r="Y849" s="19" t="str">
        <f>"Q"&amp;ROUNDUP(tblMaster[[#This Row],[Month Number]]/3,0)</f>
        <v>Q1</v>
      </c>
      <c r="Z849" s="19">
        <f>YEAR(tblMaster[[#This Row],[Order_Date]])</f>
        <v>2023</v>
      </c>
      <c r="AA849" s="19" t="str">
        <f>TEXT(DAY(tblMaster[[#This Row],[Order_Date]]),"dddd")</f>
        <v>Friday</v>
      </c>
      <c r="AB849" s="19" t="str">
        <f>IF(tblMaster[[#This Row],[Revenue]]&gt;=5000,"High",IF(tblMaster[[#This Row],[Revenue]]&lt;2000,"Low","Medium"))</f>
        <v>Low</v>
      </c>
    </row>
    <row r="850" spans="1:28" x14ac:dyDescent="0.25">
      <c r="A850" s="7">
        <v>849</v>
      </c>
      <c r="B850" s="7" t="s">
        <v>193</v>
      </c>
      <c r="C850" s="4">
        <v>57</v>
      </c>
      <c r="D850" s="4">
        <v>1</v>
      </c>
      <c r="E850" s="8">
        <v>44997</v>
      </c>
      <c r="F850" s="9">
        <v>5.3333333333333337E-2</v>
      </c>
      <c r="G850" s="8">
        <v>44999</v>
      </c>
      <c r="H850" s="9">
        <v>3.4756944444444444E-2</v>
      </c>
      <c r="I850" s="7" t="s">
        <v>211</v>
      </c>
      <c r="J850" s="7" t="s">
        <v>36</v>
      </c>
      <c r="K850" s="18" t="str">
        <f>_xlfn.XLOOKUP(tblMaster[[#This Row],[Customer_ID]],tblCustomers[Customer_ID],tblCustomers[City],"Not Found",0)</f>
        <v>Mangalore</v>
      </c>
      <c r="L850" s="18" t="str">
        <f>_xlfn.XLOOKUP(tblMaster[[#This Row],[Customer_ID]],tblCustomers[Customer_ID],tblCustomers[Name],"Not Found",0)</f>
        <v>Manikya Goswami</v>
      </c>
      <c r="M850" s="18" t="str">
        <f>_xlfn.XLOOKUP(tblMaster[[#This Row],[Customer_ID]],tblCustomers[Customer_ID],tblCustomers[Gender],"Not Found",0)</f>
        <v>Female</v>
      </c>
      <c r="N850" s="18" t="str">
        <f>_xlfn.XLOOKUP(tblMaster[[#This Row],[Product_ID]],tblProducts[Product_ID],tblProducts[Product_Name],"Not Found",0)</f>
        <v>Voluptatem Box</v>
      </c>
      <c r="O850" s="18" t="str">
        <f>_xlfn.XLOOKUP(tblMaster[[#This Row],[Product_ID]],tblProducts[Product_ID],tblProducts[Category],"Not Found",0)</f>
        <v>Colors</v>
      </c>
      <c r="P850" s="18" t="str">
        <f>_xlfn.XLOOKUP(tblMaster[[#This Row],[Product_ID]],tblProducts[Product_ID],tblProducts[Occasion],"Not Found",0)</f>
        <v>Birthday</v>
      </c>
      <c r="Q850" s="18">
        <f>_xlfn.XLOOKUP(tblMaster[[#This Row],[Product_ID]],tblProducts[Product_ID],tblProducts[Price (INR)],"Not Found",0)</f>
        <v>1582</v>
      </c>
      <c r="R850" s="19">
        <f>tblMaster[[#This Row],[Price]]*tblMaster[[#This Row],[Quantity]]</f>
        <v>1582</v>
      </c>
      <c r="S850" s="19">
        <f>tblMaster[[#This Row],[Price]]*0.7*tblMaster[[#This Row],[Quantity]]</f>
        <v>1107.3999999999999</v>
      </c>
      <c r="T850" s="19">
        <f>tblMaster[[#This Row],[Revenue]]-tblMaster[[#This Row],[Estimated Cost (at 70%) ]]</f>
        <v>474.60000000000014</v>
      </c>
      <c r="U850" s="19">
        <f>tblMaster[[#This Row],[Profit]]/tblMaster[[#This Row],[Revenue]]</f>
        <v>0.3000000000000001</v>
      </c>
      <c r="V850" s="19">
        <f>tblMaster[[#This Row],[Delivery_Date]]-tblMaster[[#This Row],[Order_Date]]</f>
        <v>2</v>
      </c>
      <c r="W850" s="19" t="str">
        <f>TEXT(tblMaster[[#This Row],[Order_Date]],"mmmm")</f>
        <v>March</v>
      </c>
      <c r="X850" s="19">
        <f>MONTH(tblMaster[[#This Row],[Order_Date]])</f>
        <v>3</v>
      </c>
      <c r="Y850" s="19" t="str">
        <f>"Q"&amp;ROUNDUP(tblMaster[[#This Row],[Month Number]]/3,0)</f>
        <v>Q1</v>
      </c>
      <c r="Z850" s="19">
        <f>YEAR(tblMaster[[#This Row],[Order_Date]])</f>
        <v>2023</v>
      </c>
      <c r="AA850" s="19" t="str">
        <f>TEXT(DAY(tblMaster[[#This Row],[Order_Date]]),"dddd")</f>
        <v>Thursday</v>
      </c>
      <c r="AB850" s="19" t="str">
        <f>IF(tblMaster[[#This Row],[Revenue]]&gt;=5000,"High",IF(tblMaster[[#This Row],[Revenue]]&lt;2000,"Low","Medium"))</f>
        <v>Low</v>
      </c>
    </row>
    <row r="851" spans="1:28" x14ac:dyDescent="0.25">
      <c r="A851" s="10">
        <v>850</v>
      </c>
      <c r="B851" s="10" t="s">
        <v>361</v>
      </c>
      <c r="C851" s="5">
        <v>21</v>
      </c>
      <c r="D851" s="5">
        <v>4</v>
      </c>
      <c r="E851" s="11">
        <v>45161</v>
      </c>
      <c r="F851" s="12">
        <v>0.96894675925925922</v>
      </c>
      <c r="G851" s="11">
        <v>45163</v>
      </c>
      <c r="H851" s="12">
        <v>0.43820601851851854</v>
      </c>
      <c r="I851" s="10" t="s">
        <v>264</v>
      </c>
      <c r="J851" s="10" t="s">
        <v>33</v>
      </c>
      <c r="K851" s="18" t="str">
        <f>_xlfn.XLOOKUP(tblMaster[[#This Row],[Customer_ID]],tblCustomers[Customer_ID],tblCustomers[City],"Not Found",0)</f>
        <v>Dibrugarh</v>
      </c>
      <c r="L851" s="18" t="str">
        <f>_xlfn.XLOOKUP(tblMaster[[#This Row],[Customer_ID]],tblCustomers[Customer_ID],tblCustomers[Name],"Not Found",0)</f>
        <v>Zoya Mani</v>
      </c>
      <c r="M851" s="18" t="str">
        <f>_xlfn.XLOOKUP(tblMaster[[#This Row],[Customer_ID]],tblCustomers[Customer_ID],tblCustomers[Gender],"Not Found",0)</f>
        <v>Male</v>
      </c>
      <c r="N851" s="18" t="str">
        <f>_xlfn.XLOOKUP(tblMaster[[#This Row],[Product_ID]],tblProducts[Product_ID],tblProducts[Product_Name],"Not Found",0)</f>
        <v>Quia Gift</v>
      </c>
      <c r="O851" s="18" t="str">
        <f>_xlfn.XLOOKUP(tblMaster[[#This Row],[Product_ID]],tblProducts[Product_ID],tblProducts[Category],"Not Found",0)</f>
        <v>Colors</v>
      </c>
      <c r="P851" s="18" t="str">
        <f>_xlfn.XLOOKUP(tblMaster[[#This Row],[Product_ID]],tblProducts[Product_ID],tblProducts[Occasion],"Not Found",0)</f>
        <v>Raksha Bandhan</v>
      </c>
      <c r="Q851" s="18">
        <f>_xlfn.XLOOKUP(tblMaster[[#This Row],[Product_ID]],tblProducts[Product_ID],tblProducts[Price (INR)],"Not Found",0)</f>
        <v>1561</v>
      </c>
      <c r="R851" s="19">
        <f>tblMaster[[#This Row],[Price]]*tblMaster[[#This Row],[Quantity]]</f>
        <v>6244</v>
      </c>
      <c r="S851" s="19">
        <f>tblMaster[[#This Row],[Price]]*0.7*tblMaster[[#This Row],[Quantity]]</f>
        <v>4370.7999999999993</v>
      </c>
      <c r="T851" s="19">
        <f>tblMaster[[#This Row],[Revenue]]-tblMaster[[#This Row],[Estimated Cost (at 70%) ]]</f>
        <v>1873.2000000000007</v>
      </c>
      <c r="U851" s="19">
        <f>tblMaster[[#This Row],[Profit]]/tblMaster[[#This Row],[Revenue]]</f>
        <v>0.3000000000000001</v>
      </c>
      <c r="V851" s="19">
        <f>tblMaster[[#This Row],[Delivery_Date]]-tblMaster[[#This Row],[Order_Date]]</f>
        <v>2</v>
      </c>
      <c r="W851" s="19" t="str">
        <f>TEXT(tblMaster[[#This Row],[Order_Date]],"mmmm")</f>
        <v>August</v>
      </c>
      <c r="X851" s="19">
        <f>MONTH(tblMaster[[#This Row],[Order_Date]])</f>
        <v>8</v>
      </c>
      <c r="Y851" s="19" t="str">
        <f>"Q"&amp;ROUNDUP(tblMaster[[#This Row],[Month Number]]/3,0)</f>
        <v>Q3</v>
      </c>
      <c r="Z851" s="19">
        <f>YEAR(tblMaster[[#This Row],[Order_Date]])</f>
        <v>2023</v>
      </c>
      <c r="AA851" s="19" t="str">
        <f>TEXT(DAY(tblMaster[[#This Row],[Order_Date]]),"dddd")</f>
        <v>Monday</v>
      </c>
      <c r="AB851" s="19" t="str">
        <f>IF(tblMaster[[#This Row],[Revenue]]&gt;=5000,"High",IF(tblMaster[[#This Row],[Revenue]]&lt;2000,"Low","Medium"))</f>
        <v>High</v>
      </c>
    </row>
    <row r="852" spans="1:28" x14ac:dyDescent="0.25">
      <c r="A852" s="7">
        <v>851</v>
      </c>
      <c r="B852" s="7" t="s">
        <v>337</v>
      </c>
      <c r="C852" s="4">
        <v>13</v>
      </c>
      <c r="D852" s="4">
        <v>3</v>
      </c>
      <c r="E852" s="8">
        <v>44991</v>
      </c>
      <c r="F852" s="9">
        <v>0.48052083333333334</v>
      </c>
      <c r="G852" s="8">
        <v>44995</v>
      </c>
      <c r="H852" s="9">
        <v>0.7624305555555555</v>
      </c>
      <c r="I852" s="7" t="s">
        <v>562</v>
      </c>
      <c r="J852" s="7" t="s">
        <v>25</v>
      </c>
      <c r="K852" s="18" t="str">
        <f>_xlfn.XLOOKUP(tblMaster[[#This Row],[Customer_ID]],tblCustomers[Customer_ID],tblCustomers[City],"Not Found",0)</f>
        <v>Sambhal</v>
      </c>
      <c r="L852" s="18" t="str">
        <f>_xlfn.XLOOKUP(tblMaster[[#This Row],[Customer_ID]],tblCustomers[Customer_ID],tblCustomers[Name],"Not Found",0)</f>
        <v>Vardaniya Contractor</v>
      </c>
      <c r="M852" s="18" t="str">
        <f>_xlfn.XLOOKUP(tblMaster[[#This Row],[Customer_ID]],tblCustomers[Customer_ID],tblCustomers[Gender],"Not Found",0)</f>
        <v>Male</v>
      </c>
      <c r="N852" s="18" t="str">
        <f>_xlfn.XLOOKUP(tblMaster[[#This Row],[Product_ID]],tblProducts[Product_ID],tblProducts[Product_Name],"Not Found",0)</f>
        <v>Et Set</v>
      </c>
      <c r="O852" s="18" t="str">
        <f>_xlfn.XLOOKUP(tblMaster[[#This Row],[Product_ID]],tblProducts[Product_ID],tblProducts[Category],"Not Found",0)</f>
        <v>Mugs</v>
      </c>
      <c r="P852" s="18" t="str">
        <f>_xlfn.XLOOKUP(tblMaster[[#This Row],[Product_ID]],tblProducts[Product_ID],tblProducts[Occasion],"Not Found",0)</f>
        <v>Holi</v>
      </c>
      <c r="Q852" s="18">
        <f>_xlfn.XLOOKUP(tblMaster[[#This Row],[Product_ID]],tblProducts[Product_ID],tblProducts[Price (INR)],"Not Found",0)</f>
        <v>1141</v>
      </c>
      <c r="R852" s="19">
        <f>tblMaster[[#This Row],[Price]]*tblMaster[[#This Row],[Quantity]]</f>
        <v>3423</v>
      </c>
      <c r="S852" s="19">
        <f>tblMaster[[#This Row],[Price]]*0.7*tblMaster[[#This Row],[Quantity]]</f>
        <v>2396.1</v>
      </c>
      <c r="T852" s="19">
        <f>tblMaster[[#This Row],[Revenue]]-tblMaster[[#This Row],[Estimated Cost (at 70%) ]]</f>
        <v>1026.9000000000001</v>
      </c>
      <c r="U852" s="19">
        <f>tblMaster[[#This Row],[Profit]]/tblMaster[[#This Row],[Revenue]]</f>
        <v>0.30000000000000004</v>
      </c>
      <c r="V852" s="19">
        <f>tblMaster[[#This Row],[Delivery_Date]]-tblMaster[[#This Row],[Order_Date]]</f>
        <v>4</v>
      </c>
      <c r="W852" s="19" t="str">
        <f>TEXT(tblMaster[[#This Row],[Order_Date]],"mmmm")</f>
        <v>March</v>
      </c>
      <c r="X852" s="19">
        <f>MONTH(tblMaster[[#This Row],[Order_Date]])</f>
        <v>3</v>
      </c>
      <c r="Y852" s="19" t="str">
        <f>"Q"&amp;ROUNDUP(tblMaster[[#This Row],[Month Number]]/3,0)</f>
        <v>Q1</v>
      </c>
      <c r="Z852" s="19">
        <f>YEAR(tblMaster[[#This Row],[Order_Date]])</f>
        <v>2023</v>
      </c>
      <c r="AA852" s="19" t="str">
        <f>TEXT(DAY(tblMaster[[#This Row],[Order_Date]]),"dddd")</f>
        <v>Friday</v>
      </c>
      <c r="AB852" s="19" t="str">
        <f>IF(tblMaster[[#This Row],[Revenue]]&gt;=5000,"High",IF(tblMaster[[#This Row],[Revenue]]&lt;2000,"Low","Medium"))</f>
        <v>Medium</v>
      </c>
    </row>
    <row r="853" spans="1:28" x14ac:dyDescent="0.25">
      <c r="A853" s="10">
        <v>852</v>
      </c>
      <c r="B853" s="10" t="s">
        <v>329</v>
      </c>
      <c r="C853" s="5">
        <v>44</v>
      </c>
      <c r="D853" s="5">
        <v>2</v>
      </c>
      <c r="E853" s="11">
        <v>45241</v>
      </c>
      <c r="F853" s="12">
        <v>0.40400462962962963</v>
      </c>
      <c r="G853" s="11">
        <v>45244</v>
      </c>
      <c r="H853" s="12">
        <v>0.59409722222222228</v>
      </c>
      <c r="I853" s="10" t="s">
        <v>314</v>
      </c>
      <c r="J853" s="10" t="s">
        <v>19</v>
      </c>
      <c r="K853" s="18" t="str">
        <f>_xlfn.XLOOKUP(tblMaster[[#This Row],[Customer_ID]],tblCustomers[Customer_ID],tblCustomers[City],"Not Found",0)</f>
        <v>Vellore</v>
      </c>
      <c r="L853" s="18" t="str">
        <f>_xlfn.XLOOKUP(tblMaster[[#This Row],[Customer_ID]],tblCustomers[Customer_ID],tblCustomers[Name],"Not Found",0)</f>
        <v>Ira Sarna</v>
      </c>
      <c r="M853" s="18" t="str">
        <f>_xlfn.XLOOKUP(tblMaster[[#This Row],[Customer_ID]],tblCustomers[Customer_ID],tblCustomers[Gender],"Not Found",0)</f>
        <v>Male</v>
      </c>
      <c r="N853" s="18" t="str">
        <f>_xlfn.XLOOKUP(tblMaster[[#This Row],[Product_ID]],tblProducts[Product_ID],tblProducts[Product_Name],"Not Found",0)</f>
        <v>Dolorum Set</v>
      </c>
      <c r="O853" s="18" t="str">
        <f>_xlfn.XLOOKUP(tblMaster[[#This Row],[Product_ID]],tblProducts[Product_ID],tblProducts[Category],"Not Found",0)</f>
        <v>Plants</v>
      </c>
      <c r="P853" s="18" t="str">
        <f>_xlfn.XLOOKUP(tblMaster[[#This Row],[Product_ID]],tblProducts[Product_ID],tblProducts[Occasion],"Not Found",0)</f>
        <v>Diwali</v>
      </c>
      <c r="Q853" s="18">
        <f>_xlfn.XLOOKUP(tblMaster[[#This Row],[Product_ID]],tblProducts[Product_ID],tblProducts[Price (INR)],"Not Found",0)</f>
        <v>794</v>
      </c>
      <c r="R853" s="19">
        <f>tblMaster[[#This Row],[Price]]*tblMaster[[#This Row],[Quantity]]</f>
        <v>1588</v>
      </c>
      <c r="S853" s="19">
        <f>tblMaster[[#This Row],[Price]]*0.7*tblMaster[[#This Row],[Quantity]]</f>
        <v>1111.5999999999999</v>
      </c>
      <c r="T853" s="19">
        <f>tblMaster[[#This Row],[Revenue]]-tblMaster[[#This Row],[Estimated Cost (at 70%) ]]</f>
        <v>476.40000000000009</v>
      </c>
      <c r="U853" s="19">
        <f>tblMaster[[#This Row],[Profit]]/tblMaster[[#This Row],[Revenue]]</f>
        <v>0.30000000000000004</v>
      </c>
      <c r="V853" s="19">
        <f>tblMaster[[#This Row],[Delivery_Date]]-tblMaster[[#This Row],[Order_Date]]</f>
        <v>3</v>
      </c>
      <c r="W853" s="19" t="str">
        <f>TEXT(tblMaster[[#This Row],[Order_Date]],"mmmm")</f>
        <v>November</v>
      </c>
      <c r="X853" s="19">
        <f>MONTH(tblMaster[[#This Row],[Order_Date]])</f>
        <v>11</v>
      </c>
      <c r="Y853" s="19" t="str">
        <f>"Q"&amp;ROUNDUP(tblMaster[[#This Row],[Month Number]]/3,0)</f>
        <v>Q4</v>
      </c>
      <c r="Z853" s="19">
        <f>YEAR(tblMaster[[#This Row],[Order_Date]])</f>
        <v>2023</v>
      </c>
      <c r="AA853" s="19" t="str">
        <f>TEXT(DAY(tblMaster[[#This Row],[Order_Date]]),"dddd")</f>
        <v>Wednesday</v>
      </c>
      <c r="AB853" s="19" t="str">
        <f>IF(tblMaster[[#This Row],[Revenue]]&gt;=5000,"High",IF(tblMaster[[#This Row],[Revenue]]&lt;2000,"Low","Medium"))</f>
        <v>Low</v>
      </c>
    </row>
    <row r="854" spans="1:28" x14ac:dyDescent="0.25">
      <c r="A854" s="7">
        <v>853</v>
      </c>
      <c r="B854" s="7" t="s">
        <v>276</v>
      </c>
      <c r="C854" s="4">
        <v>51</v>
      </c>
      <c r="D854" s="4">
        <v>3</v>
      </c>
      <c r="E854" s="8">
        <v>45186</v>
      </c>
      <c r="F854" s="9">
        <v>0.88533564814814814</v>
      </c>
      <c r="G854" s="8">
        <v>45192</v>
      </c>
      <c r="H854" s="9">
        <v>0.60240740740740739</v>
      </c>
      <c r="I854" s="7" t="s">
        <v>268</v>
      </c>
      <c r="J854" s="7" t="s">
        <v>8</v>
      </c>
      <c r="K854" s="18" t="str">
        <f>_xlfn.XLOOKUP(tblMaster[[#This Row],[Customer_ID]],tblCustomers[Customer_ID],tblCustomers[City],"Not Found",0)</f>
        <v>Imphal</v>
      </c>
      <c r="L854" s="18" t="str">
        <f>_xlfn.XLOOKUP(tblMaster[[#This Row],[Customer_ID]],tblCustomers[Customer_ID],tblCustomers[Name],"Not Found",0)</f>
        <v>Chirag Srinivas</v>
      </c>
      <c r="M854" s="18" t="str">
        <f>_xlfn.XLOOKUP(tblMaster[[#This Row],[Customer_ID]],tblCustomers[Customer_ID],tblCustomers[Gender],"Not Found",0)</f>
        <v>Female</v>
      </c>
      <c r="N854" s="18" t="str">
        <f>_xlfn.XLOOKUP(tblMaster[[#This Row],[Product_ID]],tblProducts[Product_ID],tblProducts[Product_Name],"Not Found",0)</f>
        <v>Fugit Set</v>
      </c>
      <c r="O854" s="18" t="str">
        <f>_xlfn.XLOOKUP(tblMaster[[#This Row],[Product_ID]],tblProducts[Product_ID],tblProducts[Category],"Not Found",0)</f>
        <v>Soft Toys</v>
      </c>
      <c r="P854" s="18" t="str">
        <f>_xlfn.XLOOKUP(tblMaster[[#This Row],[Product_ID]],tblProducts[Product_ID],tblProducts[Occasion],"Not Found",0)</f>
        <v>All Occasions</v>
      </c>
      <c r="Q854" s="18">
        <f>_xlfn.XLOOKUP(tblMaster[[#This Row],[Product_ID]],tblProducts[Product_ID],tblProducts[Price (INR)],"Not Found",0)</f>
        <v>1084</v>
      </c>
      <c r="R854" s="19">
        <f>tblMaster[[#This Row],[Price]]*tblMaster[[#This Row],[Quantity]]</f>
        <v>3252</v>
      </c>
      <c r="S854" s="19">
        <f>tblMaster[[#This Row],[Price]]*0.7*tblMaster[[#This Row],[Quantity]]</f>
        <v>2276.3999999999996</v>
      </c>
      <c r="T854" s="19">
        <f>tblMaster[[#This Row],[Revenue]]-tblMaster[[#This Row],[Estimated Cost (at 70%) ]]</f>
        <v>975.60000000000036</v>
      </c>
      <c r="U854" s="19">
        <f>tblMaster[[#This Row],[Profit]]/tblMaster[[#This Row],[Revenue]]</f>
        <v>0.3000000000000001</v>
      </c>
      <c r="V854" s="19">
        <f>tblMaster[[#This Row],[Delivery_Date]]-tblMaster[[#This Row],[Order_Date]]</f>
        <v>6</v>
      </c>
      <c r="W854" s="19" t="str">
        <f>TEXT(tblMaster[[#This Row],[Order_Date]],"mmmm")</f>
        <v>September</v>
      </c>
      <c r="X854" s="19">
        <f>MONTH(tblMaster[[#This Row],[Order_Date]])</f>
        <v>9</v>
      </c>
      <c r="Y854" s="19" t="str">
        <f>"Q"&amp;ROUNDUP(tblMaster[[#This Row],[Month Number]]/3,0)</f>
        <v>Q3</v>
      </c>
      <c r="Z854" s="19">
        <f>YEAR(tblMaster[[#This Row],[Order_Date]])</f>
        <v>2023</v>
      </c>
      <c r="AA854" s="19" t="str">
        <f>TEXT(DAY(tblMaster[[#This Row],[Order_Date]]),"dddd")</f>
        <v>Tuesday</v>
      </c>
      <c r="AB854" s="19" t="str">
        <f>IF(tblMaster[[#This Row],[Revenue]]&gt;=5000,"High",IF(tblMaster[[#This Row],[Revenue]]&lt;2000,"Low","Medium"))</f>
        <v>Medium</v>
      </c>
    </row>
    <row r="855" spans="1:28" x14ac:dyDescent="0.25">
      <c r="A855" s="10">
        <v>854</v>
      </c>
      <c r="B855" s="10" t="s">
        <v>392</v>
      </c>
      <c r="C855" s="5">
        <v>62</v>
      </c>
      <c r="D855" s="5">
        <v>3</v>
      </c>
      <c r="E855" s="11">
        <v>44984</v>
      </c>
      <c r="F855" s="12">
        <v>8.3715277777777777E-2</v>
      </c>
      <c r="G855" s="11">
        <v>44987</v>
      </c>
      <c r="H855" s="12">
        <v>0.11908564814814815</v>
      </c>
      <c r="I855" s="10" t="s">
        <v>559</v>
      </c>
      <c r="J855" s="10" t="s">
        <v>25</v>
      </c>
      <c r="K855" s="18" t="str">
        <f>_xlfn.XLOOKUP(tblMaster[[#This Row],[Customer_ID]],tblCustomers[Customer_ID],tblCustomers[City],"Not Found",0)</f>
        <v>Tenali</v>
      </c>
      <c r="L855" s="18" t="str">
        <f>_xlfn.XLOOKUP(tblMaster[[#This Row],[Customer_ID]],tblCustomers[Customer_ID],tblCustomers[Name],"Not Found",0)</f>
        <v>Amani Ganesh</v>
      </c>
      <c r="M855" s="18" t="str">
        <f>_xlfn.XLOOKUP(tblMaster[[#This Row],[Customer_ID]],tblCustomers[Customer_ID],tblCustomers[Gender],"Not Found",0)</f>
        <v>Male</v>
      </c>
      <c r="N855" s="18" t="str">
        <f>_xlfn.XLOOKUP(tblMaster[[#This Row],[Product_ID]],tblProducts[Product_ID],tblProducts[Product_Name],"Not Found",0)</f>
        <v>Sed Set</v>
      </c>
      <c r="O855" s="18" t="str">
        <f>_xlfn.XLOOKUP(tblMaster[[#This Row],[Product_ID]],tblProducts[Product_ID],tblProducts[Category],"Not Found",0)</f>
        <v>Colors</v>
      </c>
      <c r="P855" s="18" t="str">
        <f>_xlfn.XLOOKUP(tblMaster[[#This Row],[Product_ID]],tblProducts[Product_ID],tblProducts[Occasion],"Not Found",0)</f>
        <v>Holi</v>
      </c>
      <c r="Q855" s="18">
        <f>_xlfn.XLOOKUP(tblMaster[[#This Row],[Product_ID]],tblProducts[Product_ID],tblProducts[Price (INR)],"Not Found",0)</f>
        <v>1356</v>
      </c>
      <c r="R855" s="19">
        <f>tblMaster[[#This Row],[Price]]*tblMaster[[#This Row],[Quantity]]</f>
        <v>4068</v>
      </c>
      <c r="S855" s="19">
        <f>tblMaster[[#This Row],[Price]]*0.7*tblMaster[[#This Row],[Quantity]]</f>
        <v>2847.6</v>
      </c>
      <c r="T855" s="19">
        <f>tblMaster[[#This Row],[Revenue]]-tblMaster[[#This Row],[Estimated Cost (at 70%) ]]</f>
        <v>1220.4000000000001</v>
      </c>
      <c r="U855" s="19">
        <f>tblMaster[[#This Row],[Profit]]/tblMaster[[#This Row],[Revenue]]</f>
        <v>0.30000000000000004</v>
      </c>
      <c r="V855" s="19">
        <f>tblMaster[[#This Row],[Delivery_Date]]-tblMaster[[#This Row],[Order_Date]]</f>
        <v>3</v>
      </c>
      <c r="W855" s="19" t="str">
        <f>TEXT(tblMaster[[#This Row],[Order_Date]],"mmmm")</f>
        <v>February</v>
      </c>
      <c r="X855" s="19">
        <f>MONTH(tblMaster[[#This Row],[Order_Date]])</f>
        <v>2</v>
      </c>
      <c r="Y855" s="19" t="str">
        <f>"Q"&amp;ROUNDUP(tblMaster[[#This Row],[Month Number]]/3,0)</f>
        <v>Q1</v>
      </c>
      <c r="Z855" s="19">
        <f>YEAR(tblMaster[[#This Row],[Order_Date]])</f>
        <v>2023</v>
      </c>
      <c r="AA855" s="19" t="str">
        <f>TEXT(DAY(tblMaster[[#This Row],[Order_Date]]),"dddd")</f>
        <v>Friday</v>
      </c>
      <c r="AB855" s="19" t="str">
        <f>IF(tblMaster[[#This Row],[Revenue]]&gt;=5000,"High",IF(tblMaster[[#This Row],[Revenue]]&lt;2000,"Low","Medium"))</f>
        <v>Medium</v>
      </c>
    </row>
    <row r="856" spans="1:28" x14ac:dyDescent="0.25">
      <c r="A856" s="7">
        <v>855</v>
      </c>
      <c r="B856" s="7" t="s">
        <v>272</v>
      </c>
      <c r="C856" s="4">
        <v>57</v>
      </c>
      <c r="D856" s="4">
        <v>5</v>
      </c>
      <c r="E856" s="8">
        <v>45145</v>
      </c>
      <c r="F856" s="9">
        <v>0.99318287037037034</v>
      </c>
      <c r="G856" s="8">
        <v>45155</v>
      </c>
      <c r="H856" s="9">
        <v>0.84424768518518523</v>
      </c>
      <c r="I856" s="7" t="s">
        <v>353</v>
      </c>
      <c r="J856" s="7" t="s">
        <v>36</v>
      </c>
      <c r="K856" s="18" t="str">
        <f>_xlfn.XLOOKUP(tblMaster[[#This Row],[Customer_ID]],tblCustomers[Customer_ID],tblCustomers[City],"Not Found",0)</f>
        <v>Indore</v>
      </c>
      <c r="L856" s="18" t="str">
        <f>_xlfn.XLOOKUP(tblMaster[[#This Row],[Customer_ID]],tblCustomers[Customer_ID],tblCustomers[Name],"Not Found",0)</f>
        <v>Suhana Kurian</v>
      </c>
      <c r="M856" s="18" t="str">
        <f>_xlfn.XLOOKUP(tblMaster[[#This Row],[Customer_ID]],tblCustomers[Customer_ID],tblCustomers[Gender],"Not Found",0)</f>
        <v>Female</v>
      </c>
      <c r="N856" s="18" t="str">
        <f>_xlfn.XLOOKUP(tblMaster[[#This Row],[Product_ID]],tblProducts[Product_ID],tblProducts[Product_Name],"Not Found",0)</f>
        <v>Voluptatem Box</v>
      </c>
      <c r="O856" s="18" t="str">
        <f>_xlfn.XLOOKUP(tblMaster[[#This Row],[Product_ID]],tblProducts[Product_ID],tblProducts[Category],"Not Found",0)</f>
        <v>Colors</v>
      </c>
      <c r="P856" s="18" t="str">
        <f>_xlfn.XLOOKUP(tblMaster[[#This Row],[Product_ID]],tblProducts[Product_ID],tblProducts[Occasion],"Not Found",0)</f>
        <v>Birthday</v>
      </c>
      <c r="Q856" s="18">
        <f>_xlfn.XLOOKUP(tblMaster[[#This Row],[Product_ID]],tblProducts[Product_ID],tblProducts[Price (INR)],"Not Found",0)</f>
        <v>1582</v>
      </c>
      <c r="R856" s="19">
        <f>tblMaster[[#This Row],[Price]]*tblMaster[[#This Row],[Quantity]]</f>
        <v>7910</v>
      </c>
      <c r="S856" s="19">
        <f>tblMaster[[#This Row],[Price]]*0.7*tblMaster[[#This Row],[Quantity]]</f>
        <v>5536.9999999999991</v>
      </c>
      <c r="T856" s="19">
        <f>tblMaster[[#This Row],[Revenue]]-tblMaster[[#This Row],[Estimated Cost (at 70%) ]]</f>
        <v>2373.0000000000009</v>
      </c>
      <c r="U856" s="19">
        <f>tblMaster[[#This Row],[Profit]]/tblMaster[[#This Row],[Revenue]]</f>
        <v>0.3000000000000001</v>
      </c>
      <c r="V856" s="19">
        <f>tblMaster[[#This Row],[Delivery_Date]]-tblMaster[[#This Row],[Order_Date]]</f>
        <v>10</v>
      </c>
      <c r="W856" s="19" t="str">
        <f>TEXT(tblMaster[[#This Row],[Order_Date]],"mmmm")</f>
        <v>August</v>
      </c>
      <c r="X856" s="19">
        <f>MONTH(tblMaster[[#This Row],[Order_Date]])</f>
        <v>8</v>
      </c>
      <c r="Y856" s="19" t="str">
        <f>"Q"&amp;ROUNDUP(tblMaster[[#This Row],[Month Number]]/3,0)</f>
        <v>Q3</v>
      </c>
      <c r="Z856" s="19">
        <f>YEAR(tblMaster[[#This Row],[Order_Date]])</f>
        <v>2023</v>
      </c>
      <c r="AA856" s="19" t="str">
        <f>TEXT(DAY(tblMaster[[#This Row],[Order_Date]]),"dddd")</f>
        <v>Saturday</v>
      </c>
      <c r="AB856" s="19" t="str">
        <f>IF(tblMaster[[#This Row],[Revenue]]&gt;=5000,"High",IF(tblMaster[[#This Row],[Revenue]]&lt;2000,"Low","Medium"))</f>
        <v>High</v>
      </c>
    </row>
    <row r="857" spans="1:28" x14ac:dyDescent="0.25">
      <c r="A857" s="10">
        <v>856</v>
      </c>
      <c r="B857" s="10" t="s">
        <v>261</v>
      </c>
      <c r="C857" s="5">
        <v>21</v>
      </c>
      <c r="D857" s="5">
        <v>2</v>
      </c>
      <c r="E857" s="11">
        <v>45165</v>
      </c>
      <c r="F857" s="12">
        <v>0.73623842592592592</v>
      </c>
      <c r="G857" s="11">
        <v>45171</v>
      </c>
      <c r="H857" s="12">
        <v>0.67835648148148153</v>
      </c>
      <c r="I857" s="10" t="s">
        <v>284</v>
      </c>
      <c r="J857" s="10" t="s">
        <v>33</v>
      </c>
      <c r="K857" s="18" t="str">
        <f>_xlfn.XLOOKUP(tblMaster[[#This Row],[Customer_ID]],tblCustomers[Customer_ID],tblCustomers[City],"Not Found",0)</f>
        <v>Panchkula</v>
      </c>
      <c r="L857" s="18" t="str">
        <f>_xlfn.XLOOKUP(tblMaster[[#This Row],[Customer_ID]],tblCustomers[Customer_ID],tblCustomers[Name],"Not Found",0)</f>
        <v>Gokul Ahluwalia</v>
      </c>
      <c r="M857" s="18" t="str">
        <f>_xlfn.XLOOKUP(tblMaster[[#This Row],[Customer_ID]],tblCustomers[Customer_ID],tblCustomers[Gender],"Not Found",0)</f>
        <v>Female</v>
      </c>
      <c r="N857" s="18" t="str">
        <f>_xlfn.XLOOKUP(tblMaster[[#This Row],[Product_ID]],tblProducts[Product_ID],tblProducts[Product_Name],"Not Found",0)</f>
        <v>Quia Gift</v>
      </c>
      <c r="O857" s="18" t="str">
        <f>_xlfn.XLOOKUP(tblMaster[[#This Row],[Product_ID]],tblProducts[Product_ID],tblProducts[Category],"Not Found",0)</f>
        <v>Colors</v>
      </c>
      <c r="P857" s="18" t="str">
        <f>_xlfn.XLOOKUP(tblMaster[[#This Row],[Product_ID]],tblProducts[Product_ID],tblProducts[Occasion],"Not Found",0)</f>
        <v>Raksha Bandhan</v>
      </c>
      <c r="Q857" s="18">
        <f>_xlfn.XLOOKUP(tblMaster[[#This Row],[Product_ID]],tblProducts[Product_ID],tblProducts[Price (INR)],"Not Found",0)</f>
        <v>1561</v>
      </c>
      <c r="R857" s="19">
        <f>tblMaster[[#This Row],[Price]]*tblMaster[[#This Row],[Quantity]]</f>
        <v>3122</v>
      </c>
      <c r="S857" s="19">
        <f>tblMaster[[#This Row],[Price]]*0.7*tblMaster[[#This Row],[Quantity]]</f>
        <v>2185.3999999999996</v>
      </c>
      <c r="T857" s="19">
        <f>tblMaster[[#This Row],[Revenue]]-tblMaster[[#This Row],[Estimated Cost (at 70%) ]]</f>
        <v>936.60000000000036</v>
      </c>
      <c r="U857" s="19">
        <f>tblMaster[[#This Row],[Profit]]/tblMaster[[#This Row],[Revenue]]</f>
        <v>0.3000000000000001</v>
      </c>
      <c r="V857" s="19">
        <f>tblMaster[[#This Row],[Delivery_Date]]-tblMaster[[#This Row],[Order_Date]]</f>
        <v>6</v>
      </c>
      <c r="W857" s="19" t="str">
        <f>TEXT(tblMaster[[#This Row],[Order_Date]],"mmmm")</f>
        <v>August</v>
      </c>
      <c r="X857" s="19">
        <f>MONTH(tblMaster[[#This Row],[Order_Date]])</f>
        <v>8</v>
      </c>
      <c r="Y857" s="19" t="str">
        <f>"Q"&amp;ROUNDUP(tblMaster[[#This Row],[Month Number]]/3,0)</f>
        <v>Q3</v>
      </c>
      <c r="Z857" s="19">
        <f>YEAR(tblMaster[[#This Row],[Order_Date]])</f>
        <v>2023</v>
      </c>
      <c r="AA857" s="19" t="str">
        <f>TEXT(DAY(tblMaster[[#This Row],[Order_Date]]),"dddd")</f>
        <v>Friday</v>
      </c>
      <c r="AB857" s="19" t="str">
        <f>IF(tblMaster[[#This Row],[Revenue]]&gt;=5000,"High",IF(tblMaster[[#This Row],[Revenue]]&lt;2000,"Low","Medium"))</f>
        <v>Medium</v>
      </c>
    </row>
    <row r="858" spans="1:28" x14ac:dyDescent="0.25">
      <c r="A858" s="7">
        <v>857</v>
      </c>
      <c r="B858" s="7" t="s">
        <v>291</v>
      </c>
      <c r="C858" s="4">
        <v>63</v>
      </c>
      <c r="D858" s="4">
        <v>1</v>
      </c>
      <c r="E858" s="8">
        <v>44966</v>
      </c>
      <c r="F858" s="9">
        <v>0.39048611111111109</v>
      </c>
      <c r="G858" s="8">
        <v>44975</v>
      </c>
      <c r="H858" s="9">
        <v>0.58384259259259264</v>
      </c>
      <c r="I858" s="7" t="s">
        <v>399</v>
      </c>
      <c r="J858" s="7" t="s">
        <v>8</v>
      </c>
      <c r="K858" s="18" t="str">
        <f>_xlfn.XLOOKUP(tblMaster[[#This Row],[Customer_ID]],tblCustomers[Customer_ID],tblCustomers[City],"Not Found",0)</f>
        <v>Bharatpur</v>
      </c>
      <c r="L858" s="18" t="str">
        <f>_xlfn.XLOOKUP(tblMaster[[#This Row],[Customer_ID]],tblCustomers[Customer_ID],tblCustomers[Name],"Not Found",0)</f>
        <v>Kismat Kapadia</v>
      </c>
      <c r="M858" s="18" t="str">
        <f>_xlfn.XLOOKUP(tblMaster[[#This Row],[Customer_ID]],tblCustomers[Customer_ID],tblCustomers[Gender],"Not Found",0)</f>
        <v>Female</v>
      </c>
      <c r="N858" s="18" t="str">
        <f>_xlfn.XLOOKUP(tblMaster[[#This Row],[Product_ID]],tblProducts[Product_ID],tblProducts[Product_Name],"Not Found",0)</f>
        <v>Adipisci Set</v>
      </c>
      <c r="O858" s="18" t="str">
        <f>_xlfn.XLOOKUP(tblMaster[[#This Row],[Product_ID]],tblProducts[Product_ID],tblProducts[Category],"Not Found",0)</f>
        <v>Sweets</v>
      </c>
      <c r="P858" s="18" t="str">
        <f>_xlfn.XLOOKUP(tblMaster[[#This Row],[Product_ID]],tblProducts[Product_ID],tblProducts[Occasion],"Not Found",0)</f>
        <v>All Occasions</v>
      </c>
      <c r="Q858" s="18">
        <f>_xlfn.XLOOKUP(tblMaster[[#This Row],[Product_ID]],tblProducts[Product_ID],tblProducts[Price (INR)],"Not Found",0)</f>
        <v>1348</v>
      </c>
      <c r="R858" s="19">
        <f>tblMaster[[#This Row],[Price]]*tblMaster[[#This Row],[Quantity]]</f>
        <v>1348</v>
      </c>
      <c r="S858" s="19">
        <f>tblMaster[[#This Row],[Price]]*0.7*tblMaster[[#This Row],[Quantity]]</f>
        <v>943.59999999999991</v>
      </c>
      <c r="T858" s="19">
        <f>tblMaster[[#This Row],[Revenue]]-tblMaster[[#This Row],[Estimated Cost (at 70%) ]]</f>
        <v>404.40000000000009</v>
      </c>
      <c r="U858" s="19">
        <f>tblMaster[[#This Row],[Profit]]/tblMaster[[#This Row],[Revenue]]</f>
        <v>0.30000000000000004</v>
      </c>
      <c r="V858" s="19">
        <f>tblMaster[[#This Row],[Delivery_Date]]-tblMaster[[#This Row],[Order_Date]]</f>
        <v>9</v>
      </c>
      <c r="W858" s="19" t="str">
        <f>TEXT(tblMaster[[#This Row],[Order_Date]],"mmmm")</f>
        <v>February</v>
      </c>
      <c r="X858" s="19">
        <f>MONTH(tblMaster[[#This Row],[Order_Date]])</f>
        <v>2</v>
      </c>
      <c r="Y858" s="19" t="str">
        <f>"Q"&amp;ROUNDUP(tblMaster[[#This Row],[Month Number]]/3,0)</f>
        <v>Q1</v>
      </c>
      <c r="Z858" s="19">
        <f>YEAR(tblMaster[[#This Row],[Order_Date]])</f>
        <v>2023</v>
      </c>
      <c r="AA858" s="19" t="str">
        <f>TEXT(DAY(tblMaster[[#This Row],[Order_Date]]),"dddd")</f>
        <v>Monday</v>
      </c>
      <c r="AB858" s="19" t="str">
        <f>IF(tblMaster[[#This Row],[Revenue]]&gt;=5000,"High",IF(tblMaster[[#This Row],[Revenue]]&lt;2000,"Low","Medium"))</f>
        <v>Low</v>
      </c>
    </row>
    <row r="859" spans="1:28" x14ac:dyDescent="0.25">
      <c r="A859" s="10">
        <v>858</v>
      </c>
      <c r="B859" s="10" t="s">
        <v>237</v>
      </c>
      <c r="C859" s="5">
        <v>44</v>
      </c>
      <c r="D859" s="5">
        <v>4</v>
      </c>
      <c r="E859" s="11">
        <v>45238</v>
      </c>
      <c r="F859" s="12">
        <v>7.7638888888888882E-2</v>
      </c>
      <c r="G859" s="11">
        <v>45239</v>
      </c>
      <c r="H859" s="12">
        <v>0.66763888888888889</v>
      </c>
      <c r="I859" s="10" t="s">
        <v>494</v>
      </c>
      <c r="J859" s="10" t="s">
        <v>19</v>
      </c>
      <c r="K859" s="18" t="str">
        <f>_xlfn.XLOOKUP(tblMaster[[#This Row],[Customer_ID]],tblCustomers[Customer_ID],tblCustomers[City],"Not Found",0)</f>
        <v>Guna</v>
      </c>
      <c r="L859" s="18" t="str">
        <f>_xlfn.XLOOKUP(tblMaster[[#This Row],[Customer_ID]],tblCustomers[Customer_ID],tblCustomers[Name],"Not Found",0)</f>
        <v>Tara Kannan</v>
      </c>
      <c r="M859" s="18" t="str">
        <f>_xlfn.XLOOKUP(tblMaster[[#This Row],[Customer_ID]],tblCustomers[Customer_ID],tblCustomers[Gender],"Not Found",0)</f>
        <v>Male</v>
      </c>
      <c r="N859" s="18" t="str">
        <f>_xlfn.XLOOKUP(tblMaster[[#This Row],[Product_ID]],tblProducts[Product_ID],tblProducts[Product_Name],"Not Found",0)</f>
        <v>Dolorum Set</v>
      </c>
      <c r="O859" s="18" t="str">
        <f>_xlfn.XLOOKUP(tblMaster[[#This Row],[Product_ID]],tblProducts[Product_ID],tblProducts[Category],"Not Found",0)</f>
        <v>Plants</v>
      </c>
      <c r="P859" s="18" t="str">
        <f>_xlfn.XLOOKUP(tblMaster[[#This Row],[Product_ID]],tblProducts[Product_ID],tblProducts[Occasion],"Not Found",0)</f>
        <v>Diwali</v>
      </c>
      <c r="Q859" s="18">
        <f>_xlfn.XLOOKUP(tblMaster[[#This Row],[Product_ID]],tblProducts[Product_ID],tblProducts[Price (INR)],"Not Found",0)</f>
        <v>794</v>
      </c>
      <c r="R859" s="19">
        <f>tblMaster[[#This Row],[Price]]*tblMaster[[#This Row],[Quantity]]</f>
        <v>3176</v>
      </c>
      <c r="S859" s="19">
        <f>tblMaster[[#This Row],[Price]]*0.7*tblMaster[[#This Row],[Quantity]]</f>
        <v>2223.1999999999998</v>
      </c>
      <c r="T859" s="19">
        <f>tblMaster[[#This Row],[Revenue]]-tblMaster[[#This Row],[Estimated Cost (at 70%) ]]</f>
        <v>952.80000000000018</v>
      </c>
      <c r="U859" s="19">
        <f>tblMaster[[#This Row],[Profit]]/tblMaster[[#This Row],[Revenue]]</f>
        <v>0.30000000000000004</v>
      </c>
      <c r="V859" s="19">
        <f>tblMaster[[#This Row],[Delivery_Date]]-tblMaster[[#This Row],[Order_Date]]</f>
        <v>1</v>
      </c>
      <c r="W859" s="19" t="str">
        <f>TEXT(tblMaster[[#This Row],[Order_Date]],"mmmm")</f>
        <v>November</v>
      </c>
      <c r="X859" s="19">
        <f>MONTH(tblMaster[[#This Row],[Order_Date]])</f>
        <v>11</v>
      </c>
      <c r="Y859" s="19" t="str">
        <f>"Q"&amp;ROUNDUP(tblMaster[[#This Row],[Month Number]]/3,0)</f>
        <v>Q4</v>
      </c>
      <c r="Z859" s="19">
        <f>YEAR(tblMaster[[#This Row],[Order_Date]])</f>
        <v>2023</v>
      </c>
      <c r="AA859" s="19" t="str">
        <f>TEXT(DAY(tblMaster[[#This Row],[Order_Date]]),"dddd")</f>
        <v>Sunday</v>
      </c>
      <c r="AB859" s="19" t="str">
        <f>IF(tblMaster[[#This Row],[Revenue]]&gt;=5000,"High",IF(tblMaster[[#This Row],[Revenue]]&lt;2000,"Low","Medium"))</f>
        <v>Medium</v>
      </c>
    </row>
    <row r="860" spans="1:28" x14ac:dyDescent="0.25">
      <c r="A860" s="7">
        <v>859</v>
      </c>
      <c r="B860" s="7" t="s">
        <v>221</v>
      </c>
      <c r="C860" s="4">
        <v>43</v>
      </c>
      <c r="D860" s="4">
        <v>1</v>
      </c>
      <c r="E860" s="8">
        <v>45240</v>
      </c>
      <c r="F860" s="9">
        <v>0.29607638888888888</v>
      </c>
      <c r="G860" s="8">
        <v>45245</v>
      </c>
      <c r="H860" s="9">
        <v>7.3923611111111107E-2</v>
      </c>
      <c r="I860" s="7" t="s">
        <v>288</v>
      </c>
      <c r="J860" s="7" t="s">
        <v>19</v>
      </c>
      <c r="K860" s="18" t="str">
        <f>_xlfn.XLOOKUP(tblMaster[[#This Row],[Customer_ID]],tblCustomers[Customer_ID],tblCustomers[City],"Not Found",0)</f>
        <v>Jorhat</v>
      </c>
      <c r="L860" s="18" t="str">
        <f>_xlfn.XLOOKUP(tblMaster[[#This Row],[Customer_ID]],tblCustomers[Customer_ID],tblCustomers[Name],"Not Found",0)</f>
        <v>Bhamini Ravi</v>
      </c>
      <c r="M860" s="18" t="str">
        <f>_xlfn.XLOOKUP(tblMaster[[#This Row],[Customer_ID]],tblCustomers[Customer_ID],tblCustomers[Gender],"Not Found",0)</f>
        <v>Male</v>
      </c>
      <c r="N860" s="18" t="str">
        <f>_xlfn.XLOOKUP(tblMaster[[#This Row],[Product_ID]],tblProducts[Product_ID],tblProducts[Product_Name],"Not Found",0)</f>
        <v>Quisquam Pack</v>
      </c>
      <c r="O860" s="18" t="str">
        <f>_xlfn.XLOOKUP(tblMaster[[#This Row],[Product_ID]],tblProducts[Product_ID],tblProducts[Category],"Not Found",0)</f>
        <v>Raksha Bandhan</v>
      </c>
      <c r="P860" s="18" t="str">
        <f>_xlfn.XLOOKUP(tblMaster[[#This Row],[Product_ID]],tblProducts[Product_ID],tblProducts[Occasion],"Not Found",0)</f>
        <v>Diwali</v>
      </c>
      <c r="Q860" s="18">
        <f>_xlfn.XLOOKUP(tblMaster[[#This Row],[Product_ID]],tblProducts[Product_ID],tblProducts[Price (INR)],"Not Found",0)</f>
        <v>750</v>
      </c>
      <c r="R860" s="19">
        <f>tblMaster[[#This Row],[Price]]*tblMaster[[#This Row],[Quantity]]</f>
        <v>750</v>
      </c>
      <c r="S860" s="19">
        <f>tblMaster[[#This Row],[Price]]*0.7*tblMaster[[#This Row],[Quantity]]</f>
        <v>525</v>
      </c>
      <c r="T860" s="19">
        <f>tblMaster[[#This Row],[Revenue]]-tblMaster[[#This Row],[Estimated Cost (at 70%) ]]</f>
        <v>225</v>
      </c>
      <c r="U860" s="19">
        <f>tblMaster[[#This Row],[Profit]]/tblMaster[[#This Row],[Revenue]]</f>
        <v>0.3</v>
      </c>
      <c r="V860" s="19">
        <f>tblMaster[[#This Row],[Delivery_Date]]-tblMaster[[#This Row],[Order_Date]]</f>
        <v>5</v>
      </c>
      <c r="W860" s="19" t="str">
        <f>TEXT(tblMaster[[#This Row],[Order_Date]],"mmmm")</f>
        <v>November</v>
      </c>
      <c r="X860" s="19">
        <f>MONTH(tblMaster[[#This Row],[Order_Date]])</f>
        <v>11</v>
      </c>
      <c r="Y860" s="19" t="str">
        <f>"Q"&amp;ROUNDUP(tblMaster[[#This Row],[Month Number]]/3,0)</f>
        <v>Q4</v>
      </c>
      <c r="Z860" s="19">
        <f>YEAR(tblMaster[[#This Row],[Order_Date]])</f>
        <v>2023</v>
      </c>
      <c r="AA860" s="19" t="str">
        <f>TEXT(DAY(tblMaster[[#This Row],[Order_Date]]),"dddd")</f>
        <v>Tuesday</v>
      </c>
      <c r="AB860" s="19" t="str">
        <f>IF(tblMaster[[#This Row],[Revenue]]&gt;=5000,"High",IF(tblMaster[[#This Row],[Revenue]]&lt;2000,"Low","Medium"))</f>
        <v>Low</v>
      </c>
    </row>
    <row r="861" spans="1:28" x14ac:dyDescent="0.25">
      <c r="A861" s="10">
        <v>860</v>
      </c>
      <c r="B861" s="10" t="s">
        <v>216</v>
      </c>
      <c r="C861" s="5">
        <v>14</v>
      </c>
      <c r="D861" s="5">
        <v>1</v>
      </c>
      <c r="E861" s="11">
        <v>44936</v>
      </c>
      <c r="F861" s="12">
        <v>0.81248842592592596</v>
      </c>
      <c r="G861" s="11">
        <v>44939</v>
      </c>
      <c r="H861" s="12">
        <v>0.56284722222222228</v>
      </c>
      <c r="I861" s="10" t="s">
        <v>538</v>
      </c>
      <c r="J861" s="10" t="s">
        <v>36</v>
      </c>
      <c r="K861" s="18" t="str">
        <f>_xlfn.XLOOKUP(tblMaster[[#This Row],[Customer_ID]],tblCustomers[Customer_ID],tblCustomers[City],"Not Found",0)</f>
        <v>Srikakulam</v>
      </c>
      <c r="L861" s="18" t="str">
        <f>_xlfn.XLOOKUP(tblMaster[[#This Row],[Customer_ID]],tblCustomers[Customer_ID],tblCustomers[Name],"Not Found",0)</f>
        <v>Indrajit Kale</v>
      </c>
      <c r="M861" s="18" t="str">
        <f>_xlfn.XLOOKUP(tblMaster[[#This Row],[Customer_ID]],tblCustomers[Customer_ID],tblCustomers[Gender],"Not Found",0)</f>
        <v>Male</v>
      </c>
      <c r="N861" s="18" t="str">
        <f>_xlfn.XLOOKUP(tblMaster[[#This Row],[Product_ID]],tblProducts[Product_ID],tblProducts[Product_Name],"Not Found",0)</f>
        <v>Deserunt Box</v>
      </c>
      <c r="O861" s="18" t="str">
        <f>_xlfn.XLOOKUP(tblMaster[[#This Row],[Product_ID]],tblProducts[Product_ID],tblProducts[Category],"Not Found",0)</f>
        <v>Colors</v>
      </c>
      <c r="P861" s="18" t="str">
        <f>_xlfn.XLOOKUP(tblMaster[[#This Row],[Product_ID]],tblProducts[Product_ID],tblProducts[Occasion],"Not Found",0)</f>
        <v>Birthday</v>
      </c>
      <c r="Q861" s="18">
        <f>_xlfn.XLOOKUP(tblMaster[[#This Row],[Product_ID]],tblProducts[Product_ID],tblProducts[Price (INR)],"Not Found",0)</f>
        <v>1915</v>
      </c>
      <c r="R861" s="19">
        <f>tblMaster[[#This Row],[Price]]*tblMaster[[#This Row],[Quantity]]</f>
        <v>1915</v>
      </c>
      <c r="S861" s="19">
        <f>tblMaster[[#This Row],[Price]]*0.7*tblMaster[[#This Row],[Quantity]]</f>
        <v>1340.5</v>
      </c>
      <c r="T861" s="19">
        <f>tblMaster[[#This Row],[Revenue]]-tblMaster[[#This Row],[Estimated Cost (at 70%) ]]</f>
        <v>574.5</v>
      </c>
      <c r="U861" s="19">
        <f>tblMaster[[#This Row],[Profit]]/tblMaster[[#This Row],[Revenue]]</f>
        <v>0.3</v>
      </c>
      <c r="V861" s="19">
        <f>tblMaster[[#This Row],[Delivery_Date]]-tblMaster[[#This Row],[Order_Date]]</f>
        <v>3</v>
      </c>
      <c r="W861" s="19" t="str">
        <f>TEXT(tblMaster[[#This Row],[Order_Date]],"mmmm")</f>
        <v>January</v>
      </c>
      <c r="X861" s="19">
        <f>MONTH(tblMaster[[#This Row],[Order_Date]])</f>
        <v>1</v>
      </c>
      <c r="Y861" s="19" t="str">
        <f>"Q"&amp;ROUNDUP(tblMaster[[#This Row],[Month Number]]/3,0)</f>
        <v>Q1</v>
      </c>
      <c r="Z861" s="19">
        <f>YEAR(tblMaster[[#This Row],[Order_Date]])</f>
        <v>2023</v>
      </c>
      <c r="AA861" s="19" t="str">
        <f>TEXT(DAY(tblMaster[[#This Row],[Order_Date]]),"dddd")</f>
        <v>Tuesday</v>
      </c>
      <c r="AB861" s="19" t="str">
        <f>IF(tblMaster[[#This Row],[Revenue]]&gt;=5000,"High",IF(tblMaster[[#This Row],[Revenue]]&lt;2000,"Low","Medium"))</f>
        <v>Low</v>
      </c>
    </row>
    <row r="862" spans="1:28" x14ac:dyDescent="0.25">
      <c r="A862" s="7">
        <v>861</v>
      </c>
      <c r="B862" s="7" t="s">
        <v>337</v>
      </c>
      <c r="C862" s="4">
        <v>32</v>
      </c>
      <c r="D862" s="4">
        <v>1</v>
      </c>
      <c r="E862" s="8">
        <v>44966</v>
      </c>
      <c r="F862" s="9">
        <v>0.34688657407407408</v>
      </c>
      <c r="G862" s="8">
        <v>44971</v>
      </c>
      <c r="H862" s="9">
        <v>0.10942129629629629</v>
      </c>
      <c r="I862" s="7" t="s">
        <v>362</v>
      </c>
      <c r="J862" s="7" t="s">
        <v>36</v>
      </c>
      <c r="K862" s="18" t="str">
        <f>_xlfn.XLOOKUP(tblMaster[[#This Row],[Customer_ID]],tblCustomers[Customer_ID],tblCustomers[City],"Not Found",0)</f>
        <v>Sambhal</v>
      </c>
      <c r="L862" s="18" t="str">
        <f>_xlfn.XLOOKUP(tblMaster[[#This Row],[Customer_ID]],tblCustomers[Customer_ID],tblCustomers[Name],"Not Found",0)</f>
        <v>Vardaniya Contractor</v>
      </c>
      <c r="M862" s="18" t="str">
        <f>_xlfn.XLOOKUP(tblMaster[[#This Row],[Customer_ID]],tblCustomers[Customer_ID],tblCustomers[Gender],"Not Found",0)</f>
        <v>Male</v>
      </c>
      <c r="N862" s="18" t="str">
        <f>_xlfn.XLOOKUP(tblMaster[[#This Row],[Product_ID]],tblProducts[Product_ID],tblProducts[Product_Name],"Not Found",0)</f>
        <v>Fuga Set</v>
      </c>
      <c r="O862" s="18" t="str">
        <f>_xlfn.XLOOKUP(tblMaster[[#This Row],[Product_ID]],tblProducts[Product_ID],tblProducts[Category],"Not Found",0)</f>
        <v>Soft Toys</v>
      </c>
      <c r="P862" s="18" t="str">
        <f>_xlfn.XLOOKUP(tblMaster[[#This Row],[Product_ID]],tblProducts[Product_ID],tblProducts[Occasion],"Not Found",0)</f>
        <v>Birthday</v>
      </c>
      <c r="Q862" s="18">
        <f>_xlfn.XLOOKUP(tblMaster[[#This Row],[Product_ID]],tblProducts[Product_ID],tblProducts[Price (INR)],"Not Found",0)</f>
        <v>1792</v>
      </c>
      <c r="R862" s="19">
        <f>tblMaster[[#This Row],[Price]]*tblMaster[[#This Row],[Quantity]]</f>
        <v>1792</v>
      </c>
      <c r="S862" s="19">
        <f>tblMaster[[#This Row],[Price]]*0.7*tblMaster[[#This Row],[Quantity]]</f>
        <v>1254.3999999999999</v>
      </c>
      <c r="T862" s="19">
        <f>tblMaster[[#This Row],[Revenue]]-tblMaster[[#This Row],[Estimated Cost (at 70%) ]]</f>
        <v>537.60000000000014</v>
      </c>
      <c r="U862" s="19">
        <f>tblMaster[[#This Row],[Profit]]/tblMaster[[#This Row],[Revenue]]</f>
        <v>0.3000000000000001</v>
      </c>
      <c r="V862" s="19">
        <f>tblMaster[[#This Row],[Delivery_Date]]-tblMaster[[#This Row],[Order_Date]]</f>
        <v>5</v>
      </c>
      <c r="W862" s="19" t="str">
        <f>TEXT(tblMaster[[#This Row],[Order_Date]],"mmmm")</f>
        <v>February</v>
      </c>
      <c r="X862" s="19">
        <f>MONTH(tblMaster[[#This Row],[Order_Date]])</f>
        <v>2</v>
      </c>
      <c r="Y862" s="19" t="str">
        <f>"Q"&amp;ROUNDUP(tblMaster[[#This Row],[Month Number]]/3,0)</f>
        <v>Q1</v>
      </c>
      <c r="Z862" s="19">
        <f>YEAR(tblMaster[[#This Row],[Order_Date]])</f>
        <v>2023</v>
      </c>
      <c r="AA862" s="19" t="str">
        <f>TEXT(DAY(tblMaster[[#This Row],[Order_Date]]),"dddd")</f>
        <v>Monday</v>
      </c>
      <c r="AB862" s="19" t="str">
        <f>IF(tblMaster[[#This Row],[Revenue]]&gt;=5000,"High",IF(tblMaster[[#This Row],[Revenue]]&lt;2000,"Low","Medium"))</f>
        <v>Low</v>
      </c>
    </row>
    <row r="863" spans="1:28" x14ac:dyDescent="0.25">
      <c r="A863" s="10">
        <v>862</v>
      </c>
      <c r="B863" s="10" t="s">
        <v>367</v>
      </c>
      <c r="C863" s="5">
        <v>6</v>
      </c>
      <c r="D863" s="5">
        <v>4</v>
      </c>
      <c r="E863" s="11">
        <v>44992</v>
      </c>
      <c r="F863" s="12">
        <v>0.24391203703703704</v>
      </c>
      <c r="G863" s="11">
        <v>45000</v>
      </c>
      <c r="H863" s="12">
        <v>0.34984953703703703</v>
      </c>
      <c r="I863" s="10" t="s">
        <v>481</v>
      </c>
      <c r="J863" s="10" t="s">
        <v>25</v>
      </c>
      <c r="K863" s="18" t="str">
        <f>_xlfn.XLOOKUP(tblMaster[[#This Row],[Customer_ID]],tblCustomers[Customer_ID],tblCustomers[City],"Not Found",0)</f>
        <v>Imphal</v>
      </c>
      <c r="L863" s="18" t="str">
        <f>_xlfn.XLOOKUP(tblMaster[[#This Row],[Customer_ID]],tblCustomers[Customer_ID],tblCustomers[Name],"Not Found",0)</f>
        <v>Aarush Balasubramanian</v>
      </c>
      <c r="M863" s="18" t="str">
        <f>_xlfn.XLOOKUP(tblMaster[[#This Row],[Customer_ID]],tblCustomers[Customer_ID],tblCustomers[Gender],"Not Found",0)</f>
        <v>Female</v>
      </c>
      <c r="N863" s="18" t="str">
        <f>_xlfn.XLOOKUP(tblMaster[[#This Row],[Product_ID]],tblProducts[Product_ID],tblProducts[Product_Name],"Not Found",0)</f>
        <v>Quos Box</v>
      </c>
      <c r="O863" s="18" t="str">
        <f>_xlfn.XLOOKUP(tblMaster[[#This Row],[Product_ID]],tblProducts[Product_ID],tblProducts[Category],"Not Found",0)</f>
        <v>Cake</v>
      </c>
      <c r="P863" s="18" t="str">
        <f>_xlfn.XLOOKUP(tblMaster[[#This Row],[Product_ID]],tblProducts[Product_ID],tblProducts[Occasion],"Not Found",0)</f>
        <v>Holi</v>
      </c>
      <c r="Q863" s="18">
        <f>_xlfn.XLOOKUP(tblMaster[[#This Row],[Product_ID]],tblProducts[Product_ID],tblProducts[Price (INR)],"Not Found",0)</f>
        <v>1112</v>
      </c>
      <c r="R863" s="19">
        <f>tblMaster[[#This Row],[Price]]*tblMaster[[#This Row],[Quantity]]</f>
        <v>4448</v>
      </c>
      <c r="S863" s="19">
        <f>tblMaster[[#This Row],[Price]]*0.7*tblMaster[[#This Row],[Quantity]]</f>
        <v>3113.6</v>
      </c>
      <c r="T863" s="19">
        <f>tblMaster[[#This Row],[Revenue]]-tblMaster[[#This Row],[Estimated Cost (at 70%) ]]</f>
        <v>1334.4</v>
      </c>
      <c r="U863" s="19">
        <f>tblMaster[[#This Row],[Profit]]/tblMaster[[#This Row],[Revenue]]</f>
        <v>0.30000000000000004</v>
      </c>
      <c r="V863" s="19">
        <f>tblMaster[[#This Row],[Delivery_Date]]-tblMaster[[#This Row],[Order_Date]]</f>
        <v>8</v>
      </c>
      <c r="W863" s="19" t="str">
        <f>TEXT(tblMaster[[#This Row],[Order_Date]],"mmmm")</f>
        <v>March</v>
      </c>
      <c r="X863" s="19">
        <f>MONTH(tblMaster[[#This Row],[Order_Date]])</f>
        <v>3</v>
      </c>
      <c r="Y863" s="19" t="str">
        <f>"Q"&amp;ROUNDUP(tblMaster[[#This Row],[Month Number]]/3,0)</f>
        <v>Q1</v>
      </c>
      <c r="Z863" s="19">
        <f>YEAR(tblMaster[[#This Row],[Order_Date]])</f>
        <v>2023</v>
      </c>
      <c r="AA863" s="19" t="str">
        <f>TEXT(DAY(tblMaster[[#This Row],[Order_Date]]),"dddd")</f>
        <v>Saturday</v>
      </c>
      <c r="AB863" s="19" t="str">
        <f>IF(tblMaster[[#This Row],[Revenue]]&gt;=5000,"High",IF(tblMaster[[#This Row],[Revenue]]&lt;2000,"Low","Medium"))</f>
        <v>Medium</v>
      </c>
    </row>
    <row r="864" spans="1:28" x14ac:dyDescent="0.25">
      <c r="A864" s="7">
        <v>863</v>
      </c>
      <c r="B864" s="7" t="s">
        <v>183</v>
      </c>
      <c r="C864" s="4">
        <v>20</v>
      </c>
      <c r="D864" s="4">
        <v>3</v>
      </c>
      <c r="E864" s="8">
        <v>45082</v>
      </c>
      <c r="F864" s="9">
        <v>0.39449074074074075</v>
      </c>
      <c r="G864" s="8">
        <v>45092</v>
      </c>
      <c r="H864" s="9">
        <v>0.13408564814814813</v>
      </c>
      <c r="I864" s="7" t="s">
        <v>524</v>
      </c>
      <c r="J864" s="7" t="s">
        <v>30</v>
      </c>
      <c r="K864" s="18" t="str">
        <f>_xlfn.XLOOKUP(tblMaster[[#This Row],[Customer_ID]],tblCustomers[Customer_ID],tblCustomers[City],"Not Found",0)</f>
        <v>Dhanbad</v>
      </c>
      <c r="L864" s="18" t="str">
        <f>_xlfn.XLOOKUP(tblMaster[[#This Row],[Customer_ID]],tblCustomers[Customer_ID],tblCustomers[Name],"Not Found",0)</f>
        <v>Ranbir Loyal</v>
      </c>
      <c r="M864" s="18" t="str">
        <f>_xlfn.XLOOKUP(tblMaster[[#This Row],[Customer_ID]],tblCustomers[Customer_ID],tblCustomers[Gender],"Not Found",0)</f>
        <v>Female</v>
      </c>
      <c r="N864" s="18" t="str">
        <f>_xlfn.XLOOKUP(tblMaster[[#This Row],[Product_ID]],tblProducts[Product_ID],tblProducts[Product_Name],"Not Found",0)</f>
        <v>Reiciendis Box</v>
      </c>
      <c r="O864" s="18" t="str">
        <f>_xlfn.XLOOKUP(tblMaster[[#This Row],[Product_ID]],tblProducts[Product_ID],tblProducts[Category],"Not Found",0)</f>
        <v>Colors</v>
      </c>
      <c r="P864" s="18" t="str">
        <f>_xlfn.XLOOKUP(tblMaster[[#This Row],[Product_ID]],tblProducts[Product_ID],tblProducts[Occasion],"Not Found",0)</f>
        <v>Anniversary</v>
      </c>
      <c r="Q864" s="18">
        <f>_xlfn.XLOOKUP(tblMaster[[#This Row],[Product_ID]],tblProducts[Product_ID],tblProducts[Price (INR)],"Not Found",0)</f>
        <v>697</v>
      </c>
      <c r="R864" s="19">
        <f>tblMaster[[#This Row],[Price]]*tblMaster[[#This Row],[Quantity]]</f>
        <v>2091</v>
      </c>
      <c r="S864" s="19">
        <f>tblMaster[[#This Row],[Price]]*0.7*tblMaster[[#This Row],[Quantity]]</f>
        <v>1463.6999999999998</v>
      </c>
      <c r="T864" s="19">
        <f>tblMaster[[#This Row],[Revenue]]-tblMaster[[#This Row],[Estimated Cost (at 70%) ]]</f>
        <v>627.30000000000018</v>
      </c>
      <c r="U864" s="19">
        <f>tblMaster[[#This Row],[Profit]]/tblMaster[[#This Row],[Revenue]]</f>
        <v>0.3000000000000001</v>
      </c>
      <c r="V864" s="19">
        <f>tblMaster[[#This Row],[Delivery_Date]]-tblMaster[[#This Row],[Order_Date]]</f>
        <v>10</v>
      </c>
      <c r="W864" s="19" t="str">
        <f>TEXT(tblMaster[[#This Row],[Order_Date]],"mmmm")</f>
        <v>June</v>
      </c>
      <c r="X864" s="19">
        <f>MONTH(tblMaster[[#This Row],[Order_Date]])</f>
        <v>6</v>
      </c>
      <c r="Y864" s="19" t="str">
        <f>"Q"&amp;ROUNDUP(tblMaster[[#This Row],[Month Number]]/3,0)</f>
        <v>Q2</v>
      </c>
      <c r="Z864" s="19">
        <f>YEAR(tblMaster[[#This Row],[Order_Date]])</f>
        <v>2023</v>
      </c>
      <c r="AA864" s="19" t="str">
        <f>TEXT(DAY(tblMaster[[#This Row],[Order_Date]]),"dddd")</f>
        <v>Thursday</v>
      </c>
      <c r="AB864" s="19" t="str">
        <f>IF(tblMaster[[#This Row],[Revenue]]&gt;=5000,"High",IF(tblMaster[[#This Row],[Revenue]]&lt;2000,"Low","Medium"))</f>
        <v>Medium</v>
      </c>
    </row>
    <row r="865" spans="1:28" x14ac:dyDescent="0.25">
      <c r="A865" s="10">
        <v>864</v>
      </c>
      <c r="B865" s="10" t="s">
        <v>272</v>
      </c>
      <c r="C865" s="5">
        <v>11</v>
      </c>
      <c r="D865" s="5">
        <v>1</v>
      </c>
      <c r="E865" s="11">
        <v>44968</v>
      </c>
      <c r="F865" s="12">
        <v>0.8155324074074074</v>
      </c>
      <c r="G865" s="11">
        <v>44972</v>
      </c>
      <c r="H865" s="12">
        <v>0.33724537037037039</v>
      </c>
      <c r="I865" s="10" t="s">
        <v>375</v>
      </c>
      <c r="J865" s="10" t="s">
        <v>12</v>
      </c>
      <c r="K865" s="18" t="str">
        <f>_xlfn.XLOOKUP(tblMaster[[#This Row],[Customer_ID]],tblCustomers[Customer_ID],tblCustomers[City],"Not Found",0)</f>
        <v>Indore</v>
      </c>
      <c r="L865" s="18" t="str">
        <f>_xlfn.XLOOKUP(tblMaster[[#This Row],[Customer_ID]],tblCustomers[Customer_ID],tblCustomers[Name],"Not Found",0)</f>
        <v>Suhana Kurian</v>
      </c>
      <c r="M865" s="18" t="str">
        <f>_xlfn.XLOOKUP(tblMaster[[#This Row],[Customer_ID]],tblCustomers[Customer_ID],tblCustomers[Gender],"Not Found",0)</f>
        <v>Female</v>
      </c>
      <c r="N865" s="18" t="str">
        <f>_xlfn.XLOOKUP(tblMaster[[#This Row],[Product_ID]],tblProducts[Product_ID],tblProducts[Product_Name],"Not Found",0)</f>
        <v>Maxime Set</v>
      </c>
      <c r="O865" s="18" t="str">
        <f>_xlfn.XLOOKUP(tblMaster[[#This Row],[Product_ID]],tblProducts[Product_ID],tblProducts[Category],"Not Found",0)</f>
        <v>Mugs</v>
      </c>
      <c r="P865" s="18" t="str">
        <f>_xlfn.XLOOKUP(tblMaster[[#This Row],[Product_ID]],tblProducts[Product_ID],tblProducts[Occasion],"Not Found",0)</f>
        <v>Valentine's Day</v>
      </c>
      <c r="Q865" s="18">
        <f>_xlfn.XLOOKUP(tblMaster[[#This Row],[Product_ID]],tblProducts[Product_ID],tblProducts[Price (INR)],"Not Found",0)</f>
        <v>1096</v>
      </c>
      <c r="R865" s="19">
        <f>tblMaster[[#This Row],[Price]]*tblMaster[[#This Row],[Quantity]]</f>
        <v>1096</v>
      </c>
      <c r="S865" s="19">
        <f>tblMaster[[#This Row],[Price]]*0.7*tblMaster[[#This Row],[Quantity]]</f>
        <v>767.19999999999993</v>
      </c>
      <c r="T865" s="19">
        <f>tblMaster[[#This Row],[Revenue]]-tblMaster[[#This Row],[Estimated Cost (at 70%) ]]</f>
        <v>328.80000000000007</v>
      </c>
      <c r="U865" s="19">
        <f>tblMaster[[#This Row],[Profit]]/tblMaster[[#This Row],[Revenue]]</f>
        <v>0.30000000000000004</v>
      </c>
      <c r="V865" s="19">
        <f>tblMaster[[#This Row],[Delivery_Date]]-tblMaster[[#This Row],[Order_Date]]</f>
        <v>4</v>
      </c>
      <c r="W865" s="19" t="str">
        <f>TEXT(tblMaster[[#This Row],[Order_Date]],"mmmm")</f>
        <v>February</v>
      </c>
      <c r="X865" s="19">
        <f>MONTH(tblMaster[[#This Row],[Order_Date]])</f>
        <v>2</v>
      </c>
      <c r="Y865" s="19" t="str">
        <f>"Q"&amp;ROUNDUP(tblMaster[[#This Row],[Month Number]]/3,0)</f>
        <v>Q1</v>
      </c>
      <c r="Z865" s="19">
        <f>YEAR(tblMaster[[#This Row],[Order_Date]])</f>
        <v>2023</v>
      </c>
      <c r="AA865" s="19" t="str">
        <f>TEXT(DAY(tblMaster[[#This Row],[Order_Date]]),"dddd")</f>
        <v>Wednesday</v>
      </c>
      <c r="AB865" s="19" t="str">
        <f>IF(tblMaster[[#This Row],[Revenue]]&gt;=5000,"High",IF(tblMaster[[#This Row],[Revenue]]&lt;2000,"Low","Medium"))</f>
        <v>Low</v>
      </c>
    </row>
    <row r="866" spans="1:28" x14ac:dyDescent="0.25">
      <c r="A866" s="7">
        <v>865</v>
      </c>
      <c r="B866" s="7" t="s">
        <v>295</v>
      </c>
      <c r="C866" s="4">
        <v>19</v>
      </c>
      <c r="D866" s="4">
        <v>1</v>
      </c>
      <c r="E866" s="8">
        <v>44969</v>
      </c>
      <c r="F866" s="9">
        <v>0.75641203703703708</v>
      </c>
      <c r="G866" s="8">
        <v>44970</v>
      </c>
      <c r="H866" s="9">
        <v>0.27638888888888891</v>
      </c>
      <c r="I866" s="7" t="s">
        <v>356</v>
      </c>
      <c r="J866" s="7" t="s">
        <v>12</v>
      </c>
      <c r="K866" s="18" t="str">
        <f>_xlfn.XLOOKUP(tblMaster[[#This Row],[Customer_ID]],tblCustomers[Customer_ID],tblCustomers[City],"Not Found",0)</f>
        <v>Surat</v>
      </c>
      <c r="L866" s="18" t="str">
        <f>_xlfn.XLOOKUP(tblMaster[[#This Row],[Customer_ID]],tblCustomers[Customer_ID],tblCustomers[Name],"Not Found",0)</f>
        <v>Mannat Anand</v>
      </c>
      <c r="M866" s="18" t="str">
        <f>_xlfn.XLOOKUP(tblMaster[[#This Row],[Customer_ID]],tblCustomers[Customer_ID],tblCustomers[Gender],"Not Found",0)</f>
        <v>Male</v>
      </c>
      <c r="N866" s="18" t="str">
        <f>_xlfn.XLOOKUP(tblMaster[[#This Row],[Product_ID]],tblProducts[Product_ID],tblProducts[Product_Name],"Not Found",0)</f>
        <v>Iure Gift</v>
      </c>
      <c r="O866" s="18" t="str">
        <f>_xlfn.XLOOKUP(tblMaster[[#This Row],[Product_ID]],tblProducts[Product_ID],tblProducts[Category],"Not Found",0)</f>
        <v>Mugs</v>
      </c>
      <c r="P866" s="18" t="str">
        <f>_xlfn.XLOOKUP(tblMaster[[#This Row],[Product_ID]],tblProducts[Product_ID],tblProducts[Occasion],"Not Found",0)</f>
        <v>Valentine's Day</v>
      </c>
      <c r="Q866" s="18">
        <f>_xlfn.XLOOKUP(tblMaster[[#This Row],[Product_ID]],tblProducts[Product_ID],tblProducts[Price (INR)],"Not Found",0)</f>
        <v>1234</v>
      </c>
      <c r="R866" s="19">
        <f>tblMaster[[#This Row],[Price]]*tblMaster[[#This Row],[Quantity]]</f>
        <v>1234</v>
      </c>
      <c r="S866" s="19">
        <f>tblMaster[[#This Row],[Price]]*0.7*tblMaster[[#This Row],[Quantity]]</f>
        <v>863.8</v>
      </c>
      <c r="T866" s="19">
        <f>tblMaster[[#This Row],[Revenue]]-tblMaster[[#This Row],[Estimated Cost (at 70%) ]]</f>
        <v>370.20000000000005</v>
      </c>
      <c r="U866" s="19">
        <f>tblMaster[[#This Row],[Profit]]/tblMaster[[#This Row],[Revenue]]</f>
        <v>0.30000000000000004</v>
      </c>
      <c r="V866" s="19">
        <f>tblMaster[[#This Row],[Delivery_Date]]-tblMaster[[#This Row],[Order_Date]]</f>
        <v>1</v>
      </c>
      <c r="W866" s="19" t="str">
        <f>TEXT(tblMaster[[#This Row],[Order_Date]],"mmmm")</f>
        <v>February</v>
      </c>
      <c r="X866" s="19">
        <f>MONTH(tblMaster[[#This Row],[Order_Date]])</f>
        <v>2</v>
      </c>
      <c r="Y866" s="19" t="str">
        <f>"Q"&amp;ROUNDUP(tblMaster[[#This Row],[Month Number]]/3,0)</f>
        <v>Q1</v>
      </c>
      <c r="Z866" s="19">
        <f>YEAR(tblMaster[[#This Row],[Order_Date]])</f>
        <v>2023</v>
      </c>
      <c r="AA866" s="19" t="str">
        <f>TEXT(DAY(tblMaster[[#This Row],[Order_Date]]),"dddd")</f>
        <v>Thursday</v>
      </c>
      <c r="AB866" s="19" t="str">
        <f>IF(tblMaster[[#This Row],[Revenue]]&gt;=5000,"High",IF(tblMaster[[#This Row],[Revenue]]&lt;2000,"Low","Medium"))</f>
        <v>Low</v>
      </c>
    </row>
    <row r="867" spans="1:28" x14ac:dyDescent="0.25">
      <c r="A867" s="10">
        <v>866</v>
      </c>
      <c r="B867" s="10" t="s">
        <v>503</v>
      </c>
      <c r="C867" s="5">
        <v>15</v>
      </c>
      <c r="D867" s="5">
        <v>5</v>
      </c>
      <c r="E867" s="11">
        <v>45148</v>
      </c>
      <c r="F867" s="12">
        <v>0.83792824074074079</v>
      </c>
      <c r="G867" s="11">
        <v>45149</v>
      </c>
      <c r="H867" s="12">
        <v>0.33519675925925924</v>
      </c>
      <c r="I867" s="10" t="s">
        <v>370</v>
      </c>
      <c r="J867" s="10" t="s">
        <v>30</v>
      </c>
      <c r="K867" s="18" t="str">
        <f>_xlfn.XLOOKUP(tblMaster[[#This Row],[Customer_ID]],tblCustomers[Customer_ID],tblCustomers[City],"Not Found",0)</f>
        <v>Mehsana</v>
      </c>
      <c r="L867" s="18" t="str">
        <f>_xlfn.XLOOKUP(tblMaster[[#This Row],[Customer_ID]],tblCustomers[Customer_ID],tblCustomers[Name],"Not Found",0)</f>
        <v>Siya Talwar</v>
      </c>
      <c r="M867" s="18" t="str">
        <f>_xlfn.XLOOKUP(tblMaster[[#This Row],[Customer_ID]],tblCustomers[Customer_ID],tblCustomers[Gender],"Not Found",0)</f>
        <v>Male</v>
      </c>
      <c r="N867" s="18" t="str">
        <f>_xlfn.XLOOKUP(tblMaster[[#This Row],[Product_ID]],tblProducts[Product_ID],tblProducts[Product_Name],"Not Found",0)</f>
        <v>Repudiandae Box</v>
      </c>
      <c r="O867" s="18" t="str">
        <f>_xlfn.XLOOKUP(tblMaster[[#This Row],[Product_ID]],tblProducts[Product_ID],tblProducts[Category],"Not Found",0)</f>
        <v>Raksha Bandhan</v>
      </c>
      <c r="P867" s="18" t="str">
        <f>_xlfn.XLOOKUP(tblMaster[[#This Row],[Product_ID]],tblProducts[Product_ID],tblProducts[Occasion],"Not Found",0)</f>
        <v>Anniversary</v>
      </c>
      <c r="Q867" s="18">
        <f>_xlfn.XLOOKUP(tblMaster[[#This Row],[Product_ID]],tblProducts[Product_ID],tblProducts[Price (INR)],"Not Found",0)</f>
        <v>1488</v>
      </c>
      <c r="R867" s="19">
        <f>tblMaster[[#This Row],[Price]]*tblMaster[[#This Row],[Quantity]]</f>
        <v>7440</v>
      </c>
      <c r="S867" s="19">
        <f>tblMaster[[#This Row],[Price]]*0.7*tblMaster[[#This Row],[Quantity]]</f>
        <v>5208</v>
      </c>
      <c r="T867" s="19">
        <f>tblMaster[[#This Row],[Revenue]]-tblMaster[[#This Row],[Estimated Cost (at 70%) ]]</f>
        <v>2232</v>
      </c>
      <c r="U867" s="19">
        <f>tblMaster[[#This Row],[Profit]]/tblMaster[[#This Row],[Revenue]]</f>
        <v>0.3</v>
      </c>
      <c r="V867" s="19">
        <f>tblMaster[[#This Row],[Delivery_Date]]-tblMaster[[#This Row],[Order_Date]]</f>
        <v>1</v>
      </c>
      <c r="W867" s="19" t="str">
        <f>TEXT(tblMaster[[#This Row],[Order_Date]],"mmmm")</f>
        <v>August</v>
      </c>
      <c r="X867" s="19">
        <f>MONTH(tblMaster[[#This Row],[Order_Date]])</f>
        <v>8</v>
      </c>
      <c r="Y867" s="19" t="str">
        <f>"Q"&amp;ROUNDUP(tblMaster[[#This Row],[Month Number]]/3,0)</f>
        <v>Q3</v>
      </c>
      <c r="Z867" s="19">
        <f>YEAR(tblMaster[[#This Row],[Order_Date]])</f>
        <v>2023</v>
      </c>
      <c r="AA867" s="19" t="str">
        <f>TEXT(DAY(tblMaster[[#This Row],[Order_Date]]),"dddd")</f>
        <v>Tuesday</v>
      </c>
      <c r="AB867" s="19" t="str">
        <f>IF(tblMaster[[#This Row],[Revenue]]&gt;=5000,"High",IF(tblMaster[[#This Row],[Revenue]]&lt;2000,"Low","Medium"))</f>
        <v>High</v>
      </c>
    </row>
    <row r="868" spans="1:28" x14ac:dyDescent="0.25">
      <c r="A868" s="7">
        <v>867</v>
      </c>
      <c r="B868" s="7" t="s">
        <v>248</v>
      </c>
      <c r="C868" s="4">
        <v>48</v>
      </c>
      <c r="D868" s="4">
        <v>1</v>
      </c>
      <c r="E868" s="8">
        <v>45232</v>
      </c>
      <c r="F868" s="9">
        <v>0.51534722222222218</v>
      </c>
      <c r="G868" s="8">
        <v>45234</v>
      </c>
      <c r="H868" s="9">
        <v>0.21443287037037037</v>
      </c>
      <c r="I868" s="7" t="s">
        <v>407</v>
      </c>
      <c r="J868" s="7" t="s">
        <v>19</v>
      </c>
      <c r="K868" s="18" t="str">
        <f>_xlfn.XLOOKUP(tblMaster[[#This Row],[Customer_ID]],tblCustomers[Customer_ID],tblCustomers[City],"Not Found",0)</f>
        <v>Panvel</v>
      </c>
      <c r="L868" s="18" t="str">
        <f>_xlfn.XLOOKUP(tblMaster[[#This Row],[Customer_ID]],tblCustomers[Customer_ID],tblCustomers[Name],"Not Found",0)</f>
        <v>Indrans Shukla</v>
      </c>
      <c r="M868" s="18" t="str">
        <f>_xlfn.XLOOKUP(tblMaster[[#This Row],[Customer_ID]],tblCustomers[Customer_ID],tblCustomers[Gender],"Not Found",0)</f>
        <v>Female</v>
      </c>
      <c r="N868" s="18" t="str">
        <f>_xlfn.XLOOKUP(tblMaster[[#This Row],[Product_ID]],tblProducts[Product_ID],tblProducts[Product_Name],"Not Found",0)</f>
        <v>Maiores Gift</v>
      </c>
      <c r="O868" s="18" t="str">
        <f>_xlfn.XLOOKUP(tblMaster[[#This Row],[Product_ID]],tblProducts[Product_ID],tblProducts[Category],"Not Found",0)</f>
        <v>Colors</v>
      </c>
      <c r="P868" s="18" t="str">
        <f>_xlfn.XLOOKUP(tblMaster[[#This Row],[Product_ID]],tblProducts[Product_ID],tblProducts[Occasion],"Not Found",0)</f>
        <v>Diwali</v>
      </c>
      <c r="Q868" s="18">
        <f>_xlfn.XLOOKUP(tblMaster[[#This Row],[Product_ID]],tblProducts[Product_ID],tblProducts[Price (INR)],"Not Found",0)</f>
        <v>433</v>
      </c>
      <c r="R868" s="19">
        <f>tblMaster[[#This Row],[Price]]*tblMaster[[#This Row],[Quantity]]</f>
        <v>433</v>
      </c>
      <c r="S868" s="19">
        <f>tblMaster[[#This Row],[Price]]*0.7*tblMaster[[#This Row],[Quantity]]</f>
        <v>303.09999999999997</v>
      </c>
      <c r="T868" s="19">
        <f>tblMaster[[#This Row],[Revenue]]-tblMaster[[#This Row],[Estimated Cost (at 70%) ]]</f>
        <v>129.90000000000003</v>
      </c>
      <c r="U868" s="19">
        <f>tblMaster[[#This Row],[Profit]]/tblMaster[[#This Row],[Revenue]]</f>
        <v>0.3000000000000001</v>
      </c>
      <c r="V868" s="19">
        <f>tblMaster[[#This Row],[Delivery_Date]]-tblMaster[[#This Row],[Order_Date]]</f>
        <v>2</v>
      </c>
      <c r="W868" s="19" t="str">
        <f>TEXT(tblMaster[[#This Row],[Order_Date]],"mmmm")</f>
        <v>November</v>
      </c>
      <c r="X868" s="19">
        <f>MONTH(tblMaster[[#This Row],[Order_Date]])</f>
        <v>11</v>
      </c>
      <c r="Y868" s="19" t="str">
        <f>"Q"&amp;ROUNDUP(tblMaster[[#This Row],[Month Number]]/3,0)</f>
        <v>Q4</v>
      </c>
      <c r="Z868" s="19">
        <f>YEAR(tblMaster[[#This Row],[Order_Date]])</f>
        <v>2023</v>
      </c>
      <c r="AA868" s="19" t="str">
        <f>TEXT(DAY(tblMaster[[#This Row],[Order_Date]]),"dddd")</f>
        <v>Monday</v>
      </c>
      <c r="AB868" s="19" t="str">
        <f>IF(tblMaster[[#This Row],[Revenue]]&gt;=5000,"High",IF(tblMaster[[#This Row],[Revenue]]&lt;2000,"Low","Medium"))</f>
        <v>Low</v>
      </c>
    </row>
    <row r="869" spans="1:28" x14ac:dyDescent="0.25">
      <c r="A869" s="10">
        <v>868</v>
      </c>
      <c r="B869" s="10" t="s">
        <v>183</v>
      </c>
      <c r="C869" s="5">
        <v>32</v>
      </c>
      <c r="D869" s="5">
        <v>1</v>
      </c>
      <c r="E869" s="11">
        <v>45160</v>
      </c>
      <c r="F869" s="12">
        <v>4.2557870370370371E-2</v>
      </c>
      <c r="G869" s="11">
        <v>45168</v>
      </c>
      <c r="H869" s="12">
        <v>0.42305555555555557</v>
      </c>
      <c r="I869" s="10" t="s">
        <v>282</v>
      </c>
      <c r="J869" s="10" t="s">
        <v>36</v>
      </c>
      <c r="K869" s="18" t="str">
        <f>_xlfn.XLOOKUP(tblMaster[[#This Row],[Customer_ID]],tblCustomers[Customer_ID],tblCustomers[City],"Not Found",0)</f>
        <v>Dhanbad</v>
      </c>
      <c r="L869" s="18" t="str">
        <f>_xlfn.XLOOKUP(tblMaster[[#This Row],[Customer_ID]],tblCustomers[Customer_ID],tblCustomers[Name],"Not Found",0)</f>
        <v>Ranbir Loyal</v>
      </c>
      <c r="M869" s="18" t="str">
        <f>_xlfn.XLOOKUP(tblMaster[[#This Row],[Customer_ID]],tblCustomers[Customer_ID],tblCustomers[Gender],"Not Found",0)</f>
        <v>Female</v>
      </c>
      <c r="N869" s="18" t="str">
        <f>_xlfn.XLOOKUP(tblMaster[[#This Row],[Product_ID]],tblProducts[Product_ID],tblProducts[Product_Name],"Not Found",0)</f>
        <v>Fuga Set</v>
      </c>
      <c r="O869" s="18" t="str">
        <f>_xlfn.XLOOKUP(tblMaster[[#This Row],[Product_ID]],tblProducts[Product_ID],tblProducts[Category],"Not Found",0)</f>
        <v>Soft Toys</v>
      </c>
      <c r="P869" s="18" t="str">
        <f>_xlfn.XLOOKUP(tblMaster[[#This Row],[Product_ID]],tblProducts[Product_ID],tblProducts[Occasion],"Not Found",0)</f>
        <v>Birthday</v>
      </c>
      <c r="Q869" s="18">
        <f>_xlfn.XLOOKUP(tblMaster[[#This Row],[Product_ID]],tblProducts[Product_ID],tblProducts[Price (INR)],"Not Found",0)</f>
        <v>1792</v>
      </c>
      <c r="R869" s="19">
        <f>tblMaster[[#This Row],[Price]]*tblMaster[[#This Row],[Quantity]]</f>
        <v>1792</v>
      </c>
      <c r="S869" s="19">
        <f>tblMaster[[#This Row],[Price]]*0.7*tblMaster[[#This Row],[Quantity]]</f>
        <v>1254.3999999999999</v>
      </c>
      <c r="T869" s="19">
        <f>tblMaster[[#This Row],[Revenue]]-tblMaster[[#This Row],[Estimated Cost (at 70%) ]]</f>
        <v>537.60000000000014</v>
      </c>
      <c r="U869" s="19">
        <f>tblMaster[[#This Row],[Profit]]/tblMaster[[#This Row],[Revenue]]</f>
        <v>0.3000000000000001</v>
      </c>
      <c r="V869" s="19">
        <f>tblMaster[[#This Row],[Delivery_Date]]-tblMaster[[#This Row],[Order_Date]]</f>
        <v>8</v>
      </c>
      <c r="W869" s="19" t="str">
        <f>TEXT(tblMaster[[#This Row],[Order_Date]],"mmmm")</f>
        <v>August</v>
      </c>
      <c r="X869" s="19">
        <f>MONTH(tblMaster[[#This Row],[Order_Date]])</f>
        <v>8</v>
      </c>
      <c r="Y869" s="19" t="str">
        <f>"Q"&amp;ROUNDUP(tblMaster[[#This Row],[Month Number]]/3,0)</f>
        <v>Q3</v>
      </c>
      <c r="Z869" s="19">
        <f>YEAR(tblMaster[[#This Row],[Order_Date]])</f>
        <v>2023</v>
      </c>
      <c r="AA869" s="19" t="str">
        <f>TEXT(DAY(tblMaster[[#This Row],[Order_Date]]),"dddd")</f>
        <v>Sunday</v>
      </c>
      <c r="AB869" s="19" t="str">
        <f>IF(tblMaster[[#This Row],[Revenue]]&gt;=5000,"High",IF(tblMaster[[#This Row],[Revenue]]&lt;2000,"Low","Medium"))</f>
        <v>Low</v>
      </c>
    </row>
    <row r="870" spans="1:28" x14ac:dyDescent="0.25">
      <c r="A870" s="7">
        <v>869</v>
      </c>
      <c r="B870" s="7" t="s">
        <v>295</v>
      </c>
      <c r="C870" s="4">
        <v>3</v>
      </c>
      <c r="D870" s="4">
        <v>5</v>
      </c>
      <c r="E870" s="8">
        <v>44963</v>
      </c>
      <c r="F870" s="9">
        <v>0.41896990740740742</v>
      </c>
      <c r="G870" s="8">
        <v>44968</v>
      </c>
      <c r="H870" s="9">
        <v>0.96976851851851853</v>
      </c>
      <c r="I870" s="7" t="s">
        <v>506</v>
      </c>
      <c r="J870" s="7" t="s">
        <v>12</v>
      </c>
      <c r="K870" s="18" t="str">
        <f>_xlfn.XLOOKUP(tblMaster[[#This Row],[Customer_ID]],tblCustomers[Customer_ID],tblCustomers[City],"Not Found",0)</f>
        <v>Surat</v>
      </c>
      <c r="L870" s="18" t="str">
        <f>_xlfn.XLOOKUP(tblMaster[[#This Row],[Customer_ID]],tblCustomers[Customer_ID],tblCustomers[Name],"Not Found",0)</f>
        <v>Mannat Anand</v>
      </c>
      <c r="M870" s="18" t="str">
        <f>_xlfn.XLOOKUP(tblMaster[[#This Row],[Customer_ID]],tblCustomers[Customer_ID],tblCustomers[Gender],"Not Found",0)</f>
        <v>Male</v>
      </c>
      <c r="N870" s="18" t="str">
        <f>_xlfn.XLOOKUP(tblMaster[[#This Row],[Product_ID]],tblProducts[Product_ID],tblProducts[Product_Name],"Not Found",0)</f>
        <v>Eius Gift</v>
      </c>
      <c r="O870" s="18" t="str">
        <f>_xlfn.XLOOKUP(tblMaster[[#This Row],[Product_ID]],tblProducts[Product_ID],tblProducts[Category],"Not Found",0)</f>
        <v>Colors</v>
      </c>
      <c r="P870" s="18" t="str">
        <f>_xlfn.XLOOKUP(tblMaster[[#This Row],[Product_ID]],tblProducts[Product_ID],tblProducts[Occasion],"Not Found",0)</f>
        <v>Valentine's Day</v>
      </c>
      <c r="Q870" s="18">
        <f>_xlfn.XLOOKUP(tblMaster[[#This Row],[Product_ID]],tblProducts[Product_ID],tblProducts[Price (INR)],"Not Found",0)</f>
        <v>1534</v>
      </c>
      <c r="R870" s="19">
        <f>tblMaster[[#This Row],[Price]]*tblMaster[[#This Row],[Quantity]]</f>
        <v>7670</v>
      </c>
      <c r="S870" s="19">
        <f>tblMaster[[#This Row],[Price]]*0.7*tblMaster[[#This Row],[Quantity]]</f>
        <v>5369</v>
      </c>
      <c r="T870" s="19">
        <f>tblMaster[[#This Row],[Revenue]]-tblMaster[[#This Row],[Estimated Cost (at 70%) ]]</f>
        <v>2301</v>
      </c>
      <c r="U870" s="19">
        <f>tblMaster[[#This Row],[Profit]]/tblMaster[[#This Row],[Revenue]]</f>
        <v>0.3</v>
      </c>
      <c r="V870" s="19">
        <f>tblMaster[[#This Row],[Delivery_Date]]-tblMaster[[#This Row],[Order_Date]]</f>
        <v>5</v>
      </c>
      <c r="W870" s="19" t="str">
        <f>TEXT(tblMaster[[#This Row],[Order_Date]],"mmmm")</f>
        <v>February</v>
      </c>
      <c r="X870" s="19">
        <f>MONTH(tblMaster[[#This Row],[Order_Date]])</f>
        <v>2</v>
      </c>
      <c r="Y870" s="19" t="str">
        <f>"Q"&amp;ROUNDUP(tblMaster[[#This Row],[Month Number]]/3,0)</f>
        <v>Q1</v>
      </c>
      <c r="Z870" s="19">
        <f>YEAR(tblMaster[[#This Row],[Order_Date]])</f>
        <v>2023</v>
      </c>
      <c r="AA870" s="19" t="str">
        <f>TEXT(DAY(tblMaster[[#This Row],[Order_Date]]),"dddd")</f>
        <v>Friday</v>
      </c>
      <c r="AB870" s="19" t="str">
        <f>IF(tblMaster[[#This Row],[Revenue]]&gt;=5000,"High",IF(tblMaster[[#This Row],[Revenue]]&lt;2000,"Low","Medium"))</f>
        <v>High</v>
      </c>
    </row>
    <row r="871" spans="1:28" x14ac:dyDescent="0.25">
      <c r="A871" s="10">
        <v>870</v>
      </c>
      <c r="B871" s="10" t="s">
        <v>208</v>
      </c>
      <c r="C871" s="5">
        <v>43</v>
      </c>
      <c r="D871" s="5">
        <v>5</v>
      </c>
      <c r="E871" s="11">
        <v>45235</v>
      </c>
      <c r="F871" s="12">
        <v>0.6345601851851852</v>
      </c>
      <c r="G871" s="11">
        <v>45237</v>
      </c>
      <c r="H871" s="12">
        <v>0.28447916666666667</v>
      </c>
      <c r="I871" s="10" t="s">
        <v>286</v>
      </c>
      <c r="J871" s="10" t="s">
        <v>19</v>
      </c>
      <c r="K871" s="18" t="str">
        <f>_xlfn.XLOOKUP(tblMaster[[#This Row],[Customer_ID]],tblCustomers[Customer_ID],tblCustomers[City],"Not Found",0)</f>
        <v>Nizamabad</v>
      </c>
      <c r="L871" s="18" t="str">
        <f>_xlfn.XLOOKUP(tblMaster[[#This Row],[Customer_ID]],tblCustomers[Customer_ID],tblCustomers[Name],"Not Found",0)</f>
        <v>Eva Vaidya</v>
      </c>
      <c r="M871" s="18" t="str">
        <f>_xlfn.XLOOKUP(tblMaster[[#This Row],[Customer_ID]],tblCustomers[Customer_ID],tblCustomers[Gender],"Not Found",0)</f>
        <v>Male</v>
      </c>
      <c r="N871" s="18" t="str">
        <f>_xlfn.XLOOKUP(tblMaster[[#This Row],[Product_ID]],tblProducts[Product_ID],tblProducts[Product_Name],"Not Found",0)</f>
        <v>Quisquam Pack</v>
      </c>
      <c r="O871" s="18" t="str">
        <f>_xlfn.XLOOKUP(tblMaster[[#This Row],[Product_ID]],tblProducts[Product_ID],tblProducts[Category],"Not Found",0)</f>
        <v>Raksha Bandhan</v>
      </c>
      <c r="P871" s="18" t="str">
        <f>_xlfn.XLOOKUP(tblMaster[[#This Row],[Product_ID]],tblProducts[Product_ID],tblProducts[Occasion],"Not Found",0)</f>
        <v>Diwali</v>
      </c>
      <c r="Q871" s="18">
        <f>_xlfn.XLOOKUP(tblMaster[[#This Row],[Product_ID]],tblProducts[Product_ID],tblProducts[Price (INR)],"Not Found",0)</f>
        <v>750</v>
      </c>
      <c r="R871" s="19">
        <f>tblMaster[[#This Row],[Price]]*tblMaster[[#This Row],[Quantity]]</f>
        <v>3750</v>
      </c>
      <c r="S871" s="19">
        <f>tblMaster[[#This Row],[Price]]*0.7*tblMaster[[#This Row],[Quantity]]</f>
        <v>2625</v>
      </c>
      <c r="T871" s="19">
        <f>tblMaster[[#This Row],[Revenue]]-tblMaster[[#This Row],[Estimated Cost (at 70%) ]]</f>
        <v>1125</v>
      </c>
      <c r="U871" s="19">
        <f>tblMaster[[#This Row],[Profit]]/tblMaster[[#This Row],[Revenue]]</f>
        <v>0.3</v>
      </c>
      <c r="V871" s="19">
        <f>tblMaster[[#This Row],[Delivery_Date]]-tblMaster[[#This Row],[Order_Date]]</f>
        <v>2</v>
      </c>
      <c r="W871" s="19" t="str">
        <f>TEXT(tblMaster[[#This Row],[Order_Date]],"mmmm")</f>
        <v>November</v>
      </c>
      <c r="X871" s="19">
        <f>MONTH(tblMaster[[#This Row],[Order_Date]])</f>
        <v>11</v>
      </c>
      <c r="Y871" s="19" t="str">
        <f>"Q"&amp;ROUNDUP(tblMaster[[#This Row],[Month Number]]/3,0)</f>
        <v>Q4</v>
      </c>
      <c r="Z871" s="19">
        <f>YEAR(tblMaster[[#This Row],[Order_Date]])</f>
        <v>2023</v>
      </c>
      <c r="AA871" s="19" t="str">
        <f>TEXT(DAY(tblMaster[[#This Row],[Order_Date]]),"dddd")</f>
        <v>Thursday</v>
      </c>
      <c r="AB871" s="19" t="str">
        <f>IF(tblMaster[[#This Row],[Revenue]]&gt;=5000,"High",IF(tblMaster[[#This Row],[Revenue]]&lt;2000,"Low","Medium"))</f>
        <v>Medium</v>
      </c>
    </row>
    <row r="872" spans="1:28" x14ac:dyDescent="0.25">
      <c r="A872" s="7">
        <v>871</v>
      </c>
      <c r="B872" s="7" t="s">
        <v>285</v>
      </c>
      <c r="C872" s="4">
        <v>15</v>
      </c>
      <c r="D872" s="4">
        <v>1</v>
      </c>
      <c r="E872" s="8">
        <v>45088</v>
      </c>
      <c r="F872" s="9">
        <v>0.25381944444444443</v>
      </c>
      <c r="G872" s="8">
        <v>45092</v>
      </c>
      <c r="H872" s="9">
        <v>0.87287037037037041</v>
      </c>
      <c r="I872" s="7" t="s">
        <v>483</v>
      </c>
      <c r="J872" s="7" t="s">
        <v>30</v>
      </c>
      <c r="K872" s="18" t="str">
        <f>_xlfn.XLOOKUP(tblMaster[[#This Row],[Customer_ID]],tblCustomers[Customer_ID],tblCustomers[City],"Not Found",0)</f>
        <v>Nagpur</v>
      </c>
      <c r="L872" s="18" t="str">
        <f>_xlfn.XLOOKUP(tblMaster[[#This Row],[Customer_ID]],tblCustomers[Customer_ID],tblCustomers[Name],"Not Found",0)</f>
        <v>Inaaya  Sarraf</v>
      </c>
      <c r="M872" s="18" t="str">
        <f>_xlfn.XLOOKUP(tblMaster[[#This Row],[Customer_ID]],tblCustomers[Customer_ID],tblCustomers[Gender],"Not Found",0)</f>
        <v>Male</v>
      </c>
      <c r="N872" s="18" t="str">
        <f>_xlfn.XLOOKUP(tblMaster[[#This Row],[Product_ID]],tblProducts[Product_ID],tblProducts[Product_Name],"Not Found",0)</f>
        <v>Repudiandae Box</v>
      </c>
      <c r="O872" s="18" t="str">
        <f>_xlfn.XLOOKUP(tblMaster[[#This Row],[Product_ID]],tblProducts[Product_ID],tblProducts[Category],"Not Found",0)</f>
        <v>Raksha Bandhan</v>
      </c>
      <c r="P872" s="18" t="str">
        <f>_xlfn.XLOOKUP(tblMaster[[#This Row],[Product_ID]],tblProducts[Product_ID],tblProducts[Occasion],"Not Found",0)</f>
        <v>Anniversary</v>
      </c>
      <c r="Q872" s="18">
        <f>_xlfn.XLOOKUP(tblMaster[[#This Row],[Product_ID]],tblProducts[Product_ID],tblProducts[Price (INR)],"Not Found",0)</f>
        <v>1488</v>
      </c>
      <c r="R872" s="19">
        <f>tblMaster[[#This Row],[Price]]*tblMaster[[#This Row],[Quantity]]</f>
        <v>1488</v>
      </c>
      <c r="S872" s="19">
        <f>tblMaster[[#This Row],[Price]]*0.7*tblMaster[[#This Row],[Quantity]]</f>
        <v>1041.5999999999999</v>
      </c>
      <c r="T872" s="19">
        <f>tblMaster[[#This Row],[Revenue]]-tblMaster[[#This Row],[Estimated Cost (at 70%) ]]</f>
        <v>446.40000000000009</v>
      </c>
      <c r="U872" s="19">
        <f>tblMaster[[#This Row],[Profit]]/tblMaster[[#This Row],[Revenue]]</f>
        <v>0.30000000000000004</v>
      </c>
      <c r="V872" s="19">
        <f>tblMaster[[#This Row],[Delivery_Date]]-tblMaster[[#This Row],[Order_Date]]</f>
        <v>4</v>
      </c>
      <c r="W872" s="19" t="str">
        <f>TEXT(tblMaster[[#This Row],[Order_Date]],"mmmm")</f>
        <v>June</v>
      </c>
      <c r="X872" s="19">
        <f>MONTH(tblMaster[[#This Row],[Order_Date]])</f>
        <v>6</v>
      </c>
      <c r="Y872" s="19" t="str">
        <f>"Q"&amp;ROUNDUP(tblMaster[[#This Row],[Month Number]]/3,0)</f>
        <v>Q2</v>
      </c>
      <c r="Z872" s="19">
        <f>YEAR(tblMaster[[#This Row],[Order_Date]])</f>
        <v>2023</v>
      </c>
      <c r="AA872" s="19" t="str">
        <f>TEXT(DAY(tblMaster[[#This Row],[Order_Date]]),"dddd")</f>
        <v>Wednesday</v>
      </c>
      <c r="AB872" s="19" t="str">
        <f>IF(tblMaster[[#This Row],[Revenue]]&gt;=5000,"High",IF(tblMaster[[#This Row],[Revenue]]&lt;2000,"Low","Medium"))</f>
        <v>Low</v>
      </c>
    </row>
    <row r="873" spans="1:28" x14ac:dyDescent="0.25">
      <c r="A873" s="10">
        <v>872</v>
      </c>
      <c r="B873" s="10" t="s">
        <v>365</v>
      </c>
      <c r="C873" s="5">
        <v>13</v>
      </c>
      <c r="D873" s="5">
        <v>2</v>
      </c>
      <c r="E873" s="11">
        <v>44990</v>
      </c>
      <c r="F873" s="12">
        <v>0.85274305555555552</v>
      </c>
      <c r="G873" s="11">
        <v>44995</v>
      </c>
      <c r="H873" s="12">
        <v>6.4155092592592597E-2</v>
      </c>
      <c r="I873" s="10" t="s">
        <v>348</v>
      </c>
      <c r="J873" s="10" t="s">
        <v>25</v>
      </c>
      <c r="K873" s="18" t="str">
        <f>_xlfn.XLOOKUP(tblMaster[[#This Row],[Customer_ID]],tblCustomers[Customer_ID],tblCustomers[City],"Not Found",0)</f>
        <v>Deoghar</v>
      </c>
      <c r="L873" s="18" t="str">
        <f>_xlfn.XLOOKUP(tblMaster[[#This Row],[Customer_ID]],tblCustomers[Customer_ID],tblCustomers[Name],"Not Found",0)</f>
        <v>Raghav Babu</v>
      </c>
      <c r="M873" s="18" t="str">
        <f>_xlfn.XLOOKUP(tblMaster[[#This Row],[Customer_ID]],tblCustomers[Customer_ID],tblCustomers[Gender],"Not Found",0)</f>
        <v>Female</v>
      </c>
      <c r="N873" s="18" t="str">
        <f>_xlfn.XLOOKUP(tblMaster[[#This Row],[Product_ID]],tblProducts[Product_ID],tblProducts[Product_Name],"Not Found",0)</f>
        <v>Et Set</v>
      </c>
      <c r="O873" s="18" t="str">
        <f>_xlfn.XLOOKUP(tblMaster[[#This Row],[Product_ID]],tblProducts[Product_ID],tblProducts[Category],"Not Found",0)</f>
        <v>Mugs</v>
      </c>
      <c r="P873" s="18" t="str">
        <f>_xlfn.XLOOKUP(tblMaster[[#This Row],[Product_ID]],tblProducts[Product_ID],tblProducts[Occasion],"Not Found",0)</f>
        <v>Holi</v>
      </c>
      <c r="Q873" s="18">
        <f>_xlfn.XLOOKUP(tblMaster[[#This Row],[Product_ID]],tblProducts[Product_ID],tblProducts[Price (INR)],"Not Found",0)</f>
        <v>1141</v>
      </c>
      <c r="R873" s="19">
        <f>tblMaster[[#This Row],[Price]]*tblMaster[[#This Row],[Quantity]]</f>
        <v>2282</v>
      </c>
      <c r="S873" s="19">
        <f>tblMaster[[#This Row],[Price]]*0.7*tblMaster[[#This Row],[Quantity]]</f>
        <v>1597.3999999999999</v>
      </c>
      <c r="T873" s="19">
        <f>tblMaster[[#This Row],[Revenue]]-tblMaster[[#This Row],[Estimated Cost (at 70%) ]]</f>
        <v>684.60000000000014</v>
      </c>
      <c r="U873" s="19">
        <f>tblMaster[[#This Row],[Profit]]/tblMaster[[#This Row],[Revenue]]</f>
        <v>0.30000000000000004</v>
      </c>
      <c r="V873" s="19">
        <f>tblMaster[[#This Row],[Delivery_Date]]-tblMaster[[#This Row],[Order_Date]]</f>
        <v>5</v>
      </c>
      <c r="W873" s="19" t="str">
        <f>TEXT(tblMaster[[#This Row],[Order_Date]],"mmmm")</f>
        <v>March</v>
      </c>
      <c r="X873" s="19">
        <f>MONTH(tblMaster[[#This Row],[Order_Date]])</f>
        <v>3</v>
      </c>
      <c r="Y873" s="19" t="str">
        <f>"Q"&amp;ROUNDUP(tblMaster[[#This Row],[Month Number]]/3,0)</f>
        <v>Q1</v>
      </c>
      <c r="Z873" s="19">
        <f>YEAR(tblMaster[[#This Row],[Order_Date]])</f>
        <v>2023</v>
      </c>
      <c r="AA873" s="19" t="str">
        <f>TEXT(DAY(tblMaster[[#This Row],[Order_Date]]),"dddd")</f>
        <v>Thursday</v>
      </c>
      <c r="AB873" s="19" t="str">
        <f>IF(tblMaster[[#This Row],[Revenue]]&gt;=5000,"High",IF(tblMaster[[#This Row],[Revenue]]&lt;2000,"Low","Medium"))</f>
        <v>Medium</v>
      </c>
    </row>
    <row r="874" spans="1:28" x14ac:dyDescent="0.25">
      <c r="A874" s="7">
        <v>873</v>
      </c>
      <c r="B874" s="7" t="s">
        <v>387</v>
      </c>
      <c r="C874" s="4">
        <v>64</v>
      </c>
      <c r="D874" s="4">
        <v>4</v>
      </c>
      <c r="E874" s="8">
        <v>45164</v>
      </c>
      <c r="F874" s="9">
        <v>0.45624999999999999</v>
      </c>
      <c r="G874" s="8">
        <v>45174</v>
      </c>
      <c r="H874" s="9">
        <v>0.65656250000000005</v>
      </c>
      <c r="I874" s="7" t="s">
        <v>219</v>
      </c>
      <c r="J874" s="7" t="s">
        <v>33</v>
      </c>
      <c r="K874" s="18" t="str">
        <f>_xlfn.XLOOKUP(tblMaster[[#This Row],[Customer_ID]],tblCustomers[Customer_ID],tblCustomers[City],"Not Found",0)</f>
        <v>Serampore</v>
      </c>
      <c r="L874" s="18" t="str">
        <f>_xlfn.XLOOKUP(tblMaster[[#This Row],[Customer_ID]],tblCustomers[Customer_ID],tblCustomers[Name],"Not Found",0)</f>
        <v>Kashvi Sur</v>
      </c>
      <c r="M874" s="18" t="str">
        <f>_xlfn.XLOOKUP(tblMaster[[#This Row],[Customer_ID]],tblCustomers[Customer_ID],tblCustomers[Gender],"Not Found",0)</f>
        <v>Female</v>
      </c>
      <c r="N874" s="18" t="str">
        <f>_xlfn.XLOOKUP(tblMaster[[#This Row],[Product_ID]],tblProducts[Product_ID],tblProducts[Product_Name],"Not Found",0)</f>
        <v>Nostrum Box</v>
      </c>
      <c r="O874" s="18" t="str">
        <f>_xlfn.XLOOKUP(tblMaster[[#This Row],[Product_ID]],tblProducts[Product_ID],tblProducts[Category],"Not Found",0)</f>
        <v>Soft Toys</v>
      </c>
      <c r="P874" s="18" t="str">
        <f>_xlfn.XLOOKUP(tblMaster[[#This Row],[Product_ID]],tblProducts[Product_ID],tblProducts[Occasion],"Not Found",0)</f>
        <v>Raksha Bandhan</v>
      </c>
      <c r="Q874" s="18">
        <f>_xlfn.XLOOKUP(tblMaster[[#This Row],[Product_ID]],tblProducts[Product_ID],tblProducts[Price (INR)],"Not Found",0)</f>
        <v>1878</v>
      </c>
      <c r="R874" s="19">
        <f>tblMaster[[#This Row],[Price]]*tblMaster[[#This Row],[Quantity]]</f>
        <v>7512</v>
      </c>
      <c r="S874" s="19">
        <f>tblMaster[[#This Row],[Price]]*0.7*tblMaster[[#This Row],[Quantity]]</f>
        <v>5258.4</v>
      </c>
      <c r="T874" s="19">
        <f>tblMaster[[#This Row],[Revenue]]-tblMaster[[#This Row],[Estimated Cost (at 70%) ]]</f>
        <v>2253.6000000000004</v>
      </c>
      <c r="U874" s="19">
        <f>tblMaster[[#This Row],[Profit]]/tblMaster[[#This Row],[Revenue]]</f>
        <v>0.30000000000000004</v>
      </c>
      <c r="V874" s="19">
        <f>tblMaster[[#This Row],[Delivery_Date]]-tblMaster[[#This Row],[Order_Date]]</f>
        <v>10</v>
      </c>
      <c r="W874" s="19" t="str">
        <f>TEXT(tblMaster[[#This Row],[Order_Date]],"mmmm")</f>
        <v>August</v>
      </c>
      <c r="X874" s="19">
        <f>MONTH(tblMaster[[#This Row],[Order_Date]])</f>
        <v>8</v>
      </c>
      <c r="Y874" s="19" t="str">
        <f>"Q"&amp;ROUNDUP(tblMaster[[#This Row],[Month Number]]/3,0)</f>
        <v>Q3</v>
      </c>
      <c r="Z874" s="19">
        <f>YEAR(tblMaster[[#This Row],[Order_Date]])</f>
        <v>2023</v>
      </c>
      <c r="AA874" s="19" t="str">
        <f>TEXT(DAY(tblMaster[[#This Row],[Order_Date]]),"dddd")</f>
        <v>Thursday</v>
      </c>
      <c r="AB874" s="19" t="str">
        <f>IF(tblMaster[[#This Row],[Revenue]]&gt;=5000,"High",IF(tblMaster[[#This Row],[Revenue]]&lt;2000,"Low","Medium"))</f>
        <v>High</v>
      </c>
    </row>
    <row r="875" spans="1:28" x14ac:dyDescent="0.25">
      <c r="A875" s="10">
        <v>874</v>
      </c>
      <c r="B875" s="10" t="s">
        <v>287</v>
      </c>
      <c r="C875" s="5">
        <v>68</v>
      </c>
      <c r="D875" s="5">
        <v>1</v>
      </c>
      <c r="E875" s="11">
        <v>44968</v>
      </c>
      <c r="F875" s="12">
        <v>0.52951388888888884</v>
      </c>
      <c r="G875" s="11">
        <v>44978</v>
      </c>
      <c r="H875" s="12">
        <v>0.7331481481481481</v>
      </c>
      <c r="I875" s="10" t="s">
        <v>354</v>
      </c>
      <c r="J875" s="10" t="s">
        <v>12</v>
      </c>
      <c r="K875" s="18" t="str">
        <f>_xlfn.XLOOKUP(tblMaster[[#This Row],[Customer_ID]],tblCustomers[Customer_ID],tblCustomers[City],"Not Found",0)</f>
        <v>Kanpur</v>
      </c>
      <c r="L875" s="18" t="str">
        <f>_xlfn.XLOOKUP(tblMaster[[#This Row],[Customer_ID]],tblCustomers[Customer_ID],tblCustomers[Name],"Not Found",0)</f>
        <v>Darshit Dave</v>
      </c>
      <c r="M875" s="18" t="str">
        <f>_xlfn.XLOOKUP(tblMaster[[#This Row],[Customer_ID]],tblCustomers[Customer_ID],tblCustomers[Gender],"Not Found",0)</f>
        <v>Male</v>
      </c>
      <c r="N875" s="18" t="str">
        <f>_xlfn.XLOOKUP(tblMaster[[#This Row],[Product_ID]],tblProducts[Product_ID],tblProducts[Product_Name],"Not Found",0)</f>
        <v>Quas Gift</v>
      </c>
      <c r="O875" s="18" t="str">
        <f>_xlfn.XLOOKUP(tblMaster[[#This Row],[Product_ID]],tblProducts[Product_ID],tblProducts[Category],"Not Found",0)</f>
        <v>Soft Toys</v>
      </c>
      <c r="P875" s="18" t="str">
        <f>_xlfn.XLOOKUP(tblMaster[[#This Row],[Product_ID]],tblProducts[Product_ID],tblProducts[Occasion],"Not Found",0)</f>
        <v>Valentine's Day</v>
      </c>
      <c r="Q875" s="18">
        <f>_xlfn.XLOOKUP(tblMaster[[#This Row],[Product_ID]],tblProducts[Product_ID],tblProducts[Price (INR)],"Not Found",0)</f>
        <v>597</v>
      </c>
      <c r="R875" s="19">
        <f>tblMaster[[#This Row],[Price]]*tblMaster[[#This Row],[Quantity]]</f>
        <v>597</v>
      </c>
      <c r="S875" s="19">
        <f>tblMaster[[#This Row],[Price]]*0.7*tblMaster[[#This Row],[Quantity]]</f>
        <v>417.9</v>
      </c>
      <c r="T875" s="19">
        <f>tblMaster[[#This Row],[Revenue]]-tblMaster[[#This Row],[Estimated Cost (at 70%) ]]</f>
        <v>179.10000000000002</v>
      </c>
      <c r="U875" s="19">
        <f>tblMaster[[#This Row],[Profit]]/tblMaster[[#This Row],[Revenue]]</f>
        <v>0.30000000000000004</v>
      </c>
      <c r="V875" s="19">
        <f>tblMaster[[#This Row],[Delivery_Date]]-tblMaster[[#This Row],[Order_Date]]</f>
        <v>10</v>
      </c>
      <c r="W875" s="19" t="str">
        <f>TEXT(tblMaster[[#This Row],[Order_Date]],"mmmm")</f>
        <v>February</v>
      </c>
      <c r="X875" s="19">
        <f>MONTH(tblMaster[[#This Row],[Order_Date]])</f>
        <v>2</v>
      </c>
      <c r="Y875" s="19" t="str">
        <f>"Q"&amp;ROUNDUP(tblMaster[[#This Row],[Month Number]]/3,0)</f>
        <v>Q1</v>
      </c>
      <c r="Z875" s="19">
        <f>YEAR(tblMaster[[#This Row],[Order_Date]])</f>
        <v>2023</v>
      </c>
      <c r="AA875" s="19" t="str">
        <f>TEXT(DAY(tblMaster[[#This Row],[Order_Date]]),"dddd")</f>
        <v>Wednesday</v>
      </c>
      <c r="AB875" s="19" t="str">
        <f>IF(tblMaster[[#This Row],[Revenue]]&gt;=5000,"High",IF(tblMaster[[#This Row],[Revenue]]&lt;2000,"Low","Medium"))</f>
        <v>Low</v>
      </c>
    </row>
    <row r="876" spans="1:28" x14ac:dyDescent="0.25">
      <c r="A876" s="7">
        <v>875</v>
      </c>
      <c r="B876" s="7" t="s">
        <v>200</v>
      </c>
      <c r="C876" s="4">
        <v>13</v>
      </c>
      <c r="D876" s="4">
        <v>1</v>
      </c>
      <c r="E876" s="8">
        <v>44990</v>
      </c>
      <c r="F876" s="9">
        <v>0.89063657407407404</v>
      </c>
      <c r="G876" s="8">
        <v>44999</v>
      </c>
      <c r="H876" s="9">
        <v>0.83178240740740739</v>
      </c>
      <c r="I876" s="7" t="s">
        <v>307</v>
      </c>
      <c r="J876" s="7" t="s">
        <v>25</v>
      </c>
      <c r="K876" s="18" t="str">
        <f>_xlfn.XLOOKUP(tblMaster[[#This Row],[Customer_ID]],tblCustomers[Customer_ID],tblCustomers[City],"Not Found",0)</f>
        <v>Orai</v>
      </c>
      <c r="L876" s="18" t="str">
        <f>_xlfn.XLOOKUP(tblMaster[[#This Row],[Customer_ID]],tblCustomers[Customer_ID],tblCustomers[Name],"Not Found",0)</f>
        <v>Lagan Kapoor</v>
      </c>
      <c r="M876" s="18" t="str">
        <f>_xlfn.XLOOKUP(tblMaster[[#This Row],[Customer_ID]],tblCustomers[Customer_ID],tblCustomers[Gender],"Not Found",0)</f>
        <v>Female</v>
      </c>
      <c r="N876" s="18" t="str">
        <f>_xlfn.XLOOKUP(tblMaster[[#This Row],[Product_ID]],tblProducts[Product_ID],tblProducts[Product_Name],"Not Found",0)</f>
        <v>Et Set</v>
      </c>
      <c r="O876" s="18" t="str">
        <f>_xlfn.XLOOKUP(tblMaster[[#This Row],[Product_ID]],tblProducts[Product_ID],tblProducts[Category],"Not Found",0)</f>
        <v>Mugs</v>
      </c>
      <c r="P876" s="18" t="str">
        <f>_xlfn.XLOOKUP(tblMaster[[#This Row],[Product_ID]],tblProducts[Product_ID],tblProducts[Occasion],"Not Found",0)</f>
        <v>Holi</v>
      </c>
      <c r="Q876" s="18">
        <f>_xlfn.XLOOKUP(tblMaster[[#This Row],[Product_ID]],tblProducts[Product_ID],tblProducts[Price (INR)],"Not Found",0)</f>
        <v>1141</v>
      </c>
      <c r="R876" s="19">
        <f>tblMaster[[#This Row],[Price]]*tblMaster[[#This Row],[Quantity]]</f>
        <v>1141</v>
      </c>
      <c r="S876" s="19">
        <f>tblMaster[[#This Row],[Price]]*0.7*tblMaster[[#This Row],[Quantity]]</f>
        <v>798.69999999999993</v>
      </c>
      <c r="T876" s="19">
        <f>tblMaster[[#This Row],[Revenue]]-tblMaster[[#This Row],[Estimated Cost (at 70%) ]]</f>
        <v>342.30000000000007</v>
      </c>
      <c r="U876" s="19">
        <f>tblMaster[[#This Row],[Profit]]/tblMaster[[#This Row],[Revenue]]</f>
        <v>0.30000000000000004</v>
      </c>
      <c r="V876" s="19">
        <f>tblMaster[[#This Row],[Delivery_Date]]-tblMaster[[#This Row],[Order_Date]]</f>
        <v>9</v>
      </c>
      <c r="W876" s="19" t="str">
        <f>TEXT(tblMaster[[#This Row],[Order_Date]],"mmmm")</f>
        <v>March</v>
      </c>
      <c r="X876" s="19">
        <f>MONTH(tblMaster[[#This Row],[Order_Date]])</f>
        <v>3</v>
      </c>
      <c r="Y876" s="19" t="str">
        <f>"Q"&amp;ROUNDUP(tblMaster[[#This Row],[Month Number]]/3,0)</f>
        <v>Q1</v>
      </c>
      <c r="Z876" s="19">
        <f>YEAR(tblMaster[[#This Row],[Order_Date]])</f>
        <v>2023</v>
      </c>
      <c r="AA876" s="19" t="str">
        <f>TEXT(DAY(tblMaster[[#This Row],[Order_Date]]),"dddd")</f>
        <v>Thursday</v>
      </c>
      <c r="AB876" s="19" t="str">
        <f>IF(tblMaster[[#This Row],[Revenue]]&gt;=5000,"High",IF(tblMaster[[#This Row],[Revenue]]&lt;2000,"Low","Medium"))</f>
        <v>Low</v>
      </c>
    </row>
    <row r="877" spans="1:28" x14ac:dyDescent="0.25">
      <c r="A877" s="10">
        <v>876</v>
      </c>
      <c r="B877" s="10" t="s">
        <v>392</v>
      </c>
      <c r="C877" s="5">
        <v>4</v>
      </c>
      <c r="D877" s="5">
        <v>4</v>
      </c>
      <c r="E877" s="11">
        <v>45236</v>
      </c>
      <c r="F877" s="12">
        <v>0.40180555555555558</v>
      </c>
      <c r="G877" s="11">
        <v>45244</v>
      </c>
      <c r="H877" s="12">
        <v>0.86648148148148152</v>
      </c>
      <c r="I877" s="10" t="s">
        <v>548</v>
      </c>
      <c r="J877" s="10" t="s">
        <v>19</v>
      </c>
      <c r="K877" s="18" t="str">
        <f>_xlfn.XLOOKUP(tblMaster[[#This Row],[Customer_ID]],tblCustomers[Customer_ID],tblCustomers[City],"Not Found",0)</f>
        <v>Tenali</v>
      </c>
      <c r="L877" s="18" t="str">
        <f>_xlfn.XLOOKUP(tblMaster[[#This Row],[Customer_ID]],tblCustomers[Customer_ID],tblCustomers[Name],"Not Found",0)</f>
        <v>Amani Ganesh</v>
      </c>
      <c r="M877" s="18" t="str">
        <f>_xlfn.XLOOKUP(tblMaster[[#This Row],[Customer_ID]],tblCustomers[Customer_ID],tblCustomers[Gender],"Not Found",0)</f>
        <v>Male</v>
      </c>
      <c r="N877" s="18" t="str">
        <f>_xlfn.XLOOKUP(tblMaster[[#This Row],[Product_ID]],tblProducts[Product_ID],tblProducts[Product_Name],"Not Found",0)</f>
        <v>Accusantium Set</v>
      </c>
      <c r="O877" s="18" t="str">
        <f>_xlfn.XLOOKUP(tblMaster[[#This Row],[Product_ID]],tblProducts[Product_ID],tblProducts[Category],"Not Found",0)</f>
        <v>Sweets</v>
      </c>
      <c r="P877" s="18" t="str">
        <f>_xlfn.XLOOKUP(tblMaster[[#This Row],[Product_ID]],tblProducts[Product_ID],tblProducts[Occasion],"Not Found",0)</f>
        <v>Diwali</v>
      </c>
      <c r="Q877" s="18">
        <f>_xlfn.XLOOKUP(tblMaster[[#This Row],[Product_ID]],tblProducts[Product_ID],tblProducts[Price (INR)],"Not Found",0)</f>
        <v>1199</v>
      </c>
      <c r="R877" s="19">
        <f>tblMaster[[#This Row],[Price]]*tblMaster[[#This Row],[Quantity]]</f>
        <v>4796</v>
      </c>
      <c r="S877" s="19">
        <f>tblMaster[[#This Row],[Price]]*0.7*tblMaster[[#This Row],[Quantity]]</f>
        <v>3357.2</v>
      </c>
      <c r="T877" s="19">
        <f>tblMaster[[#This Row],[Revenue]]-tblMaster[[#This Row],[Estimated Cost (at 70%) ]]</f>
        <v>1438.8000000000002</v>
      </c>
      <c r="U877" s="19">
        <f>tblMaster[[#This Row],[Profit]]/tblMaster[[#This Row],[Revenue]]</f>
        <v>0.30000000000000004</v>
      </c>
      <c r="V877" s="19">
        <f>tblMaster[[#This Row],[Delivery_Date]]-tblMaster[[#This Row],[Order_Date]]</f>
        <v>8</v>
      </c>
      <c r="W877" s="19" t="str">
        <f>TEXT(tblMaster[[#This Row],[Order_Date]],"mmmm")</f>
        <v>November</v>
      </c>
      <c r="X877" s="19">
        <f>MONTH(tblMaster[[#This Row],[Order_Date]])</f>
        <v>11</v>
      </c>
      <c r="Y877" s="19" t="str">
        <f>"Q"&amp;ROUNDUP(tblMaster[[#This Row],[Month Number]]/3,0)</f>
        <v>Q4</v>
      </c>
      <c r="Z877" s="19">
        <f>YEAR(tblMaster[[#This Row],[Order_Date]])</f>
        <v>2023</v>
      </c>
      <c r="AA877" s="19" t="str">
        <f>TEXT(DAY(tblMaster[[#This Row],[Order_Date]]),"dddd")</f>
        <v>Friday</v>
      </c>
      <c r="AB877" s="19" t="str">
        <f>IF(tblMaster[[#This Row],[Revenue]]&gt;=5000,"High",IF(tblMaster[[#This Row],[Revenue]]&lt;2000,"Low","Medium"))</f>
        <v>Medium</v>
      </c>
    </row>
    <row r="878" spans="1:28" x14ac:dyDescent="0.25">
      <c r="A878" s="7">
        <v>877</v>
      </c>
      <c r="B878" s="7" t="s">
        <v>206</v>
      </c>
      <c r="C878" s="4">
        <v>46</v>
      </c>
      <c r="D878" s="4">
        <v>5</v>
      </c>
      <c r="E878" s="8">
        <v>44994</v>
      </c>
      <c r="F878" s="9">
        <v>0.96962962962962962</v>
      </c>
      <c r="G878" s="8">
        <v>45003</v>
      </c>
      <c r="H878" s="9">
        <v>0.51902777777777775</v>
      </c>
      <c r="I878" s="7" t="s">
        <v>506</v>
      </c>
      <c r="J878" s="7" t="s">
        <v>30</v>
      </c>
      <c r="K878" s="18" t="str">
        <f>_xlfn.XLOOKUP(tblMaster[[#This Row],[Customer_ID]],tblCustomers[Customer_ID],tblCustomers[City],"Not Found",0)</f>
        <v>Karaikudi</v>
      </c>
      <c r="L878" s="18" t="str">
        <f>_xlfn.XLOOKUP(tblMaster[[#This Row],[Customer_ID]],tblCustomers[Customer_ID],tblCustomers[Name],"Not Found",0)</f>
        <v>Rati Dhingra</v>
      </c>
      <c r="M878" s="18" t="str">
        <f>_xlfn.XLOOKUP(tblMaster[[#This Row],[Customer_ID]],tblCustomers[Customer_ID],tblCustomers[Gender],"Not Found",0)</f>
        <v>Male</v>
      </c>
      <c r="N878" s="18" t="str">
        <f>_xlfn.XLOOKUP(tblMaster[[#This Row],[Product_ID]],tblProducts[Product_ID],tblProducts[Product_Name],"Not Found",0)</f>
        <v>Pariatur Set</v>
      </c>
      <c r="O878" s="18" t="str">
        <f>_xlfn.XLOOKUP(tblMaster[[#This Row],[Product_ID]],tblProducts[Product_ID],tblProducts[Category],"Not Found",0)</f>
        <v>Cake</v>
      </c>
      <c r="P878" s="18" t="str">
        <f>_xlfn.XLOOKUP(tblMaster[[#This Row],[Product_ID]],tblProducts[Product_ID],tblProducts[Occasion],"Not Found",0)</f>
        <v>Anniversary</v>
      </c>
      <c r="Q878" s="18">
        <f>_xlfn.XLOOKUP(tblMaster[[#This Row],[Product_ID]],tblProducts[Product_ID],tblProducts[Price (INR)],"Not Found",0)</f>
        <v>758</v>
      </c>
      <c r="R878" s="19">
        <f>tblMaster[[#This Row],[Price]]*tblMaster[[#This Row],[Quantity]]</f>
        <v>3790</v>
      </c>
      <c r="S878" s="19">
        <f>tblMaster[[#This Row],[Price]]*0.7*tblMaster[[#This Row],[Quantity]]</f>
        <v>2653</v>
      </c>
      <c r="T878" s="19">
        <f>tblMaster[[#This Row],[Revenue]]-tblMaster[[#This Row],[Estimated Cost (at 70%) ]]</f>
        <v>1137</v>
      </c>
      <c r="U878" s="19">
        <f>tblMaster[[#This Row],[Profit]]/tblMaster[[#This Row],[Revenue]]</f>
        <v>0.3</v>
      </c>
      <c r="V878" s="19">
        <f>tblMaster[[#This Row],[Delivery_Date]]-tblMaster[[#This Row],[Order_Date]]</f>
        <v>9</v>
      </c>
      <c r="W878" s="19" t="str">
        <f>TEXT(tblMaster[[#This Row],[Order_Date]],"mmmm")</f>
        <v>March</v>
      </c>
      <c r="X878" s="19">
        <f>MONTH(tblMaster[[#This Row],[Order_Date]])</f>
        <v>3</v>
      </c>
      <c r="Y878" s="19" t="str">
        <f>"Q"&amp;ROUNDUP(tblMaster[[#This Row],[Month Number]]/3,0)</f>
        <v>Q1</v>
      </c>
      <c r="Z878" s="19">
        <f>YEAR(tblMaster[[#This Row],[Order_Date]])</f>
        <v>2023</v>
      </c>
      <c r="AA878" s="19" t="str">
        <f>TEXT(DAY(tblMaster[[#This Row],[Order_Date]]),"dddd")</f>
        <v>Monday</v>
      </c>
      <c r="AB878" s="19" t="str">
        <f>IF(tblMaster[[#This Row],[Revenue]]&gt;=5000,"High",IF(tblMaster[[#This Row],[Revenue]]&lt;2000,"Low","Medium"))</f>
        <v>Medium</v>
      </c>
    </row>
    <row r="879" spans="1:28" x14ac:dyDescent="0.25">
      <c r="A879" s="10">
        <v>878</v>
      </c>
      <c r="B879" s="10" t="s">
        <v>279</v>
      </c>
      <c r="C879" s="5">
        <v>4</v>
      </c>
      <c r="D879" s="5">
        <v>2</v>
      </c>
      <c r="E879" s="11">
        <v>45240</v>
      </c>
      <c r="F879" s="12">
        <v>0.69234953703703705</v>
      </c>
      <c r="G879" s="11">
        <v>45249</v>
      </c>
      <c r="H879" s="12">
        <v>0.69831018518518517</v>
      </c>
      <c r="I879" s="10" t="s">
        <v>562</v>
      </c>
      <c r="J879" s="10" t="s">
        <v>19</v>
      </c>
      <c r="K879" s="18" t="str">
        <f>_xlfn.XLOOKUP(tblMaster[[#This Row],[Customer_ID]],tblCustomers[Customer_ID],tblCustomers[City],"Not Found",0)</f>
        <v>Delhi</v>
      </c>
      <c r="L879" s="18" t="str">
        <f>_xlfn.XLOOKUP(tblMaster[[#This Row],[Customer_ID]],tblCustomers[Customer_ID],tblCustomers[Name],"Not Found",0)</f>
        <v>Zain Hegde</v>
      </c>
      <c r="M879" s="18" t="str">
        <f>_xlfn.XLOOKUP(tblMaster[[#This Row],[Customer_ID]],tblCustomers[Customer_ID],tblCustomers[Gender],"Not Found",0)</f>
        <v>Female</v>
      </c>
      <c r="N879" s="18" t="str">
        <f>_xlfn.XLOOKUP(tblMaster[[#This Row],[Product_ID]],tblProducts[Product_ID],tblProducts[Product_Name],"Not Found",0)</f>
        <v>Accusantium Set</v>
      </c>
      <c r="O879" s="18" t="str">
        <f>_xlfn.XLOOKUP(tblMaster[[#This Row],[Product_ID]],tblProducts[Product_ID],tblProducts[Category],"Not Found",0)</f>
        <v>Sweets</v>
      </c>
      <c r="P879" s="18" t="str">
        <f>_xlfn.XLOOKUP(tblMaster[[#This Row],[Product_ID]],tblProducts[Product_ID],tblProducts[Occasion],"Not Found",0)</f>
        <v>Diwali</v>
      </c>
      <c r="Q879" s="18">
        <f>_xlfn.XLOOKUP(tblMaster[[#This Row],[Product_ID]],tblProducts[Product_ID],tblProducts[Price (INR)],"Not Found",0)</f>
        <v>1199</v>
      </c>
      <c r="R879" s="19">
        <f>tblMaster[[#This Row],[Price]]*tblMaster[[#This Row],[Quantity]]</f>
        <v>2398</v>
      </c>
      <c r="S879" s="19">
        <f>tblMaster[[#This Row],[Price]]*0.7*tblMaster[[#This Row],[Quantity]]</f>
        <v>1678.6</v>
      </c>
      <c r="T879" s="19">
        <f>tblMaster[[#This Row],[Revenue]]-tblMaster[[#This Row],[Estimated Cost (at 70%) ]]</f>
        <v>719.40000000000009</v>
      </c>
      <c r="U879" s="19">
        <f>tblMaster[[#This Row],[Profit]]/tblMaster[[#This Row],[Revenue]]</f>
        <v>0.30000000000000004</v>
      </c>
      <c r="V879" s="19">
        <f>tblMaster[[#This Row],[Delivery_Date]]-tblMaster[[#This Row],[Order_Date]]</f>
        <v>9</v>
      </c>
      <c r="W879" s="19" t="str">
        <f>TEXT(tblMaster[[#This Row],[Order_Date]],"mmmm")</f>
        <v>November</v>
      </c>
      <c r="X879" s="19">
        <f>MONTH(tblMaster[[#This Row],[Order_Date]])</f>
        <v>11</v>
      </c>
      <c r="Y879" s="19" t="str">
        <f>"Q"&amp;ROUNDUP(tblMaster[[#This Row],[Month Number]]/3,0)</f>
        <v>Q4</v>
      </c>
      <c r="Z879" s="19">
        <f>YEAR(tblMaster[[#This Row],[Order_Date]])</f>
        <v>2023</v>
      </c>
      <c r="AA879" s="19" t="str">
        <f>TEXT(DAY(tblMaster[[#This Row],[Order_Date]]),"dddd")</f>
        <v>Tuesday</v>
      </c>
      <c r="AB879" s="19" t="str">
        <f>IF(tblMaster[[#This Row],[Revenue]]&gt;=5000,"High",IF(tblMaster[[#This Row],[Revenue]]&lt;2000,"Low","Medium"))</f>
        <v>Medium</v>
      </c>
    </row>
    <row r="880" spans="1:28" x14ac:dyDescent="0.25">
      <c r="A880" s="7">
        <v>879</v>
      </c>
      <c r="B880" s="7" t="s">
        <v>361</v>
      </c>
      <c r="C880" s="4">
        <v>33</v>
      </c>
      <c r="D880" s="4">
        <v>2</v>
      </c>
      <c r="E880" s="8">
        <v>44964</v>
      </c>
      <c r="F880" s="9">
        <v>0.23233796296296297</v>
      </c>
      <c r="G880" s="8">
        <v>44967</v>
      </c>
      <c r="H880" s="9">
        <v>0.47752314814814817</v>
      </c>
      <c r="I880" s="7" t="s">
        <v>322</v>
      </c>
      <c r="J880" s="7" t="s">
        <v>12</v>
      </c>
      <c r="K880" s="18" t="str">
        <f>_xlfn.XLOOKUP(tblMaster[[#This Row],[Customer_ID]],tblCustomers[Customer_ID],tblCustomers[City],"Not Found",0)</f>
        <v>Dibrugarh</v>
      </c>
      <c r="L880" s="18" t="str">
        <f>_xlfn.XLOOKUP(tblMaster[[#This Row],[Customer_ID]],tblCustomers[Customer_ID],tblCustomers[Name],"Not Found",0)</f>
        <v>Zoya Mani</v>
      </c>
      <c r="M880" s="18" t="str">
        <f>_xlfn.XLOOKUP(tblMaster[[#This Row],[Customer_ID]],tblCustomers[Customer_ID],tblCustomers[Gender],"Not Found",0)</f>
        <v>Male</v>
      </c>
      <c r="N880" s="18" t="str">
        <f>_xlfn.XLOOKUP(tblMaster[[#This Row],[Product_ID]],tblProducts[Product_ID],tblProducts[Product_Name],"Not Found",0)</f>
        <v>Earum Set</v>
      </c>
      <c r="O880" s="18" t="str">
        <f>_xlfn.XLOOKUP(tblMaster[[#This Row],[Product_ID]],tblProducts[Product_ID],tblProducts[Category],"Not Found",0)</f>
        <v>Colors</v>
      </c>
      <c r="P880" s="18" t="str">
        <f>_xlfn.XLOOKUP(tblMaster[[#This Row],[Product_ID]],tblProducts[Product_ID],tblProducts[Occasion],"Not Found",0)</f>
        <v>Valentine's Day</v>
      </c>
      <c r="Q880" s="18">
        <f>_xlfn.XLOOKUP(tblMaster[[#This Row],[Product_ID]],tblProducts[Product_ID],tblProducts[Price (INR)],"Not Found",0)</f>
        <v>314</v>
      </c>
      <c r="R880" s="19">
        <f>tblMaster[[#This Row],[Price]]*tblMaster[[#This Row],[Quantity]]</f>
        <v>628</v>
      </c>
      <c r="S880" s="19">
        <f>tblMaster[[#This Row],[Price]]*0.7*tblMaster[[#This Row],[Quantity]]</f>
        <v>439.59999999999997</v>
      </c>
      <c r="T880" s="19">
        <f>tblMaster[[#This Row],[Revenue]]-tblMaster[[#This Row],[Estimated Cost (at 70%) ]]</f>
        <v>188.40000000000003</v>
      </c>
      <c r="U880" s="19">
        <f>tblMaster[[#This Row],[Profit]]/tblMaster[[#This Row],[Revenue]]</f>
        <v>0.30000000000000004</v>
      </c>
      <c r="V880" s="19">
        <f>tblMaster[[#This Row],[Delivery_Date]]-tblMaster[[#This Row],[Order_Date]]</f>
        <v>3</v>
      </c>
      <c r="W880" s="19" t="str">
        <f>TEXT(tblMaster[[#This Row],[Order_Date]],"mmmm")</f>
        <v>February</v>
      </c>
      <c r="X880" s="19">
        <f>MONTH(tblMaster[[#This Row],[Order_Date]])</f>
        <v>2</v>
      </c>
      <c r="Y880" s="19" t="str">
        <f>"Q"&amp;ROUNDUP(tblMaster[[#This Row],[Month Number]]/3,0)</f>
        <v>Q1</v>
      </c>
      <c r="Z880" s="19">
        <f>YEAR(tblMaster[[#This Row],[Order_Date]])</f>
        <v>2023</v>
      </c>
      <c r="AA880" s="19" t="str">
        <f>TEXT(DAY(tblMaster[[#This Row],[Order_Date]]),"dddd")</f>
        <v>Saturday</v>
      </c>
      <c r="AB880" s="19" t="str">
        <f>IF(tblMaster[[#This Row],[Revenue]]&gt;=5000,"High",IF(tblMaster[[#This Row],[Revenue]]&lt;2000,"Low","Medium"))</f>
        <v>Low</v>
      </c>
    </row>
    <row r="881" spans="1:28" x14ac:dyDescent="0.25">
      <c r="A881" s="10">
        <v>880</v>
      </c>
      <c r="B881" s="10" t="s">
        <v>182</v>
      </c>
      <c r="C881" s="5">
        <v>34</v>
      </c>
      <c r="D881" s="5">
        <v>5</v>
      </c>
      <c r="E881" s="11">
        <v>45167</v>
      </c>
      <c r="F881" s="12">
        <v>0.92668981481481483</v>
      </c>
      <c r="G881" s="11">
        <v>45169</v>
      </c>
      <c r="H881" s="12">
        <v>0.20474537037037038</v>
      </c>
      <c r="I881" s="10" t="s">
        <v>307</v>
      </c>
      <c r="J881" s="10" t="s">
        <v>33</v>
      </c>
      <c r="K881" s="18" t="str">
        <f>_xlfn.XLOOKUP(tblMaster[[#This Row],[Customer_ID]],tblCustomers[Customer_ID],tblCustomers[City],"Not Found",0)</f>
        <v>Agra</v>
      </c>
      <c r="L881" s="18" t="str">
        <f>_xlfn.XLOOKUP(tblMaster[[#This Row],[Customer_ID]],tblCustomers[Customer_ID],tblCustomers[Name],"Not Found",0)</f>
        <v>Seher Mann</v>
      </c>
      <c r="M881" s="18" t="str">
        <f>_xlfn.XLOOKUP(tblMaster[[#This Row],[Customer_ID]],tblCustomers[Customer_ID],tblCustomers[Gender],"Not Found",0)</f>
        <v>Male</v>
      </c>
      <c r="N881" s="18" t="str">
        <f>_xlfn.XLOOKUP(tblMaster[[#This Row],[Product_ID]],tblProducts[Product_ID],tblProducts[Product_Name],"Not Found",0)</f>
        <v>Placeat Pack</v>
      </c>
      <c r="O881" s="18" t="str">
        <f>_xlfn.XLOOKUP(tblMaster[[#This Row],[Product_ID]],tblProducts[Product_ID],tblProducts[Category],"Not Found",0)</f>
        <v>Soft Toys</v>
      </c>
      <c r="P881" s="18" t="str">
        <f>_xlfn.XLOOKUP(tblMaster[[#This Row],[Product_ID]],tblProducts[Product_ID],tblProducts[Occasion],"Not Found",0)</f>
        <v>Raksha Bandhan</v>
      </c>
      <c r="Q881" s="18">
        <f>_xlfn.XLOOKUP(tblMaster[[#This Row],[Product_ID]],tblProducts[Product_ID],tblProducts[Price (INR)],"Not Found",0)</f>
        <v>1335</v>
      </c>
      <c r="R881" s="19">
        <f>tblMaster[[#This Row],[Price]]*tblMaster[[#This Row],[Quantity]]</f>
        <v>6675</v>
      </c>
      <c r="S881" s="19">
        <f>tblMaster[[#This Row],[Price]]*0.7*tblMaster[[#This Row],[Quantity]]</f>
        <v>4672.4999999999991</v>
      </c>
      <c r="T881" s="19">
        <f>tblMaster[[#This Row],[Revenue]]-tblMaster[[#This Row],[Estimated Cost (at 70%) ]]</f>
        <v>2002.5000000000009</v>
      </c>
      <c r="U881" s="19">
        <f>tblMaster[[#This Row],[Profit]]/tblMaster[[#This Row],[Revenue]]</f>
        <v>0.30000000000000016</v>
      </c>
      <c r="V881" s="19">
        <f>tblMaster[[#This Row],[Delivery_Date]]-tblMaster[[#This Row],[Order_Date]]</f>
        <v>2</v>
      </c>
      <c r="W881" s="19" t="str">
        <f>TEXT(tblMaster[[#This Row],[Order_Date]],"mmmm")</f>
        <v>August</v>
      </c>
      <c r="X881" s="19">
        <f>MONTH(tblMaster[[#This Row],[Order_Date]])</f>
        <v>8</v>
      </c>
      <c r="Y881" s="19" t="str">
        <f>"Q"&amp;ROUNDUP(tblMaster[[#This Row],[Month Number]]/3,0)</f>
        <v>Q3</v>
      </c>
      <c r="Z881" s="19">
        <f>YEAR(tblMaster[[#This Row],[Order_Date]])</f>
        <v>2023</v>
      </c>
      <c r="AA881" s="19" t="str">
        <f>TEXT(DAY(tblMaster[[#This Row],[Order_Date]]),"dddd")</f>
        <v>Sunday</v>
      </c>
      <c r="AB881" s="19" t="str">
        <f>IF(tblMaster[[#This Row],[Revenue]]&gt;=5000,"High",IF(tblMaster[[#This Row],[Revenue]]&lt;2000,"Low","Medium"))</f>
        <v>High</v>
      </c>
    </row>
    <row r="882" spans="1:28" x14ac:dyDescent="0.25">
      <c r="A882" s="7">
        <v>881</v>
      </c>
      <c r="B882" s="7" t="s">
        <v>270</v>
      </c>
      <c r="C882" s="4">
        <v>28</v>
      </c>
      <c r="D882" s="4">
        <v>4</v>
      </c>
      <c r="E882" s="8">
        <v>45159</v>
      </c>
      <c r="F882" s="9">
        <v>0.6372916666666667</v>
      </c>
      <c r="G882" s="8">
        <v>45166</v>
      </c>
      <c r="H882" s="9">
        <v>0.5414930555555556</v>
      </c>
      <c r="I882" s="7" t="s">
        <v>226</v>
      </c>
      <c r="J882" s="7" t="s">
        <v>33</v>
      </c>
      <c r="K882" s="18" t="str">
        <f>_xlfn.XLOOKUP(tblMaster[[#This Row],[Customer_ID]],tblCustomers[Customer_ID],tblCustomers[City],"Not Found",0)</f>
        <v>Kolkata</v>
      </c>
      <c r="L882" s="18" t="str">
        <f>_xlfn.XLOOKUP(tblMaster[[#This Row],[Customer_ID]],tblCustomers[Customer_ID],tblCustomers[Name],"Not Found",0)</f>
        <v>Romil Bajwa</v>
      </c>
      <c r="M882" s="18" t="str">
        <f>_xlfn.XLOOKUP(tblMaster[[#This Row],[Customer_ID]],tblCustomers[Customer_ID],tblCustomers[Gender],"Not Found",0)</f>
        <v>Female</v>
      </c>
      <c r="N882" s="18" t="str">
        <f>_xlfn.XLOOKUP(tblMaster[[#This Row],[Product_ID]],tblProducts[Product_ID],tblProducts[Product_Name],"Not Found",0)</f>
        <v>Velit Set</v>
      </c>
      <c r="O882" s="18" t="str">
        <f>_xlfn.XLOOKUP(tblMaster[[#This Row],[Product_ID]],tblProducts[Product_ID],tblProducts[Category],"Not Found",0)</f>
        <v>Sweets</v>
      </c>
      <c r="P882" s="18" t="str">
        <f>_xlfn.XLOOKUP(tblMaster[[#This Row],[Product_ID]],tblProducts[Product_ID],tblProducts[Occasion],"Not Found",0)</f>
        <v>Raksha Bandhan</v>
      </c>
      <c r="Q882" s="18">
        <f>_xlfn.XLOOKUP(tblMaster[[#This Row],[Product_ID]],tblProducts[Product_ID],tblProducts[Price (INR)],"Not Found",0)</f>
        <v>1778</v>
      </c>
      <c r="R882" s="19">
        <f>tblMaster[[#This Row],[Price]]*tblMaster[[#This Row],[Quantity]]</f>
        <v>7112</v>
      </c>
      <c r="S882" s="19">
        <f>tblMaster[[#This Row],[Price]]*0.7*tblMaster[[#This Row],[Quantity]]</f>
        <v>4978.3999999999996</v>
      </c>
      <c r="T882" s="19">
        <f>tblMaster[[#This Row],[Revenue]]-tblMaster[[#This Row],[Estimated Cost (at 70%) ]]</f>
        <v>2133.6000000000004</v>
      </c>
      <c r="U882" s="19">
        <f>tblMaster[[#This Row],[Profit]]/tblMaster[[#This Row],[Revenue]]</f>
        <v>0.30000000000000004</v>
      </c>
      <c r="V882" s="19">
        <f>tblMaster[[#This Row],[Delivery_Date]]-tblMaster[[#This Row],[Order_Date]]</f>
        <v>7</v>
      </c>
      <c r="W882" s="19" t="str">
        <f>TEXT(tblMaster[[#This Row],[Order_Date]],"mmmm")</f>
        <v>August</v>
      </c>
      <c r="X882" s="19">
        <f>MONTH(tblMaster[[#This Row],[Order_Date]])</f>
        <v>8</v>
      </c>
      <c r="Y882" s="19" t="str">
        <f>"Q"&amp;ROUNDUP(tblMaster[[#This Row],[Month Number]]/3,0)</f>
        <v>Q3</v>
      </c>
      <c r="Z882" s="19">
        <f>YEAR(tblMaster[[#This Row],[Order_Date]])</f>
        <v>2023</v>
      </c>
      <c r="AA882" s="19" t="str">
        <f>TEXT(DAY(tblMaster[[#This Row],[Order_Date]]),"dddd")</f>
        <v>Saturday</v>
      </c>
      <c r="AB882" s="19" t="str">
        <f>IF(tblMaster[[#This Row],[Revenue]]&gt;=5000,"High",IF(tblMaster[[#This Row],[Revenue]]&lt;2000,"Low","Medium"))</f>
        <v>High</v>
      </c>
    </row>
    <row r="883" spans="1:28" x14ac:dyDescent="0.25">
      <c r="A883" s="10">
        <v>882</v>
      </c>
      <c r="B883" s="10" t="s">
        <v>402</v>
      </c>
      <c r="C883" s="5">
        <v>64</v>
      </c>
      <c r="D883" s="5">
        <v>2</v>
      </c>
      <c r="E883" s="11">
        <v>45167</v>
      </c>
      <c r="F883" s="12">
        <v>0.23101851851851851</v>
      </c>
      <c r="G883" s="11">
        <v>45177</v>
      </c>
      <c r="H883" s="12">
        <v>0.67700231481481477</v>
      </c>
      <c r="I883" s="10" t="s">
        <v>393</v>
      </c>
      <c r="J883" s="10" t="s">
        <v>33</v>
      </c>
      <c r="K883" s="18" t="str">
        <f>_xlfn.XLOOKUP(tblMaster[[#This Row],[Customer_ID]],tblCustomers[Customer_ID],tblCustomers[City],"Not Found",0)</f>
        <v>Nellore</v>
      </c>
      <c r="L883" s="18" t="str">
        <f>_xlfn.XLOOKUP(tblMaster[[#This Row],[Customer_ID]],tblCustomers[Customer_ID],tblCustomers[Name],"Not Found",0)</f>
        <v>Oorja Dey</v>
      </c>
      <c r="M883" s="18" t="str">
        <f>_xlfn.XLOOKUP(tblMaster[[#This Row],[Customer_ID]],tblCustomers[Customer_ID],tblCustomers[Gender],"Not Found",0)</f>
        <v>Female</v>
      </c>
      <c r="N883" s="18" t="str">
        <f>_xlfn.XLOOKUP(tblMaster[[#This Row],[Product_ID]],tblProducts[Product_ID],tblProducts[Product_Name],"Not Found",0)</f>
        <v>Nostrum Box</v>
      </c>
      <c r="O883" s="18" t="str">
        <f>_xlfn.XLOOKUP(tblMaster[[#This Row],[Product_ID]],tblProducts[Product_ID],tblProducts[Category],"Not Found",0)</f>
        <v>Soft Toys</v>
      </c>
      <c r="P883" s="18" t="str">
        <f>_xlfn.XLOOKUP(tblMaster[[#This Row],[Product_ID]],tblProducts[Product_ID],tblProducts[Occasion],"Not Found",0)</f>
        <v>Raksha Bandhan</v>
      </c>
      <c r="Q883" s="18">
        <f>_xlfn.XLOOKUP(tblMaster[[#This Row],[Product_ID]],tblProducts[Product_ID],tblProducts[Price (INR)],"Not Found",0)</f>
        <v>1878</v>
      </c>
      <c r="R883" s="19">
        <f>tblMaster[[#This Row],[Price]]*tblMaster[[#This Row],[Quantity]]</f>
        <v>3756</v>
      </c>
      <c r="S883" s="19">
        <f>tblMaster[[#This Row],[Price]]*0.7*tblMaster[[#This Row],[Quantity]]</f>
        <v>2629.2</v>
      </c>
      <c r="T883" s="19">
        <f>tblMaster[[#This Row],[Revenue]]-tblMaster[[#This Row],[Estimated Cost (at 70%) ]]</f>
        <v>1126.8000000000002</v>
      </c>
      <c r="U883" s="19">
        <f>tblMaster[[#This Row],[Profit]]/tblMaster[[#This Row],[Revenue]]</f>
        <v>0.30000000000000004</v>
      </c>
      <c r="V883" s="19">
        <f>tblMaster[[#This Row],[Delivery_Date]]-tblMaster[[#This Row],[Order_Date]]</f>
        <v>10</v>
      </c>
      <c r="W883" s="19" t="str">
        <f>TEXT(tblMaster[[#This Row],[Order_Date]],"mmmm")</f>
        <v>August</v>
      </c>
      <c r="X883" s="19">
        <f>MONTH(tblMaster[[#This Row],[Order_Date]])</f>
        <v>8</v>
      </c>
      <c r="Y883" s="19" t="str">
        <f>"Q"&amp;ROUNDUP(tblMaster[[#This Row],[Month Number]]/3,0)</f>
        <v>Q3</v>
      </c>
      <c r="Z883" s="19">
        <f>YEAR(tblMaster[[#This Row],[Order_Date]])</f>
        <v>2023</v>
      </c>
      <c r="AA883" s="19" t="str">
        <f>TEXT(DAY(tblMaster[[#This Row],[Order_Date]]),"dddd")</f>
        <v>Sunday</v>
      </c>
      <c r="AB883" s="19" t="str">
        <f>IF(tblMaster[[#This Row],[Revenue]]&gt;=5000,"High",IF(tblMaster[[#This Row],[Revenue]]&lt;2000,"Low","Medium"))</f>
        <v>Medium</v>
      </c>
    </row>
    <row r="884" spans="1:28" x14ac:dyDescent="0.25">
      <c r="A884" s="7">
        <v>883</v>
      </c>
      <c r="B884" s="7" t="s">
        <v>206</v>
      </c>
      <c r="C884" s="4">
        <v>36</v>
      </c>
      <c r="D884" s="4">
        <v>4</v>
      </c>
      <c r="E884" s="8">
        <v>45123</v>
      </c>
      <c r="F884" s="9">
        <v>0.82226851851851857</v>
      </c>
      <c r="G884" s="8">
        <v>45124</v>
      </c>
      <c r="H884" s="9">
        <v>0.87710648148148151</v>
      </c>
      <c r="I884" s="7" t="s">
        <v>301</v>
      </c>
      <c r="J884" s="7" t="s">
        <v>36</v>
      </c>
      <c r="K884" s="18" t="str">
        <f>_xlfn.XLOOKUP(tblMaster[[#This Row],[Customer_ID]],tblCustomers[Customer_ID],tblCustomers[City],"Not Found",0)</f>
        <v>Karaikudi</v>
      </c>
      <c r="L884" s="18" t="str">
        <f>_xlfn.XLOOKUP(tblMaster[[#This Row],[Customer_ID]],tblCustomers[Customer_ID],tblCustomers[Name],"Not Found",0)</f>
        <v>Rati Dhingra</v>
      </c>
      <c r="M884" s="18" t="str">
        <f>_xlfn.XLOOKUP(tblMaster[[#This Row],[Customer_ID]],tblCustomers[Customer_ID],tblCustomers[Gender],"Not Found",0)</f>
        <v>Male</v>
      </c>
      <c r="N884" s="18" t="str">
        <f>_xlfn.XLOOKUP(tblMaster[[#This Row],[Product_ID]],tblProducts[Product_ID],tblProducts[Product_Name],"Not Found",0)</f>
        <v>Cum Gift</v>
      </c>
      <c r="O884" s="18" t="str">
        <f>_xlfn.XLOOKUP(tblMaster[[#This Row],[Product_ID]],tblProducts[Product_ID],tblProducts[Category],"Not Found",0)</f>
        <v>Plants</v>
      </c>
      <c r="P884" s="18" t="str">
        <f>_xlfn.XLOOKUP(tblMaster[[#This Row],[Product_ID]],tblProducts[Product_ID],tblProducts[Occasion],"Not Found",0)</f>
        <v>Birthday</v>
      </c>
      <c r="Q884" s="18">
        <f>_xlfn.XLOOKUP(tblMaster[[#This Row],[Product_ID]],tblProducts[Product_ID],tblProducts[Price (INR)],"Not Found",0)</f>
        <v>203</v>
      </c>
      <c r="R884" s="19">
        <f>tblMaster[[#This Row],[Price]]*tblMaster[[#This Row],[Quantity]]</f>
        <v>812</v>
      </c>
      <c r="S884" s="19">
        <f>tblMaster[[#This Row],[Price]]*0.7*tblMaster[[#This Row],[Quantity]]</f>
        <v>568.4</v>
      </c>
      <c r="T884" s="19">
        <f>tblMaster[[#This Row],[Revenue]]-tblMaster[[#This Row],[Estimated Cost (at 70%) ]]</f>
        <v>243.60000000000002</v>
      </c>
      <c r="U884" s="19">
        <f>tblMaster[[#This Row],[Profit]]/tblMaster[[#This Row],[Revenue]]</f>
        <v>0.30000000000000004</v>
      </c>
      <c r="V884" s="19">
        <f>tblMaster[[#This Row],[Delivery_Date]]-tblMaster[[#This Row],[Order_Date]]</f>
        <v>1</v>
      </c>
      <c r="W884" s="19" t="str">
        <f>TEXT(tblMaster[[#This Row],[Order_Date]],"mmmm")</f>
        <v>July</v>
      </c>
      <c r="X884" s="19">
        <f>MONTH(tblMaster[[#This Row],[Order_Date]])</f>
        <v>7</v>
      </c>
      <c r="Y884" s="19" t="str">
        <f>"Q"&amp;ROUNDUP(tblMaster[[#This Row],[Month Number]]/3,0)</f>
        <v>Q3</v>
      </c>
      <c r="Z884" s="19">
        <f>YEAR(tblMaster[[#This Row],[Order_Date]])</f>
        <v>2023</v>
      </c>
      <c r="AA884" s="19" t="str">
        <f>TEXT(DAY(tblMaster[[#This Row],[Order_Date]]),"dddd")</f>
        <v>Monday</v>
      </c>
      <c r="AB884" s="19" t="str">
        <f>IF(tblMaster[[#This Row],[Revenue]]&gt;=5000,"High",IF(tblMaster[[#This Row],[Revenue]]&lt;2000,"Low","Medium"))</f>
        <v>Low</v>
      </c>
    </row>
    <row r="885" spans="1:28" x14ac:dyDescent="0.25">
      <c r="A885" s="10">
        <v>884</v>
      </c>
      <c r="B885" s="10" t="s">
        <v>210</v>
      </c>
      <c r="C885" s="5">
        <v>10</v>
      </c>
      <c r="D885" s="5">
        <v>3</v>
      </c>
      <c r="E885" s="11">
        <v>45003</v>
      </c>
      <c r="F885" s="12">
        <v>0.92759259259259264</v>
      </c>
      <c r="G885" s="11">
        <v>45012</v>
      </c>
      <c r="H885" s="12">
        <v>0.79160879629629632</v>
      </c>
      <c r="I885" s="10" t="s">
        <v>457</v>
      </c>
      <c r="J885" s="10" t="s">
        <v>36</v>
      </c>
      <c r="K885" s="18" t="str">
        <f>_xlfn.XLOOKUP(tblMaster[[#This Row],[Customer_ID]],tblCustomers[Customer_ID],tblCustomers[City],"Not Found",0)</f>
        <v>New Delhi</v>
      </c>
      <c r="L885" s="18" t="str">
        <f>_xlfn.XLOOKUP(tblMaster[[#This Row],[Customer_ID]],tblCustomers[Customer_ID],tblCustomers[Name],"Not Found",0)</f>
        <v>Adira Rajan</v>
      </c>
      <c r="M885" s="18" t="str">
        <f>_xlfn.XLOOKUP(tblMaster[[#This Row],[Customer_ID]],tblCustomers[Customer_ID],tblCustomers[Gender],"Not Found",0)</f>
        <v>Female</v>
      </c>
      <c r="N885" s="18" t="str">
        <f>_xlfn.XLOOKUP(tblMaster[[#This Row],[Product_ID]],tblProducts[Product_ID],tblProducts[Product_Name],"Not Found",0)</f>
        <v>Accusantium Gift</v>
      </c>
      <c r="O885" s="18" t="str">
        <f>_xlfn.XLOOKUP(tblMaster[[#This Row],[Product_ID]],tblProducts[Product_ID],tblProducts[Category],"Not Found",0)</f>
        <v>Cake</v>
      </c>
      <c r="P885" s="18" t="str">
        <f>_xlfn.XLOOKUP(tblMaster[[#This Row],[Product_ID]],tblProducts[Product_ID],tblProducts[Occasion],"Not Found",0)</f>
        <v>Birthday</v>
      </c>
      <c r="Q885" s="18">
        <f>_xlfn.XLOOKUP(tblMaster[[#This Row],[Product_ID]],tblProducts[Product_ID],tblProducts[Price (INR)],"Not Found",0)</f>
        <v>259</v>
      </c>
      <c r="R885" s="19">
        <f>tblMaster[[#This Row],[Price]]*tblMaster[[#This Row],[Quantity]]</f>
        <v>777</v>
      </c>
      <c r="S885" s="19">
        <f>tblMaster[[#This Row],[Price]]*0.7*tblMaster[[#This Row],[Quantity]]</f>
        <v>543.9</v>
      </c>
      <c r="T885" s="19">
        <f>tblMaster[[#This Row],[Revenue]]-tblMaster[[#This Row],[Estimated Cost (at 70%) ]]</f>
        <v>233.10000000000002</v>
      </c>
      <c r="U885" s="19">
        <f>tblMaster[[#This Row],[Profit]]/tblMaster[[#This Row],[Revenue]]</f>
        <v>0.30000000000000004</v>
      </c>
      <c r="V885" s="19">
        <f>tblMaster[[#This Row],[Delivery_Date]]-tblMaster[[#This Row],[Order_Date]]</f>
        <v>9</v>
      </c>
      <c r="W885" s="19" t="str">
        <f>TEXT(tblMaster[[#This Row],[Order_Date]],"mmmm")</f>
        <v>March</v>
      </c>
      <c r="X885" s="19">
        <f>MONTH(tblMaster[[#This Row],[Order_Date]])</f>
        <v>3</v>
      </c>
      <c r="Y885" s="19" t="str">
        <f>"Q"&amp;ROUNDUP(tblMaster[[#This Row],[Month Number]]/3,0)</f>
        <v>Q1</v>
      </c>
      <c r="Z885" s="19">
        <f>YEAR(tblMaster[[#This Row],[Order_Date]])</f>
        <v>2023</v>
      </c>
      <c r="AA885" s="19" t="str">
        <f>TEXT(DAY(tblMaster[[#This Row],[Order_Date]]),"dddd")</f>
        <v>Wednesday</v>
      </c>
      <c r="AB885" s="19" t="str">
        <f>IF(tblMaster[[#This Row],[Revenue]]&gt;=5000,"High",IF(tblMaster[[#This Row],[Revenue]]&lt;2000,"Low","Medium"))</f>
        <v>Low</v>
      </c>
    </row>
    <row r="886" spans="1:28" x14ac:dyDescent="0.25">
      <c r="A886" s="7">
        <v>885</v>
      </c>
      <c r="B886" s="7" t="s">
        <v>364</v>
      </c>
      <c r="C886" s="4">
        <v>42</v>
      </c>
      <c r="D886" s="4">
        <v>2</v>
      </c>
      <c r="E886" s="8">
        <v>45216</v>
      </c>
      <c r="F886" s="9">
        <v>0.82844907407407409</v>
      </c>
      <c r="G886" s="8">
        <v>45220</v>
      </c>
      <c r="H886" s="9">
        <v>0.78206018518518516</v>
      </c>
      <c r="I886" s="7" t="s">
        <v>220</v>
      </c>
      <c r="J886" s="7" t="s">
        <v>8</v>
      </c>
      <c r="K886" s="18" t="str">
        <f>_xlfn.XLOOKUP(tblMaster[[#This Row],[Customer_ID]],tblCustomers[Customer_ID],tblCustomers[City],"Not Found",0)</f>
        <v>Tiruchirappalli</v>
      </c>
      <c r="L886" s="18" t="str">
        <f>_xlfn.XLOOKUP(tblMaster[[#This Row],[Customer_ID]],tblCustomers[Customer_ID],tblCustomers[Name],"Not Found",0)</f>
        <v>Anahita Shankar</v>
      </c>
      <c r="M886" s="18" t="str">
        <f>_xlfn.XLOOKUP(tblMaster[[#This Row],[Customer_ID]],tblCustomers[Customer_ID],tblCustomers[Gender],"Not Found",0)</f>
        <v>Male</v>
      </c>
      <c r="N886" s="18" t="str">
        <f>_xlfn.XLOOKUP(tblMaster[[#This Row],[Product_ID]],tblProducts[Product_ID],tblProducts[Product_Name],"Not Found",0)</f>
        <v>Expedita Gift</v>
      </c>
      <c r="O886" s="18" t="str">
        <f>_xlfn.XLOOKUP(tblMaster[[#This Row],[Product_ID]],tblProducts[Product_ID],tblProducts[Category],"Not Found",0)</f>
        <v>Sweets</v>
      </c>
      <c r="P886" s="18" t="str">
        <f>_xlfn.XLOOKUP(tblMaster[[#This Row],[Product_ID]],tblProducts[Product_ID],tblProducts[Occasion],"Not Found",0)</f>
        <v>All Occasions</v>
      </c>
      <c r="Q886" s="18">
        <f>_xlfn.XLOOKUP(tblMaster[[#This Row],[Product_ID]],tblProducts[Product_ID],tblProducts[Price (INR)],"Not Found",0)</f>
        <v>1744</v>
      </c>
      <c r="R886" s="19">
        <f>tblMaster[[#This Row],[Price]]*tblMaster[[#This Row],[Quantity]]</f>
        <v>3488</v>
      </c>
      <c r="S886" s="19">
        <f>tblMaster[[#This Row],[Price]]*0.7*tblMaster[[#This Row],[Quantity]]</f>
        <v>2441.6</v>
      </c>
      <c r="T886" s="19">
        <f>tblMaster[[#This Row],[Revenue]]-tblMaster[[#This Row],[Estimated Cost (at 70%) ]]</f>
        <v>1046.4000000000001</v>
      </c>
      <c r="U886" s="19">
        <f>tblMaster[[#This Row],[Profit]]/tblMaster[[#This Row],[Revenue]]</f>
        <v>0.30000000000000004</v>
      </c>
      <c r="V886" s="19">
        <f>tblMaster[[#This Row],[Delivery_Date]]-tblMaster[[#This Row],[Order_Date]]</f>
        <v>4</v>
      </c>
      <c r="W886" s="19" t="str">
        <f>TEXT(tblMaster[[#This Row],[Order_Date]],"mmmm")</f>
        <v>October</v>
      </c>
      <c r="X886" s="19">
        <f>MONTH(tblMaster[[#This Row],[Order_Date]])</f>
        <v>10</v>
      </c>
      <c r="Y886" s="19" t="str">
        <f>"Q"&amp;ROUNDUP(tblMaster[[#This Row],[Month Number]]/3,0)</f>
        <v>Q4</v>
      </c>
      <c r="Z886" s="19">
        <f>YEAR(tblMaster[[#This Row],[Order_Date]])</f>
        <v>2023</v>
      </c>
      <c r="AA886" s="19" t="str">
        <f>TEXT(DAY(tblMaster[[#This Row],[Order_Date]]),"dddd")</f>
        <v>Tuesday</v>
      </c>
      <c r="AB886" s="19" t="str">
        <f>IF(tblMaster[[#This Row],[Revenue]]&gt;=5000,"High",IF(tblMaster[[#This Row],[Revenue]]&lt;2000,"Low","Medium"))</f>
        <v>Medium</v>
      </c>
    </row>
    <row r="887" spans="1:28" x14ac:dyDescent="0.25">
      <c r="A887" s="10">
        <v>886</v>
      </c>
      <c r="B887" s="10" t="s">
        <v>254</v>
      </c>
      <c r="C887" s="5">
        <v>53</v>
      </c>
      <c r="D887" s="5">
        <v>3</v>
      </c>
      <c r="E887" s="11">
        <v>45159</v>
      </c>
      <c r="F887" s="12">
        <v>0.34932870370370372</v>
      </c>
      <c r="G887" s="11">
        <v>45163</v>
      </c>
      <c r="H887" s="12">
        <v>0.82818287037037042</v>
      </c>
      <c r="I887" s="10" t="s">
        <v>179</v>
      </c>
      <c r="J887" s="10" t="s">
        <v>33</v>
      </c>
      <c r="K887" s="18" t="str">
        <f>_xlfn.XLOOKUP(tblMaster[[#This Row],[Customer_ID]],tblCustomers[Customer_ID],tblCustomers[City],"Not Found",0)</f>
        <v>Maheshtala</v>
      </c>
      <c r="L887" s="18" t="str">
        <f>_xlfn.XLOOKUP(tblMaster[[#This Row],[Customer_ID]],tblCustomers[Customer_ID],tblCustomers[Name],"Not Found",0)</f>
        <v>Divit Mahajan</v>
      </c>
      <c r="M887" s="18" t="str">
        <f>_xlfn.XLOOKUP(tblMaster[[#This Row],[Customer_ID]],tblCustomers[Customer_ID],tblCustomers[Gender],"Not Found",0)</f>
        <v>Female</v>
      </c>
      <c r="N887" s="18" t="str">
        <f>_xlfn.XLOOKUP(tblMaster[[#This Row],[Product_ID]],tblProducts[Product_ID],tblProducts[Product_Name],"Not Found",0)</f>
        <v>Ipsam Set</v>
      </c>
      <c r="O887" s="18" t="str">
        <f>_xlfn.XLOOKUP(tblMaster[[#This Row],[Product_ID]],tblProducts[Product_ID],tblProducts[Category],"Not Found",0)</f>
        <v>Sweets</v>
      </c>
      <c r="P887" s="18" t="str">
        <f>_xlfn.XLOOKUP(tblMaster[[#This Row],[Product_ID]],tblProducts[Product_ID],tblProducts[Occasion],"Not Found",0)</f>
        <v>Raksha Bandhan</v>
      </c>
      <c r="Q887" s="18">
        <f>_xlfn.XLOOKUP(tblMaster[[#This Row],[Product_ID]],tblProducts[Product_ID],tblProducts[Price (INR)],"Not Found",0)</f>
        <v>1672</v>
      </c>
      <c r="R887" s="19">
        <f>tblMaster[[#This Row],[Price]]*tblMaster[[#This Row],[Quantity]]</f>
        <v>5016</v>
      </c>
      <c r="S887" s="19">
        <f>tblMaster[[#This Row],[Price]]*0.7*tblMaster[[#This Row],[Quantity]]</f>
        <v>3511.2</v>
      </c>
      <c r="T887" s="19">
        <f>tblMaster[[#This Row],[Revenue]]-tblMaster[[#This Row],[Estimated Cost (at 70%) ]]</f>
        <v>1504.8000000000002</v>
      </c>
      <c r="U887" s="19">
        <f>tblMaster[[#This Row],[Profit]]/tblMaster[[#This Row],[Revenue]]</f>
        <v>0.30000000000000004</v>
      </c>
      <c r="V887" s="19">
        <f>tblMaster[[#This Row],[Delivery_Date]]-tblMaster[[#This Row],[Order_Date]]</f>
        <v>4</v>
      </c>
      <c r="W887" s="19" t="str">
        <f>TEXT(tblMaster[[#This Row],[Order_Date]],"mmmm")</f>
        <v>August</v>
      </c>
      <c r="X887" s="19">
        <f>MONTH(tblMaster[[#This Row],[Order_Date]])</f>
        <v>8</v>
      </c>
      <c r="Y887" s="19" t="str">
        <f>"Q"&amp;ROUNDUP(tblMaster[[#This Row],[Month Number]]/3,0)</f>
        <v>Q3</v>
      </c>
      <c r="Z887" s="19">
        <f>YEAR(tblMaster[[#This Row],[Order_Date]])</f>
        <v>2023</v>
      </c>
      <c r="AA887" s="19" t="str">
        <f>TEXT(DAY(tblMaster[[#This Row],[Order_Date]]),"dddd")</f>
        <v>Saturday</v>
      </c>
      <c r="AB887" s="19" t="str">
        <f>IF(tblMaster[[#This Row],[Revenue]]&gt;=5000,"High",IF(tblMaster[[#This Row],[Revenue]]&lt;2000,"Low","Medium"))</f>
        <v>High</v>
      </c>
    </row>
    <row r="888" spans="1:28" x14ac:dyDescent="0.25">
      <c r="A888" s="7">
        <v>887</v>
      </c>
      <c r="B888" s="7" t="s">
        <v>210</v>
      </c>
      <c r="C888" s="4">
        <v>51</v>
      </c>
      <c r="D888" s="4">
        <v>3</v>
      </c>
      <c r="E888" s="8">
        <v>45106</v>
      </c>
      <c r="F888" s="9">
        <v>0.72255787037037034</v>
      </c>
      <c r="G888" s="8">
        <v>45107</v>
      </c>
      <c r="H888" s="9">
        <v>0.41377314814814814</v>
      </c>
      <c r="I888" s="7" t="s">
        <v>556</v>
      </c>
      <c r="J888" s="7" t="s">
        <v>8</v>
      </c>
      <c r="K888" s="18" t="str">
        <f>_xlfn.XLOOKUP(tblMaster[[#This Row],[Customer_ID]],tblCustomers[Customer_ID],tblCustomers[City],"Not Found",0)</f>
        <v>New Delhi</v>
      </c>
      <c r="L888" s="18" t="str">
        <f>_xlfn.XLOOKUP(tblMaster[[#This Row],[Customer_ID]],tblCustomers[Customer_ID],tblCustomers[Name],"Not Found",0)</f>
        <v>Adira Rajan</v>
      </c>
      <c r="M888" s="18" t="str">
        <f>_xlfn.XLOOKUP(tblMaster[[#This Row],[Customer_ID]],tblCustomers[Customer_ID],tblCustomers[Gender],"Not Found",0)</f>
        <v>Female</v>
      </c>
      <c r="N888" s="18" t="str">
        <f>_xlfn.XLOOKUP(tblMaster[[#This Row],[Product_ID]],tblProducts[Product_ID],tblProducts[Product_Name],"Not Found",0)</f>
        <v>Fugit Set</v>
      </c>
      <c r="O888" s="18" t="str">
        <f>_xlfn.XLOOKUP(tblMaster[[#This Row],[Product_ID]],tblProducts[Product_ID],tblProducts[Category],"Not Found",0)</f>
        <v>Soft Toys</v>
      </c>
      <c r="P888" s="18" t="str">
        <f>_xlfn.XLOOKUP(tblMaster[[#This Row],[Product_ID]],tblProducts[Product_ID],tblProducts[Occasion],"Not Found",0)</f>
        <v>All Occasions</v>
      </c>
      <c r="Q888" s="18">
        <f>_xlfn.XLOOKUP(tblMaster[[#This Row],[Product_ID]],tblProducts[Product_ID],tblProducts[Price (INR)],"Not Found",0)</f>
        <v>1084</v>
      </c>
      <c r="R888" s="19">
        <f>tblMaster[[#This Row],[Price]]*tblMaster[[#This Row],[Quantity]]</f>
        <v>3252</v>
      </c>
      <c r="S888" s="19">
        <f>tblMaster[[#This Row],[Price]]*0.7*tblMaster[[#This Row],[Quantity]]</f>
        <v>2276.3999999999996</v>
      </c>
      <c r="T888" s="19">
        <f>tblMaster[[#This Row],[Revenue]]-tblMaster[[#This Row],[Estimated Cost (at 70%) ]]</f>
        <v>975.60000000000036</v>
      </c>
      <c r="U888" s="19">
        <f>tblMaster[[#This Row],[Profit]]/tblMaster[[#This Row],[Revenue]]</f>
        <v>0.3000000000000001</v>
      </c>
      <c r="V888" s="19">
        <f>tblMaster[[#This Row],[Delivery_Date]]-tblMaster[[#This Row],[Order_Date]]</f>
        <v>1</v>
      </c>
      <c r="W888" s="19" t="str">
        <f>TEXT(tblMaster[[#This Row],[Order_Date]],"mmmm")</f>
        <v>June</v>
      </c>
      <c r="X888" s="19">
        <f>MONTH(tblMaster[[#This Row],[Order_Date]])</f>
        <v>6</v>
      </c>
      <c r="Y888" s="19" t="str">
        <f>"Q"&amp;ROUNDUP(tblMaster[[#This Row],[Month Number]]/3,0)</f>
        <v>Q2</v>
      </c>
      <c r="Z888" s="19">
        <f>YEAR(tblMaster[[#This Row],[Order_Date]])</f>
        <v>2023</v>
      </c>
      <c r="AA888" s="19" t="str">
        <f>TEXT(DAY(tblMaster[[#This Row],[Order_Date]]),"dddd")</f>
        <v>Sunday</v>
      </c>
      <c r="AB888" s="19" t="str">
        <f>IF(tblMaster[[#This Row],[Revenue]]&gt;=5000,"High",IF(tblMaster[[#This Row],[Revenue]]&lt;2000,"Low","Medium"))</f>
        <v>Medium</v>
      </c>
    </row>
    <row r="889" spans="1:28" x14ac:dyDescent="0.25">
      <c r="A889" s="10">
        <v>888</v>
      </c>
      <c r="B889" s="10" t="s">
        <v>248</v>
      </c>
      <c r="C889" s="5">
        <v>69</v>
      </c>
      <c r="D889" s="5">
        <v>3</v>
      </c>
      <c r="E889" s="11">
        <v>44991</v>
      </c>
      <c r="F889" s="12">
        <v>0.48244212962962962</v>
      </c>
      <c r="G889" s="11">
        <v>44996</v>
      </c>
      <c r="H889" s="12">
        <v>0.63482638888888887</v>
      </c>
      <c r="I889" s="10" t="s">
        <v>531</v>
      </c>
      <c r="J889" s="10" t="s">
        <v>25</v>
      </c>
      <c r="K889" s="18" t="str">
        <f>_xlfn.XLOOKUP(tblMaster[[#This Row],[Customer_ID]],tblCustomers[Customer_ID],tblCustomers[City],"Not Found",0)</f>
        <v>Panvel</v>
      </c>
      <c r="L889" s="18" t="str">
        <f>_xlfn.XLOOKUP(tblMaster[[#This Row],[Customer_ID]],tblCustomers[Customer_ID],tblCustomers[Name],"Not Found",0)</f>
        <v>Indrans Shukla</v>
      </c>
      <c r="M889" s="18" t="str">
        <f>_xlfn.XLOOKUP(tblMaster[[#This Row],[Customer_ID]],tblCustomers[Customer_ID],tblCustomers[Gender],"Not Found",0)</f>
        <v>Female</v>
      </c>
      <c r="N889" s="18" t="str">
        <f>_xlfn.XLOOKUP(tblMaster[[#This Row],[Product_ID]],tblProducts[Product_ID],tblProducts[Product_Name],"Not Found",0)</f>
        <v>Id Box</v>
      </c>
      <c r="O889" s="18" t="str">
        <f>_xlfn.XLOOKUP(tblMaster[[#This Row],[Product_ID]],tblProducts[Product_ID],tblProducts[Category],"Not Found",0)</f>
        <v>Cake</v>
      </c>
      <c r="P889" s="18" t="str">
        <f>_xlfn.XLOOKUP(tblMaster[[#This Row],[Product_ID]],tblProducts[Product_ID],tblProducts[Occasion],"Not Found",0)</f>
        <v>Holi</v>
      </c>
      <c r="Q889" s="18">
        <f>_xlfn.XLOOKUP(tblMaster[[#This Row],[Product_ID]],tblProducts[Product_ID],tblProducts[Price (INR)],"Not Found",0)</f>
        <v>998</v>
      </c>
      <c r="R889" s="19">
        <f>tblMaster[[#This Row],[Price]]*tblMaster[[#This Row],[Quantity]]</f>
        <v>2994</v>
      </c>
      <c r="S889" s="19">
        <f>tblMaster[[#This Row],[Price]]*0.7*tblMaster[[#This Row],[Quantity]]</f>
        <v>2095.7999999999997</v>
      </c>
      <c r="T889" s="19">
        <f>tblMaster[[#This Row],[Revenue]]-tblMaster[[#This Row],[Estimated Cost (at 70%) ]]</f>
        <v>898.20000000000027</v>
      </c>
      <c r="U889" s="19">
        <f>tblMaster[[#This Row],[Profit]]/tblMaster[[#This Row],[Revenue]]</f>
        <v>0.3000000000000001</v>
      </c>
      <c r="V889" s="19">
        <f>tblMaster[[#This Row],[Delivery_Date]]-tblMaster[[#This Row],[Order_Date]]</f>
        <v>5</v>
      </c>
      <c r="W889" s="19" t="str">
        <f>TEXT(tblMaster[[#This Row],[Order_Date]],"mmmm")</f>
        <v>March</v>
      </c>
      <c r="X889" s="19">
        <f>MONTH(tblMaster[[#This Row],[Order_Date]])</f>
        <v>3</v>
      </c>
      <c r="Y889" s="19" t="str">
        <f>"Q"&amp;ROUNDUP(tblMaster[[#This Row],[Month Number]]/3,0)</f>
        <v>Q1</v>
      </c>
      <c r="Z889" s="19">
        <f>YEAR(tblMaster[[#This Row],[Order_Date]])</f>
        <v>2023</v>
      </c>
      <c r="AA889" s="19" t="str">
        <f>TEXT(DAY(tblMaster[[#This Row],[Order_Date]]),"dddd")</f>
        <v>Friday</v>
      </c>
      <c r="AB889" s="19" t="str">
        <f>IF(tblMaster[[#This Row],[Revenue]]&gt;=5000,"High",IF(tblMaster[[#This Row],[Revenue]]&lt;2000,"Low","Medium"))</f>
        <v>Medium</v>
      </c>
    </row>
    <row r="890" spans="1:28" x14ac:dyDescent="0.25">
      <c r="A890" s="7">
        <v>889</v>
      </c>
      <c r="B890" s="7" t="s">
        <v>276</v>
      </c>
      <c r="C890" s="4">
        <v>36</v>
      </c>
      <c r="D890" s="4">
        <v>3</v>
      </c>
      <c r="E890" s="8">
        <v>45154</v>
      </c>
      <c r="F890" s="9">
        <v>0.96300925925925929</v>
      </c>
      <c r="G890" s="8">
        <v>45156</v>
      </c>
      <c r="H890" s="9">
        <v>0.42016203703703703</v>
      </c>
      <c r="I890" s="7" t="s">
        <v>444</v>
      </c>
      <c r="J890" s="7" t="s">
        <v>36</v>
      </c>
      <c r="K890" s="18" t="str">
        <f>_xlfn.XLOOKUP(tblMaster[[#This Row],[Customer_ID]],tblCustomers[Customer_ID],tblCustomers[City],"Not Found",0)</f>
        <v>Imphal</v>
      </c>
      <c r="L890" s="18" t="str">
        <f>_xlfn.XLOOKUP(tblMaster[[#This Row],[Customer_ID]],tblCustomers[Customer_ID],tblCustomers[Name],"Not Found",0)</f>
        <v>Chirag Srinivas</v>
      </c>
      <c r="M890" s="18" t="str">
        <f>_xlfn.XLOOKUP(tblMaster[[#This Row],[Customer_ID]],tblCustomers[Customer_ID],tblCustomers[Gender],"Not Found",0)</f>
        <v>Female</v>
      </c>
      <c r="N890" s="18" t="str">
        <f>_xlfn.XLOOKUP(tblMaster[[#This Row],[Product_ID]],tblProducts[Product_ID],tblProducts[Product_Name],"Not Found",0)</f>
        <v>Cum Gift</v>
      </c>
      <c r="O890" s="18" t="str">
        <f>_xlfn.XLOOKUP(tblMaster[[#This Row],[Product_ID]],tblProducts[Product_ID],tblProducts[Category],"Not Found",0)</f>
        <v>Plants</v>
      </c>
      <c r="P890" s="18" t="str">
        <f>_xlfn.XLOOKUP(tblMaster[[#This Row],[Product_ID]],tblProducts[Product_ID],tblProducts[Occasion],"Not Found",0)</f>
        <v>Birthday</v>
      </c>
      <c r="Q890" s="18">
        <f>_xlfn.XLOOKUP(tblMaster[[#This Row],[Product_ID]],tblProducts[Product_ID],tblProducts[Price (INR)],"Not Found",0)</f>
        <v>203</v>
      </c>
      <c r="R890" s="19">
        <f>tblMaster[[#This Row],[Price]]*tblMaster[[#This Row],[Quantity]]</f>
        <v>609</v>
      </c>
      <c r="S890" s="19">
        <f>tblMaster[[#This Row],[Price]]*0.7*tblMaster[[#This Row],[Quantity]]</f>
        <v>426.29999999999995</v>
      </c>
      <c r="T890" s="19">
        <f>tblMaster[[#This Row],[Revenue]]-tblMaster[[#This Row],[Estimated Cost (at 70%) ]]</f>
        <v>182.70000000000005</v>
      </c>
      <c r="U890" s="19">
        <f>tblMaster[[#This Row],[Profit]]/tblMaster[[#This Row],[Revenue]]</f>
        <v>0.3000000000000001</v>
      </c>
      <c r="V890" s="19">
        <f>tblMaster[[#This Row],[Delivery_Date]]-tblMaster[[#This Row],[Order_Date]]</f>
        <v>2</v>
      </c>
      <c r="W890" s="19" t="str">
        <f>TEXT(tblMaster[[#This Row],[Order_Date]],"mmmm")</f>
        <v>August</v>
      </c>
      <c r="X890" s="19">
        <f>MONTH(tblMaster[[#This Row],[Order_Date]])</f>
        <v>8</v>
      </c>
      <c r="Y890" s="19" t="str">
        <f>"Q"&amp;ROUNDUP(tblMaster[[#This Row],[Month Number]]/3,0)</f>
        <v>Q3</v>
      </c>
      <c r="Z890" s="19">
        <f>YEAR(tblMaster[[#This Row],[Order_Date]])</f>
        <v>2023</v>
      </c>
      <c r="AA890" s="19" t="str">
        <f>TEXT(DAY(tblMaster[[#This Row],[Order_Date]]),"dddd")</f>
        <v>Monday</v>
      </c>
      <c r="AB890" s="19" t="str">
        <f>IF(tblMaster[[#This Row],[Revenue]]&gt;=5000,"High",IF(tblMaster[[#This Row],[Revenue]]&lt;2000,"Low","Medium"))</f>
        <v>Low</v>
      </c>
    </row>
    <row r="891" spans="1:28" x14ac:dyDescent="0.25">
      <c r="A891" s="10">
        <v>890</v>
      </c>
      <c r="B891" s="10" t="s">
        <v>216</v>
      </c>
      <c r="C891" s="5">
        <v>45</v>
      </c>
      <c r="D891" s="5">
        <v>4</v>
      </c>
      <c r="E891" s="11">
        <v>45008</v>
      </c>
      <c r="F891" s="12">
        <v>0.97592592592592597</v>
      </c>
      <c r="G891" s="11">
        <v>45012</v>
      </c>
      <c r="H891" s="12">
        <v>0.48489583333333336</v>
      </c>
      <c r="I891" s="10" t="s">
        <v>498</v>
      </c>
      <c r="J891" s="10" t="s">
        <v>36</v>
      </c>
      <c r="K891" s="18" t="str">
        <f>_xlfn.XLOOKUP(tblMaster[[#This Row],[Customer_ID]],tblCustomers[Customer_ID],tblCustomers[City],"Not Found",0)</f>
        <v>Srikakulam</v>
      </c>
      <c r="L891" s="18" t="str">
        <f>_xlfn.XLOOKUP(tblMaster[[#This Row],[Customer_ID]],tblCustomers[Customer_ID],tblCustomers[Name],"Not Found",0)</f>
        <v>Indrajit Kale</v>
      </c>
      <c r="M891" s="18" t="str">
        <f>_xlfn.XLOOKUP(tblMaster[[#This Row],[Customer_ID]],tblCustomers[Customer_ID],tblCustomers[Gender],"Not Found",0)</f>
        <v>Male</v>
      </c>
      <c r="N891" s="18" t="str">
        <f>_xlfn.XLOOKUP(tblMaster[[#This Row],[Product_ID]],tblProducts[Product_ID],tblProducts[Product_Name],"Not Found",0)</f>
        <v>Iusto Set</v>
      </c>
      <c r="O891" s="18" t="str">
        <f>_xlfn.XLOOKUP(tblMaster[[#This Row],[Product_ID]],tblProducts[Product_ID],tblProducts[Category],"Not Found",0)</f>
        <v>Raksha Bandhan</v>
      </c>
      <c r="P891" s="18" t="str">
        <f>_xlfn.XLOOKUP(tblMaster[[#This Row],[Product_ID]],tblProducts[Product_ID],tblProducts[Occasion],"Not Found",0)</f>
        <v>Birthday</v>
      </c>
      <c r="Q891" s="18">
        <f>_xlfn.XLOOKUP(tblMaster[[#This Row],[Product_ID]],tblProducts[Product_ID],tblProducts[Price (INR)],"Not Found",0)</f>
        <v>722</v>
      </c>
      <c r="R891" s="19">
        <f>tblMaster[[#This Row],[Price]]*tblMaster[[#This Row],[Quantity]]</f>
        <v>2888</v>
      </c>
      <c r="S891" s="19">
        <f>tblMaster[[#This Row],[Price]]*0.7*tblMaster[[#This Row],[Quantity]]</f>
        <v>2021.6</v>
      </c>
      <c r="T891" s="19">
        <f>tblMaster[[#This Row],[Revenue]]-tblMaster[[#This Row],[Estimated Cost (at 70%) ]]</f>
        <v>866.40000000000009</v>
      </c>
      <c r="U891" s="19">
        <f>tblMaster[[#This Row],[Profit]]/tblMaster[[#This Row],[Revenue]]</f>
        <v>0.30000000000000004</v>
      </c>
      <c r="V891" s="19">
        <f>tblMaster[[#This Row],[Delivery_Date]]-tblMaster[[#This Row],[Order_Date]]</f>
        <v>4</v>
      </c>
      <c r="W891" s="19" t="str">
        <f>TEXT(tblMaster[[#This Row],[Order_Date]],"mmmm")</f>
        <v>March</v>
      </c>
      <c r="X891" s="19">
        <f>MONTH(tblMaster[[#This Row],[Order_Date]])</f>
        <v>3</v>
      </c>
      <c r="Y891" s="19" t="str">
        <f>"Q"&amp;ROUNDUP(tblMaster[[#This Row],[Month Number]]/3,0)</f>
        <v>Q1</v>
      </c>
      <c r="Z891" s="19">
        <f>YEAR(tblMaster[[#This Row],[Order_Date]])</f>
        <v>2023</v>
      </c>
      <c r="AA891" s="19" t="str">
        <f>TEXT(DAY(tblMaster[[#This Row],[Order_Date]]),"dddd")</f>
        <v>Monday</v>
      </c>
      <c r="AB891" s="19" t="str">
        <f>IF(tblMaster[[#This Row],[Revenue]]&gt;=5000,"High",IF(tblMaster[[#This Row],[Revenue]]&lt;2000,"Low","Medium"))</f>
        <v>Medium</v>
      </c>
    </row>
    <row r="892" spans="1:28" x14ac:dyDescent="0.25">
      <c r="A892" s="7">
        <v>891</v>
      </c>
      <c r="B892" s="7" t="s">
        <v>387</v>
      </c>
      <c r="C892" s="4">
        <v>58</v>
      </c>
      <c r="D892" s="4">
        <v>2</v>
      </c>
      <c r="E892" s="8">
        <v>44965</v>
      </c>
      <c r="F892" s="9">
        <v>0.62271990740740746</v>
      </c>
      <c r="G892" s="8">
        <v>44973</v>
      </c>
      <c r="H892" s="9">
        <v>0.99635416666666665</v>
      </c>
      <c r="I892" s="7" t="s">
        <v>281</v>
      </c>
      <c r="J892" s="7" t="s">
        <v>12</v>
      </c>
      <c r="K892" s="18" t="str">
        <f>_xlfn.XLOOKUP(tblMaster[[#This Row],[Customer_ID]],tblCustomers[Customer_ID],tblCustomers[City],"Not Found",0)</f>
        <v>Serampore</v>
      </c>
      <c r="L892" s="18" t="str">
        <f>_xlfn.XLOOKUP(tblMaster[[#This Row],[Customer_ID]],tblCustomers[Customer_ID],tblCustomers[Name],"Not Found",0)</f>
        <v>Kashvi Sur</v>
      </c>
      <c r="M892" s="18" t="str">
        <f>_xlfn.XLOOKUP(tblMaster[[#This Row],[Customer_ID]],tblCustomers[Customer_ID],tblCustomers[Gender],"Not Found",0)</f>
        <v>Female</v>
      </c>
      <c r="N892" s="18" t="str">
        <f>_xlfn.XLOOKUP(tblMaster[[#This Row],[Product_ID]],tblProducts[Product_ID],tblProducts[Product_Name],"Not Found",0)</f>
        <v>Sed Pack</v>
      </c>
      <c r="O892" s="18" t="str">
        <f>_xlfn.XLOOKUP(tblMaster[[#This Row],[Product_ID]],tblProducts[Product_ID],tblProducts[Category],"Not Found",0)</f>
        <v>Cake</v>
      </c>
      <c r="P892" s="18" t="str">
        <f>_xlfn.XLOOKUP(tblMaster[[#This Row],[Product_ID]],tblProducts[Product_ID],tblProducts[Occasion],"Not Found",0)</f>
        <v>Valentine's Day</v>
      </c>
      <c r="Q892" s="18">
        <f>_xlfn.XLOOKUP(tblMaster[[#This Row],[Product_ID]],tblProducts[Product_ID],tblProducts[Price (INR)],"Not Found",0)</f>
        <v>1492</v>
      </c>
      <c r="R892" s="19">
        <f>tblMaster[[#This Row],[Price]]*tblMaster[[#This Row],[Quantity]]</f>
        <v>2984</v>
      </c>
      <c r="S892" s="19">
        <f>tblMaster[[#This Row],[Price]]*0.7*tblMaster[[#This Row],[Quantity]]</f>
        <v>2088.7999999999997</v>
      </c>
      <c r="T892" s="19">
        <f>tblMaster[[#This Row],[Revenue]]-tblMaster[[#This Row],[Estimated Cost (at 70%) ]]</f>
        <v>895.20000000000027</v>
      </c>
      <c r="U892" s="19">
        <f>tblMaster[[#This Row],[Profit]]/tblMaster[[#This Row],[Revenue]]</f>
        <v>0.3000000000000001</v>
      </c>
      <c r="V892" s="19">
        <f>tblMaster[[#This Row],[Delivery_Date]]-tblMaster[[#This Row],[Order_Date]]</f>
        <v>8</v>
      </c>
      <c r="W892" s="19" t="str">
        <f>TEXT(tblMaster[[#This Row],[Order_Date]],"mmmm")</f>
        <v>February</v>
      </c>
      <c r="X892" s="19">
        <f>MONTH(tblMaster[[#This Row],[Order_Date]])</f>
        <v>2</v>
      </c>
      <c r="Y892" s="19" t="str">
        <f>"Q"&amp;ROUNDUP(tblMaster[[#This Row],[Month Number]]/3,0)</f>
        <v>Q1</v>
      </c>
      <c r="Z892" s="19">
        <f>YEAR(tblMaster[[#This Row],[Order_Date]])</f>
        <v>2023</v>
      </c>
      <c r="AA892" s="19" t="str">
        <f>TEXT(DAY(tblMaster[[#This Row],[Order_Date]]),"dddd")</f>
        <v>Sunday</v>
      </c>
      <c r="AB892" s="19" t="str">
        <f>IF(tblMaster[[#This Row],[Revenue]]&gt;=5000,"High",IF(tblMaster[[#This Row],[Revenue]]&lt;2000,"Low","Medium"))</f>
        <v>Medium</v>
      </c>
    </row>
    <row r="893" spans="1:28" x14ac:dyDescent="0.25">
      <c r="A893" s="10">
        <v>892</v>
      </c>
      <c r="B893" s="10" t="s">
        <v>492</v>
      </c>
      <c r="C893" s="5">
        <v>11</v>
      </c>
      <c r="D893" s="5">
        <v>4</v>
      </c>
      <c r="E893" s="11">
        <v>44963</v>
      </c>
      <c r="F893" s="12">
        <v>0.77296296296296296</v>
      </c>
      <c r="G893" s="11">
        <v>44964</v>
      </c>
      <c r="H893" s="12">
        <v>6.0347222222222219E-2</v>
      </c>
      <c r="I893" s="10" t="s">
        <v>275</v>
      </c>
      <c r="J893" s="10" t="s">
        <v>12</v>
      </c>
      <c r="K893" s="18" t="str">
        <f>_xlfn.XLOOKUP(tblMaster[[#This Row],[Customer_ID]],tblCustomers[Customer_ID],tblCustomers[City],"Not Found",0)</f>
        <v>Singrauli</v>
      </c>
      <c r="L893" s="18" t="str">
        <f>_xlfn.XLOOKUP(tblMaster[[#This Row],[Customer_ID]],tblCustomers[Customer_ID],tblCustomers[Name],"Not Found",0)</f>
        <v>Ira Bava</v>
      </c>
      <c r="M893" s="18" t="str">
        <f>_xlfn.XLOOKUP(tblMaster[[#This Row],[Customer_ID]],tblCustomers[Customer_ID],tblCustomers[Gender],"Not Found",0)</f>
        <v>Female</v>
      </c>
      <c r="N893" s="18" t="str">
        <f>_xlfn.XLOOKUP(tblMaster[[#This Row],[Product_ID]],tblProducts[Product_ID],tblProducts[Product_Name],"Not Found",0)</f>
        <v>Maxime Set</v>
      </c>
      <c r="O893" s="18" t="str">
        <f>_xlfn.XLOOKUP(tblMaster[[#This Row],[Product_ID]],tblProducts[Product_ID],tblProducts[Category],"Not Found",0)</f>
        <v>Mugs</v>
      </c>
      <c r="P893" s="18" t="str">
        <f>_xlfn.XLOOKUP(tblMaster[[#This Row],[Product_ID]],tblProducts[Product_ID],tblProducts[Occasion],"Not Found",0)</f>
        <v>Valentine's Day</v>
      </c>
      <c r="Q893" s="18">
        <f>_xlfn.XLOOKUP(tblMaster[[#This Row],[Product_ID]],tblProducts[Product_ID],tblProducts[Price (INR)],"Not Found",0)</f>
        <v>1096</v>
      </c>
      <c r="R893" s="19">
        <f>tblMaster[[#This Row],[Price]]*tblMaster[[#This Row],[Quantity]]</f>
        <v>4384</v>
      </c>
      <c r="S893" s="19">
        <f>tblMaster[[#This Row],[Price]]*0.7*tblMaster[[#This Row],[Quantity]]</f>
        <v>3068.7999999999997</v>
      </c>
      <c r="T893" s="19">
        <f>tblMaster[[#This Row],[Revenue]]-tblMaster[[#This Row],[Estimated Cost (at 70%) ]]</f>
        <v>1315.2000000000003</v>
      </c>
      <c r="U893" s="19">
        <f>tblMaster[[#This Row],[Profit]]/tblMaster[[#This Row],[Revenue]]</f>
        <v>0.30000000000000004</v>
      </c>
      <c r="V893" s="19">
        <f>tblMaster[[#This Row],[Delivery_Date]]-tblMaster[[#This Row],[Order_Date]]</f>
        <v>1</v>
      </c>
      <c r="W893" s="19" t="str">
        <f>TEXT(tblMaster[[#This Row],[Order_Date]],"mmmm")</f>
        <v>February</v>
      </c>
      <c r="X893" s="19">
        <f>MONTH(tblMaster[[#This Row],[Order_Date]])</f>
        <v>2</v>
      </c>
      <c r="Y893" s="19" t="str">
        <f>"Q"&amp;ROUNDUP(tblMaster[[#This Row],[Month Number]]/3,0)</f>
        <v>Q1</v>
      </c>
      <c r="Z893" s="19">
        <f>YEAR(tblMaster[[#This Row],[Order_Date]])</f>
        <v>2023</v>
      </c>
      <c r="AA893" s="19" t="str">
        <f>TEXT(DAY(tblMaster[[#This Row],[Order_Date]]),"dddd")</f>
        <v>Friday</v>
      </c>
      <c r="AB893" s="19" t="str">
        <f>IF(tblMaster[[#This Row],[Revenue]]&gt;=5000,"High",IF(tblMaster[[#This Row],[Revenue]]&lt;2000,"Low","Medium"))</f>
        <v>Medium</v>
      </c>
    </row>
    <row r="894" spans="1:28" x14ac:dyDescent="0.25">
      <c r="A894" s="7">
        <v>893</v>
      </c>
      <c r="B894" s="7" t="s">
        <v>287</v>
      </c>
      <c r="C894" s="4">
        <v>63</v>
      </c>
      <c r="D894" s="4">
        <v>3</v>
      </c>
      <c r="E894" s="8">
        <v>45013</v>
      </c>
      <c r="F894" s="9">
        <v>0.65326388888888887</v>
      </c>
      <c r="G894" s="8">
        <v>45023</v>
      </c>
      <c r="H894" s="9">
        <v>0.61762731481481481</v>
      </c>
      <c r="I894" s="7" t="s">
        <v>528</v>
      </c>
      <c r="J894" s="7" t="s">
        <v>8</v>
      </c>
      <c r="K894" s="18" t="str">
        <f>_xlfn.XLOOKUP(tblMaster[[#This Row],[Customer_ID]],tblCustomers[Customer_ID],tblCustomers[City],"Not Found",0)</f>
        <v>Kanpur</v>
      </c>
      <c r="L894" s="18" t="str">
        <f>_xlfn.XLOOKUP(tblMaster[[#This Row],[Customer_ID]],tblCustomers[Customer_ID],tblCustomers[Name],"Not Found",0)</f>
        <v>Darshit Dave</v>
      </c>
      <c r="M894" s="18" t="str">
        <f>_xlfn.XLOOKUP(tblMaster[[#This Row],[Customer_ID]],tblCustomers[Customer_ID],tblCustomers[Gender],"Not Found",0)</f>
        <v>Male</v>
      </c>
      <c r="N894" s="18" t="str">
        <f>_xlfn.XLOOKUP(tblMaster[[#This Row],[Product_ID]],tblProducts[Product_ID],tblProducts[Product_Name],"Not Found",0)</f>
        <v>Adipisci Set</v>
      </c>
      <c r="O894" s="18" t="str">
        <f>_xlfn.XLOOKUP(tblMaster[[#This Row],[Product_ID]],tblProducts[Product_ID],tblProducts[Category],"Not Found",0)</f>
        <v>Sweets</v>
      </c>
      <c r="P894" s="18" t="str">
        <f>_xlfn.XLOOKUP(tblMaster[[#This Row],[Product_ID]],tblProducts[Product_ID],tblProducts[Occasion],"Not Found",0)</f>
        <v>All Occasions</v>
      </c>
      <c r="Q894" s="18">
        <f>_xlfn.XLOOKUP(tblMaster[[#This Row],[Product_ID]],tblProducts[Product_ID],tblProducts[Price (INR)],"Not Found",0)</f>
        <v>1348</v>
      </c>
      <c r="R894" s="19">
        <f>tblMaster[[#This Row],[Price]]*tblMaster[[#This Row],[Quantity]]</f>
        <v>4044</v>
      </c>
      <c r="S894" s="19">
        <f>tblMaster[[#This Row],[Price]]*0.7*tblMaster[[#This Row],[Quantity]]</f>
        <v>2830.7999999999997</v>
      </c>
      <c r="T894" s="19">
        <f>tblMaster[[#This Row],[Revenue]]-tblMaster[[#This Row],[Estimated Cost (at 70%) ]]</f>
        <v>1213.2000000000003</v>
      </c>
      <c r="U894" s="19">
        <f>tblMaster[[#This Row],[Profit]]/tblMaster[[#This Row],[Revenue]]</f>
        <v>0.30000000000000004</v>
      </c>
      <c r="V894" s="19">
        <f>tblMaster[[#This Row],[Delivery_Date]]-tblMaster[[#This Row],[Order_Date]]</f>
        <v>10</v>
      </c>
      <c r="W894" s="19" t="str">
        <f>TEXT(tblMaster[[#This Row],[Order_Date]],"mmmm")</f>
        <v>March</v>
      </c>
      <c r="X894" s="19">
        <f>MONTH(tblMaster[[#This Row],[Order_Date]])</f>
        <v>3</v>
      </c>
      <c r="Y894" s="19" t="str">
        <f>"Q"&amp;ROUNDUP(tblMaster[[#This Row],[Month Number]]/3,0)</f>
        <v>Q1</v>
      </c>
      <c r="Z894" s="19">
        <f>YEAR(tblMaster[[#This Row],[Order_Date]])</f>
        <v>2023</v>
      </c>
      <c r="AA894" s="19" t="str">
        <f>TEXT(DAY(tblMaster[[#This Row],[Order_Date]]),"dddd")</f>
        <v>Saturday</v>
      </c>
      <c r="AB894" s="19" t="str">
        <f>IF(tblMaster[[#This Row],[Revenue]]&gt;=5000,"High",IF(tblMaster[[#This Row],[Revenue]]&lt;2000,"Low","Medium"))</f>
        <v>Medium</v>
      </c>
    </row>
    <row r="895" spans="1:28" x14ac:dyDescent="0.25">
      <c r="A895" s="10">
        <v>894</v>
      </c>
      <c r="B895" s="10" t="s">
        <v>361</v>
      </c>
      <c r="C895" s="5">
        <v>54</v>
      </c>
      <c r="D895" s="5">
        <v>4</v>
      </c>
      <c r="E895" s="11">
        <v>45213</v>
      </c>
      <c r="F895" s="12">
        <v>0.5873032407407407</v>
      </c>
      <c r="G895" s="11">
        <v>45220</v>
      </c>
      <c r="H895" s="12">
        <v>0.96552083333333338</v>
      </c>
      <c r="I895" s="10" t="s">
        <v>427</v>
      </c>
      <c r="J895" s="10" t="s">
        <v>30</v>
      </c>
      <c r="K895" s="18" t="str">
        <f>_xlfn.XLOOKUP(tblMaster[[#This Row],[Customer_ID]],tblCustomers[Customer_ID],tblCustomers[City],"Not Found",0)</f>
        <v>Dibrugarh</v>
      </c>
      <c r="L895" s="18" t="str">
        <f>_xlfn.XLOOKUP(tblMaster[[#This Row],[Customer_ID]],tblCustomers[Customer_ID],tblCustomers[Name],"Not Found",0)</f>
        <v>Zoya Mani</v>
      </c>
      <c r="M895" s="18" t="str">
        <f>_xlfn.XLOOKUP(tblMaster[[#This Row],[Customer_ID]],tblCustomers[Customer_ID],tblCustomers[Gender],"Not Found",0)</f>
        <v>Male</v>
      </c>
      <c r="N895" s="18" t="str">
        <f>_xlfn.XLOOKUP(tblMaster[[#This Row],[Product_ID]],tblProducts[Product_ID],tblProducts[Product_Name],"Not Found",0)</f>
        <v>Occaecati Gift</v>
      </c>
      <c r="O895" s="18" t="str">
        <f>_xlfn.XLOOKUP(tblMaster[[#This Row],[Product_ID]],tblProducts[Product_ID],tblProducts[Category],"Not Found",0)</f>
        <v>Cake</v>
      </c>
      <c r="P895" s="18" t="str">
        <f>_xlfn.XLOOKUP(tblMaster[[#This Row],[Product_ID]],tblProducts[Product_ID],tblProducts[Occasion],"Not Found",0)</f>
        <v>Anniversary</v>
      </c>
      <c r="Q895" s="18">
        <f>_xlfn.XLOOKUP(tblMaster[[#This Row],[Product_ID]],tblProducts[Product_ID],tblProducts[Price (INR)],"Not Found",0)</f>
        <v>1236</v>
      </c>
      <c r="R895" s="19">
        <f>tblMaster[[#This Row],[Price]]*tblMaster[[#This Row],[Quantity]]</f>
        <v>4944</v>
      </c>
      <c r="S895" s="19">
        <f>tblMaster[[#This Row],[Price]]*0.7*tblMaster[[#This Row],[Quantity]]</f>
        <v>3460.7999999999997</v>
      </c>
      <c r="T895" s="19">
        <f>tblMaster[[#This Row],[Revenue]]-tblMaster[[#This Row],[Estimated Cost (at 70%) ]]</f>
        <v>1483.2000000000003</v>
      </c>
      <c r="U895" s="19">
        <f>tblMaster[[#This Row],[Profit]]/tblMaster[[#This Row],[Revenue]]</f>
        <v>0.30000000000000004</v>
      </c>
      <c r="V895" s="19">
        <f>tblMaster[[#This Row],[Delivery_Date]]-tblMaster[[#This Row],[Order_Date]]</f>
        <v>7</v>
      </c>
      <c r="W895" s="19" t="str">
        <f>TEXT(tblMaster[[#This Row],[Order_Date]],"mmmm")</f>
        <v>October</v>
      </c>
      <c r="X895" s="19">
        <f>MONTH(tblMaster[[#This Row],[Order_Date]])</f>
        <v>10</v>
      </c>
      <c r="Y895" s="19" t="str">
        <f>"Q"&amp;ROUNDUP(tblMaster[[#This Row],[Month Number]]/3,0)</f>
        <v>Q4</v>
      </c>
      <c r="Z895" s="19">
        <f>YEAR(tblMaster[[#This Row],[Order_Date]])</f>
        <v>2023</v>
      </c>
      <c r="AA895" s="19" t="str">
        <f>TEXT(DAY(tblMaster[[#This Row],[Order_Date]]),"dddd")</f>
        <v>Saturday</v>
      </c>
      <c r="AB895" s="19" t="str">
        <f>IF(tblMaster[[#This Row],[Revenue]]&gt;=5000,"High",IF(tblMaster[[#This Row],[Revenue]]&lt;2000,"Low","Medium"))</f>
        <v>Medium</v>
      </c>
    </row>
    <row r="896" spans="1:28" x14ac:dyDescent="0.25">
      <c r="A896" s="7">
        <v>895</v>
      </c>
      <c r="B896" s="7" t="s">
        <v>232</v>
      </c>
      <c r="C896" s="4">
        <v>45</v>
      </c>
      <c r="D896" s="4">
        <v>1</v>
      </c>
      <c r="E896" s="8">
        <v>45013</v>
      </c>
      <c r="F896" s="9">
        <v>0.78189814814814818</v>
      </c>
      <c r="G896" s="8">
        <v>45022</v>
      </c>
      <c r="H896" s="9">
        <v>0.12060185185185185</v>
      </c>
      <c r="I896" s="7" t="s">
        <v>368</v>
      </c>
      <c r="J896" s="7" t="s">
        <v>36</v>
      </c>
      <c r="K896" s="18" t="str">
        <f>_xlfn.XLOOKUP(tblMaster[[#This Row],[Customer_ID]],tblCustomers[Customer_ID],tblCustomers[City],"Not Found",0)</f>
        <v>Malegaon</v>
      </c>
      <c r="L896" s="18" t="str">
        <f>_xlfn.XLOOKUP(tblMaster[[#This Row],[Customer_ID]],tblCustomers[Customer_ID],tblCustomers[Name],"Not Found",0)</f>
        <v>Eshani Buch</v>
      </c>
      <c r="M896" s="18" t="str">
        <f>_xlfn.XLOOKUP(tblMaster[[#This Row],[Customer_ID]],tblCustomers[Customer_ID],tblCustomers[Gender],"Not Found",0)</f>
        <v>Female</v>
      </c>
      <c r="N896" s="18" t="str">
        <f>_xlfn.XLOOKUP(tblMaster[[#This Row],[Product_ID]],tblProducts[Product_ID],tblProducts[Product_Name],"Not Found",0)</f>
        <v>Iusto Set</v>
      </c>
      <c r="O896" s="18" t="str">
        <f>_xlfn.XLOOKUP(tblMaster[[#This Row],[Product_ID]],tblProducts[Product_ID],tblProducts[Category],"Not Found",0)</f>
        <v>Raksha Bandhan</v>
      </c>
      <c r="P896" s="18" t="str">
        <f>_xlfn.XLOOKUP(tblMaster[[#This Row],[Product_ID]],tblProducts[Product_ID],tblProducts[Occasion],"Not Found",0)</f>
        <v>Birthday</v>
      </c>
      <c r="Q896" s="18">
        <f>_xlfn.XLOOKUP(tblMaster[[#This Row],[Product_ID]],tblProducts[Product_ID],tblProducts[Price (INR)],"Not Found",0)</f>
        <v>722</v>
      </c>
      <c r="R896" s="19">
        <f>tblMaster[[#This Row],[Price]]*tblMaster[[#This Row],[Quantity]]</f>
        <v>722</v>
      </c>
      <c r="S896" s="19">
        <f>tblMaster[[#This Row],[Price]]*0.7*tblMaster[[#This Row],[Quantity]]</f>
        <v>505.4</v>
      </c>
      <c r="T896" s="19">
        <f>tblMaster[[#This Row],[Revenue]]-tblMaster[[#This Row],[Estimated Cost (at 70%) ]]</f>
        <v>216.60000000000002</v>
      </c>
      <c r="U896" s="19">
        <f>tblMaster[[#This Row],[Profit]]/tblMaster[[#This Row],[Revenue]]</f>
        <v>0.30000000000000004</v>
      </c>
      <c r="V896" s="19">
        <f>tblMaster[[#This Row],[Delivery_Date]]-tblMaster[[#This Row],[Order_Date]]</f>
        <v>9</v>
      </c>
      <c r="W896" s="19" t="str">
        <f>TEXT(tblMaster[[#This Row],[Order_Date]],"mmmm")</f>
        <v>March</v>
      </c>
      <c r="X896" s="19">
        <f>MONTH(tblMaster[[#This Row],[Order_Date]])</f>
        <v>3</v>
      </c>
      <c r="Y896" s="19" t="str">
        <f>"Q"&amp;ROUNDUP(tblMaster[[#This Row],[Month Number]]/3,0)</f>
        <v>Q1</v>
      </c>
      <c r="Z896" s="19">
        <f>YEAR(tblMaster[[#This Row],[Order_Date]])</f>
        <v>2023</v>
      </c>
      <c r="AA896" s="19" t="str">
        <f>TEXT(DAY(tblMaster[[#This Row],[Order_Date]]),"dddd")</f>
        <v>Saturday</v>
      </c>
      <c r="AB896" s="19" t="str">
        <f>IF(tblMaster[[#This Row],[Revenue]]&gt;=5000,"High",IF(tblMaster[[#This Row],[Revenue]]&lt;2000,"Low","Medium"))</f>
        <v>Low</v>
      </c>
    </row>
    <row r="897" spans="1:28" x14ac:dyDescent="0.25">
      <c r="A897" s="10">
        <v>896</v>
      </c>
      <c r="B897" s="10" t="s">
        <v>291</v>
      </c>
      <c r="C897" s="5">
        <v>46</v>
      </c>
      <c r="D897" s="5">
        <v>1</v>
      </c>
      <c r="E897" s="11">
        <v>45021</v>
      </c>
      <c r="F897" s="12">
        <v>0.17633101851851851</v>
      </c>
      <c r="G897" s="11">
        <v>45026</v>
      </c>
      <c r="H897" s="12">
        <v>0.53489583333333335</v>
      </c>
      <c r="I897" s="10" t="s">
        <v>241</v>
      </c>
      <c r="J897" s="10" t="s">
        <v>30</v>
      </c>
      <c r="K897" s="18" t="str">
        <f>_xlfn.XLOOKUP(tblMaster[[#This Row],[Customer_ID]],tblCustomers[Customer_ID],tblCustomers[City],"Not Found",0)</f>
        <v>Bharatpur</v>
      </c>
      <c r="L897" s="18" t="str">
        <f>_xlfn.XLOOKUP(tblMaster[[#This Row],[Customer_ID]],tblCustomers[Customer_ID],tblCustomers[Name],"Not Found",0)</f>
        <v>Kismat Kapadia</v>
      </c>
      <c r="M897" s="18" t="str">
        <f>_xlfn.XLOOKUP(tblMaster[[#This Row],[Customer_ID]],tblCustomers[Customer_ID],tblCustomers[Gender],"Not Found",0)</f>
        <v>Female</v>
      </c>
      <c r="N897" s="18" t="str">
        <f>_xlfn.XLOOKUP(tblMaster[[#This Row],[Product_ID]],tblProducts[Product_ID],tblProducts[Product_Name],"Not Found",0)</f>
        <v>Pariatur Set</v>
      </c>
      <c r="O897" s="18" t="str">
        <f>_xlfn.XLOOKUP(tblMaster[[#This Row],[Product_ID]],tblProducts[Product_ID],tblProducts[Category],"Not Found",0)</f>
        <v>Cake</v>
      </c>
      <c r="P897" s="18" t="str">
        <f>_xlfn.XLOOKUP(tblMaster[[#This Row],[Product_ID]],tblProducts[Product_ID],tblProducts[Occasion],"Not Found",0)</f>
        <v>Anniversary</v>
      </c>
      <c r="Q897" s="18">
        <f>_xlfn.XLOOKUP(tblMaster[[#This Row],[Product_ID]],tblProducts[Product_ID],tblProducts[Price (INR)],"Not Found",0)</f>
        <v>758</v>
      </c>
      <c r="R897" s="19">
        <f>tblMaster[[#This Row],[Price]]*tblMaster[[#This Row],[Quantity]]</f>
        <v>758</v>
      </c>
      <c r="S897" s="19">
        <f>tblMaster[[#This Row],[Price]]*0.7*tblMaster[[#This Row],[Quantity]]</f>
        <v>530.6</v>
      </c>
      <c r="T897" s="19">
        <f>tblMaster[[#This Row],[Revenue]]-tblMaster[[#This Row],[Estimated Cost (at 70%) ]]</f>
        <v>227.39999999999998</v>
      </c>
      <c r="U897" s="19">
        <f>tblMaster[[#This Row],[Profit]]/tblMaster[[#This Row],[Revenue]]</f>
        <v>0.3</v>
      </c>
      <c r="V897" s="19">
        <f>tblMaster[[#This Row],[Delivery_Date]]-tblMaster[[#This Row],[Order_Date]]</f>
        <v>5</v>
      </c>
      <c r="W897" s="19" t="str">
        <f>TEXT(tblMaster[[#This Row],[Order_Date]],"mmmm")</f>
        <v>April</v>
      </c>
      <c r="X897" s="19">
        <f>MONTH(tblMaster[[#This Row],[Order_Date]])</f>
        <v>4</v>
      </c>
      <c r="Y897" s="19" t="str">
        <f>"Q"&amp;ROUNDUP(tblMaster[[#This Row],[Month Number]]/3,0)</f>
        <v>Q2</v>
      </c>
      <c r="Z897" s="19">
        <f>YEAR(tblMaster[[#This Row],[Order_Date]])</f>
        <v>2023</v>
      </c>
      <c r="AA897" s="19" t="str">
        <f>TEXT(DAY(tblMaster[[#This Row],[Order_Date]]),"dddd")</f>
        <v>Thursday</v>
      </c>
      <c r="AB897" s="19" t="str">
        <f>IF(tblMaster[[#This Row],[Revenue]]&gt;=5000,"High",IF(tblMaster[[#This Row],[Revenue]]&lt;2000,"Low","Medium"))</f>
        <v>Low</v>
      </c>
    </row>
    <row r="898" spans="1:28" x14ac:dyDescent="0.25">
      <c r="A898" s="7">
        <v>897</v>
      </c>
      <c r="B898" s="7" t="s">
        <v>244</v>
      </c>
      <c r="C898" s="4">
        <v>34</v>
      </c>
      <c r="D898" s="4">
        <v>5</v>
      </c>
      <c r="E898" s="8">
        <v>45163</v>
      </c>
      <c r="F898" s="9">
        <v>0.32871527777777776</v>
      </c>
      <c r="G898" s="8">
        <v>45170</v>
      </c>
      <c r="H898" s="9">
        <v>0.58530092592592597</v>
      </c>
      <c r="I898" s="7" t="s">
        <v>550</v>
      </c>
      <c r="J898" s="7" t="s">
        <v>33</v>
      </c>
      <c r="K898" s="18" t="str">
        <f>_xlfn.XLOOKUP(tblMaster[[#This Row],[Customer_ID]],tblCustomers[Customer_ID],tblCustomers[City],"Not Found",0)</f>
        <v>Sasaram</v>
      </c>
      <c r="L898" s="18" t="str">
        <f>_xlfn.XLOOKUP(tblMaster[[#This Row],[Customer_ID]],tblCustomers[Customer_ID],tblCustomers[Name],"Not Found",0)</f>
        <v>Madhup Wable</v>
      </c>
      <c r="M898" s="18" t="str">
        <f>_xlfn.XLOOKUP(tblMaster[[#This Row],[Customer_ID]],tblCustomers[Customer_ID],tblCustomers[Gender],"Not Found",0)</f>
        <v>Female</v>
      </c>
      <c r="N898" s="18" t="str">
        <f>_xlfn.XLOOKUP(tblMaster[[#This Row],[Product_ID]],tblProducts[Product_ID],tblProducts[Product_Name],"Not Found",0)</f>
        <v>Placeat Pack</v>
      </c>
      <c r="O898" s="18" t="str">
        <f>_xlfn.XLOOKUP(tblMaster[[#This Row],[Product_ID]],tblProducts[Product_ID],tblProducts[Category],"Not Found",0)</f>
        <v>Soft Toys</v>
      </c>
      <c r="P898" s="18" t="str">
        <f>_xlfn.XLOOKUP(tblMaster[[#This Row],[Product_ID]],tblProducts[Product_ID],tblProducts[Occasion],"Not Found",0)</f>
        <v>Raksha Bandhan</v>
      </c>
      <c r="Q898" s="18">
        <f>_xlfn.XLOOKUP(tblMaster[[#This Row],[Product_ID]],tblProducts[Product_ID],tblProducts[Price (INR)],"Not Found",0)</f>
        <v>1335</v>
      </c>
      <c r="R898" s="19">
        <f>tblMaster[[#This Row],[Price]]*tblMaster[[#This Row],[Quantity]]</f>
        <v>6675</v>
      </c>
      <c r="S898" s="19">
        <f>tblMaster[[#This Row],[Price]]*0.7*tblMaster[[#This Row],[Quantity]]</f>
        <v>4672.4999999999991</v>
      </c>
      <c r="T898" s="19">
        <f>tblMaster[[#This Row],[Revenue]]-tblMaster[[#This Row],[Estimated Cost (at 70%) ]]</f>
        <v>2002.5000000000009</v>
      </c>
      <c r="U898" s="19">
        <f>tblMaster[[#This Row],[Profit]]/tblMaster[[#This Row],[Revenue]]</f>
        <v>0.30000000000000016</v>
      </c>
      <c r="V898" s="19">
        <f>tblMaster[[#This Row],[Delivery_Date]]-tblMaster[[#This Row],[Order_Date]]</f>
        <v>7</v>
      </c>
      <c r="W898" s="19" t="str">
        <f>TEXT(tblMaster[[#This Row],[Order_Date]],"mmmm")</f>
        <v>August</v>
      </c>
      <c r="X898" s="19">
        <f>MONTH(tblMaster[[#This Row],[Order_Date]])</f>
        <v>8</v>
      </c>
      <c r="Y898" s="19" t="str">
        <f>"Q"&amp;ROUNDUP(tblMaster[[#This Row],[Month Number]]/3,0)</f>
        <v>Q3</v>
      </c>
      <c r="Z898" s="19">
        <f>YEAR(tblMaster[[#This Row],[Order_Date]])</f>
        <v>2023</v>
      </c>
      <c r="AA898" s="19" t="str">
        <f>TEXT(DAY(tblMaster[[#This Row],[Order_Date]]),"dddd")</f>
        <v>Wednesday</v>
      </c>
      <c r="AB898" s="19" t="str">
        <f>IF(tblMaster[[#This Row],[Revenue]]&gt;=5000,"High",IF(tblMaster[[#This Row],[Revenue]]&lt;2000,"Low","Medium"))</f>
        <v>High</v>
      </c>
    </row>
    <row r="899" spans="1:28" x14ac:dyDescent="0.25">
      <c r="A899" s="10">
        <v>898</v>
      </c>
      <c r="B899" s="10" t="s">
        <v>208</v>
      </c>
      <c r="C899" s="5">
        <v>52</v>
      </c>
      <c r="D899" s="5">
        <v>1</v>
      </c>
      <c r="E899" s="11">
        <v>44966</v>
      </c>
      <c r="F899" s="12">
        <v>0.26310185185185186</v>
      </c>
      <c r="G899" s="11">
        <v>44970</v>
      </c>
      <c r="H899" s="12">
        <v>0.96784722222222219</v>
      </c>
      <c r="I899" s="10" t="s">
        <v>563</v>
      </c>
      <c r="J899" s="10" t="s">
        <v>12</v>
      </c>
      <c r="K899" s="18" t="str">
        <f>_xlfn.XLOOKUP(tblMaster[[#This Row],[Customer_ID]],tblCustomers[Customer_ID],tblCustomers[City],"Not Found",0)</f>
        <v>Nizamabad</v>
      </c>
      <c r="L899" s="18" t="str">
        <f>_xlfn.XLOOKUP(tblMaster[[#This Row],[Customer_ID]],tblCustomers[Customer_ID],tblCustomers[Name],"Not Found",0)</f>
        <v>Eva Vaidya</v>
      </c>
      <c r="M899" s="18" t="str">
        <f>_xlfn.XLOOKUP(tblMaster[[#This Row],[Customer_ID]],tblCustomers[Customer_ID],tblCustomers[Gender],"Not Found",0)</f>
        <v>Male</v>
      </c>
      <c r="N899" s="18" t="str">
        <f>_xlfn.XLOOKUP(tblMaster[[#This Row],[Product_ID]],tblProducts[Product_ID],tblProducts[Product_Name],"Not Found",0)</f>
        <v>Dolorum Box</v>
      </c>
      <c r="O899" s="18" t="str">
        <f>_xlfn.XLOOKUP(tblMaster[[#This Row],[Product_ID]],tblProducts[Product_ID],tblProducts[Category],"Not Found",0)</f>
        <v>Raksha Bandhan</v>
      </c>
      <c r="P899" s="18" t="str">
        <f>_xlfn.XLOOKUP(tblMaster[[#This Row],[Product_ID]],tblProducts[Product_ID],tblProducts[Occasion],"Not Found",0)</f>
        <v>Valentine's Day</v>
      </c>
      <c r="Q899" s="18">
        <f>_xlfn.XLOOKUP(tblMaster[[#This Row],[Product_ID]],tblProducts[Product_ID],tblProducts[Price (INR)],"Not Found",0)</f>
        <v>236</v>
      </c>
      <c r="R899" s="19">
        <f>tblMaster[[#This Row],[Price]]*tblMaster[[#This Row],[Quantity]]</f>
        <v>236</v>
      </c>
      <c r="S899" s="19">
        <f>tblMaster[[#This Row],[Price]]*0.7*tblMaster[[#This Row],[Quantity]]</f>
        <v>165.2</v>
      </c>
      <c r="T899" s="19">
        <f>tblMaster[[#This Row],[Revenue]]-tblMaster[[#This Row],[Estimated Cost (at 70%) ]]</f>
        <v>70.800000000000011</v>
      </c>
      <c r="U899" s="19">
        <f>tblMaster[[#This Row],[Profit]]/tblMaster[[#This Row],[Revenue]]</f>
        <v>0.30000000000000004</v>
      </c>
      <c r="V899" s="19">
        <f>tblMaster[[#This Row],[Delivery_Date]]-tblMaster[[#This Row],[Order_Date]]</f>
        <v>4</v>
      </c>
      <c r="W899" s="19" t="str">
        <f>TEXT(tblMaster[[#This Row],[Order_Date]],"mmmm")</f>
        <v>February</v>
      </c>
      <c r="X899" s="19">
        <f>MONTH(tblMaster[[#This Row],[Order_Date]])</f>
        <v>2</v>
      </c>
      <c r="Y899" s="19" t="str">
        <f>"Q"&amp;ROUNDUP(tblMaster[[#This Row],[Month Number]]/3,0)</f>
        <v>Q1</v>
      </c>
      <c r="Z899" s="19">
        <f>YEAR(tblMaster[[#This Row],[Order_Date]])</f>
        <v>2023</v>
      </c>
      <c r="AA899" s="19" t="str">
        <f>TEXT(DAY(tblMaster[[#This Row],[Order_Date]]),"dddd")</f>
        <v>Monday</v>
      </c>
      <c r="AB899" s="19" t="str">
        <f>IF(tblMaster[[#This Row],[Revenue]]&gt;=5000,"High",IF(tblMaster[[#This Row],[Revenue]]&lt;2000,"Low","Medium"))</f>
        <v>Low</v>
      </c>
    </row>
    <row r="900" spans="1:28" x14ac:dyDescent="0.25">
      <c r="A900" s="7">
        <v>899</v>
      </c>
      <c r="B900" s="7" t="s">
        <v>200</v>
      </c>
      <c r="C900" s="4">
        <v>63</v>
      </c>
      <c r="D900" s="4">
        <v>1</v>
      </c>
      <c r="E900" s="8">
        <v>45277</v>
      </c>
      <c r="F900" s="9">
        <v>0.89577546296296295</v>
      </c>
      <c r="G900" s="8">
        <v>45284</v>
      </c>
      <c r="H900" s="9">
        <v>1.1585648148148149E-2</v>
      </c>
      <c r="I900" s="7" t="s">
        <v>423</v>
      </c>
      <c r="J900" s="7" t="s">
        <v>8</v>
      </c>
      <c r="K900" s="18" t="str">
        <f>_xlfn.XLOOKUP(tblMaster[[#This Row],[Customer_ID]],tblCustomers[Customer_ID],tblCustomers[City],"Not Found",0)</f>
        <v>Orai</v>
      </c>
      <c r="L900" s="18" t="str">
        <f>_xlfn.XLOOKUP(tblMaster[[#This Row],[Customer_ID]],tblCustomers[Customer_ID],tblCustomers[Name],"Not Found",0)</f>
        <v>Lagan Kapoor</v>
      </c>
      <c r="M900" s="18" t="str">
        <f>_xlfn.XLOOKUP(tblMaster[[#This Row],[Customer_ID]],tblCustomers[Customer_ID],tblCustomers[Gender],"Not Found",0)</f>
        <v>Female</v>
      </c>
      <c r="N900" s="18" t="str">
        <f>_xlfn.XLOOKUP(tblMaster[[#This Row],[Product_ID]],tblProducts[Product_ID],tblProducts[Product_Name],"Not Found",0)</f>
        <v>Adipisci Set</v>
      </c>
      <c r="O900" s="18" t="str">
        <f>_xlfn.XLOOKUP(tblMaster[[#This Row],[Product_ID]],tblProducts[Product_ID],tblProducts[Category],"Not Found",0)</f>
        <v>Sweets</v>
      </c>
      <c r="P900" s="18" t="str">
        <f>_xlfn.XLOOKUP(tblMaster[[#This Row],[Product_ID]],tblProducts[Product_ID],tblProducts[Occasion],"Not Found",0)</f>
        <v>All Occasions</v>
      </c>
      <c r="Q900" s="18">
        <f>_xlfn.XLOOKUP(tblMaster[[#This Row],[Product_ID]],tblProducts[Product_ID],tblProducts[Price (INR)],"Not Found",0)</f>
        <v>1348</v>
      </c>
      <c r="R900" s="19">
        <f>tblMaster[[#This Row],[Price]]*tblMaster[[#This Row],[Quantity]]</f>
        <v>1348</v>
      </c>
      <c r="S900" s="19">
        <f>tblMaster[[#This Row],[Price]]*0.7*tblMaster[[#This Row],[Quantity]]</f>
        <v>943.59999999999991</v>
      </c>
      <c r="T900" s="19">
        <f>tblMaster[[#This Row],[Revenue]]-tblMaster[[#This Row],[Estimated Cost (at 70%) ]]</f>
        <v>404.40000000000009</v>
      </c>
      <c r="U900" s="19">
        <f>tblMaster[[#This Row],[Profit]]/tblMaster[[#This Row],[Revenue]]</f>
        <v>0.30000000000000004</v>
      </c>
      <c r="V900" s="19">
        <f>tblMaster[[#This Row],[Delivery_Date]]-tblMaster[[#This Row],[Order_Date]]</f>
        <v>7</v>
      </c>
      <c r="W900" s="19" t="str">
        <f>TEXT(tblMaster[[#This Row],[Order_Date]],"mmmm")</f>
        <v>December</v>
      </c>
      <c r="X900" s="19">
        <f>MONTH(tblMaster[[#This Row],[Order_Date]])</f>
        <v>12</v>
      </c>
      <c r="Y900" s="19" t="str">
        <f>"Q"&amp;ROUNDUP(tblMaster[[#This Row],[Month Number]]/3,0)</f>
        <v>Q4</v>
      </c>
      <c r="Z900" s="19">
        <f>YEAR(tblMaster[[#This Row],[Order_Date]])</f>
        <v>2023</v>
      </c>
      <c r="AA900" s="19" t="str">
        <f>TEXT(DAY(tblMaster[[#This Row],[Order_Date]]),"dddd")</f>
        <v>Tuesday</v>
      </c>
      <c r="AB900" s="19" t="str">
        <f>IF(tblMaster[[#This Row],[Revenue]]&gt;=5000,"High",IF(tblMaster[[#This Row],[Revenue]]&lt;2000,"Low","Medium"))</f>
        <v>Low</v>
      </c>
    </row>
    <row r="901" spans="1:28" x14ac:dyDescent="0.25">
      <c r="A901" s="10">
        <v>900</v>
      </c>
      <c r="B901" s="10" t="s">
        <v>387</v>
      </c>
      <c r="C901" s="5">
        <v>57</v>
      </c>
      <c r="D901" s="5">
        <v>3</v>
      </c>
      <c r="E901" s="11">
        <v>45023</v>
      </c>
      <c r="F901" s="12">
        <v>0.63124999999999998</v>
      </c>
      <c r="G901" s="11">
        <v>45031</v>
      </c>
      <c r="H901" s="12">
        <v>0.35478009259259258</v>
      </c>
      <c r="I901" s="10" t="s">
        <v>513</v>
      </c>
      <c r="J901" s="10" t="s">
        <v>36</v>
      </c>
      <c r="K901" s="18" t="str">
        <f>_xlfn.XLOOKUP(tblMaster[[#This Row],[Customer_ID]],tblCustomers[Customer_ID],tblCustomers[City],"Not Found",0)</f>
        <v>Serampore</v>
      </c>
      <c r="L901" s="18" t="str">
        <f>_xlfn.XLOOKUP(tblMaster[[#This Row],[Customer_ID]],tblCustomers[Customer_ID],tblCustomers[Name],"Not Found",0)</f>
        <v>Kashvi Sur</v>
      </c>
      <c r="M901" s="18" t="str">
        <f>_xlfn.XLOOKUP(tblMaster[[#This Row],[Customer_ID]],tblCustomers[Customer_ID],tblCustomers[Gender],"Not Found",0)</f>
        <v>Female</v>
      </c>
      <c r="N901" s="18" t="str">
        <f>_xlfn.XLOOKUP(tblMaster[[#This Row],[Product_ID]],tblProducts[Product_ID],tblProducts[Product_Name],"Not Found",0)</f>
        <v>Voluptatem Box</v>
      </c>
      <c r="O901" s="18" t="str">
        <f>_xlfn.XLOOKUP(tblMaster[[#This Row],[Product_ID]],tblProducts[Product_ID],tblProducts[Category],"Not Found",0)</f>
        <v>Colors</v>
      </c>
      <c r="P901" s="18" t="str">
        <f>_xlfn.XLOOKUP(tblMaster[[#This Row],[Product_ID]],tblProducts[Product_ID],tblProducts[Occasion],"Not Found",0)</f>
        <v>Birthday</v>
      </c>
      <c r="Q901" s="18">
        <f>_xlfn.XLOOKUP(tblMaster[[#This Row],[Product_ID]],tblProducts[Product_ID],tblProducts[Price (INR)],"Not Found",0)</f>
        <v>1582</v>
      </c>
      <c r="R901" s="19">
        <f>tblMaster[[#This Row],[Price]]*tblMaster[[#This Row],[Quantity]]</f>
        <v>4746</v>
      </c>
      <c r="S901" s="19">
        <f>tblMaster[[#This Row],[Price]]*0.7*tblMaster[[#This Row],[Quantity]]</f>
        <v>3322.2</v>
      </c>
      <c r="T901" s="19">
        <f>tblMaster[[#This Row],[Revenue]]-tblMaster[[#This Row],[Estimated Cost (at 70%) ]]</f>
        <v>1423.8000000000002</v>
      </c>
      <c r="U901" s="19">
        <f>tblMaster[[#This Row],[Profit]]/tblMaster[[#This Row],[Revenue]]</f>
        <v>0.30000000000000004</v>
      </c>
      <c r="V901" s="19">
        <f>tblMaster[[#This Row],[Delivery_Date]]-tblMaster[[#This Row],[Order_Date]]</f>
        <v>8</v>
      </c>
      <c r="W901" s="19" t="str">
        <f>TEXT(tblMaster[[#This Row],[Order_Date]],"mmmm")</f>
        <v>April</v>
      </c>
      <c r="X901" s="19">
        <f>MONTH(tblMaster[[#This Row],[Order_Date]])</f>
        <v>4</v>
      </c>
      <c r="Y901" s="19" t="str">
        <f>"Q"&amp;ROUNDUP(tblMaster[[#This Row],[Month Number]]/3,0)</f>
        <v>Q2</v>
      </c>
      <c r="Z901" s="19">
        <f>YEAR(tblMaster[[#This Row],[Order_Date]])</f>
        <v>2023</v>
      </c>
      <c r="AA901" s="19" t="str">
        <f>TEXT(DAY(tblMaster[[#This Row],[Order_Date]]),"dddd")</f>
        <v>Saturday</v>
      </c>
      <c r="AB901" s="19" t="str">
        <f>IF(tblMaster[[#This Row],[Revenue]]&gt;=5000,"High",IF(tblMaster[[#This Row],[Revenue]]&lt;2000,"Low","Medium"))</f>
        <v>Medium</v>
      </c>
    </row>
    <row r="902" spans="1:28" x14ac:dyDescent="0.25">
      <c r="A902" s="7">
        <v>901</v>
      </c>
      <c r="B902" s="7" t="s">
        <v>409</v>
      </c>
      <c r="C902" s="4">
        <v>27</v>
      </c>
      <c r="D902" s="4">
        <v>4</v>
      </c>
      <c r="E902" s="8">
        <v>45160</v>
      </c>
      <c r="F902" s="9">
        <v>0.33030092592592591</v>
      </c>
      <c r="G902" s="8">
        <v>45165</v>
      </c>
      <c r="H902" s="9">
        <v>6.4236111111111105E-2</v>
      </c>
      <c r="I902" s="7" t="s">
        <v>380</v>
      </c>
      <c r="J902" s="7" t="s">
        <v>33</v>
      </c>
      <c r="K902" s="18" t="str">
        <f>_xlfn.XLOOKUP(tblMaster[[#This Row],[Customer_ID]],tblCustomers[Customer_ID],tblCustomers[City],"Not Found",0)</f>
        <v>Vellore</v>
      </c>
      <c r="L902" s="18" t="str">
        <f>_xlfn.XLOOKUP(tblMaster[[#This Row],[Customer_ID]],tblCustomers[Customer_ID],tblCustomers[Name],"Not Found",0)</f>
        <v>Yasmin Sheth</v>
      </c>
      <c r="M902" s="18" t="str">
        <f>_xlfn.XLOOKUP(tblMaster[[#This Row],[Customer_ID]],tblCustomers[Customer_ID],tblCustomers[Gender],"Not Found",0)</f>
        <v>Female</v>
      </c>
      <c r="N902" s="18" t="str">
        <f>_xlfn.XLOOKUP(tblMaster[[#This Row],[Product_ID]],tblProducts[Product_ID],tblProducts[Product_Name],"Not Found",0)</f>
        <v>Architecto Gift</v>
      </c>
      <c r="O902" s="18" t="str">
        <f>_xlfn.XLOOKUP(tblMaster[[#This Row],[Product_ID]],tblProducts[Product_ID],tblProducts[Category],"Not Found",0)</f>
        <v>Cake</v>
      </c>
      <c r="P902" s="18" t="str">
        <f>_xlfn.XLOOKUP(tblMaster[[#This Row],[Product_ID]],tblProducts[Product_ID],tblProducts[Occasion],"Not Found",0)</f>
        <v>Raksha Bandhan</v>
      </c>
      <c r="Q902" s="18">
        <f>_xlfn.XLOOKUP(tblMaster[[#This Row],[Product_ID]],tblProducts[Product_ID],tblProducts[Price (INR)],"Not Found",0)</f>
        <v>548</v>
      </c>
      <c r="R902" s="19">
        <f>tblMaster[[#This Row],[Price]]*tblMaster[[#This Row],[Quantity]]</f>
        <v>2192</v>
      </c>
      <c r="S902" s="19">
        <f>tblMaster[[#This Row],[Price]]*0.7*tblMaster[[#This Row],[Quantity]]</f>
        <v>1534.3999999999999</v>
      </c>
      <c r="T902" s="19">
        <f>tblMaster[[#This Row],[Revenue]]-tblMaster[[#This Row],[Estimated Cost (at 70%) ]]</f>
        <v>657.60000000000014</v>
      </c>
      <c r="U902" s="19">
        <f>tblMaster[[#This Row],[Profit]]/tblMaster[[#This Row],[Revenue]]</f>
        <v>0.30000000000000004</v>
      </c>
      <c r="V902" s="19">
        <f>tblMaster[[#This Row],[Delivery_Date]]-tblMaster[[#This Row],[Order_Date]]</f>
        <v>5</v>
      </c>
      <c r="W902" s="19" t="str">
        <f>TEXT(tblMaster[[#This Row],[Order_Date]],"mmmm")</f>
        <v>August</v>
      </c>
      <c r="X902" s="19">
        <f>MONTH(tblMaster[[#This Row],[Order_Date]])</f>
        <v>8</v>
      </c>
      <c r="Y902" s="19" t="str">
        <f>"Q"&amp;ROUNDUP(tblMaster[[#This Row],[Month Number]]/3,0)</f>
        <v>Q3</v>
      </c>
      <c r="Z902" s="19">
        <f>YEAR(tblMaster[[#This Row],[Order_Date]])</f>
        <v>2023</v>
      </c>
      <c r="AA902" s="19" t="str">
        <f>TEXT(DAY(tblMaster[[#This Row],[Order_Date]]),"dddd")</f>
        <v>Sunday</v>
      </c>
      <c r="AB902" s="19" t="str">
        <f>IF(tblMaster[[#This Row],[Revenue]]&gt;=5000,"High",IF(tblMaster[[#This Row],[Revenue]]&lt;2000,"Low","Medium"))</f>
        <v>Medium</v>
      </c>
    </row>
    <row r="903" spans="1:28" x14ac:dyDescent="0.25">
      <c r="A903" s="10">
        <v>902</v>
      </c>
      <c r="B903" s="10" t="s">
        <v>492</v>
      </c>
      <c r="C903" s="5">
        <v>32</v>
      </c>
      <c r="D903" s="5">
        <v>5</v>
      </c>
      <c r="E903" s="11">
        <v>45007</v>
      </c>
      <c r="F903" s="12">
        <v>0.56244212962962958</v>
      </c>
      <c r="G903" s="11">
        <v>45009</v>
      </c>
      <c r="H903" s="12">
        <v>0.51667824074074076</v>
      </c>
      <c r="I903" s="10" t="s">
        <v>362</v>
      </c>
      <c r="J903" s="10" t="s">
        <v>36</v>
      </c>
      <c r="K903" s="18" t="str">
        <f>_xlfn.XLOOKUP(tblMaster[[#This Row],[Customer_ID]],tblCustomers[Customer_ID],tblCustomers[City],"Not Found",0)</f>
        <v>Singrauli</v>
      </c>
      <c r="L903" s="18" t="str">
        <f>_xlfn.XLOOKUP(tblMaster[[#This Row],[Customer_ID]],tblCustomers[Customer_ID],tblCustomers[Name],"Not Found",0)</f>
        <v>Ira Bava</v>
      </c>
      <c r="M903" s="18" t="str">
        <f>_xlfn.XLOOKUP(tblMaster[[#This Row],[Customer_ID]],tblCustomers[Customer_ID],tblCustomers[Gender],"Not Found",0)</f>
        <v>Female</v>
      </c>
      <c r="N903" s="18" t="str">
        <f>_xlfn.XLOOKUP(tblMaster[[#This Row],[Product_ID]],tblProducts[Product_ID],tblProducts[Product_Name],"Not Found",0)</f>
        <v>Fuga Set</v>
      </c>
      <c r="O903" s="18" t="str">
        <f>_xlfn.XLOOKUP(tblMaster[[#This Row],[Product_ID]],tblProducts[Product_ID],tblProducts[Category],"Not Found",0)</f>
        <v>Soft Toys</v>
      </c>
      <c r="P903" s="18" t="str">
        <f>_xlfn.XLOOKUP(tblMaster[[#This Row],[Product_ID]],tblProducts[Product_ID],tblProducts[Occasion],"Not Found",0)</f>
        <v>Birthday</v>
      </c>
      <c r="Q903" s="18">
        <f>_xlfn.XLOOKUP(tblMaster[[#This Row],[Product_ID]],tblProducts[Product_ID],tblProducts[Price (INR)],"Not Found",0)</f>
        <v>1792</v>
      </c>
      <c r="R903" s="19">
        <f>tblMaster[[#This Row],[Price]]*tblMaster[[#This Row],[Quantity]]</f>
        <v>8960</v>
      </c>
      <c r="S903" s="19">
        <f>tblMaster[[#This Row],[Price]]*0.7*tblMaster[[#This Row],[Quantity]]</f>
        <v>6271.9999999999991</v>
      </c>
      <c r="T903" s="19">
        <f>tblMaster[[#This Row],[Revenue]]-tblMaster[[#This Row],[Estimated Cost (at 70%) ]]</f>
        <v>2688.0000000000009</v>
      </c>
      <c r="U903" s="19">
        <f>tblMaster[[#This Row],[Profit]]/tblMaster[[#This Row],[Revenue]]</f>
        <v>0.3000000000000001</v>
      </c>
      <c r="V903" s="19">
        <f>tblMaster[[#This Row],[Delivery_Date]]-tblMaster[[#This Row],[Order_Date]]</f>
        <v>2</v>
      </c>
      <c r="W903" s="19" t="str">
        <f>TEXT(tblMaster[[#This Row],[Order_Date]],"mmmm")</f>
        <v>March</v>
      </c>
      <c r="X903" s="19">
        <f>MONTH(tblMaster[[#This Row],[Order_Date]])</f>
        <v>3</v>
      </c>
      <c r="Y903" s="19" t="str">
        <f>"Q"&amp;ROUNDUP(tblMaster[[#This Row],[Month Number]]/3,0)</f>
        <v>Q1</v>
      </c>
      <c r="Z903" s="19">
        <f>YEAR(tblMaster[[#This Row],[Order_Date]])</f>
        <v>2023</v>
      </c>
      <c r="AA903" s="19" t="str">
        <f>TEXT(DAY(tblMaster[[#This Row],[Order_Date]]),"dddd")</f>
        <v>Sunday</v>
      </c>
      <c r="AB903" s="19" t="str">
        <f>IF(tblMaster[[#This Row],[Revenue]]&gt;=5000,"High",IF(tblMaster[[#This Row],[Revenue]]&lt;2000,"Low","Medium"))</f>
        <v>High</v>
      </c>
    </row>
    <row r="904" spans="1:28" x14ac:dyDescent="0.25">
      <c r="A904" s="7">
        <v>903</v>
      </c>
      <c r="B904" s="7" t="s">
        <v>232</v>
      </c>
      <c r="C904" s="4">
        <v>63</v>
      </c>
      <c r="D904" s="4">
        <v>2</v>
      </c>
      <c r="E904" s="8">
        <v>45184</v>
      </c>
      <c r="F904" s="9">
        <v>0.73776620370370372</v>
      </c>
      <c r="G904" s="8">
        <v>45191</v>
      </c>
      <c r="H904" s="9">
        <v>0.81155092592592593</v>
      </c>
      <c r="I904" s="7" t="s">
        <v>517</v>
      </c>
      <c r="J904" s="7" t="s">
        <v>8</v>
      </c>
      <c r="K904" s="18" t="str">
        <f>_xlfn.XLOOKUP(tblMaster[[#This Row],[Customer_ID]],tblCustomers[Customer_ID],tblCustomers[City],"Not Found",0)</f>
        <v>Malegaon</v>
      </c>
      <c r="L904" s="18" t="str">
        <f>_xlfn.XLOOKUP(tblMaster[[#This Row],[Customer_ID]],tblCustomers[Customer_ID],tblCustomers[Name],"Not Found",0)</f>
        <v>Eshani Buch</v>
      </c>
      <c r="M904" s="18" t="str">
        <f>_xlfn.XLOOKUP(tblMaster[[#This Row],[Customer_ID]],tblCustomers[Customer_ID],tblCustomers[Gender],"Not Found",0)</f>
        <v>Female</v>
      </c>
      <c r="N904" s="18" t="str">
        <f>_xlfn.XLOOKUP(tblMaster[[#This Row],[Product_ID]],tblProducts[Product_ID],tblProducts[Product_Name],"Not Found",0)</f>
        <v>Adipisci Set</v>
      </c>
      <c r="O904" s="18" t="str">
        <f>_xlfn.XLOOKUP(tblMaster[[#This Row],[Product_ID]],tblProducts[Product_ID],tblProducts[Category],"Not Found",0)</f>
        <v>Sweets</v>
      </c>
      <c r="P904" s="18" t="str">
        <f>_xlfn.XLOOKUP(tblMaster[[#This Row],[Product_ID]],tblProducts[Product_ID],tblProducts[Occasion],"Not Found",0)</f>
        <v>All Occasions</v>
      </c>
      <c r="Q904" s="18">
        <f>_xlfn.XLOOKUP(tblMaster[[#This Row],[Product_ID]],tblProducts[Product_ID],tblProducts[Price (INR)],"Not Found",0)</f>
        <v>1348</v>
      </c>
      <c r="R904" s="19">
        <f>tblMaster[[#This Row],[Price]]*tblMaster[[#This Row],[Quantity]]</f>
        <v>2696</v>
      </c>
      <c r="S904" s="19">
        <f>tblMaster[[#This Row],[Price]]*0.7*tblMaster[[#This Row],[Quantity]]</f>
        <v>1887.1999999999998</v>
      </c>
      <c r="T904" s="19">
        <f>tblMaster[[#This Row],[Revenue]]-tblMaster[[#This Row],[Estimated Cost (at 70%) ]]</f>
        <v>808.80000000000018</v>
      </c>
      <c r="U904" s="19">
        <f>tblMaster[[#This Row],[Profit]]/tblMaster[[#This Row],[Revenue]]</f>
        <v>0.30000000000000004</v>
      </c>
      <c r="V904" s="19">
        <f>tblMaster[[#This Row],[Delivery_Date]]-tblMaster[[#This Row],[Order_Date]]</f>
        <v>7</v>
      </c>
      <c r="W904" s="19" t="str">
        <f>TEXT(tblMaster[[#This Row],[Order_Date]],"mmmm")</f>
        <v>September</v>
      </c>
      <c r="X904" s="19">
        <f>MONTH(tblMaster[[#This Row],[Order_Date]])</f>
        <v>9</v>
      </c>
      <c r="Y904" s="19" t="str">
        <f>"Q"&amp;ROUNDUP(tblMaster[[#This Row],[Month Number]]/3,0)</f>
        <v>Q3</v>
      </c>
      <c r="Z904" s="19">
        <f>YEAR(tblMaster[[#This Row],[Order_Date]])</f>
        <v>2023</v>
      </c>
      <c r="AA904" s="19" t="str">
        <f>TEXT(DAY(tblMaster[[#This Row],[Order_Date]]),"dddd")</f>
        <v>Sunday</v>
      </c>
      <c r="AB904" s="19" t="str">
        <f>IF(tblMaster[[#This Row],[Revenue]]&gt;=5000,"High",IF(tblMaster[[#This Row],[Revenue]]&lt;2000,"Low","Medium"))</f>
        <v>Medium</v>
      </c>
    </row>
    <row r="905" spans="1:28" x14ac:dyDescent="0.25">
      <c r="A905" s="10">
        <v>904</v>
      </c>
      <c r="B905" s="10" t="s">
        <v>193</v>
      </c>
      <c r="C905" s="5">
        <v>2</v>
      </c>
      <c r="D905" s="5">
        <v>4</v>
      </c>
      <c r="E905" s="11">
        <v>44969</v>
      </c>
      <c r="F905" s="12">
        <v>0.92069444444444448</v>
      </c>
      <c r="G905" s="11">
        <v>44974</v>
      </c>
      <c r="H905" s="12">
        <v>4.5567129629629631E-2</v>
      </c>
      <c r="I905" s="10" t="s">
        <v>500</v>
      </c>
      <c r="J905" s="10" t="s">
        <v>12</v>
      </c>
      <c r="K905" s="18" t="str">
        <f>_xlfn.XLOOKUP(tblMaster[[#This Row],[Customer_ID]],tblCustomers[Customer_ID],tblCustomers[City],"Not Found",0)</f>
        <v>Mangalore</v>
      </c>
      <c r="L905" s="18" t="str">
        <f>_xlfn.XLOOKUP(tblMaster[[#This Row],[Customer_ID]],tblCustomers[Customer_ID],tblCustomers[Name],"Not Found",0)</f>
        <v>Manikya Goswami</v>
      </c>
      <c r="M905" s="18" t="str">
        <f>_xlfn.XLOOKUP(tblMaster[[#This Row],[Customer_ID]],tblCustomers[Customer_ID],tblCustomers[Gender],"Not Found",0)</f>
        <v>Female</v>
      </c>
      <c r="N905" s="18" t="str">
        <f>_xlfn.XLOOKUP(tblMaster[[#This Row],[Product_ID]],tblProducts[Product_ID],tblProducts[Product_Name],"Not Found",0)</f>
        <v>Voluptas Box</v>
      </c>
      <c r="O905" s="18" t="str">
        <f>_xlfn.XLOOKUP(tblMaster[[#This Row],[Product_ID]],tblProducts[Product_ID],tblProducts[Category],"Not Found",0)</f>
        <v>Plants</v>
      </c>
      <c r="P905" s="18" t="str">
        <f>_xlfn.XLOOKUP(tblMaster[[#This Row],[Product_ID]],tblProducts[Product_ID],tblProducts[Occasion],"Not Found",0)</f>
        <v>Valentine's Day</v>
      </c>
      <c r="Q905" s="18">
        <f>_xlfn.XLOOKUP(tblMaster[[#This Row],[Product_ID]],tblProducts[Product_ID],tblProducts[Price (INR)],"Not Found",0)</f>
        <v>441</v>
      </c>
      <c r="R905" s="19">
        <f>tblMaster[[#This Row],[Price]]*tblMaster[[#This Row],[Quantity]]</f>
        <v>1764</v>
      </c>
      <c r="S905" s="19">
        <f>tblMaster[[#This Row],[Price]]*0.7*tblMaster[[#This Row],[Quantity]]</f>
        <v>1234.8</v>
      </c>
      <c r="T905" s="19">
        <f>tblMaster[[#This Row],[Revenue]]-tblMaster[[#This Row],[Estimated Cost (at 70%) ]]</f>
        <v>529.20000000000005</v>
      </c>
      <c r="U905" s="19">
        <f>tblMaster[[#This Row],[Profit]]/tblMaster[[#This Row],[Revenue]]</f>
        <v>0.30000000000000004</v>
      </c>
      <c r="V905" s="19">
        <f>tblMaster[[#This Row],[Delivery_Date]]-tblMaster[[#This Row],[Order_Date]]</f>
        <v>5</v>
      </c>
      <c r="W905" s="19" t="str">
        <f>TEXT(tblMaster[[#This Row],[Order_Date]],"mmmm")</f>
        <v>February</v>
      </c>
      <c r="X905" s="19">
        <f>MONTH(tblMaster[[#This Row],[Order_Date]])</f>
        <v>2</v>
      </c>
      <c r="Y905" s="19" t="str">
        <f>"Q"&amp;ROUNDUP(tblMaster[[#This Row],[Month Number]]/3,0)</f>
        <v>Q1</v>
      </c>
      <c r="Z905" s="19">
        <f>YEAR(tblMaster[[#This Row],[Order_Date]])</f>
        <v>2023</v>
      </c>
      <c r="AA905" s="19" t="str">
        <f>TEXT(DAY(tblMaster[[#This Row],[Order_Date]]),"dddd")</f>
        <v>Thursday</v>
      </c>
      <c r="AB905" s="19" t="str">
        <f>IF(tblMaster[[#This Row],[Revenue]]&gt;=5000,"High",IF(tblMaster[[#This Row],[Revenue]]&lt;2000,"Low","Medium"))</f>
        <v>Low</v>
      </c>
    </row>
    <row r="906" spans="1:28" x14ac:dyDescent="0.25">
      <c r="A906" s="7">
        <v>905</v>
      </c>
      <c r="B906" s="7" t="s">
        <v>235</v>
      </c>
      <c r="C906" s="4">
        <v>58</v>
      </c>
      <c r="D906" s="4">
        <v>1</v>
      </c>
      <c r="E906" s="8">
        <v>44967</v>
      </c>
      <c r="F906" s="9">
        <v>0.81359953703703702</v>
      </c>
      <c r="G906" s="8">
        <v>44973</v>
      </c>
      <c r="H906" s="9">
        <v>0.35571759259259261</v>
      </c>
      <c r="I906" s="7" t="s">
        <v>315</v>
      </c>
      <c r="J906" s="7" t="s">
        <v>12</v>
      </c>
      <c r="K906" s="18" t="str">
        <f>_xlfn.XLOOKUP(tblMaster[[#This Row],[Customer_ID]],tblCustomers[Customer_ID],tblCustomers[City],"Not Found",0)</f>
        <v>Bhopal</v>
      </c>
      <c r="L906" s="18" t="str">
        <f>_xlfn.XLOOKUP(tblMaster[[#This Row],[Customer_ID]],tblCustomers[Customer_ID],tblCustomers[Name],"Not Found",0)</f>
        <v>Mohanlal Garde</v>
      </c>
      <c r="M906" s="18" t="str">
        <f>_xlfn.XLOOKUP(tblMaster[[#This Row],[Customer_ID]],tblCustomers[Customer_ID],tblCustomers[Gender],"Not Found",0)</f>
        <v>Male</v>
      </c>
      <c r="N906" s="18" t="str">
        <f>_xlfn.XLOOKUP(tblMaster[[#This Row],[Product_ID]],tblProducts[Product_ID],tblProducts[Product_Name],"Not Found",0)</f>
        <v>Sed Pack</v>
      </c>
      <c r="O906" s="18" t="str">
        <f>_xlfn.XLOOKUP(tblMaster[[#This Row],[Product_ID]],tblProducts[Product_ID],tblProducts[Category],"Not Found",0)</f>
        <v>Cake</v>
      </c>
      <c r="P906" s="18" t="str">
        <f>_xlfn.XLOOKUP(tblMaster[[#This Row],[Product_ID]],tblProducts[Product_ID],tblProducts[Occasion],"Not Found",0)</f>
        <v>Valentine's Day</v>
      </c>
      <c r="Q906" s="18">
        <f>_xlfn.XLOOKUP(tblMaster[[#This Row],[Product_ID]],tblProducts[Product_ID],tblProducts[Price (INR)],"Not Found",0)</f>
        <v>1492</v>
      </c>
      <c r="R906" s="19">
        <f>tblMaster[[#This Row],[Price]]*tblMaster[[#This Row],[Quantity]]</f>
        <v>1492</v>
      </c>
      <c r="S906" s="19">
        <f>tblMaster[[#This Row],[Price]]*0.7*tblMaster[[#This Row],[Quantity]]</f>
        <v>1044.3999999999999</v>
      </c>
      <c r="T906" s="19">
        <f>tblMaster[[#This Row],[Revenue]]-tblMaster[[#This Row],[Estimated Cost (at 70%) ]]</f>
        <v>447.60000000000014</v>
      </c>
      <c r="U906" s="19">
        <f>tblMaster[[#This Row],[Profit]]/tblMaster[[#This Row],[Revenue]]</f>
        <v>0.3000000000000001</v>
      </c>
      <c r="V906" s="19">
        <f>tblMaster[[#This Row],[Delivery_Date]]-tblMaster[[#This Row],[Order_Date]]</f>
        <v>6</v>
      </c>
      <c r="W906" s="19" t="str">
        <f>TEXT(tblMaster[[#This Row],[Order_Date]],"mmmm")</f>
        <v>February</v>
      </c>
      <c r="X906" s="19">
        <f>MONTH(tblMaster[[#This Row],[Order_Date]])</f>
        <v>2</v>
      </c>
      <c r="Y906" s="19" t="str">
        <f>"Q"&amp;ROUNDUP(tblMaster[[#This Row],[Month Number]]/3,0)</f>
        <v>Q1</v>
      </c>
      <c r="Z906" s="19">
        <f>YEAR(tblMaster[[#This Row],[Order_Date]])</f>
        <v>2023</v>
      </c>
      <c r="AA906" s="19" t="str">
        <f>TEXT(DAY(tblMaster[[#This Row],[Order_Date]]),"dddd")</f>
        <v>Tuesday</v>
      </c>
      <c r="AB906" s="19" t="str">
        <f>IF(tblMaster[[#This Row],[Revenue]]&gt;=5000,"High",IF(tblMaster[[#This Row],[Revenue]]&lt;2000,"Low","Medium"))</f>
        <v>Low</v>
      </c>
    </row>
    <row r="907" spans="1:28" x14ac:dyDescent="0.25">
      <c r="A907" s="10">
        <v>906</v>
      </c>
      <c r="B907" s="10" t="s">
        <v>304</v>
      </c>
      <c r="C907" s="5">
        <v>49</v>
      </c>
      <c r="D907" s="5">
        <v>3</v>
      </c>
      <c r="E907" s="11">
        <v>44963</v>
      </c>
      <c r="F907" s="12">
        <v>5.3009259259259256E-2</v>
      </c>
      <c r="G907" s="11">
        <v>44973</v>
      </c>
      <c r="H907" s="12">
        <v>0.38527777777777777</v>
      </c>
      <c r="I907" s="10" t="s">
        <v>416</v>
      </c>
      <c r="J907" s="10" t="s">
        <v>12</v>
      </c>
      <c r="K907" s="18" t="str">
        <f>_xlfn.XLOOKUP(tblMaster[[#This Row],[Customer_ID]],tblCustomers[Customer_ID],tblCustomers[City],"Not Found",0)</f>
        <v>Phagwara</v>
      </c>
      <c r="L907" s="18" t="str">
        <f>_xlfn.XLOOKUP(tblMaster[[#This Row],[Customer_ID]],tblCustomers[Customer_ID],tblCustomers[Name],"Not Found",0)</f>
        <v>Pranay Chaudhary</v>
      </c>
      <c r="M907" s="18" t="str">
        <f>_xlfn.XLOOKUP(tblMaster[[#This Row],[Customer_ID]],tblCustomers[Customer_ID],tblCustomers[Gender],"Not Found",0)</f>
        <v>Female</v>
      </c>
      <c r="N907" s="18" t="str">
        <f>_xlfn.XLOOKUP(tblMaster[[#This Row],[Product_ID]],tblProducts[Product_ID],tblProducts[Product_Name],"Not Found",0)</f>
        <v>Voluptate Pack</v>
      </c>
      <c r="O907" s="18" t="str">
        <f>_xlfn.XLOOKUP(tblMaster[[#This Row],[Product_ID]],tblProducts[Product_ID],tblProducts[Category],"Not Found",0)</f>
        <v>Colors</v>
      </c>
      <c r="P907" s="18" t="str">
        <f>_xlfn.XLOOKUP(tblMaster[[#This Row],[Product_ID]],tblProducts[Product_ID],tblProducts[Occasion],"Not Found",0)</f>
        <v>Valentine's Day</v>
      </c>
      <c r="Q907" s="18">
        <f>_xlfn.XLOOKUP(tblMaster[[#This Row],[Product_ID]],tblProducts[Product_ID],tblProducts[Price (INR)],"Not Found",0)</f>
        <v>903</v>
      </c>
      <c r="R907" s="19">
        <f>tblMaster[[#This Row],[Price]]*tblMaster[[#This Row],[Quantity]]</f>
        <v>2709</v>
      </c>
      <c r="S907" s="19">
        <f>tblMaster[[#This Row],[Price]]*0.7*tblMaster[[#This Row],[Quantity]]</f>
        <v>1896.2999999999997</v>
      </c>
      <c r="T907" s="19">
        <f>tblMaster[[#This Row],[Revenue]]-tblMaster[[#This Row],[Estimated Cost (at 70%) ]]</f>
        <v>812.70000000000027</v>
      </c>
      <c r="U907" s="19">
        <f>tblMaster[[#This Row],[Profit]]/tblMaster[[#This Row],[Revenue]]</f>
        <v>0.3000000000000001</v>
      </c>
      <c r="V907" s="19">
        <f>tblMaster[[#This Row],[Delivery_Date]]-tblMaster[[#This Row],[Order_Date]]</f>
        <v>10</v>
      </c>
      <c r="W907" s="19" t="str">
        <f>TEXT(tblMaster[[#This Row],[Order_Date]],"mmmm")</f>
        <v>February</v>
      </c>
      <c r="X907" s="19">
        <f>MONTH(tblMaster[[#This Row],[Order_Date]])</f>
        <v>2</v>
      </c>
      <c r="Y907" s="19" t="str">
        <f>"Q"&amp;ROUNDUP(tblMaster[[#This Row],[Month Number]]/3,0)</f>
        <v>Q1</v>
      </c>
      <c r="Z907" s="19">
        <f>YEAR(tblMaster[[#This Row],[Order_Date]])</f>
        <v>2023</v>
      </c>
      <c r="AA907" s="19" t="str">
        <f>TEXT(DAY(tblMaster[[#This Row],[Order_Date]]),"dddd")</f>
        <v>Friday</v>
      </c>
      <c r="AB907" s="19" t="str">
        <f>IF(tblMaster[[#This Row],[Revenue]]&gt;=5000,"High",IF(tblMaster[[#This Row],[Revenue]]&lt;2000,"Low","Medium"))</f>
        <v>Medium</v>
      </c>
    </row>
    <row r="908" spans="1:28" x14ac:dyDescent="0.25">
      <c r="A908" s="7">
        <v>907</v>
      </c>
      <c r="B908" s="7" t="s">
        <v>237</v>
      </c>
      <c r="C908" s="4">
        <v>30</v>
      </c>
      <c r="D908" s="4">
        <v>2</v>
      </c>
      <c r="E908" s="8">
        <v>45035</v>
      </c>
      <c r="F908" s="9">
        <v>0.90047453703703706</v>
      </c>
      <c r="G908" s="8">
        <v>45041</v>
      </c>
      <c r="H908" s="9">
        <v>0.4667013888888889</v>
      </c>
      <c r="I908" s="7" t="s">
        <v>311</v>
      </c>
      <c r="J908" s="7" t="s">
        <v>30</v>
      </c>
      <c r="K908" s="18" t="str">
        <f>_xlfn.XLOOKUP(tblMaster[[#This Row],[Customer_ID]],tblCustomers[Customer_ID],tblCustomers[City],"Not Found",0)</f>
        <v>Guna</v>
      </c>
      <c r="L908" s="18" t="str">
        <f>_xlfn.XLOOKUP(tblMaster[[#This Row],[Customer_ID]],tblCustomers[Customer_ID],tblCustomers[Name],"Not Found",0)</f>
        <v>Tara Kannan</v>
      </c>
      <c r="M908" s="18" t="str">
        <f>_xlfn.XLOOKUP(tblMaster[[#This Row],[Customer_ID]],tblCustomers[Customer_ID],tblCustomers[Gender],"Not Found",0)</f>
        <v>Male</v>
      </c>
      <c r="N908" s="18" t="str">
        <f>_xlfn.XLOOKUP(tblMaster[[#This Row],[Product_ID]],tblProducts[Product_ID],tblProducts[Product_Name],"Not Found",0)</f>
        <v>Recusandae Pack</v>
      </c>
      <c r="O908" s="18" t="str">
        <f>_xlfn.XLOOKUP(tblMaster[[#This Row],[Product_ID]],tblProducts[Product_ID],tblProducts[Category],"Not Found",0)</f>
        <v>Colors</v>
      </c>
      <c r="P908" s="18" t="str">
        <f>_xlfn.XLOOKUP(tblMaster[[#This Row],[Product_ID]],tblProducts[Product_ID],tblProducts[Occasion],"Not Found",0)</f>
        <v>Anniversary</v>
      </c>
      <c r="Q908" s="18">
        <f>_xlfn.XLOOKUP(tblMaster[[#This Row],[Product_ID]],tblProducts[Product_ID],tblProducts[Price (INR)],"Not Found",0)</f>
        <v>751</v>
      </c>
      <c r="R908" s="19">
        <f>tblMaster[[#This Row],[Price]]*tblMaster[[#This Row],[Quantity]]</f>
        <v>1502</v>
      </c>
      <c r="S908" s="19">
        <f>tblMaster[[#This Row],[Price]]*0.7*tblMaster[[#This Row],[Quantity]]</f>
        <v>1051.3999999999999</v>
      </c>
      <c r="T908" s="19">
        <f>tblMaster[[#This Row],[Revenue]]-tblMaster[[#This Row],[Estimated Cost (at 70%) ]]</f>
        <v>450.60000000000014</v>
      </c>
      <c r="U908" s="19">
        <f>tblMaster[[#This Row],[Profit]]/tblMaster[[#This Row],[Revenue]]</f>
        <v>0.3000000000000001</v>
      </c>
      <c r="V908" s="19">
        <f>tblMaster[[#This Row],[Delivery_Date]]-tblMaster[[#This Row],[Order_Date]]</f>
        <v>6</v>
      </c>
      <c r="W908" s="19" t="str">
        <f>TEXT(tblMaster[[#This Row],[Order_Date]],"mmmm")</f>
        <v>April</v>
      </c>
      <c r="X908" s="19">
        <f>MONTH(tblMaster[[#This Row],[Order_Date]])</f>
        <v>4</v>
      </c>
      <c r="Y908" s="19" t="str">
        <f>"Q"&amp;ROUNDUP(tblMaster[[#This Row],[Month Number]]/3,0)</f>
        <v>Q2</v>
      </c>
      <c r="Z908" s="19">
        <f>YEAR(tblMaster[[#This Row],[Order_Date]])</f>
        <v>2023</v>
      </c>
      <c r="AA908" s="19" t="str">
        <f>TEXT(DAY(tblMaster[[#This Row],[Order_Date]]),"dddd")</f>
        <v>Thursday</v>
      </c>
      <c r="AB908" s="19" t="str">
        <f>IF(tblMaster[[#This Row],[Revenue]]&gt;=5000,"High",IF(tblMaster[[#This Row],[Revenue]]&lt;2000,"Low","Medium"))</f>
        <v>Low</v>
      </c>
    </row>
    <row r="909" spans="1:28" x14ac:dyDescent="0.25">
      <c r="A909" s="10">
        <v>908</v>
      </c>
      <c r="B909" s="10" t="s">
        <v>202</v>
      </c>
      <c r="C909" s="5">
        <v>28</v>
      </c>
      <c r="D909" s="5">
        <v>5</v>
      </c>
      <c r="E909" s="11">
        <v>45160</v>
      </c>
      <c r="F909" s="12">
        <v>0.66070601851851851</v>
      </c>
      <c r="G909" s="11">
        <v>45162</v>
      </c>
      <c r="H909" s="12">
        <v>0.95148148148148148</v>
      </c>
      <c r="I909" s="10" t="s">
        <v>314</v>
      </c>
      <c r="J909" s="10" t="s">
        <v>33</v>
      </c>
      <c r="K909" s="18" t="str">
        <f>_xlfn.XLOOKUP(tblMaster[[#This Row],[Customer_ID]],tblCustomers[Customer_ID],tblCustomers[City],"Not Found",0)</f>
        <v>Anantapuram</v>
      </c>
      <c r="L909" s="18" t="str">
        <f>_xlfn.XLOOKUP(tblMaster[[#This Row],[Customer_ID]],tblCustomers[Customer_ID],tblCustomers[Name],"Not Found",0)</f>
        <v>Drishya De</v>
      </c>
      <c r="M909" s="18" t="str">
        <f>_xlfn.XLOOKUP(tblMaster[[#This Row],[Customer_ID]],tblCustomers[Customer_ID],tblCustomers[Gender],"Not Found",0)</f>
        <v>Female</v>
      </c>
      <c r="N909" s="18" t="str">
        <f>_xlfn.XLOOKUP(tblMaster[[#This Row],[Product_ID]],tblProducts[Product_ID],tblProducts[Product_Name],"Not Found",0)</f>
        <v>Velit Set</v>
      </c>
      <c r="O909" s="18" t="str">
        <f>_xlfn.XLOOKUP(tblMaster[[#This Row],[Product_ID]],tblProducts[Product_ID],tblProducts[Category],"Not Found",0)</f>
        <v>Sweets</v>
      </c>
      <c r="P909" s="18" t="str">
        <f>_xlfn.XLOOKUP(tblMaster[[#This Row],[Product_ID]],tblProducts[Product_ID],tblProducts[Occasion],"Not Found",0)</f>
        <v>Raksha Bandhan</v>
      </c>
      <c r="Q909" s="18">
        <f>_xlfn.XLOOKUP(tblMaster[[#This Row],[Product_ID]],tblProducts[Product_ID],tblProducts[Price (INR)],"Not Found",0)</f>
        <v>1778</v>
      </c>
      <c r="R909" s="19">
        <f>tblMaster[[#This Row],[Price]]*tblMaster[[#This Row],[Quantity]]</f>
        <v>8890</v>
      </c>
      <c r="S909" s="19">
        <f>tblMaster[[#This Row],[Price]]*0.7*tblMaster[[#This Row],[Quantity]]</f>
        <v>6223</v>
      </c>
      <c r="T909" s="19">
        <f>tblMaster[[#This Row],[Revenue]]-tblMaster[[#This Row],[Estimated Cost (at 70%) ]]</f>
        <v>2667</v>
      </c>
      <c r="U909" s="19">
        <f>tblMaster[[#This Row],[Profit]]/tblMaster[[#This Row],[Revenue]]</f>
        <v>0.3</v>
      </c>
      <c r="V909" s="19">
        <f>tblMaster[[#This Row],[Delivery_Date]]-tblMaster[[#This Row],[Order_Date]]</f>
        <v>2</v>
      </c>
      <c r="W909" s="19" t="str">
        <f>TEXT(tblMaster[[#This Row],[Order_Date]],"mmmm")</f>
        <v>August</v>
      </c>
      <c r="X909" s="19">
        <f>MONTH(tblMaster[[#This Row],[Order_Date]])</f>
        <v>8</v>
      </c>
      <c r="Y909" s="19" t="str">
        <f>"Q"&amp;ROUNDUP(tblMaster[[#This Row],[Month Number]]/3,0)</f>
        <v>Q3</v>
      </c>
      <c r="Z909" s="19">
        <f>YEAR(tblMaster[[#This Row],[Order_Date]])</f>
        <v>2023</v>
      </c>
      <c r="AA909" s="19" t="str">
        <f>TEXT(DAY(tblMaster[[#This Row],[Order_Date]]),"dddd")</f>
        <v>Sunday</v>
      </c>
      <c r="AB909" s="19" t="str">
        <f>IF(tblMaster[[#This Row],[Revenue]]&gt;=5000,"High",IF(tblMaster[[#This Row],[Revenue]]&lt;2000,"Low","Medium"))</f>
        <v>High</v>
      </c>
    </row>
    <row r="910" spans="1:28" x14ac:dyDescent="0.25">
      <c r="A910" s="7">
        <v>909</v>
      </c>
      <c r="B910" s="7" t="s">
        <v>364</v>
      </c>
      <c r="C910" s="4">
        <v>42</v>
      </c>
      <c r="D910" s="4">
        <v>1</v>
      </c>
      <c r="E910" s="8">
        <v>45234</v>
      </c>
      <c r="F910" s="9">
        <v>0.32211805555555556</v>
      </c>
      <c r="G910" s="8">
        <v>45238</v>
      </c>
      <c r="H910" s="9">
        <v>0.93431712962962965</v>
      </c>
      <c r="I910" s="7" t="s">
        <v>277</v>
      </c>
      <c r="J910" s="7" t="s">
        <v>8</v>
      </c>
      <c r="K910" s="18" t="str">
        <f>_xlfn.XLOOKUP(tblMaster[[#This Row],[Customer_ID]],tblCustomers[Customer_ID],tblCustomers[City],"Not Found",0)</f>
        <v>Tiruchirappalli</v>
      </c>
      <c r="L910" s="18" t="str">
        <f>_xlfn.XLOOKUP(tblMaster[[#This Row],[Customer_ID]],tblCustomers[Customer_ID],tblCustomers[Name],"Not Found",0)</f>
        <v>Anahita Shankar</v>
      </c>
      <c r="M910" s="18" t="str">
        <f>_xlfn.XLOOKUP(tblMaster[[#This Row],[Customer_ID]],tblCustomers[Customer_ID],tblCustomers[Gender],"Not Found",0)</f>
        <v>Male</v>
      </c>
      <c r="N910" s="18" t="str">
        <f>_xlfn.XLOOKUP(tblMaster[[#This Row],[Product_ID]],tblProducts[Product_ID],tblProducts[Product_Name],"Not Found",0)</f>
        <v>Expedita Gift</v>
      </c>
      <c r="O910" s="18" t="str">
        <f>_xlfn.XLOOKUP(tblMaster[[#This Row],[Product_ID]],tblProducts[Product_ID],tblProducts[Category],"Not Found",0)</f>
        <v>Sweets</v>
      </c>
      <c r="P910" s="18" t="str">
        <f>_xlfn.XLOOKUP(tblMaster[[#This Row],[Product_ID]],tblProducts[Product_ID],tblProducts[Occasion],"Not Found",0)</f>
        <v>All Occasions</v>
      </c>
      <c r="Q910" s="18">
        <f>_xlfn.XLOOKUP(tblMaster[[#This Row],[Product_ID]],tblProducts[Product_ID],tblProducts[Price (INR)],"Not Found",0)</f>
        <v>1744</v>
      </c>
      <c r="R910" s="19">
        <f>tblMaster[[#This Row],[Price]]*tblMaster[[#This Row],[Quantity]]</f>
        <v>1744</v>
      </c>
      <c r="S910" s="19">
        <f>tblMaster[[#This Row],[Price]]*0.7*tblMaster[[#This Row],[Quantity]]</f>
        <v>1220.8</v>
      </c>
      <c r="T910" s="19">
        <f>tblMaster[[#This Row],[Revenue]]-tblMaster[[#This Row],[Estimated Cost (at 70%) ]]</f>
        <v>523.20000000000005</v>
      </c>
      <c r="U910" s="19">
        <f>tblMaster[[#This Row],[Profit]]/tblMaster[[#This Row],[Revenue]]</f>
        <v>0.30000000000000004</v>
      </c>
      <c r="V910" s="19">
        <f>tblMaster[[#This Row],[Delivery_Date]]-tblMaster[[#This Row],[Order_Date]]</f>
        <v>4</v>
      </c>
      <c r="W910" s="19" t="str">
        <f>TEXT(tblMaster[[#This Row],[Order_Date]],"mmmm")</f>
        <v>November</v>
      </c>
      <c r="X910" s="19">
        <f>MONTH(tblMaster[[#This Row],[Order_Date]])</f>
        <v>11</v>
      </c>
      <c r="Y910" s="19" t="str">
        <f>"Q"&amp;ROUNDUP(tblMaster[[#This Row],[Month Number]]/3,0)</f>
        <v>Q4</v>
      </c>
      <c r="Z910" s="19">
        <f>YEAR(tblMaster[[#This Row],[Order_Date]])</f>
        <v>2023</v>
      </c>
      <c r="AA910" s="19" t="str">
        <f>TEXT(DAY(tblMaster[[#This Row],[Order_Date]]),"dddd")</f>
        <v>Wednesday</v>
      </c>
      <c r="AB910" s="19" t="str">
        <f>IF(tblMaster[[#This Row],[Revenue]]&gt;=5000,"High",IF(tblMaster[[#This Row],[Revenue]]&lt;2000,"Low","Medium"))</f>
        <v>Low</v>
      </c>
    </row>
    <row r="911" spans="1:28" x14ac:dyDescent="0.25">
      <c r="A911" s="10">
        <v>910</v>
      </c>
      <c r="B911" s="10" t="s">
        <v>232</v>
      </c>
      <c r="C911" s="5">
        <v>55</v>
      </c>
      <c r="D911" s="5">
        <v>4</v>
      </c>
      <c r="E911" s="11">
        <v>45164</v>
      </c>
      <c r="F911" s="12">
        <v>8.5682870370370368E-2</v>
      </c>
      <c r="G911" s="11">
        <v>45173</v>
      </c>
      <c r="H911" s="12">
        <v>0.71053240740740742</v>
      </c>
      <c r="I911" s="10" t="s">
        <v>377</v>
      </c>
      <c r="J911" s="10" t="s">
        <v>33</v>
      </c>
      <c r="K911" s="18" t="str">
        <f>_xlfn.XLOOKUP(tblMaster[[#This Row],[Customer_ID]],tblCustomers[Customer_ID],tblCustomers[City],"Not Found",0)</f>
        <v>Malegaon</v>
      </c>
      <c r="L911" s="18" t="str">
        <f>_xlfn.XLOOKUP(tblMaster[[#This Row],[Customer_ID]],tblCustomers[Customer_ID],tblCustomers[Name],"Not Found",0)</f>
        <v>Eshani Buch</v>
      </c>
      <c r="M911" s="18" t="str">
        <f>_xlfn.XLOOKUP(tblMaster[[#This Row],[Customer_ID]],tblCustomers[Customer_ID],tblCustomers[Gender],"Not Found",0)</f>
        <v>Female</v>
      </c>
      <c r="N911" s="18" t="str">
        <f>_xlfn.XLOOKUP(tblMaster[[#This Row],[Product_ID]],tblProducts[Product_ID],tblProducts[Product_Name],"Not Found",0)</f>
        <v>Dolores Gift</v>
      </c>
      <c r="O911" s="18" t="str">
        <f>_xlfn.XLOOKUP(tblMaster[[#This Row],[Product_ID]],tblProducts[Product_ID],tblProducts[Category],"Not Found",0)</f>
        <v>Soft Toys</v>
      </c>
      <c r="P911" s="18" t="str">
        <f>_xlfn.XLOOKUP(tblMaster[[#This Row],[Product_ID]],tblProducts[Product_ID],tblProducts[Occasion],"Not Found",0)</f>
        <v>Raksha Bandhan</v>
      </c>
      <c r="Q911" s="18">
        <f>_xlfn.XLOOKUP(tblMaster[[#This Row],[Product_ID]],tblProducts[Product_ID],tblProducts[Price (INR)],"Not Found",0)</f>
        <v>1904</v>
      </c>
      <c r="R911" s="19">
        <f>tblMaster[[#This Row],[Price]]*tblMaster[[#This Row],[Quantity]]</f>
        <v>7616</v>
      </c>
      <c r="S911" s="19">
        <f>tblMaster[[#This Row],[Price]]*0.7*tblMaster[[#This Row],[Quantity]]</f>
        <v>5331.2</v>
      </c>
      <c r="T911" s="19">
        <f>tblMaster[[#This Row],[Revenue]]-tblMaster[[#This Row],[Estimated Cost (at 70%) ]]</f>
        <v>2284.8000000000002</v>
      </c>
      <c r="U911" s="19">
        <f>tblMaster[[#This Row],[Profit]]/tblMaster[[#This Row],[Revenue]]</f>
        <v>0.30000000000000004</v>
      </c>
      <c r="V911" s="19">
        <f>tblMaster[[#This Row],[Delivery_Date]]-tblMaster[[#This Row],[Order_Date]]</f>
        <v>9</v>
      </c>
      <c r="W911" s="19" t="str">
        <f>TEXT(tblMaster[[#This Row],[Order_Date]],"mmmm")</f>
        <v>August</v>
      </c>
      <c r="X911" s="19">
        <f>MONTH(tblMaster[[#This Row],[Order_Date]])</f>
        <v>8</v>
      </c>
      <c r="Y911" s="19" t="str">
        <f>"Q"&amp;ROUNDUP(tblMaster[[#This Row],[Month Number]]/3,0)</f>
        <v>Q3</v>
      </c>
      <c r="Z911" s="19">
        <f>YEAR(tblMaster[[#This Row],[Order_Date]])</f>
        <v>2023</v>
      </c>
      <c r="AA911" s="19" t="str">
        <f>TEXT(DAY(tblMaster[[#This Row],[Order_Date]]),"dddd")</f>
        <v>Thursday</v>
      </c>
      <c r="AB911" s="19" t="str">
        <f>IF(tblMaster[[#This Row],[Revenue]]&gt;=5000,"High",IF(tblMaster[[#This Row],[Revenue]]&lt;2000,"Low","Medium"))</f>
        <v>High</v>
      </c>
    </row>
    <row r="912" spans="1:28" x14ac:dyDescent="0.25">
      <c r="A912" s="7">
        <v>911</v>
      </c>
      <c r="B912" s="7" t="s">
        <v>222</v>
      </c>
      <c r="C912" s="4">
        <v>22</v>
      </c>
      <c r="D912" s="4">
        <v>4</v>
      </c>
      <c r="E912" s="8">
        <v>44949</v>
      </c>
      <c r="F912" s="9">
        <v>0.22143518518518518</v>
      </c>
      <c r="G912" s="8">
        <v>44954</v>
      </c>
      <c r="H912" s="9">
        <v>6.6192129629629629E-2</v>
      </c>
      <c r="I912" s="7" t="s">
        <v>247</v>
      </c>
      <c r="J912" s="7" t="s">
        <v>8</v>
      </c>
      <c r="K912" s="18" t="str">
        <f>_xlfn.XLOOKUP(tblMaster[[#This Row],[Customer_ID]],tblCustomers[Customer_ID],tblCustomers[City],"Not Found",0)</f>
        <v>Tiruppur</v>
      </c>
      <c r="L912" s="18" t="str">
        <f>_xlfn.XLOOKUP(tblMaster[[#This Row],[Customer_ID]],tblCustomers[Customer_ID],tblCustomers[Name],"Not Found",0)</f>
        <v>Purab Sheth</v>
      </c>
      <c r="M912" s="18" t="str">
        <f>_xlfn.XLOOKUP(tblMaster[[#This Row],[Customer_ID]],tblCustomers[Customer_ID],tblCustomers[Gender],"Not Found",0)</f>
        <v>Male</v>
      </c>
      <c r="N912" s="18" t="str">
        <f>_xlfn.XLOOKUP(tblMaster[[#This Row],[Product_ID]],tblProducts[Product_ID],tblProducts[Product_Name],"Not Found",0)</f>
        <v>Exercitationem Pack</v>
      </c>
      <c r="O912" s="18" t="str">
        <f>_xlfn.XLOOKUP(tblMaster[[#This Row],[Product_ID]],tblProducts[Product_ID],tblProducts[Category],"Not Found",0)</f>
        <v>Soft Toys</v>
      </c>
      <c r="P912" s="18" t="str">
        <f>_xlfn.XLOOKUP(tblMaster[[#This Row],[Product_ID]],tblProducts[Product_ID],tblProducts[Occasion],"Not Found",0)</f>
        <v>All Occasions</v>
      </c>
      <c r="Q912" s="18">
        <f>_xlfn.XLOOKUP(tblMaster[[#This Row],[Product_ID]],tblProducts[Product_ID],tblProducts[Price (INR)],"Not Found",0)</f>
        <v>1639</v>
      </c>
      <c r="R912" s="19">
        <f>tblMaster[[#This Row],[Price]]*tblMaster[[#This Row],[Quantity]]</f>
        <v>6556</v>
      </c>
      <c r="S912" s="19">
        <f>tblMaster[[#This Row],[Price]]*0.7*tblMaster[[#This Row],[Quantity]]</f>
        <v>4589.2</v>
      </c>
      <c r="T912" s="19">
        <f>tblMaster[[#This Row],[Revenue]]-tblMaster[[#This Row],[Estimated Cost (at 70%) ]]</f>
        <v>1966.8000000000002</v>
      </c>
      <c r="U912" s="19">
        <f>tblMaster[[#This Row],[Profit]]/tblMaster[[#This Row],[Revenue]]</f>
        <v>0.30000000000000004</v>
      </c>
      <c r="V912" s="19">
        <f>tblMaster[[#This Row],[Delivery_Date]]-tblMaster[[#This Row],[Order_Date]]</f>
        <v>5</v>
      </c>
      <c r="W912" s="19" t="str">
        <f>TEXT(tblMaster[[#This Row],[Order_Date]],"mmmm")</f>
        <v>January</v>
      </c>
      <c r="X912" s="19">
        <f>MONTH(tblMaster[[#This Row],[Order_Date]])</f>
        <v>1</v>
      </c>
      <c r="Y912" s="19" t="str">
        <f>"Q"&amp;ROUNDUP(tblMaster[[#This Row],[Month Number]]/3,0)</f>
        <v>Q1</v>
      </c>
      <c r="Z912" s="19">
        <f>YEAR(tblMaster[[#This Row],[Order_Date]])</f>
        <v>2023</v>
      </c>
      <c r="AA912" s="19" t="str">
        <f>TEXT(DAY(tblMaster[[#This Row],[Order_Date]]),"dddd")</f>
        <v>Monday</v>
      </c>
      <c r="AB912" s="19" t="str">
        <f>IF(tblMaster[[#This Row],[Revenue]]&gt;=5000,"High",IF(tblMaster[[#This Row],[Revenue]]&lt;2000,"Low","Medium"))</f>
        <v>High</v>
      </c>
    </row>
    <row r="913" spans="1:28" x14ac:dyDescent="0.25">
      <c r="A913" s="10">
        <v>912</v>
      </c>
      <c r="B913" s="10" t="s">
        <v>285</v>
      </c>
      <c r="C913" s="5">
        <v>9</v>
      </c>
      <c r="D913" s="5">
        <v>4</v>
      </c>
      <c r="E913" s="11">
        <v>45167</v>
      </c>
      <c r="F913" s="12">
        <v>0.13193287037037038</v>
      </c>
      <c r="G913" s="11">
        <v>45175</v>
      </c>
      <c r="H913" s="12">
        <v>0.48349537037037038</v>
      </c>
      <c r="I913" s="10" t="s">
        <v>485</v>
      </c>
      <c r="J913" s="10" t="s">
        <v>33</v>
      </c>
      <c r="K913" s="18" t="str">
        <f>_xlfn.XLOOKUP(tblMaster[[#This Row],[Customer_ID]],tblCustomers[Customer_ID],tblCustomers[City],"Not Found",0)</f>
        <v>Nagpur</v>
      </c>
      <c r="L913" s="18" t="str">
        <f>_xlfn.XLOOKUP(tblMaster[[#This Row],[Customer_ID]],tblCustomers[Customer_ID],tblCustomers[Name],"Not Found",0)</f>
        <v>Inaaya  Sarraf</v>
      </c>
      <c r="M913" s="18" t="str">
        <f>_xlfn.XLOOKUP(tblMaster[[#This Row],[Customer_ID]],tblCustomers[Customer_ID],tblCustomers[Gender],"Not Found",0)</f>
        <v>Male</v>
      </c>
      <c r="N913" s="18" t="str">
        <f>_xlfn.XLOOKUP(tblMaster[[#This Row],[Product_ID]],tblProducts[Product_ID],tblProducts[Product_Name],"Not Found",0)</f>
        <v>Aperiam Box</v>
      </c>
      <c r="O913" s="18" t="str">
        <f>_xlfn.XLOOKUP(tblMaster[[#This Row],[Product_ID]],tblProducts[Product_ID],tblProducts[Category],"Not Found",0)</f>
        <v>Colors</v>
      </c>
      <c r="P913" s="18" t="str">
        <f>_xlfn.XLOOKUP(tblMaster[[#This Row],[Product_ID]],tblProducts[Product_ID],tblProducts[Occasion],"Not Found",0)</f>
        <v>Raksha Bandhan</v>
      </c>
      <c r="Q913" s="18">
        <f>_xlfn.XLOOKUP(tblMaster[[#This Row],[Product_ID]],tblProducts[Product_ID],tblProducts[Price (INR)],"Not Found",0)</f>
        <v>1605</v>
      </c>
      <c r="R913" s="19">
        <f>tblMaster[[#This Row],[Price]]*tblMaster[[#This Row],[Quantity]]</f>
        <v>6420</v>
      </c>
      <c r="S913" s="19">
        <f>tblMaster[[#This Row],[Price]]*0.7*tblMaster[[#This Row],[Quantity]]</f>
        <v>4494</v>
      </c>
      <c r="T913" s="19">
        <f>tblMaster[[#This Row],[Revenue]]-tblMaster[[#This Row],[Estimated Cost (at 70%) ]]</f>
        <v>1926</v>
      </c>
      <c r="U913" s="19">
        <f>tblMaster[[#This Row],[Profit]]/tblMaster[[#This Row],[Revenue]]</f>
        <v>0.3</v>
      </c>
      <c r="V913" s="19">
        <f>tblMaster[[#This Row],[Delivery_Date]]-tblMaster[[#This Row],[Order_Date]]</f>
        <v>8</v>
      </c>
      <c r="W913" s="19" t="str">
        <f>TEXT(tblMaster[[#This Row],[Order_Date]],"mmmm")</f>
        <v>August</v>
      </c>
      <c r="X913" s="19">
        <f>MONTH(tblMaster[[#This Row],[Order_Date]])</f>
        <v>8</v>
      </c>
      <c r="Y913" s="19" t="str">
        <f>"Q"&amp;ROUNDUP(tblMaster[[#This Row],[Month Number]]/3,0)</f>
        <v>Q3</v>
      </c>
      <c r="Z913" s="19">
        <f>YEAR(tblMaster[[#This Row],[Order_Date]])</f>
        <v>2023</v>
      </c>
      <c r="AA913" s="19" t="str">
        <f>TEXT(DAY(tblMaster[[#This Row],[Order_Date]]),"dddd")</f>
        <v>Sunday</v>
      </c>
      <c r="AB913" s="19" t="str">
        <f>IF(tblMaster[[#This Row],[Revenue]]&gt;=5000,"High",IF(tblMaster[[#This Row],[Revenue]]&lt;2000,"Low","Medium"))</f>
        <v>High</v>
      </c>
    </row>
    <row r="914" spans="1:28" x14ac:dyDescent="0.25">
      <c r="A914" s="7">
        <v>913</v>
      </c>
      <c r="B914" s="7" t="s">
        <v>361</v>
      </c>
      <c r="C914" s="4">
        <v>56</v>
      </c>
      <c r="D914" s="4">
        <v>5</v>
      </c>
      <c r="E914" s="8">
        <v>45270</v>
      </c>
      <c r="F914" s="9">
        <v>0.77736111111111106</v>
      </c>
      <c r="G914" s="8">
        <v>45272</v>
      </c>
      <c r="H914" s="9">
        <v>0.2341087962962963</v>
      </c>
      <c r="I914" s="7" t="s">
        <v>352</v>
      </c>
      <c r="J914" s="7" t="s">
        <v>30</v>
      </c>
      <c r="K914" s="18" t="str">
        <f>_xlfn.XLOOKUP(tblMaster[[#This Row],[Customer_ID]],tblCustomers[Customer_ID],tblCustomers[City],"Not Found",0)</f>
        <v>Dibrugarh</v>
      </c>
      <c r="L914" s="18" t="str">
        <f>_xlfn.XLOOKUP(tblMaster[[#This Row],[Customer_ID]],tblCustomers[Customer_ID],tblCustomers[Name],"Not Found",0)</f>
        <v>Zoya Mani</v>
      </c>
      <c r="M914" s="18" t="str">
        <f>_xlfn.XLOOKUP(tblMaster[[#This Row],[Customer_ID]],tblCustomers[Customer_ID],tblCustomers[Gender],"Not Found",0)</f>
        <v>Male</v>
      </c>
      <c r="N914" s="18" t="str">
        <f>_xlfn.XLOOKUP(tblMaster[[#This Row],[Product_ID]],tblProducts[Product_ID],tblProducts[Product_Name],"Not Found",0)</f>
        <v>Quia Gift</v>
      </c>
      <c r="O914" s="18" t="str">
        <f>_xlfn.XLOOKUP(tblMaster[[#This Row],[Product_ID]],tblProducts[Product_ID],tblProducts[Category],"Not Found",0)</f>
        <v>Raksha Bandhan</v>
      </c>
      <c r="P914" s="18" t="str">
        <f>_xlfn.XLOOKUP(tblMaster[[#This Row],[Product_ID]],tblProducts[Product_ID],tblProducts[Occasion],"Not Found",0)</f>
        <v>Anniversary</v>
      </c>
      <c r="Q914" s="18">
        <f>_xlfn.XLOOKUP(tblMaster[[#This Row],[Product_ID]],tblProducts[Product_ID],tblProducts[Price (INR)],"Not Found",0)</f>
        <v>1272</v>
      </c>
      <c r="R914" s="19">
        <f>tblMaster[[#This Row],[Price]]*tblMaster[[#This Row],[Quantity]]</f>
        <v>6360</v>
      </c>
      <c r="S914" s="19">
        <f>tblMaster[[#This Row],[Price]]*0.7*tblMaster[[#This Row],[Quantity]]</f>
        <v>4452</v>
      </c>
      <c r="T914" s="19">
        <f>tblMaster[[#This Row],[Revenue]]-tblMaster[[#This Row],[Estimated Cost (at 70%) ]]</f>
        <v>1908</v>
      </c>
      <c r="U914" s="19">
        <f>tblMaster[[#This Row],[Profit]]/tblMaster[[#This Row],[Revenue]]</f>
        <v>0.3</v>
      </c>
      <c r="V914" s="19">
        <f>tblMaster[[#This Row],[Delivery_Date]]-tblMaster[[#This Row],[Order_Date]]</f>
        <v>2</v>
      </c>
      <c r="W914" s="19" t="str">
        <f>TEXT(tblMaster[[#This Row],[Order_Date]],"mmmm")</f>
        <v>December</v>
      </c>
      <c r="X914" s="19">
        <f>MONTH(tblMaster[[#This Row],[Order_Date]])</f>
        <v>12</v>
      </c>
      <c r="Y914" s="19" t="str">
        <f>"Q"&amp;ROUNDUP(tblMaster[[#This Row],[Month Number]]/3,0)</f>
        <v>Q4</v>
      </c>
      <c r="Z914" s="19">
        <f>YEAR(tblMaster[[#This Row],[Order_Date]])</f>
        <v>2023</v>
      </c>
      <c r="AA914" s="19" t="str">
        <f>TEXT(DAY(tblMaster[[#This Row],[Order_Date]]),"dddd")</f>
        <v>Tuesday</v>
      </c>
      <c r="AB914" s="19" t="str">
        <f>IF(tblMaster[[#This Row],[Revenue]]&gt;=5000,"High",IF(tblMaster[[#This Row],[Revenue]]&lt;2000,"Low","Medium"))</f>
        <v>High</v>
      </c>
    </row>
    <row r="915" spans="1:28" x14ac:dyDescent="0.25">
      <c r="A915" s="10">
        <v>914</v>
      </c>
      <c r="B915" s="10" t="s">
        <v>331</v>
      </c>
      <c r="C915" s="5">
        <v>33</v>
      </c>
      <c r="D915" s="5">
        <v>4</v>
      </c>
      <c r="E915" s="11">
        <v>44966</v>
      </c>
      <c r="F915" s="12">
        <v>0.61965277777777783</v>
      </c>
      <c r="G915" s="11">
        <v>44971</v>
      </c>
      <c r="H915" s="12">
        <v>0.40787037037037038</v>
      </c>
      <c r="I915" s="10" t="s">
        <v>368</v>
      </c>
      <c r="J915" s="10" t="s">
        <v>12</v>
      </c>
      <c r="K915" s="18" t="str">
        <f>_xlfn.XLOOKUP(tblMaster[[#This Row],[Customer_ID]],tblCustomers[Customer_ID],tblCustomers[City],"Not Found",0)</f>
        <v>Guntakal</v>
      </c>
      <c r="L915" s="18" t="str">
        <f>_xlfn.XLOOKUP(tblMaster[[#This Row],[Customer_ID]],tblCustomers[Customer_ID],tblCustomers[Name],"Not Found",0)</f>
        <v>Aradhya Kale</v>
      </c>
      <c r="M915" s="18" t="str">
        <f>_xlfn.XLOOKUP(tblMaster[[#This Row],[Customer_ID]],tblCustomers[Customer_ID],tblCustomers[Gender],"Not Found",0)</f>
        <v>Male</v>
      </c>
      <c r="N915" s="18" t="str">
        <f>_xlfn.XLOOKUP(tblMaster[[#This Row],[Product_ID]],tblProducts[Product_ID],tblProducts[Product_Name],"Not Found",0)</f>
        <v>Earum Set</v>
      </c>
      <c r="O915" s="18" t="str">
        <f>_xlfn.XLOOKUP(tblMaster[[#This Row],[Product_ID]],tblProducts[Product_ID],tblProducts[Category],"Not Found",0)</f>
        <v>Colors</v>
      </c>
      <c r="P915" s="18" t="str">
        <f>_xlfn.XLOOKUP(tblMaster[[#This Row],[Product_ID]],tblProducts[Product_ID],tblProducts[Occasion],"Not Found",0)</f>
        <v>Valentine's Day</v>
      </c>
      <c r="Q915" s="18">
        <f>_xlfn.XLOOKUP(tblMaster[[#This Row],[Product_ID]],tblProducts[Product_ID],tblProducts[Price (INR)],"Not Found",0)</f>
        <v>314</v>
      </c>
      <c r="R915" s="19">
        <f>tblMaster[[#This Row],[Price]]*tblMaster[[#This Row],[Quantity]]</f>
        <v>1256</v>
      </c>
      <c r="S915" s="19">
        <f>tblMaster[[#This Row],[Price]]*0.7*tblMaster[[#This Row],[Quantity]]</f>
        <v>879.19999999999993</v>
      </c>
      <c r="T915" s="19">
        <f>tblMaster[[#This Row],[Revenue]]-tblMaster[[#This Row],[Estimated Cost (at 70%) ]]</f>
        <v>376.80000000000007</v>
      </c>
      <c r="U915" s="19">
        <f>tblMaster[[#This Row],[Profit]]/tblMaster[[#This Row],[Revenue]]</f>
        <v>0.30000000000000004</v>
      </c>
      <c r="V915" s="19">
        <f>tblMaster[[#This Row],[Delivery_Date]]-tblMaster[[#This Row],[Order_Date]]</f>
        <v>5</v>
      </c>
      <c r="W915" s="19" t="str">
        <f>TEXT(tblMaster[[#This Row],[Order_Date]],"mmmm")</f>
        <v>February</v>
      </c>
      <c r="X915" s="19">
        <f>MONTH(tblMaster[[#This Row],[Order_Date]])</f>
        <v>2</v>
      </c>
      <c r="Y915" s="19" t="str">
        <f>"Q"&amp;ROUNDUP(tblMaster[[#This Row],[Month Number]]/3,0)</f>
        <v>Q1</v>
      </c>
      <c r="Z915" s="19">
        <f>YEAR(tblMaster[[#This Row],[Order_Date]])</f>
        <v>2023</v>
      </c>
      <c r="AA915" s="19" t="str">
        <f>TEXT(DAY(tblMaster[[#This Row],[Order_Date]]),"dddd")</f>
        <v>Monday</v>
      </c>
      <c r="AB915" s="19" t="str">
        <f>IF(tblMaster[[#This Row],[Revenue]]&gt;=5000,"High",IF(tblMaster[[#This Row],[Revenue]]&lt;2000,"Low","Medium"))</f>
        <v>Low</v>
      </c>
    </row>
    <row r="916" spans="1:28" x14ac:dyDescent="0.25">
      <c r="A916" s="7">
        <v>915</v>
      </c>
      <c r="B916" s="7" t="s">
        <v>248</v>
      </c>
      <c r="C916" s="4">
        <v>35</v>
      </c>
      <c r="D916" s="4">
        <v>1</v>
      </c>
      <c r="E916" s="8">
        <v>44991</v>
      </c>
      <c r="F916" s="9">
        <v>0.8837962962962963</v>
      </c>
      <c r="G916" s="8">
        <v>44999</v>
      </c>
      <c r="H916" s="9">
        <v>0.23098379629629628</v>
      </c>
      <c r="I916" s="7" t="s">
        <v>501</v>
      </c>
      <c r="J916" s="7" t="s">
        <v>25</v>
      </c>
      <c r="K916" s="18" t="str">
        <f>_xlfn.XLOOKUP(tblMaster[[#This Row],[Customer_ID]],tblCustomers[Customer_ID],tblCustomers[City],"Not Found",0)</f>
        <v>Panvel</v>
      </c>
      <c r="L916" s="18" t="str">
        <f>_xlfn.XLOOKUP(tblMaster[[#This Row],[Customer_ID]],tblCustomers[Customer_ID],tblCustomers[Name],"Not Found",0)</f>
        <v>Indrans Shukla</v>
      </c>
      <c r="M916" s="18" t="str">
        <f>_xlfn.XLOOKUP(tblMaster[[#This Row],[Customer_ID]],tblCustomers[Customer_ID],tblCustomers[Gender],"Not Found",0)</f>
        <v>Female</v>
      </c>
      <c r="N916" s="18" t="str">
        <f>_xlfn.XLOOKUP(tblMaster[[#This Row],[Product_ID]],tblProducts[Product_ID],tblProducts[Product_Name],"Not Found",0)</f>
        <v>Nam Gift</v>
      </c>
      <c r="O916" s="18" t="str">
        <f>_xlfn.XLOOKUP(tblMaster[[#This Row],[Product_ID]],tblProducts[Product_ID],tblProducts[Category],"Not Found",0)</f>
        <v>Colors</v>
      </c>
      <c r="P916" s="18" t="str">
        <f>_xlfn.XLOOKUP(tblMaster[[#This Row],[Product_ID]],tblProducts[Product_ID],tblProducts[Occasion],"Not Found",0)</f>
        <v>Holi</v>
      </c>
      <c r="Q916" s="18">
        <f>_xlfn.XLOOKUP(tblMaster[[#This Row],[Product_ID]],tblProducts[Product_ID],tblProducts[Price (INR)],"Not Found",0)</f>
        <v>1865</v>
      </c>
      <c r="R916" s="19">
        <f>tblMaster[[#This Row],[Price]]*tblMaster[[#This Row],[Quantity]]</f>
        <v>1865</v>
      </c>
      <c r="S916" s="19">
        <f>tblMaster[[#This Row],[Price]]*0.7*tblMaster[[#This Row],[Quantity]]</f>
        <v>1305.5</v>
      </c>
      <c r="T916" s="19">
        <f>tblMaster[[#This Row],[Revenue]]-tblMaster[[#This Row],[Estimated Cost (at 70%) ]]</f>
        <v>559.5</v>
      </c>
      <c r="U916" s="19">
        <f>tblMaster[[#This Row],[Profit]]/tblMaster[[#This Row],[Revenue]]</f>
        <v>0.3</v>
      </c>
      <c r="V916" s="19">
        <f>tblMaster[[#This Row],[Delivery_Date]]-tblMaster[[#This Row],[Order_Date]]</f>
        <v>8</v>
      </c>
      <c r="W916" s="19" t="str">
        <f>TEXT(tblMaster[[#This Row],[Order_Date]],"mmmm")</f>
        <v>March</v>
      </c>
      <c r="X916" s="19">
        <f>MONTH(tblMaster[[#This Row],[Order_Date]])</f>
        <v>3</v>
      </c>
      <c r="Y916" s="19" t="str">
        <f>"Q"&amp;ROUNDUP(tblMaster[[#This Row],[Month Number]]/3,0)</f>
        <v>Q1</v>
      </c>
      <c r="Z916" s="19">
        <f>YEAR(tblMaster[[#This Row],[Order_Date]])</f>
        <v>2023</v>
      </c>
      <c r="AA916" s="19" t="str">
        <f>TEXT(DAY(tblMaster[[#This Row],[Order_Date]]),"dddd")</f>
        <v>Friday</v>
      </c>
      <c r="AB916" s="19" t="str">
        <f>IF(tblMaster[[#This Row],[Revenue]]&gt;=5000,"High",IF(tblMaster[[#This Row],[Revenue]]&lt;2000,"Low","Medium"))</f>
        <v>Low</v>
      </c>
    </row>
    <row r="917" spans="1:28" x14ac:dyDescent="0.25">
      <c r="A917" s="10">
        <v>916</v>
      </c>
      <c r="B917" s="10" t="s">
        <v>213</v>
      </c>
      <c r="C917" s="5">
        <v>33</v>
      </c>
      <c r="D917" s="5">
        <v>2</v>
      </c>
      <c r="E917" s="11">
        <v>44963</v>
      </c>
      <c r="F917" s="12">
        <v>0.18274305555555556</v>
      </c>
      <c r="G917" s="11">
        <v>44971</v>
      </c>
      <c r="H917" s="12">
        <v>0.88847222222222222</v>
      </c>
      <c r="I917" s="10" t="s">
        <v>264</v>
      </c>
      <c r="J917" s="10" t="s">
        <v>12</v>
      </c>
      <c r="K917" s="18" t="str">
        <f>_xlfn.XLOOKUP(tblMaster[[#This Row],[Customer_ID]],tblCustomers[Customer_ID],tblCustomers[City],"Not Found",0)</f>
        <v>Jamnagar</v>
      </c>
      <c r="L917" s="18" t="str">
        <f>_xlfn.XLOOKUP(tblMaster[[#This Row],[Customer_ID]],tblCustomers[Customer_ID],tblCustomers[Name],"Not Found",0)</f>
        <v>Arhaan Ahluwalia</v>
      </c>
      <c r="M917" s="18" t="str">
        <f>_xlfn.XLOOKUP(tblMaster[[#This Row],[Customer_ID]],tblCustomers[Customer_ID],tblCustomers[Gender],"Not Found",0)</f>
        <v>Male</v>
      </c>
      <c r="N917" s="18" t="str">
        <f>_xlfn.XLOOKUP(tblMaster[[#This Row],[Product_ID]],tblProducts[Product_ID],tblProducts[Product_Name],"Not Found",0)</f>
        <v>Earum Set</v>
      </c>
      <c r="O917" s="18" t="str">
        <f>_xlfn.XLOOKUP(tblMaster[[#This Row],[Product_ID]],tblProducts[Product_ID],tblProducts[Category],"Not Found",0)</f>
        <v>Colors</v>
      </c>
      <c r="P917" s="18" t="str">
        <f>_xlfn.XLOOKUP(tblMaster[[#This Row],[Product_ID]],tblProducts[Product_ID],tblProducts[Occasion],"Not Found",0)</f>
        <v>Valentine's Day</v>
      </c>
      <c r="Q917" s="18">
        <f>_xlfn.XLOOKUP(tblMaster[[#This Row],[Product_ID]],tblProducts[Product_ID],tblProducts[Price (INR)],"Not Found",0)</f>
        <v>314</v>
      </c>
      <c r="R917" s="19">
        <f>tblMaster[[#This Row],[Price]]*tblMaster[[#This Row],[Quantity]]</f>
        <v>628</v>
      </c>
      <c r="S917" s="19">
        <f>tblMaster[[#This Row],[Price]]*0.7*tblMaster[[#This Row],[Quantity]]</f>
        <v>439.59999999999997</v>
      </c>
      <c r="T917" s="19">
        <f>tblMaster[[#This Row],[Revenue]]-tblMaster[[#This Row],[Estimated Cost (at 70%) ]]</f>
        <v>188.40000000000003</v>
      </c>
      <c r="U917" s="19">
        <f>tblMaster[[#This Row],[Profit]]/tblMaster[[#This Row],[Revenue]]</f>
        <v>0.30000000000000004</v>
      </c>
      <c r="V917" s="19">
        <f>tblMaster[[#This Row],[Delivery_Date]]-tblMaster[[#This Row],[Order_Date]]</f>
        <v>8</v>
      </c>
      <c r="W917" s="19" t="str">
        <f>TEXT(tblMaster[[#This Row],[Order_Date]],"mmmm")</f>
        <v>February</v>
      </c>
      <c r="X917" s="19">
        <f>MONTH(tblMaster[[#This Row],[Order_Date]])</f>
        <v>2</v>
      </c>
      <c r="Y917" s="19" t="str">
        <f>"Q"&amp;ROUNDUP(tblMaster[[#This Row],[Month Number]]/3,0)</f>
        <v>Q1</v>
      </c>
      <c r="Z917" s="19">
        <f>YEAR(tblMaster[[#This Row],[Order_Date]])</f>
        <v>2023</v>
      </c>
      <c r="AA917" s="19" t="str">
        <f>TEXT(DAY(tblMaster[[#This Row],[Order_Date]]),"dddd")</f>
        <v>Friday</v>
      </c>
      <c r="AB917" s="19" t="str">
        <f>IF(tblMaster[[#This Row],[Revenue]]&gt;=5000,"High",IF(tblMaster[[#This Row],[Revenue]]&lt;2000,"Low","Medium"))</f>
        <v>Low</v>
      </c>
    </row>
    <row r="918" spans="1:28" x14ac:dyDescent="0.25">
      <c r="A918" s="7">
        <v>917</v>
      </c>
      <c r="B918" s="7" t="s">
        <v>437</v>
      </c>
      <c r="C918" s="4">
        <v>12</v>
      </c>
      <c r="D918" s="4">
        <v>3</v>
      </c>
      <c r="E918" s="8">
        <v>44950</v>
      </c>
      <c r="F918" s="9">
        <v>0.24784722222222222</v>
      </c>
      <c r="G918" s="8">
        <v>44955</v>
      </c>
      <c r="H918" s="9">
        <v>0.46137731481481481</v>
      </c>
      <c r="I918" s="7" t="s">
        <v>399</v>
      </c>
      <c r="J918" s="7" t="s">
        <v>30</v>
      </c>
      <c r="K918" s="18" t="str">
        <f>_xlfn.XLOOKUP(tblMaster[[#This Row],[Customer_ID]],tblCustomers[Customer_ID],tblCustomers[City],"Not Found",0)</f>
        <v>Dhanbad</v>
      </c>
      <c r="L918" s="18" t="str">
        <f>_xlfn.XLOOKUP(tblMaster[[#This Row],[Customer_ID]],tblCustomers[Customer_ID],tblCustomers[Name],"Not Found",0)</f>
        <v>Vardaniya Apte</v>
      </c>
      <c r="M918" s="18" t="str">
        <f>_xlfn.XLOOKUP(tblMaster[[#This Row],[Customer_ID]],tblCustomers[Customer_ID],tblCustomers[Gender],"Not Found",0)</f>
        <v>Male</v>
      </c>
      <c r="N918" s="18" t="str">
        <f>_xlfn.XLOOKUP(tblMaster[[#This Row],[Product_ID]],tblProducts[Product_ID],tblProducts[Product_Name],"Not Found",0)</f>
        <v>Non Set</v>
      </c>
      <c r="O918" s="18" t="str">
        <f>_xlfn.XLOOKUP(tblMaster[[#This Row],[Product_ID]],tblProducts[Product_ID],tblProducts[Category],"Not Found",0)</f>
        <v>Plants</v>
      </c>
      <c r="P918" s="18" t="str">
        <f>_xlfn.XLOOKUP(tblMaster[[#This Row],[Product_ID]],tblProducts[Product_ID],tblProducts[Occasion],"Not Found",0)</f>
        <v>Anniversary</v>
      </c>
      <c r="Q918" s="18">
        <f>_xlfn.XLOOKUP(tblMaster[[#This Row],[Product_ID]],tblProducts[Product_ID],tblProducts[Price (INR)],"Not Found",0)</f>
        <v>672</v>
      </c>
      <c r="R918" s="19">
        <f>tblMaster[[#This Row],[Price]]*tblMaster[[#This Row],[Quantity]]</f>
        <v>2016</v>
      </c>
      <c r="S918" s="19">
        <f>tblMaster[[#This Row],[Price]]*0.7*tblMaster[[#This Row],[Quantity]]</f>
        <v>1411.1999999999998</v>
      </c>
      <c r="T918" s="19">
        <f>tblMaster[[#This Row],[Revenue]]-tblMaster[[#This Row],[Estimated Cost (at 70%) ]]</f>
        <v>604.80000000000018</v>
      </c>
      <c r="U918" s="19">
        <f>tblMaster[[#This Row],[Profit]]/tblMaster[[#This Row],[Revenue]]</f>
        <v>0.3000000000000001</v>
      </c>
      <c r="V918" s="19">
        <f>tblMaster[[#This Row],[Delivery_Date]]-tblMaster[[#This Row],[Order_Date]]</f>
        <v>5</v>
      </c>
      <c r="W918" s="19" t="str">
        <f>TEXT(tblMaster[[#This Row],[Order_Date]],"mmmm")</f>
        <v>January</v>
      </c>
      <c r="X918" s="19">
        <f>MONTH(tblMaster[[#This Row],[Order_Date]])</f>
        <v>1</v>
      </c>
      <c r="Y918" s="19" t="str">
        <f>"Q"&amp;ROUNDUP(tblMaster[[#This Row],[Month Number]]/3,0)</f>
        <v>Q1</v>
      </c>
      <c r="Z918" s="19">
        <f>YEAR(tblMaster[[#This Row],[Order_Date]])</f>
        <v>2023</v>
      </c>
      <c r="AA918" s="19" t="str">
        <f>TEXT(DAY(tblMaster[[#This Row],[Order_Date]]),"dddd")</f>
        <v>Tuesday</v>
      </c>
      <c r="AB918" s="19" t="str">
        <f>IF(tblMaster[[#This Row],[Revenue]]&gt;=5000,"High",IF(tblMaster[[#This Row],[Revenue]]&lt;2000,"Low","Medium"))</f>
        <v>Medium</v>
      </c>
    </row>
    <row r="919" spans="1:28" x14ac:dyDescent="0.25">
      <c r="A919" s="10">
        <v>918</v>
      </c>
      <c r="B919" s="10" t="s">
        <v>333</v>
      </c>
      <c r="C919" s="5">
        <v>19</v>
      </c>
      <c r="D919" s="5">
        <v>2</v>
      </c>
      <c r="E919" s="11">
        <v>44969</v>
      </c>
      <c r="F919" s="12">
        <v>0.7590972222222222</v>
      </c>
      <c r="G919" s="11">
        <v>44978</v>
      </c>
      <c r="H919" s="12">
        <v>0.91812499999999997</v>
      </c>
      <c r="I919" s="10" t="s">
        <v>544</v>
      </c>
      <c r="J919" s="10" t="s">
        <v>12</v>
      </c>
      <c r="K919" s="18" t="str">
        <f>_xlfn.XLOOKUP(tblMaster[[#This Row],[Customer_ID]],tblCustomers[Customer_ID],tblCustomers[City],"Not Found",0)</f>
        <v>Raurkela Industrial Township</v>
      </c>
      <c r="L919" s="18" t="str">
        <f>_xlfn.XLOOKUP(tblMaster[[#This Row],[Customer_ID]],tblCustomers[Customer_ID],tblCustomers[Name],"Not Found",0)</f>
        <v>Aaryahi Sodhi</v>
      </c>
      <c r="M919" s="18" t="str">
        <f>_xlfn.XLOOKUP(tblMaster[[#This Row],[Customer_ID]],tblCustomers[Customer_ID],tblCustomers[Gender],"Not Found",0)</f>
        <v>Male</v>
      </c>
      <c r="N919" s="18" t="str">
        <f>_xlfn.XLOOKUP(tblMaster[[#This Row],[Product_ID]],tblProducts[Product_ID],tblProducts[Product_Name],"Not Found",0)</f>
        <v>Iure Gift</v>
      </c>
      <c r="O919" s="18" t="str">
        <f>_xlfn.XLOOKUP(tblMaster[[#This Row],[Product_ID]],tblProducts[Product_ID],tblProducts[Category],"Not Found",0)</f>
        <v>Mugs</v>
      </c>
      <c r="P919" s="18" t="str">
        <f>_xlfn.XLOOKUP(tblMaster[[#This Row],[Product_ID]],tblProducts[Product_ID],tblProducts[Occasion],"Not Found",0)</f>
        <v>Valentine's Day</v>
      </c>
      <c r="Q919" s="18">
        <f>_xlfn.XLOOKUP(tblMaster[[#This Row],[Product_ID]],tblProducts[Product_ID],tblProducts[Price (INR)],"Not Found",0)</f>
        <v>1234</v>
      </c>
      <c r="R919" s="19">
        <f>tblMaster[[#This Row],[Price]]*tblMaster[[#This Row],[Quantity]]</f>
        <v>2468</v>
      </c>
      <c r="S919" s="19">
        <f>tblMaster[[#This Row],[Price]]*0.7*tblMaster[[#This Row],[Quantity]]</f>
        <v>1727.6</v>
      </c>
      <c r="T919" s="19">
        <f>tblMaster[[#This Row],[Revenue]]-tblMaster[[#This Row],[Estimated Cost (at 70%) ]]</f>
        <v>740.40000000000009</v>
      </c>
      <c r="U919" s="19">
        <f>tblMaster[[#This Row],[Profit]]/tblMaster[[#This Row],[Revenue]]</f>
        <v>0.30000000000000004</v>
      </c>
      <c r="V919" s="19">
        <f>tblMaster[[#This Row],[Delivery_Date]]-tblMaster[[#This Row],[Order_Date]]</f>
        <v>9</v>
      </c>
      <c r="W919" s="19" t="str">
        <f>TEXT(tblMaster[[#This Row],[Order_Date]],"mmmm")</f>
        <v>February</v>
      </c>
      <c r="X919" s="19">
        <f>MONTH(tblMaster[[#This Row],[Order_Date]])</f>
        <v>2</v>
      </c>
      <c r="Y919" s="19" t="str">
        <f>"Q"&amp;ROUNDUP(tblMaster[[#This Row],[Month Number]]/3,0)</f>
        <v>Q1</v>
      </c>
      <c r="Z919" s="19">
        <f>YEAR(tblMaster[[#This Row],[Order_Date]])</f>
        <v>2023</v>
      </c>
      <c r="AA919" s="19" t="str">
        <f>TEXT(DAY(tblMaster[[#This Row],[Order_Date]]),"dddd")</f>
        <v>Thursday</v>
      </c>
      <c r="AB919" s="19" t="str">
        <f>IF(tblMaster[[#This Row],[Revenue]]&gt;=5000,"High",IF(tblMaster[[#This Row],[Revenue]]&lt;2000,"Low","Medium"))</f>
        <v>Medium</v>
      </c>
    </row>
    <row r="920" spans="1:28" x14ac:dyDescent="0.25">
      <c r="A920" s="7">
        <v>919</v>
      </c>
      <c r="B920" s="7" t="s">
        <v>293</v>
      </c>
      <c r="C920" s="4">
        <v>35</v>
      </c>
      <c r="D920" s="4">
        <v>5</v>
      </c>
      <c r="E920" s="8">
        <v>44985</v>
      </c>
      <c r="F920" s="9">
        <v>0.35269675925925925</v>
      </c>
      <c r="G920" s="8">
        <v>44989</v>
      </c>
      <c r="H920" s="9">
        <v>3.8078703703703703E-3</v>
      </c>
      <c r="I920" s="7" t="s">
        <v>245</v>
      </c>
      <c r="J920" s="7" t="s">
        <v>25</v>
      </c>
      <c r="K920" s="18" t="str">
        <f>_xlfn.XLOOKUP(tblMaster[[#This Row],[Customer_ID]],tblCustomers[Customer_ID],tblCustomers[City],"Not Found",0)</f>
        <v>Aizawl</v>
      </c>
      <c r="L920" s="18" t="str">
        <f>_xlfn.XLOOKUP(tblMaster[[#This Row],[Customer_ID]],tblCustomers[Customer_ID],tblCustomers[Name],"Not Found",0)</f>
        <v>Yakshit Shah</v>
      </c>
      <c r="M920" s="18" t="str">
        <f>_xlfn.XLOOKUP(tblMaster[[#This Row],[Customer_ID]],tblCustomers[Customer_ID],tblCustomers[Gender],"Not Found",0)</f>
        <v>Female</v>
      </c>
      <c r="N920" s="18" t="str">
        <f>_xlfn.XLOOKUP(tblMaster[[#This Row],[Product_ID]],tblProducts[Product_ID],tblProducts[Product_Name],"Not Found",0)</f>
        <v>Nam Gift</v>
      </c>
      <c r="O920" s="18" t="str">
        <f>_xlfn.XLOOKUP(tblMaster[[#This Row],[Product_ID]],tblProducts[Product_ID],tblProducts[Category],"Not Found",0)</f>
        <v>Colors</v>
      </c>
      <c r="P920" s="18" t="str">
        <f>_xlfn.XLOOKUP(tblMaster[[#This Row],[Product_ID]],tblProducts[Product_ID],tblProducts[Occasion],"Not Found",0)</f>
        <v>Holi</v>
      </c>
      <c r="Q920" s="18">
        <f>_xlfn.XLOOKUP(tblMaster[[#This Row],[Product_ID]],tblProducts[Product_ID],tblProducts[Price (INR)],"Not Found",0)</f>
        <v>1865</v>
      </c>
      <c r="R920" s="19">
        <f>tblMaster[[#This Row],[Price]]*tblMaster[[#This Row],[Quantity]]</f>
        <v>9325</v>
      </c>
      <c r="S920" s="19">
        <f>tblMaster[[#This Row],[Price]]*0.7*tblMaster[[#This Row],[Quantity]]</f>
        <v>6527.5</v>
      </c>
      <c r="T920" s="19">
        <f>tblMaster[[#This Row],[Revenue]]-tblMaster[[#This Row],[Estimated Cost (at 70%) ]]</f>
        <v>2797.5</v>
      </c>
      <c r="U920" s="19">
        <f>tblMaster[[#This Row],[Profit]]/tblMaster[[#This Row],[Revenue]]</f>
        <v>0.3</v>
      </c>
      <c r="V920" s="19">
        <f>tblMaster[[#This Row],[Delivery_Date]]-tblMaster[[#This Row],[Order_Date]]</f>
        <v>4</v>
      </c>
      <c r="W920" s="19" t="str">
        <f>TEXT(tblMaster[[#This Row],[Order_Date]],"mmmm")</f>
        <v>February</v>
      </c>
      <c r="X920" s="19">
        <f>MONTH(tblMaster[[#This Row],[Order_Date]])</f>
        <v>2</v>
      </c>
      <c r="Y920" s="19" t="str">
        <f>"Q"&amp;ROUNDUP(tblMaster[[#This Row],[Month Number]]/3,0)</f>
        <v>Q1</v>
      </c>
      <c r="Z920" s="19">
        <f>YEAR(tblMaster[[#This Row],[Order_Date]])</f>
        <v>2023</v>
      </c>
      <c r="AA920" s="19" t="str">
        <f>TEXT(DAY(tblMaster[[#This Row],[Order_Date]]),"dddd")</f>
        <v>Saturday</v>
      </c>
      <c r="AB920" s="19" t="str">
        <f>IF(tblMaster[[#This Row],[Revenue]]&gt;=5000,"High",IF(tblMaster[[#This Row],[Revenue]]&lt;2000,"Low","Medium"))</f>
        <v>High</v>
      </c>
    </row>
    <row r="921" spans="1:28" x14ac:dyDescent="0.25">
      <c r="A921" s="10">
        <v>920</v>
      </c>
      <c r="B921" s="10" t="s">
        <v>335</v>
      </c>
      <c r="C921" s="5">
        <v>45</v>
      </c>
      <c r="D921" s="5">
        <v>1</v>
      </c>
      <c r="E921" s="11">
        <v>45106</v>
      </c>
      <c r="F921" s="12">
        <v>0.84936342592592595</v>
      </c>
      <c r="G921" s="11">
        <v>45115</v>
      </c>
      <c r="H921" s="12">
        <v>0.98723379629629626</v>
      </c>
      <c r="I921" s="10" t="s">
        <v>319</v>
      </c>
      <c r="J921" s="10" t="s">
        <v>36</v>
      </c>
      <c r="K921" s="18" t="str">
        <f>_xlfn.XLOOKUP(tblMaster[[#This Row],[Customer_ID]],tblCustomers[Customer_ID],tblCustomers[City],"Not Found",0)</f>
        <v>Farrukhabad</v>
      </c>
      <c r="L921" s="18" t="str">
        <f>_xlfn.XLOOKUP(tblMaster[[#This Row],[Customer_ID]],tblCustomers[Customer_ID],tblCustomers[Name],"Not Found",0)</f>
        <v>Ira Chahal</v>
      </c>
      <c r="M921" s="18" t="str">
        <f>_xlfn.XLOOKUP(tblMaster[[#This Row],[Customer_ID]],tblCustomers[Customer_ID],tblCustomers[Gender],"Not Found",0)</f>
        <v>Female</v>
      </c>
      <c r="N921" s="18" t="str">
        <f>_xlfn.XLOOKUP(tblMaster[[#This Row],[Product_ID]],tblProducts[Product_ID],tblProducts[Product_Name],"Not Found",0)</f>
        <v>Iusto Set</v>
      </c>
      <c r="O921" s="18" t="str">
        <f>_xlfn.XLOOKUP(tblMaster[[#This Row],[Product_ID]],tblProducts[Product_ID],tblProducts[Category],"Not Found",0)</f>
        <v>Raksha Bandhan</v>
      </c>
      <c r="P921" s="18" t="str">
        <f>_xlfn.XLOOKUP(tblMaster[[#This Row],[Product_ID]],tblProducts[Product_ID],tblProducts[Occasion],"Not Found",0)</f>
        <v>Birthday</v>
      </c>
      <c r="Q921" s="18">
        <f>_xlfn.XLOOKUP(tblMaster[[#This Row],[Product_ID]],tblProducts[Product_ID],tblProducts[Price (INR)],"Not Found",0)</f>
        <v>722</v>
      </c>
      <c r="R921" s="19">
        <f>tblMaster[[#This Row],[Price]]*tblMaster[[#This Row],[Quantity]]</f>
        <v>722</v>
      </c>
      <c r="S921" s="19">
        <f>tblMaster[[#This Row],[Price]]*0.7*tblMaster[[#This Row],[Quantity]]</f>
        <v>505.4</v>
      </c>
      <c r="T921" s="19">
        <f>tblMaster[[#This Row],[Revenue]]-tblMaster[[#This Row],[Estimated Cost (at 70%) ]]</f>
        <v>216.60000000000002</v>
      </c>
      <c r="U921" s="19">
        <f>tblMaster[[#This Row],[Profit]]/tblMaster[[#This Row],[Revenue]]</f>
        <v>0.30000000000000004</v>
      </c>
      <c r="V921" s="19">
        <f>tblMaster[[#This Row],[Delivery_Date]]-tblMaster[[#This Row],[Order_Date]]</f>
        <v>9</v>
      </c>
      <c r="W921" s="19" t="str">
        <f>TEXT(tblMaster[[#This Row],[Order_Date]],"mmmm")</f>
        <v>June</v>
      </c>
      <c r="X921" s="19">
        <f>MONTH(tblMaster[[#This Row],[Order_Date]])</f>
        <v>6</v>
      </c>
      <c r="Y921" s="19" t="str">
        <f>"Q"&amp;ROUNDUP(tblMaster[[#This Row],[Month Number]]/3,0)</f>
        <v>Q2</v>
      </c>
      <c r="Z921" s="19">
        <f>YEAR(tblMaster[[#This Row],[Order_Date]])</f>
        <v>2023</v>
      </c>
      <c r="AA921" s="19" t="str">
        <f>TEXT(DAY(tblMaster[[#This Row],[Order_Date]]),"dddd")</f>
        <v>Sunday</v>
      </c>
      <c r="AB921" s="19" t="str">
        <f>IF(tblMaster[[#This Row],[Revenue]]&gt;=5000,"High",IF(tblMaster[[#This Row],[Revenue]]&lt;2000,"Low","Medium"))</f>
        <v>Low</v>
      </c>
    </row>
    <row r="922" spans="1:28" x14ac:dyDescent="0.25">
      <c r="A922" s="7">
        <v>921</v>
      </c>
      <c r="B922" s="7" t="s">
        <v>174</v>
      </c>
      <c r="C922" s="4">
        <v>23</v>
      </c>
      <c r="D922" s="4">
        <v>4</v>
      </c>
      <c r="E922" s="8">
        <v>45187</v>
      </c>
      <c r="F922" s="9">
        <v>0.57824074074074072</v>
      </c>
      <c r="G922" s="8">
        <v>45192</v>
      </c>
      <c r="H922" s="9">
        <v>0.30724537037037036</v>
      </c>
      <c r="I922" s="7" t="s">
        <v>485</v>
      </c>
      <c r="J922" s="7" t="s">
        <v>30</v>
      </c>
      <c r="K922" s="18" t="str">
        <f>_xlfn.XLOOKUP(tblMaster[[#This Row],[Customer_ID]],tblCustomers[Customer_ID],tblCustomers[City],"Not Found",0)</f>
        <v>Bhubaneswar</v>
      </c>
      <c r="L922" s="18" t="str">
        <f>_xlfn.XLOOKUP(tblMaster[[#This Row],[Customer_ID]],tblCustomers[Customer_ID],tblCustomers[Name],"Not Found",0)</f>
        <v>Jivika Rajan</v>
      </c>
      <c r="M922" s="18" t="str">
        <f>_xlfn.XLOOKUP(tblMaster[[#This Row],[Customer_ID]],tblCustomers[Customer_ID],tblCustomers[Gender],"Not Found",0)</f>
        <v>Female</v>
      </c>
      <c r="N922" s="18" t="str">
        <f>_xlfn.XLOOKUP(tblMaster[[#This Row],[Product_ID]],tblProducts[Product_ID],tblProducts[Product_Name],"Not Found",0)</f>
        <v>Dignissimos Pack</v>
      </c>
      <c r="O922" s="18" t="str">
        <f>_xlfn.XLOOKUP(tblMaster[[#This Row],[Product_ID]],tblProducts[Product_ID],tblProducts[Category],"Not Found",0)</f>
        <v>Sweets</v>
      </c>
      <c r="P922" s="18" t="str">
        <f>_xlfn.XLOOKUP(tblMaster[[#This Row],[Product_ID]],tblProducts[Product_ID],tblProducts[Occasion],"Not Found",0)</f>
        <v>Anniversary</v>
      </c>
      <c r="Q922" s="18">
        <f>_xlfn.XLOOKUP(tblMaster[[#This Row],[Product_ID]],tblProducts[Product_ID],tblProducts[Price (INR)],"Not Found",0)</f>
        <v>1098</v>
      </c>
      <c r="R922" s="19">
        <f>tblMaster[[#This Row],[Price]]*tblMaster[[#This Row],[Quantity]]</f>
        <v>4392</v>
      </c>
      <c r="S922" s="19">
        <f>tblMaster[[#This Row],[Price]]*0.7*tblMaster[[#This Row],[Quantity]]</f>
        <v>3074.3999999999996</v>
      </c>
      <c r="T922" s="19">
        <f>tblMaster[[#This Row],[Revenue]]-tblMaster[[#This Row],[Estimated Cost (at 70%) ]]</f>
        <v>1317.6000000000004</v>
      </c>
      <c r="U922" s="19">
        <f>tblMaster[[#This Row],[Profit]]/tblMaster[[#This Row],[Revenue]]</f>
        <v>0.3000000000000001</v>
      </c>
      <c r="V922" s="19">
        <f>tblMaster[[#This Row],[Delivery_Date]]-tblMaster[[#This Row],[Order_Date]]</f>
        <v>5</v>
      </c>
      <c r="W922" s="19" t="str">
        <f>TEXT(tblMaster[[#This Row],[Order_Date]],"mmmm")</f>
        <v>September</v>
      </c>
      <c r="X922" s="19">
        <f>MONTH(tblMaster[[#This Row],[Order_Date]])</f>
        <v>9</v>
      </c>
      <c r="Y922" s="19" t="str">
        <f>"Q"&amp;ROUNDUP(tblMaster[[#This Row],[Month Number]]/3,0)</f>
        <v>Q3</v>
      </c>
      <c r="Z922" s="19">
        <f>YEAR(tblMaster[[#This Row],[Order_Date]])</f>
        <v>2023</v>
      </c>
      <c r="AA922" s="19" t="str">
        <f>TEXT(DAY(tblMaster[[#This Row],[Order_Date]]),"dddd")</f>
        <v>Wednesday</v>
      </c>
      <c r="AB922" s="19" t="str">
        <f>IF(tblMaster[[#This Row],[Revenue]]&gt;=5000,"High",IF(tblMaster[[#This Row],[Revenue]]&lt;2000,"Low","Medium"))</f>
        <v>Medium</v>
      </c>
    </row>
    <row r="923" spans="1:28" x14ac:dyDescent="0.25">
      <c r="A923" s="10">
        <v>922</v>
      </c>
      <c r="B923" s="10" t="s">
        <v>178</v>
      </c>
      <c r="C923" s="5">
        <v>23</v>
      </c>
      <c r="D923" s="5">
        <v>1</v>
      </c>
      <c r="E923" s="11">
        <v>45274</v>
      </c>
      <c r="F923" s="12">
        <v>0.38638888888888889</v>
      </c>
      <c r="G923" s="11">
        <v>45278</v>
      </c>
      <c r="H923" s="12">
        <v>0.33584490740740741</v>
      </c>
      <c r="I923" s="10" t="s">
        <v>303</v>
      </c>
      <c r="J923" s="10" t="s">
        <v>30</v>
      </c>
      <c r="K923" s="18" t="str">
        <f>_xlfn.XLOOKUP(tblMaster[[#This Row],[Customer_ID]],tblCustomers[Customer_ID],tblCustomers[City],"Not Found",0)</f>
        <v>Madurai</v>
      </c>
      <c r="L923" s="18" t="str">
        <f>_xlfn.XLOOKUP(tblMaster[[#This Row],[Customer_ID]],tblCustomers[Customer_ID],tblCustomers[Name],"Not Found",0)</f>
        <v>Ritvik Borah</v>
      </c>
      <c r="M923" s="18" t="str">
        <f>_xlfn.XLOOKUP(tblMaster[[#This Row],[Customer_ID]],tblCustomers[Customer_ID],tblCustomers[Gender],"Not Found",0)</f>
        <v>Female</v>
      </c>
      <c r="N923" s="18" t="str">
        <f>_xlfn.XLOOKUP(tblMaster[[#This Row],[Product_ID]],tblProducts[Product_ID],tblProducts[Product_Name],"Not Found",0)</f>
        <v>Dignissimos Pack</v>
      </c>
      <c r="O923" s="18" t="str">
        <f>_xlfn.XLOOKUP(tblMaster[[#This Row],[Product_ID]],tblProducts[Product_ID],tblProducts[Category],"Not Found",0)</f>
        <v>Sweets</v>
      </c>
      <c r="P923" s="18" t="str">
        <f>_xlfn.XLOOKUP(tblMaster[[#This Row],[Product_ID]],tblProducts[Product_ID],tblProducts[Occasion],"Not Found",0)</f>
        <v>Anniversary</v>
      </c>
      <c r="Q923" s="18">
        <f>_xlfn.XLOOKUP(tblMaster[[#This Row],[Product_ID]],tblProducts[Product_ID],tblProducts[Price (INR)],"Not Found",0)</f>
        <v>1098</v>
      </c>
      <c r="R923" s="19">
        <f>tblMaster[[#This Row],[Price]]*tblMaster[[#This Row],[Quantity]]</f>
        <v>1098</v>
      </c>
      <c r="S923" s="19">
        <f>tblMaster[[#This Row],[Price]]*0.7*tblMaster[[#This Row],[Quantity]]</f>
        <v>768.59999999999991</v>
      </c>
      <c r="T923" s="19">
        <f>tblMaster[[#This Row],[Revenue]]-tblMaster[[#This Row],[Estimated Cost (at 70%) ]]</f>
        <v>329.40000000000009</v>
      </c>
      <c r="U923" s="19">
        <f>tblMaster[[#This Row],[Profit]]/tblMaster[[#This Row],[Revenue]]</f>
        <v>0.3000000000000001</v>
      </c>
      <c r="V923" s="19">
        <f>tblMaster[[#This Row],[Delivery_Date]]-tblMaster[[#This Row],[Order_Date]]</f>
        <v>4</v>
      </c>
      <c r="W923" s="19" t="str">
        <f>TEXT(tblMaster[[#This Row],[Order_Date]],"mmmm")</f>
        <v>December</v>
      </c>
      <c r="X923" s="19">
        <f>MONTH(tblMaster[[#This Row],[Order_Date]])</f>
        <v>12</v>
      </c>
      <c r="Y923" s="19" t="str">
        <f>"Q"&amp;ROUNDUP(tblMaster[[#This Row],[Month Number]]/3,0)</f>
        <v>Q4</v>
      </c>
      <c r="Z923" s="19">
        <f>YEAR(tblMaster[[#This Row],[Order_Date]])</f>
        <v>2023</v>
      </c>
      <c r="AA923" s="19" t="str">
        <f>TEXT(DAY(tblMaster[[#This Row],[Order_Date]]),"dddd")</f>
        <v>Saturday</v>
      </c>
      <c r="AB923" s="19" t="str">
        <f>IF(tblMaster[[#This Row],[Revenue]]&gt;=5000,"High",IF(tblMaster[[#This Row],[Revenue]]&lt;2000,"Low","Medium"))</f>
        <v>Low</v>
      </c>
    </row>
    <row r="924" spans="1:28" x14ac:dyDescent="0.25">
      <c r="A924" s="7">
        <v>923</v>
      </c>
      <c r="B924" s="7" t="s">
        <v>480</v>
      </c>
      <c r="C924" s="4">
        <v>7</v>
      </c>
      <c r="D924" s="4">
        <v>4</v>
      </c>
      <c r="E924" s="8">
        <v>44984</v>
      </c>
      <c r="F924" s="9">
        <v>0.60939814814814819</v>
      </c>
      <c r="G924" s="8">
        <v>44985</v>
      </c>
      <c r="H924" s="9">
        <v>0.91778935185185184</v>
      </c>
      <c r="I924" s="7" t="s">
        <v>260</v>
      </c>
      <c r="J924" s="7" t="s">
        <v>25</v>
      </c>
      <c r="K924" s="18" t="str">
        <f>_xlfn.XLOOKUP(tblMaster[[#This Row],[Customer_ID]],tblCustomers[Customer_ID],tblCustomers[City],"Not Found",0)</f>
        <v>Bhatpara</v>
      </c>
      <c r="L924" s="18" t="str">
        <f>_xlfn.XLOOKUP(tblMaster[[#This Row],[Customer_ID]],tblCustomers[Customer_ID],tblCustomers[Name],"Not Found",0)</f>
        <v>Hridaan Sood</v>
      </c>
      <c r="M924" s="18" t="str">
        <f>_xlfn.XLOOKUP(tblMaster[[#This Row],[Customer_ID]],tblCustomers[Customer_ID],tblCustomers[Gender],"Not Found",0)</f>
        <v>Male</v>
      </c>
      <c r="N924" s="18" t="str">
        <f>_xlfn.XLOOKUP(tblMaster[[#This Row],[Product_ID]],tblProducts[Product_ID],tblProducts[Product_Name],"Not Found",0)</f>
        <v>Quos Set</v>
      </c>
      <c r="O924" s="18" t="str">
        <f>_xlfn.XLOOKUP(tblMaster[[#This Row],[Product_ID]],tblProducts[Product_ID],tblProducts[Category],"Not Found",0)</f>
        <v>Soft Toys</v>
      </c>
      <c r="P924" s="18" t="str">
        <f>_xlfn.XLOOKUP(tblMaster[[#This Row],[Product_ID]],tblProducts[Product_ID],tblProducts[Occasion],"Not Found",0)</f>
        <v>Holi</v>
      </c>
      <c r="Q924" s="18">
        <f>_xlfn.XLOOKUP(tblMaster[[#This Row],[Product_ID]],tblProducts[Product_ID],tblProducts[Price (INR)],"Not Found",0)</f>
        <v>409</v>
      </c>
      <c r="R924" s="19">
        <f>tblMaster[[#This Row],[Price]]*tblMaster[[#This Row],[Quantity]]</f>
        <v>1636</v>
      </c>
      <c r="S924" s="19">
        <f>tblMaster[[#This Row],[Price]]*0.7*tblMaster[[#This Row],[Quantity]]</f>
        <v>1145.1999999999998</v>
      </c>
      <c r="T924" s="19">
        <f>tblMaster[[#This Row],[Revenue]]-tblMaster[[#This Row],[Estimated Cost (at 70%) ]]</f>
        <v>490.80000000000018</v>
      </c>
      <c r="U924" s="19">
        <f>tblMaster[[#This Row],[Profit]]/tblMaster[[#This Row],[Revenue]]</f>
        <v>0.3000000000000001</v>
      </c>
      <c r="V924" s="19">
        <f>tblMaster[[#This Row],[Delivery_Date]]-tblMaster[[#This Row],[Order_Date]]</f>
        <v>1</v>
      </c>
      <c r="W924" s="19" t="str">
        <f>TEXT(tblMaster[[#This Row],[Order_Date]],"mmmm")</f>
        <v>February</v>
      </c>
      <c r="X924" s="19">
        <f>MONTH(tblMaster[[#This Row],[Order_Date]])</f>
        <v>2</v>
      </c>
      <c r="Y924" s="19" t="str">
        <f>"Q"&amp;ROUNDUP(tblMaster[[#This Row],[Month Number]]/3,0)</f>
        <v>Q1</v>
      </c>
      <c r="Z924" s="19">
        <f>YEAR(tblMaster[[#This Row],[Order_Date]])</f>
        <v>2023</v>
      </c>
      <c r="AA924" s="19" t="str">
        <f>TEXT(DAY(tblMaster[[#This Row],[Order_Date]]),"dddd")</f>
        <v>Friday</v>
      </c>
      <c r="AB924" s="19" t="str">
        <f>IF(tblMaster[[#This Row],[Revenue]]&gt;=5000,"High",IF(tblMaster[[#This Row],[Revenue]]&lt;2000,"Low","Medium"))</f>
        <v>Low</v>
      </c>
    </row>
    <row r="925" spans="1:28" x14ac:dyDescent="0.25">
      <c r="A925" s="10">
        <v>924</v>
      </c>
      <c r="B925" s="10" t="s">
        <v>193</v>
      </c>
      <c r="C925" s="5">
        <v>17</v>
      </c>
      <c r="D925" s="5">
        <v>1</v>
      </c>
      <c r="E925" s="11">
        <v>45010</v>
      </c>
      <c r="F925" s="12">
        <v>0.40774305555555557</v>
      </c>
      <c r="G925" s="11">
        <v>45020</v>
      </c>
      <c r="H925" s="12">
        <v>0.95561342592592591</v>
      </c>
      <c r="I925" s="10" t="s">
        <v>513</v>
      </c>
      <c r="J925" s="10" t="s">
        <v>30</v>
      </c>
      <c r="K925" s="18" t="str">
        <f>_xlfn.XLOOKUP(tblMaster[[#This Row],[Customer_ID]],tblCustomers[Customer_ID],tblCustomers[City],"Not Found",0)</f>
        <v>Mangalore</v>
      </c>
      <c r="L925" s="18" t="str">
        <f>_xlfn.XLOOKUP(tblMaster[[#This Row],[Customer_ID]],tblCustomers[Customer_ID],tblCustomers[Name],"Not Found",0)</f>
        <v>Manikya Goswami</v>
      </c>
      <c r="M925" s="18" t="str">
        <f>_xlfn.XLOOKUP(tblMaster[[#This Row],[Customer_ID]],tblCustomers[Customer_ID],tblCustomers[Gender],"Not Found",0)</f>
        <v>Female</v>
      </c>
      <c r="N925" s="18" t="str">
        <f>_xlfn.XLOOKUP(tblMaster[[#This Row],[Product_ID]],tblProducts[Product_ID],tblProducts[Product_Name],"Not Found",0)</f>
        <v>Delectus Gift</v>
      </c>
      <c r="O925" s="18" t="str">
        <f>_xlfn.XLOOKUP(tblMaster[[#This Row],[Product_ID]],tblProducts[Product_ID],tblProducts[Category],"Not Found",0)</f>
        <v>Soft Toys</v>
      </c>
      <c r="P925" s="18" t="str">
        <f>_xlfn.XLOOKUP(tblMaster[[#This Row],[Product_ID]],tblProducts[Product_ID],tblProducts[Occasion],"Not Found",0)</f>
        <v>Anniversary</v>
      </c>
      <c r="Q925" s="18">
        <f>_xlfn.XLOOKUP(tblMaster[[#This Row],[Product_ID]],tblProducts[Product_ID],tblProducts[Price (INR)],"Not Found",0)</f>
        <v>1899</v>
      </c>
      <c r="R925" s="19">
        <f>tblMaster[[#This Row],[Price]]*tblMaster[[#This Row],[Quantity]]</f>
        <v>1899</v>
      </c>
      <c r="S925" s="19">
        <f>tblMaster[[#This Row],[Price]]*0.7*tblMaster[[#This Row],[Quantity]]</f>
        <v>1329.3</v>
      </c>
      <c r="T925" s="19">
        <f>tblMaster[[#This Row],[Revenue]]-tblMaster[[#This Row],[Estimated Cost (at 70%) ]]</f>
        <v>569.70000000000005</v>
      </c>
      <c r="U925" s="19">
        <f>tblMaster[[#This Row],[Profit]]/tblMaster[[#This Row],[Revenue]]</f>
        <v>0.30000000000000004</v>
      </c>
      <c r="V925" s="19">
        <f>tblMaster[[#This Row],[Delivery_Date]]-tblMaster[[#This Row],[Order_Date]]</f>
        <v>10</v>
      </c>
      <c r="W925" s="19" t="str">
        <f>TEXT(tblMaster[[#This Row],[Order_Date]],"mmmm")</f>
        <v>March</v>
      </c>
      <c r="X925" s="19">
        <f>MONTH(tblMaster[[#This Row],[Order_Date]])</f>
        <v>3</v>
      </c>
      <c r="Y925" s="19" t="str">
        <f>"Q"&amp;ROUNDUP(tblMaster[[#This Row],[Month Number]]/3,0)</f>
        <v>Q1</v>
      </c>
      <c r="Z925" s="19">
        <f>YEAR(tblMaster[[#This Row],[Order_Date]])</f>
        <v>2023</v>
      </c>
      <c r="AA925" s="19" t="str">
        <f>TEXT(DAY(tblMaster[[#This Row],[Order_Date]]),"dddd")</f>
        <v>Wednesday</v>
      </c>
      <c r="AB925" s="19" t="str">
        <f>IF(tblMaster[[#This Row],[Revenue]]&gt;=5000,"High",IF(tblMaster[[#This Row],[Revenue]]&lt;2000,"Low","Medium"))</f>
        <v>Low</v>
      </c>
    </row>
    <row r="926" spans="1:28" x14ac:dyDescent="0.25">
      <c r="A926" s="7">
        <v>925</v>
      </c>
      <c r="B926" s="7" t="s">
        <v>172</v>
      </c>
      <c r="C926" s="4">
        <v>31</v>
      </c>
      <c r="D926" s="4">
        <v>1</v>
      </c>
      <c r="E926" s="8">
        <v>44934</v>
      </c>
      <c r="F926" s="9">
        <v>3.878472222222222E-2</v>
      </c>
      <c r="G926" s="8">
        <v>44938</v>
      </c>
      <c r="H926" s="9">
        <v>0.27716435185185184</v>
      </c>
      <c r="I926" s="7" t="s">
        <v>286</v>
      </c>
      <c r="J926" s="7" t="s">
        <v>8</v>
      </c>
      <c r="K926" s="18" t="str">
        <f>_xlfn.XLOOKUP(tblMaster[[#This Row],[Customer_ID]],tblCustomers[Customer_ID],tblCustomers[City],"Not Found",0)</f>
        <v>Bilaspur</v>
      </c>
      <c r="L926" s="18" t="str">
        <f>_xlfn.XLOOKUP(tblMaster[[#This Row],[Customer_ID]],tblCustomers[Customer_ID],tblCustomers[Name],"Not Found",0)</f>
        <v>Onkar Mangat</v>
      </c>
      <c r="M926" s="18" t="str">
        <f>_xlfn.XLOOKUP(tblMaster[[#This Row],[Customer_ID]],tblCustomers[Customer_ID],tblCustomers[Gender],"Not Found",0)</f>
        <v>Male</v>
      </c>
      <c r="N926" s="18" t="str">
        <f>_xlfn.XLOOKUP(tblMaster[[#This Row],[Product_ID]],tblProducts[Product_ID],tblProducts[Product_Name],"Not Found",0)</f>
        <v>Nihil Box</v>
      </c>
      <c r="O926" s="18" t="str">
        <f>_xlfn.XLOOKUP(tblMaster[[#This Row],[Product_ID]],tblProducts[Product_ID],tblProducts[Category],"Not Found",0)</f>
        <v>Colors</v>
      </c>
      <c r="P926" s="18" t="str">
        <f>_xlfn.XLOOKUP(tblMaster[[#This Row],[Product_ID]],tblProducts[Product_ID],tblProducts[Occasion],"Not Found",0)</f>
        <v>All Occasions</v>
      </c>
      <c r="Q926" s="18">
        <f>_xlfn.XLOOKUP(tblMaster[[#This Row],[Product_ID]],tblProducts[Product_ID],tblProducts[Price (INR)],"Not Found",0)</f>
        <v>1804</v>
      </c>
      <c r="R926" s="19">
        <f>tblMaster[[#This Row],[Price]]*tblMaster[[#This Row],[Quantity]]</f>
        <v>1804</v>
      </c>
      <c r="S926" s="19">
        <f>tblMaster[[#This Row],[Price]]*0.7*tblMaster[[#This Row],[Quantity]]</f>
        <v>1262.8</v>
      </c>
      <c r="T926" s="19">
        <f>tblMaster[[#This Row],[Revenue]]-tblMaster[[#This Row],[Estimated Cost (at 70%) ]]</f>
        <v>541.20000000000005</v>
      </c>
      <c r="U926" s="19">
        <f>tblMaster[[#This Row],[Profit]]/tblMaster[[#This Row],[Revenue]]</f>
        <v>0.30000000000000004</v>
      </c>
      <c r="V926" s="19">
        <f>tblMaster[[#This Row],[Delivery_Date]]-tblMaster[[#This Row],[Order_Date]]</f>
        <v>4</v>
      </c>
      <c r="W926" s="19" t="str">
        <f>TEXT(tblMaster[[#This Row],[Order_Date]],"mmmm")</f>
        <v>January</v>
      </c>
      <c r="X926" s="19">
        <f>MONTH(tblMaster[[#This Row],[Order_Date]])</f>
        <v>1</v>
      </c>
      <c r="Y926" s="19" t="str">
        <f>"Q"&amp;ROUNDUP(tblMaster[[#This Row],[Month Number]]/3,0)</f>
        <v>Q1</v>
      </c>
      <c r="Z926" s="19">
        <f>YEAR(tblMaster[[#This Row],[Order_Date]])</f>
        <v>2023</v>
      </c>
      <c r="AA926" s="19" t="str">
        <f>TEXT(DAY(tblMaster[[#This Row],[Order_Date]]),"dddd")</f>
        <v>Sunday</v>
      </c>
      <c r="AB926" s="19" t="str">
        <f>IF(tblMaster[[#This Row],[Revenue]]&gt;=5000,"High",IF(tblMaster[[#This Row],[Revenue]]&lt;2000,"Low","Medium"))</f>
        <v>Low</v>
      </c>
    </row>
    <row r="927" spans="1:28" x14ac:dyDescent="0.25">
      <c r="A927" s="10">
        <v>926</v>
      </c>
      <c r="B927" s="10" t="s">
        <v>367</v>
      </c>
      <c r="C927" s="5">
        <v>40</v>
      </c>
      <c r="D927" s="5">
        <v>4</v>
      </c>
      <c r="E927" s="11">
        <v>45013</v>
      </c>
      <c r="F927" s="12">
        <v>0.95969907407407407</v>
      </c>
      <c r="G927" s="11">
        <v>45016</v>
      </c>
      <c r="H927" s="12">
        <v>0.99403935185185188</v>
      </c>
      <c r="I927" s="10" t="s">
        <v>406</v>
      </c>
      <c r="J927" s="10" t="s">
        <v>30</v>
      </c>
      <c r="K927" s="18" t="str">
        <f>_xlfn.XLOOKUP(tblMaster[[#This Row],[Customer_ID]],tblCustomers[Customer_ID],tblCustomers[City],"Not Found",0)</f>
        <v>Imphal</v>
      </c>
      <c r="L927" s="18" t="str">
        <f>_xlfn.XLOOKUP(tblMaster[[#This Row],[Customer_ID]],tblCustomers[Customer_ID],tblCustomers[Name],"Not Found",0)</f>
        <v>Aarush Balasubramanian</v>
      </c>
      <c r="M927" s="18" t="str">
        <f>_xlfn.XLOOKUP(tblMaster[[#This Row],[Customer_ID]],tblCustomers[Customer_ID],tblCustomers[Gender],"Not Found",0)</f>
        <v>Female</v>
      </c>
      <c r="N927" s="18" t="str">
        <f>_xlfn.XLOOKUP(tblMaster[[#This Row],[Product_ID]],tblProducts[Product_ID],tblProducts[Product_Name],"Not Found",0)</f>
        <v>Provident Pack</v>
      </c>
      <c r="O927" s="18" t="str">
        <f>_xlfn.XLOOKUP(tblMaster[[#This Row],[Product_ID]],tblProducts[Product_ID],tblProducts[Category],"Not Found",0)</f>
        <v>Sweets</v>
      </c>
      <c r="P927" s="18" t="str">
        <f>_xlfn.XLOOKUP(tblMaster[[#This Row],[Product_ID]],tblProducts[Product_ID],tblProducts[Occasion],"Not Found",0)</f>
        <v>Anniversary</v>
      </c>
      <c r="Q927" s="18">
        <f>_xlfn.XLOOKUP(tblMaster[[#This Row],[Product_ID]],tblProducts[Product_ID],tblProducts[Price (INR)],"Not Found",0)</f>
        <v>1923</v>
      </c>
      <c r="R927" s="19">
        <f>tblMaster[[#This Row],[Price]]*tblMaster[[#This Row],[Quantity]]</f>
        <v>7692</v>
      </c>
      <c r="S927" s="19">
        <f>tblMaster[[#This Row],[Price]]*0.7*tblMaster[[#This Row],[Quantity]]</f>
        <v>5384.4</v>
      </c>
      <c r="T927" s="19">
        <f>tblMaster[[#This Row],[Revenue]]-tblMaster[[#This Row],[Estimated Cost (at 70%) ]]</f>
        <v>2307.6000000000004</v>
      </c>
      <c r="U927" s="19">
        <f>tblMaster[[#This Row],[Profit]]/tblMaster[[#This Row],[Revenue]]</f>
        <v>0.30000000000000004</v>
      </c>
      <c r="V927" s="19">
        <f>tblMaster[[#This Row],[Delivery_Date]]-tblMaster[[#This Row],[Order_Date]]</f>
        <v>3</v>
      </c>
      <c r="W927" s="19" t="str">
        <f>TEXT(tblMaster[[#This Row],[Order_Date]],"mmmm")</f>
        <v>March</v>
      </c>
      <c r="X927" s="19">
        <f>MONTH(tblMaster[[#This Row],[Order_Date]])</f>
        <v>3</v>
      </c>
      <c r="Y927" s="19" t="str">
        <f>"Q"&amp;ROUNDUP(tblMaster[[#This Row],[Month Number]]/3,0)</f>
        <v>Q1</v>
      </c>
      <c r="Z927" s="19">
        <f>YEAR(tblMaster[[#This Row],[Order_Date]])</f>
        <v>2023</v>
      </c>
      <c r="AA927" s="19" t="str">
        <f>TEXT(DAY(tblMaster[[#This Row],[Order_Date]]),"dddd")</f>
        <v>Saturday</v>
      </c>
      <c r="AB927" s="19" t="str">
        <f>IF(tblMaster[[#This Row],[Revenue]]&gt;=5000,"High",IF(tblMaster[[#This Row],[Revenue]]&lt;2000,"Low","Medium"))</f>
        <v>High</v>
      </c>
    </row>
    <row r="928" spans="1:28" x14ac:dyDescent="0.25">
      <c r="A928" s="7">
        <v>927</v>
      </c>
      <c r="B928" s="7" t="s">
        <v>304</v>
      </c>
      <c r="C928" s="4">
        <v>43</v>
      </c>
      <c r="D928" s="4">
        <v>4</v>
      </c>
      <c r="E928" s="8">
        <v>45233</v>
      </c>
      <c r="F928" s="9">
        <v>0.27656249999999999</v>
      </c>
      <c r="G928" s="8">
        <v>45241</v>
      </c>
      <c r="H928" s="9">
        <v>0.20853009259259259</v>
      </c>
      <c r="I928" s="7" t="s">
        <v>359</v>
      </c>
      <c r="J928" s="7" t="s">
        <v>19</v>
      </c>
      <c r="K928" s="18" t="str">
        <f>_xlfn.XLOOKUP(tblMaster[[#This Row],[Customer_ID]],tblCustomers[Customer_ID],tblCustomers[City],"Not Found",0)</f>
        <v>Phagwara</v>
      </c>
      <c r="L928" s="18" t="str">
        <f>_xlfn.XLOOKUP(tblMaster[[#This Row],[Customer_ID]],tblCustomers[Customer_ID],tblCustomers[Name],"Not Found",0)</f>
        <v>Pranay Chaudhary</v>
      </c>
      <c r="M928" s="18" t="str">
        <f>_xlfn.XLOOKUP(tblMaster[[#This Row],[Customer_ID]],tblCustomers[Customer_ID],tblCustomers[Gender],"Not Found",0)</f>
        <v>Female</v>
      </c>
      <c r="N928" s="18" t="str">
        <f>_xlfn.XLOOKUP(tblMaster[[#This Row],[Product_ID]],tblProducts[Product_ID],tblProducts[Product_Name],"Not Found",0)</f>
        <v>Quisquam Pack</v>
      </c>
      <c r="O928" s="18" t="str">
        <f>_xlfn.XLOOKUP(tblMaster[[#This Row],[Product_ID]],tblProducts[Product_ID],tblProducts[Category],"Not Found",0)</f>
        <v>Raksha Bandhan</v>
      </c>
      <c r="P928" s="18" t="str">
        <f>_xlfn.XLOOKUP(tblMaster[[#This Row],[Product_ID]],tblProducts[Product_ID],tblProducts[Occasion],"Not Found",0)</f>
        <v>Diwali</v>
      </c>
      <c r="Q928" s="18">
        <f>_xlfn.XLOOKUP(tblMaster[[#This Row],[Product_ID]],tblProducts[Product_ID],tblProducts[Price (INR)],"Not Found",0)</f>
        <v>750</v>
      </c>
      <c r="R928" s="19">
        <f>tblMaster[[#This Row],[Price]]*tblMaster[[#This Row],[Quantity]]</f>
        <v>3000</v>
      </c>
      <c r="S928" s="19">
        <f>tblMaster[[#This Row],[Price]]*0.7*tblMaster[[#This Row],[Quantity]]</f>
        <v>2100</v>
      </c>
      <c r="T928" s="19">
        <f>tblMaster[[#This Row],[Revenue]]-tblMaster[[#This Row],[Estimated Cost (at 70%) ]]</f>
        <v>900</v>
      </c>
      <c r="U928" s="19">
        <f>tblMaster[[#This Row],[Profit]]/tblMaster[[#This Row],[Revenue]]</f>
        <v>0.3</v>
      </c>
      <c r="V928" s="19">
        <f>tblMaster[[#This Row],[Delivery_Date]]-tblMaster[[#This Row],[Order_Date]]</f>
        <v>8</v>
      </c>
      <c r="W928" s="19" t="str">
        <f>TEXT(tblMaster[[#This Row],[Order_Date]],"mmmm")</f>
        <v>November</v>
      </c>
      <c r="X928" s="19">
        <f>MONTH(tblMaster[[#This Row],[Order_Date]])</f>
        <v>11</v>
      </c>
      <c r="Y928" s="19" t="str">
        <f>"Q"&amp;ROUNDUP(tblMaster[[#This Row],[Month Number]]/3,0)</f>
        <v>Q4</v>
      </c>
      <c r="Z928" s="19">
        <f>YEAR(tblMaster[[#This Row],[Order_Date]])</f>
        <v>2023</v>
      </c>
      <c r="AA928" s="19" t="str">
        <f>TEXT(DAY(tblMaster[[#This Row],[Order_Date]]),"dddd")</f>
        <v>Tuesday</v>
      </c>
      <c r="AB928" s="19" t="str">
        <f>IF(tblMaster[[#This Row],[Revenue]]&gt;=5000,"High",IF(tblMaster[[#This Row],[Revenue]]&lt;2000,"Low","Medium"))</f>
        <v>Medium</v>
      </c>
    </row>
    <row r="929" spans="1:28" x14ac:dyDescent="0.25">
      <c r="A929" s="10">
        <v>928</v>
      </c>
      <c r="B929" s="10" t="s">
        <v>172</v>
      </c>
      <c r="C929" s="5">
        <v>23</v>
      </c>
      <c r="D929" s="5">
        <v>3</v>
      </c>
      <c r="E929" s="11">
        <v>45249</v>
      </c>
      <c r="F929" s="12">
        <v>0.46277777777777779</v>
      </c>
      <c r="G929" s="11">
        <v>45257</v>
      </c>
      <c r="H929" s="12">
        <v>0.42791666666666667</v>
      </c>
      <c r="I929" s="10" t="s">
        <v>564</v>
      </c>
      <c r="J929" s="10" t="s">
        <v>30</v>
      </c>
      <c r="K929" s="18" t="str">
        <f>_xlfn.XLOOKUP(tblMaster[[#This Row],[Customer_ID]],tblCustomers[Customer_ID],tblCustomers[City],"Not Found",0)</f>
        <v>Bilaspur</v>
      </c>
      <c r="L929" s="18" t="str">
        <f>_xlfn.XLOOKUP(tblMaster[[#This Row],[Customer_ID]],tblCustomers[Customer_ID],tblCustomers[Name],"Not Found",0)</f>
        <v>Onkar Mangat</v>
      </c>
      <c r="M929" s="18" t="str">
        <f>_xlfn.XLOOKUP(tblMaster[[#This Row],[Customer_ID]],tblCustomers[Customer_ID],tblCustomers[Gender],"Not Found",0)</f>
        <v>Male</v>
      </c>
      <c r="N929" s="18" t="str">
        <f>_xlfn.XLOOKUP(tblMaster[[#This Row],[Product_ID]],tblProducts[Product_ID],tblProducts[Product_Name],"Not Found",0)</f>
        <v>Dignissimos Pack</v>
      </c>
      <c r="O929" s="18" t="str">
        <f>_xlfn.XLOOKUP(tblMaster[[#This Row],[Product_ID]],tblProducts[Product_ID],tblProducts[Category],"Not Found",0)</f>
        <v>Sweets</v>
      </c>
      <c r="P929" s="18" t="str">
        <f>_xlfn.XLOOKUP(tblMaster[[#This Row],[Product_ID]],tblProducts[Product_ID],tblProducts[Occasion],"Not Found",0)</f>
        <v>Anniversary</v>
      </c>
      <c r="Q929" s="18">
        <f>_xlfn.XLOOKUP(tblMaster[[#This Row],[Product_ID]],tblProducts[Product_ID],tblProducts[Price (INR)],"Not Found",0)</f>
        <v>1098</v>
      </c>
      <c r="R929" s="19">
        <f>tblMaster[[#This Row],[Price]]*tblMaster[[#This Row],[Quantity]]</f>
        <v>3294</v>
      </c>
      <c r="S929" s="19">
        <f>tblMaster[[#This Row],[Price]]*0.7*tblMaster[[#This Row],[Quantity]]</f>
        <v>2305.7999999999997</v>
      </c>
      <c r="T929" s="19">
        <f>tblMaster[[#This Row],[Revenue]]-tblMaster[[#This Row],[Estimated Cost (at 70%) ]]</f>
        <v>988.20000000000027</v>
      </c>
      <c r="U929" s="19">
        <f>tblMaster[[#This Row],[Profit]]/tblMaster[[#This Row],[Revenue]]</f>
        <v>0.3000000000000001</v>
      </c>
      <c r="V929" s="19">
        <f>tblMaster[[#This Row],[Delivery_Date]]-tblMaster[[#This Row],[Order_Date]]</f>
        <v>8</v>
      </c>
      <c r="W929" s="19" t="str">
        <f>TEXT(tblMaster[[#This Row],[Order_Date]],"mmmm")</f>
        <v>November</v>
      </c>
      <c r="X929" s="19">
        <f>MONTH(tblMaster[[#This Row],[Order_Date]])</f>
        <v>11</v>
      </c>
      <c r="Y929" s="19" t="str">
        <f>"Q"&amp;ROUNDUP(tblMaster[[#This Row],[Month Number]]/3,0)</f>
        <v>Q4</v>
      </c>
      <c r="Z929" s="19">
        <f>YEAR(tblMaster[[#This Row],[Order_Date]])</f>
        <v>2023</v>
      </c>
      <c r="AA929" s="19" t="str">
        <f>TEXT(DAY(tblMaster[[#This Row],[Order_Date]]),"dddd")</f>
        <v>Thursday</v>
      </c>
      <c r="AB929" s="19" t="str">
        <f>IF(tblMaster[[#This Row],[Revenue]]&gt;=5000,"High",IF(tblMaster[[#This Row],[Revenue]]&lt;2000,"Low","Medium"))</f>
        <v>Medium</v>
      </c>
    </row>
    <row r="930" spans="1:28" x14ac:dyDescent="0.25">
      <c r="A930" s="7">
        <v>929</v>
      </c>
      <c r="B930" s="7" t="s">
        <v>382</v>
      </c>
      <c r="C930" s="4">
        <v>23</v>
      </c>
      <c r="D930" s="4">
        <v>1</v>
      </c>
      <c r="E930" s="8">
        <v>45004</v>
      </c>
      <c r="F930" s="9">
        <v>0.29226851851851854</v>
      </c>
      <c r="G930" s="8">
        <v>45011</v>
      </c>
      <c r="H930" s="9">
        <v>0.54342592592592598</v>
      </c>
      <c r="I930" s="7" t="s">
        <v>482</v>
      </c>
      <c r="J930" s="7" t="s">
        <v>30</v>
      </c>
      <c r="K930" s="18" t="str">
        <f>_xlfn.XLOOKUP(tblMaster[[#This Row],[Customer_ID]],tblCustomers[Customer_ID],tblCustomers[City],"Not Found",0)</f>
        <v>Raipur</v>
      </c>
      <c r="L930" s="18" t="str">
        <f>_xlfn.XLOOKUP(tblMaster[[#This Row],[Customer_ID]],tblCustomers[Customer_ID],tblCustomers[Name],"Not Found",0)</f>
        <v>Bhamini Johal</v>
      </c>
      <c r="M930" s="18" t="str">
        <f>_xlfn.XLOOKUP(tblMaster[[#This Row],[Customer_ID]],tblCustomers[Customer_ID],tblCustomers[Gender],"Not Found",0)</f>
        <v>Male</v>
      </c>
      <c r="N930" s="18" t="str">
        <f>_xlfn.XLOOKUP(tblMaster[[#This Row],[Product_ID]],tblProducts[Product_ID],tblProducts[Product_Name],"Not Found",0)</f>
        <v>Dignissimos Pack</v>
      </c>
      <c r="O930" s="18" t="str">
        <f>_xlfn.XLOOKUP(tblMaster[[#This Row],[Product_ID]],tblProducts[Product_ID],tblProducts[Category],"Not Found",0)</f>
        <v>Sweets</v>
      </c>
      <c r="P930" s="18" t="str">
        <f>_xlfn.XLOOKUP(tblMaster[[#This Row],[Product_ID]],tblProducts[Product_ID],tblProducts[Occasion],"Not Found",0)</f>
        <v>Anniversary</v>
      </c>
      <c r="Q930" s="18">
        <f>_xlfn.XLOOKUP(tblMaster[[#This Row],[Product_ID]],tblProducts[Product_ID],tblProducts[Price (INR)],"Not Found",0)</f>
        <v>1098</v>
      </c>
      <c r="R930" s="19">
        <f>tblMaster[[#This Row],[Price]]*tblMaster[[#This Row],[Quantity]]</f>
        <v>1098</v>
      </c>
      <c r="S930" s="19">
        <f>tblMaster[[#This Row],[Price]]*0.7*tblMaster[[#This Row],[Quantity]]</f>
        <v>768.59999999999991</v>
      </c>
      <c r="T930" s="19">
        <f>tblMaster[[#This Row],[Revenue]]-tblMaster[[#This Row],[Estimated Cost (at 70%) ]]</f>
        <v>329.40000000000009</v>
      </c>
      <c r="U930" s="19">
        <f>tblMaster[[#This Row],[Profit]]/tblMaster[[#This Row],[Revenue]]</f>
        <v>0.3000000000000001</v>
      </c>
      <c r="V930" s="19">
        <f>tblMaster[[#This Row],[Delivery_Date]]-tblMaster[[#This Row],[Order_Date]]</f>
        <v>7</v>
      </c>
      <c r="W930" s="19" t="str">
        <f>TEXT(tblMaster[[#This Row],[Order_Date]],"mmmm")</f>
        <v>March</v>
      </c>
      <c r="X930" s="19">
        <f>MONTH(tblMaster[[#This Row],[Order_Date]])</f>
        <v>3</v>
      </c>
      <c r="Y930" s="19" t="str">
        <f>"Q"&amp;ROUNDUP(tblMaster[[#This Row],[Month Number]]/3,0)</f>
        <v>Q1</v>
      </c>
      <c r="Z930" s="19">
        <f>YEAR(tblMaster[[#This Row],[Order_Date]])</f>
        <v>2023</v>
      </c>
      <c r="AA930" s="19" t="str">
        <f>TEXT(DAY(tblMaster[[#This Row],[Order_Date]]),"dddd")</f>
        <v>Thursday</v>
      </c>
      <c r="AB930" s="19" t="str">
        <f>IF(tblMaster[[#This Row],[Revenue]]&gt;=5000,"High",IF(tblMaster[[#This Row],[Revenue]]&lt;2000,"Low","Medium"))</f>
        <v>Low</v>
      </c>
    </row>
    <row r="931" spans="1:28" x14ac:dyDescent="0.25">
      <c r="A931" s="10">
        <v>930</v>
      </c>
      <c r="B931" s="10" t="s">
        <v>333</v>
      </c>
      <c r="C931" s="5">
        <v>61</v>
      </c>
      <c r="D931" s="5">
        <v>3</v>
      </c>
      <c r="E931" s="11">
        <v>45080</v>
      </c>
      <c r="F931" s="12">
        <v>0.66146990740740741</v>
      </c>
      <c r="G931" s="11">
        <v>45084</v>
      </c>
      <c r="H931" s="12">
        <v>0.8203125</v>
      </c>
      <c r="I931" s="10" t="s">
        <v>489</v>
      </c>
      <c r="J931" s="10" t="s">
        <v>30</v>
      </c>
      <c r="K931" s="18" t="str">
        <f>_xlfn.XLOOKUP(tblMaster[[#This Row],[Customer_ID]],tblCustomers[Customer_ID],tblCustomers[City],"Not Found",0)</f>
        <v>Raurkela Industrial Township</v>
      </c>
      <c r="L931" s="18" t="str">
        <f>_xlfn.XLOOKUP(tblMaster[[#This Row],[Customer_ID]],tblCustomers[Customer_ID],tblCustomers[Name],"Not Found",0)</f>
        <v>Aaryahi Sodhi</v>
      </c>
      <c r="M931" s="18" t="str">
        <f>_xlfn.XLOOKUP(tblMaster[[#This Row],[Customer_ID]],tblCustomers[Customer_ID],tblCustomers[Gender],"Not Found",0)</f>
        <v>Male</v>
      </c>
      <c r="N931" s="18" t="str">
        <f>_xlfn.XLOOKUP(tblMaster[[#This Row],[Product_ID]],tblProducts[Product_ID],tblProducts[Product_Name],"Not Found",0)</f>
        <v>Iusto Box</v>
      </c>
      <c r="O931" s="18" t="str">
        <f>_xlfn.XLOOKUP(tblMaster[[#This Row],[Product_ID]],tblProducts[Product_ID],tblProducts[Category],"Not Found",0)</f>
        <v>Plants</v>
      </c>
      <c r="P931" s="18" t="str">
        <f>_xlfn.XLOOKUP(tblMaster[[#This Row],[Product_ID]],tblProducts[Product_ID],tblProducts[Occasion],"Not Found",0)</f>
        <v>Anniversary</v>
      </c>
      <c r="Q931" s="18">
        <f>_xlfn.XLOOKUP(tblMaster[[#This Row],[Product_ID]],tblProducts[Product_ID],tblProducts[Price (INR)],"Not Found",0)</f>
        <v>810</v>
      </c>
      <c r="R931" s="19">
        <f>tblMaster[[#This Row],[Price]]*tblMaster[[#This Row],[Quantity]]</f>
        <v>2430</v>
      </c>
      <c r="S931" s="19">
        <f>tblMaster[[#This Row],[Price]]*0.7*tblMaster[[#This Row],[Quantity]]</f>
        <v>1701</v>
      </c>
      <c r="T931" s="19">
        <f>tblMaster[[#This Row],[Revenue]]-tblMaster[[#This Row],[Estimated Cost (at 70%) ]]</f>
        <v>729</v>
      </c>
      <c r="U931" s="19">
        <f>tblMaster[[#This Row],[Profit]]/tblMaster[[#This Row],[Revenue]]</f>
        <v>0.3</v>
      </c>
      <c r="V931" s="19">
        <f>tblMaster[[#This Row],[Delivery_Date]]-tblMaster[[#This Row],[Order_Date]]</f>
        <v>4</v>
      </c>
      <c r="W931" s="19" t="str">
        <f>TEXT(tblMaster[[#This Row],[Order_Date]],"mmmm")</f>
        <v>June</v>
      </c>
      <c r="X931" s="19">
        <f>MONTH(tblMaster[[#This Row],[Order_Date]])</f>
        <v>6</v>
      </c>
      <c r="Y931" s="19" t="str">
        <f>"Q"&amp;ROUNDUP(tblMaster[[#This Row],[Month Number]]/3,0)</f>
        <v>Q2</v>
      </c>
      <c r="Z931" s="19">
        <f>YEAR(tblMaster[[#This Row],[Order_Date]])</f>
        <v>2023</v>
      </c>
      <c r="AA931" s="19" t="str">
        <f>TEXT(DAY(tblMaster[[#This Row],[Order_Date]]),"dddd")</f>
        <v>Tuesday</v>
      </c>
      <c r="AB931" s="19" t="str">
        <f>IF(tblMaster[[#This Row],[Revenue]]&gt;=5000,"High",IF(tblMaster[[#This Row],[Revenue]]&lt;2000,"Low","Medium"))</f>
        <v>Medium</v>
      </c>
    </row>
    <row r="932" spans="1:28" x14ac:dyDescent="0.25">
      <c r="A932" s="7">
        <v>931</v>
      </c>
      <c r="B932" s="7" t="s">
        <v>291</v>
      </c>
      <c r="C932" s="4">
        <v>14</v>
      </c>
      <c r="D932" s="4">
        <v>1</v>
      </c>
      <c r="E932" s="8">
        <v>45033</v>
      </c>
      <c r="F932" s="9">
        <v>0.82513888888888887</v>
      </c>
      <c r="G932" s="8">
        <v>45035</v>
      </c>
      <c r="H932" s="9">
        <v>0.43443287037037037</v>
      </c>
      <c r="I932" s="7" t="s">
        <v>303</v>
      </c>
      <c r="J932" s="7" t="s">
        <v>36</v>
      </c>
      <c r="K932" s="18" t="str">
        <f>_xlfn.XLOOKUP(tblMaster[[#This Row],[Customer_ID]],tblCustomers[Customer_ID],tblCustomers[City],"Not Found",0)</f>
        <v>Bharatpur</v>
      </c>
      <c r="L932" s="18" t="str">
        <f>_xlfn.XLOOKUP(tblMaster[[#This Row],[Customer_ID]],tblCustomers[Customer_ID],tblCustomers[Name],"Not Found",0)</f>
        <v>Kismat Kapadia</v>
      </c>
      <c r="M932" s="18" t="str">
        <f>_xlfn.XLOOKUP(tblMaster[[#This Row],[Customer_ID]],tblCustomers[Customer_ID],tblCustomers[Gender],"Not Found",0)</f>
        <v>Female</v>
      </c>
      <c r="N932" s="18" t="str">
        <f>_xlfn.XLOOKUP(tblMaster[[#This Row],[Product_ID]],tblProducts[Product_ID],tblProducts[Product_Name],"Not Found",0)</f>
        <v>Deserunt Box</v>
      </c>
      <c r="O932" s="18" t="str">
        <f>_xlfn.XLOOKUP(tblMaster[[#This Row],[Product_ID]],tblProducts[Product_ID],tblProducts[Category],"Not Found",0)</f>
        <v>Colors</v>
      </c>
      <c r="P932" s="18" t="str">
        <f>_xlfn.XLOOKUP(tblMaster[[#This Row],[Product_ID]],tblProducts[Product_ID],tblProducts[Occasion],"Not Found",0)</f>
        <v>Birthday</v>
      </c>
      <c r="Q932" s="18">
        <f>_xlfn.XLOOKUP(tblMaster[[#This Row],[Product_ID]],tblProducts[Product_ID],tblProducts[Price (INR)],"Not Found",0)</f>
        <v>1915</v>
      </c>
      <c r="R932" s="19">
        <f>tblMaster[[#This Row],[Price]]*tblMaster[[#This Row],[Quantity]]</f>
        <v>1915</v>
      </c>
      <c r="S932" s="19">
        <f>tblMaster[[#This Row],[Price]]*0.7*tblMaster[[#This Row],[Quantity]]</f>
        <v>1340.5</v>
      </c>
      <c r="T932" s="19">
        <f>tblMaster[[#This Row],[Revenue]]-tblMaster[[#This Row],[Estimated Cost (at 70%) ]]</f>
        <v>574.5</v>
      </c>
      <c r="U932" s="19">
        <f>tblMaster[[#This Row],[Profit]]/tblMaster[[#This Row],[Revenue]]</f>
        <v>0.3</v>
      </c>
      <c r="V932" s="19">
        <f>tblMaster[[#This Row],[Delivery_Date]]-tblMaster[[#This Row],[Order_Date]]</f>
        <v>2</v>
      </c>
      <c r="W932" s="19" t="str">
        <f>TEXT(tblMaster[[#This Row],[Order_Date]],"mmmm")</f>
        <v>April</v>
      </c>
      <c r="X932" s="19">
        <f>MONTH(tblMaster[[#This Row],[Order_Date]])</f>
        <v>4</v>
      </c>
      <c r="Y932" s="19" t="str">
        <f>"Q"&amp;ROUNDUP(tblMaster[[#This Row],[Month Number]]/3,0)</f>
        <v>Q2</v>
      </c>
      <c r="Z932" s="19">
        <f>YEAR(tblMaster[[#This Row],[Order_Date]])</f>
        <v>2023</v>
      </c>
      <c r="AA932" s="19" t="str">
        <f>TEXT(DAY(tblMaster[[#This Row],[Order_Date]]),"dddd")</f>
        <v>Tuesday</v>
      </c>
      <c r="AB932" s="19" t="str">
        <f>IF(tblMaster[[#This Row],[Revenue]]&gt;=5000,"High",IF(tblMaster[[#This Row],[Revenue]]&lt;2000,"Low","Medium"))</f>
        <v>Low</v>
      </c>
    </row>
    <row r="933" spans="1:28" x14ac:dyDescent="0.25">
      <c r="A933" s="10">
        <v>932</v>
      </c>
      <c r="B933" s="10" t="s">
        <v>293</v>
      </c>
      <c r="C933" s="5">
        <v>63</v>
      </c>
      <c r="D933" s="5">
        <v>2</v>
      </c>
      <c r="E933" s="11">
        <v>45228</v>
      </c>
      <c r="F933" s="12">
        <v>0.68923611111111116</v>
      </c>
      <c r="G933" s="11">
        <v>45232</v>
      </c>
      <c r="H933" s="12">
        <v>0.92859953703703701</v>
      </c>
      <c r="I933" s="10" t="s">
        <v>412</v>
      </c>
      <c r="J933" s="10" t="s">
        <v>8</v>
      </c>
      <c r="K933" s="18" t="str">
        <f>_xlfn.XLOOKUP(tblMaster[[#This Row],[Customer_ID]],tblCustomers[Customer_ID],tblCustomers[City],"Not Found",0)</f>
        <v>Aizawl</v>
      </c>
      <c r="L933" s="18" t="str">
        <f>_xlfn.XLOOKUP(tblMaster[[#This Row],[Customer_ID]],tblCustomers[Customer_ID],tblCustomers[Name],"Not Found",0)</f>
        <v>Yakshit Shah</v>
      </c>
      <c r="M933" s="18" t="str">
        <f>_xlfn.XLOOKUP(tblMaster[[#This Row],[Customer_ID]],tblCustomers[Customer_ID],tblCustomers[Gender],"Not Found",0)</f>
        <v>Female</v>
      </c>
      <c r="N933" s="18" t="str">
        <f>_xlfn.XLOOKUP(tblMaster[[#This Row],[Product_ID]],tblProducts[Product_ID],tblProducts[Product_Name],"Not Found",0)</f>
        <v>Adipisci Set</v>
      </c>
      <c r="O933" s="18" t="str">
        <f>_xlfn.XLOOKUP(tblMaster[[#This Row],[Product_ID]],tblProducts[Product_ID],tblProducts[Category],"Not Found",0)</f>
        <v>Sweets</v>
      </c>
      <c r="P933" s="18" t="str">
        <f>_xlfn.XLOOKUP(tblMaster[[#This Row],[Product_ID]],tblProducts[Product_ID],tblProducts[Occasion],"Not Found",0)</f>
        <v>All Occasions</v>
      </c>
      <c r="Q933" s="18">
        <f>_xlfn.XLOOKUP(tblMaster[[#This Row],[Product_ID]],tblProducts[Product_ID],tblProducts[Price (INR)],"Not Found",0)</f>
        <v>1348</v>
      </c>
      <c r="R933" s="19">
        <f>tblMaster[[#This Row],[Price]]*tblMaster[[#This Row],[Quantity]]</f>
        <v>2696</v>
      </c>
      <c r="S933" s="19">
        <f>tblMaster[[#This Row],[Price]]*0.7*tblMaster[[#This Row],[Quantity]]</f>
        <v>1887.1999999999998</v>
      </c>
      <c r="T933" s="19">
        <f>tblMaster[[#This Row],[Revenue]]-tblMaster[[#This Row],[Estimated Cost (at 70%) ]]</f>
        <v>808.80000000000018</v>
      </c>
      <c r="U933" s="19">
        <f>tblMaster[[#This Row],[Profit]]/tblMaster[[#This Row],[Revenue]]</f>
        <v>0.30000000000000004</v>
      </c>
      <c r="V933" s="19">
        <f>tblMaster[[#This Row],[Delivery_Date]]-tblMaster[[#This Row],[Order_Date]]</f>
        <v>4</v>
      </c>
      <c r="W933" s="19" t="str">
        <f>TEXT(tblMaster[[#This Row],[Order_Date]],"mmmm")</f>
        <v>October</v>
      </c>
      <c r="X933" s="19">
        <f>MONTH(tblMaster[[#This Row],[Order_Date]])</f>
        <v>10</v>
      </c>
      <c r="Y933" s="19" t="str">
        <f>"Q"&amp;ROUNDUP(tblMaster[[#This Row],[Month Number]]/3,0)</f>
        <v>Q4</v>
      </c>
      <c r="Z933" s="19">
        <f>YEAR(tblMaster[[#This Row],[Order_Date]])</f>
        <v>2023</v>
      </c>
      <c r="AA933" s="19" t="str">
        <f>TEXT(DAY(tblMaster[[#This Row],[Order_Date]]),"dddd")</f>
        <v>Sunday</v>
      </c>
      <c r="AB933" s="19" t="str">
        <f>IF(tblMaster[[#This Row],[Revenue]]&gt;=5000,"High",IF(tblMaster[[#This Row],[Revenue]]&lt;2000,"Low","Medium"))</f>
        <v>Medium</v>
      </c>
    </row>
    <row r="934" spans="1:28" x14ac:dyDescent="0.25">
      <c r="A934" s="7">
        <v>933</v>
      </c>
      <c r="B934" s="7" t="s">
        <v>293</v>
      </c>
      <c r="C934" s="4">
        <v>51</v>
      </c>
      <c r="D934" s="4">
        <v>3</v>
      </c>
      <c r="E934" s="8">
        <v>45244</v>
      </c>
      <c r="F934" s="9">
        <v>0.51181712962962966</v>
      </c>
      <c r="G934" s="8">
        <v>45253</v>
      </c>
      <c r="H934" s="9">
        <v>0.1180787037037037</v>
      </c>
      <c r="I934" s="7" t="s">
        <v>455</v>
      </c>
      <c r="J934" s="7" t="s">
        <v>8</v>
      </c>
      <c r="K934" s="18" t="str">
        <f>_xlfn.XLOOKUP(tblMaster[[#This Row],[Customer_ID]],tblCustomers[Customer_ID],tblCustomers[City],"Not Found",0)</f>
        <v>Aizawl</v>
      </c>
      <c r="L934" s="18" t="str">
        <f>_xlfn.XLOOKUP(tblMaster[[#This Row],[Customer_ID]],tblCustomers[Customer_ID],tblCustomers[Name],"Not Found",0)</f>
        <v>Yakshit Shah</v>
      </c>
      <c r="M934" s="18" t="str">
        <f>_xlfn.XLOOKUP(tblMaster[[#This Row],[Customer_ID]],tblCustomers[Customer_ID],tblCustomers[Gender],"Not Found",0)</f>
        <v>Female</v>
      </c>
      <c r="N934" s="18" t="str">
        <f>_xlfn.XLOOKUP(tblMaster[[#This Row],[Product_ID]],tblProducts[Product_ID],tblProducts[Product_Name],"Not Found",0)</f>
        <v>Fugit Set</v>
      </c>
      <c r="O934" s="18" t="str">
        <f>_xlfn.XLOOKUP(tblMaster[[#This Row],[Product_ID]],tblProducts[Product_ID],tblProducts[Category],"Not Found",0)</f>
        <v>Soft Toys</v>
      </c>
      <c r="P934" s="18" t="str">
        <f>_xlfn.XLOOKUP(tblMaster[[#This Row],[Product_ID]],tblProducts[Product_ID],tblProducts[Occasion],"Not Found",0)</f>
        <v>All Occasions</v>
      </c>
      <c r="Q934" s="18">
        <f>_xlfn.XLOOKUP(tblMaster[[#This Row],[Product_ID]],tblProducts[Product_ID],tblProducts[Price (INR)],"Not Found",0)</f>
        <v>1084</v>
      </c>
      <c r="R934" s="19">
        <f>tblMaster[[#This Row],[Price]]*tblMaster[[#This Row],[Quantity]]</f>
        <v>3252</v>
      </c>
      <c r="S934" s="19">
        <f>tblMaster[[#This Row],[Price]]*0.7*tblMaster[[#This Row],[Quantity]]</f>
        <v>2276.3999999999996</v>
      </c>
      <c r="T934" s="19">
        <f>tblMaster[[#This Row],[Revenue]]-tblMaster[[#This Row],[Estimated Cost (at 70%) ]]</f>
        <v>975.60000000000036</v>
      </c>
      <c r="U934" s="19">
        <f>tblMaster[[#This Row],[Profit]]/tblMaster[[#This Row],[Revenue]]</f>
        <v>0.3000000000000001</v>
      </c>
      <c r="V934" s="19">
        <f>tblMaster[[#This Row],[Delivery_Date]]-tblMaster[[#This Row],[Order_Date]]</f>
        <v>9</v>
      </c>
      <c r="W934" s="19" t="str">
        <f>TEXT(tblMaster[[#This Row],[Order_Date]],"mmmm")</f>
        <v>November</v>
      </c>
      <c r="X934" s="19">
        <f>MONTH(tblMaster[[#This Row],[Order_Date]])</f>
        <v>11</v>
      </c>
      <c r="Y934" s="19" t="str">
        <f>"Q"&amp;ROUNDUP(tblMaster[[#This Row],[Month Number]]/3,0)</f>
        <v>Q4</v>
      </c>
      <c r="Z934" s="19">
        <f>YEAR(tblMaster[[#This Row],[Order_Date]])</f>
        <v>2023</v>
      </c>
      <c r="AA934" s="19" t="str">
        <f>TEXT(DAY(tblMaster[[#This Row],[Order_Date]]),"dddd")</f>
        <v>Saturday</v>
      </c>
      <c r="AB934" s="19" t="str">
        <f>IF(tblMaster[[#This Row],[Revenue]]&gt;=5000,"High",IF(tblMaster[[#This Row],[Revenue]]&lt;2000,"Low","Medium"))</f>
        <v>Medium</v>
      </c>
    </row>
    <row r="935" spans="1:28" x14ac:dyDescent="0.25">
      <c r="A935" s="10">
        <v>934</v>
      </c>
      <c r="B935" s="10" t="s">
        <v>349</v>
      </c>
      <c r="C935" s="5">
        <v>27</v>
      </c>
      <c r="D935" s="5">
        <v>5</v>
      </c>
      <c r="E935" s="11">
        <v>45160</v>
      </c>
      <c r="F935" s="12">
        <v>2.8518518518518519E-2</v>
      </c>
      <c r="G935" s="11">
        <v>45161</v>
      </c>
      <c r="H935" s="12">
        <v>0.36032407407407407</v>
      </c>
      <c r="I935" s="10" t="s">
        <v>251</v>
      </c>
      <c r="J935" s="10" t="s">
        <v>33</v>
      </c>
      <c r="K935" s="18" t="str">
        <f>_xlfn.XLOOKUP(tblMaster[[#This Row],[Customer_ID]],tblCustomers[Customer_ID],tblCustomers[City],"Not Found",0)</f>
        <v>Khandwa</v>
      </c>
      <c r="L935" s="18" t="str">
        <f>_xlfn.XLOOKUP(tblMaster[[#This Row],[Customer_ID]],tblCustomers[Customer_ID],tblCustomers[Name],"Not Found",0)</f>
        <v>Ivana Rout</v>
      </c>
      <c r="M935" s="18" t="str">
        <f>_xlfn.XLOOKUP(tblMaster[[#This Row],[Customer_ID]],tblCustomers[Customer_ID],tblCustomers[Gender],"Not Found",0)</f>
        <v>Male</v>
      </c>
      <c r="N935" s="18" t="str">
        <f>_xlfn.XLOOKUP(tblMaster[[#This Row],[Product_ID]],tblProducts[Product_ID],tblProducts[Product_Name],"Not Found",0)</f>
        <v>Architecto Gift</v>
      </c>
      <c r="O935" s="18" t="str">
        <f>_xlfn.XLOOKUP(tblMaster[[#This Row],[Product_ID]],tblProducts[Product_ID],tblProducts[Category],"Not Found",0)</f>
        <v>Cake</v>
      </c>
      <c r="P935" s="18" t="str">
        <f>_xlfn.XLOOKUP(tblMaster[[#This Row],[Product_ID]],tblProducts[Product_ID],tblProducts[Occasion],"Not Found",0)</f>
        <v>Raksha Bandhan</v>
      </c>
      <c r="Q935" s="18">
        <f>_xlfn.XLOOKUP(tblMaster[[#This Row],[Product_ID]],tblProducts[Product_ID],tblProducts[Price (INR)],"Not Found",0)</f>
        <v>548</v>
      </c>
      <c r="R935" s="19">
        <f>tblMaster[[#This Row],[Price]]*tblMaster[[#This Row],[Quantity]]</f>
        <v>2740</v>
      </c>
      <c r="S935" s="19">
        <f>tblMaster[[#This Row],[Price]]*0.7*tblMaster[[#This Row],[Quantity]]</f>
        <v>1917.9999999999998</v>
      </c>
      <c r="T935" s="19">
        <f>tblMaster[[#This Row],[Revenue]]-tblMaster[[#This Row],[Estimated Cost (at 70%) ]]</f>
        <v>822.00000000000023</v>
      </c>
      <c r="U935" s="19">
        <f>tblMaster[[#This Row],[Profit]]/tblMaster[[#This Row],[Revenue]]</f>
        <v>0.3000000000000001</v>
      </c>
      <c r="V935" s="19">
        <f>tblMaster[[#This Row],[Delivery_Date]]-tblMaster[[#This Row],[Order_Date]]</f>
        <v>1</v>
      </c>
      <c r="W935" s="19" t="str">
        <f>TEXT(tblMaster[[#This Row],[Order_Date]],"mmmm")</f>
        <v>August</v>
      </c>
      <c r="X935" s="19">
        <f>MONTH(tblMaster[[#This Row],[Order_Date]])</f>
        <v>8</v>
      </c>
      <c r="Y935" s="19" t="str">
        <f>"Q"&amp;ROUNDUP(tblMaster[[#This Row],[Month Number]]/3,0)</f>
        <v>Q3</v>
      </c>
      <c r="Z935" s="19">
        <f>YEAR(tblMaster[[#This Row],[Order_Date]])</f>
        <v>2023</v>
      </c>
      <c r="AA935" s="19" t="str">
        <f>TEXT(DAY(tblMaster[[#This Row],[Order_Date]]),"dddd")</f>
        <v>Sunday</v>
      </c>
      <c r="AB935" s="19" t="str">
        <f>IF(tblMaster[[#This Row],[Revenue]]&gt;=5000,"High",IF(tblMaster[[#This Row],[Revenue]]&lt;2000,"Low","Medium"))</f>
        <v>Medium</v>
      </c>
    </row>
    <row r="936" spans="1:28" x14ac:dyDescent="0.25">
      <c r="A936" s="7">
        <v>935</v>
      </c>
      <c r="B936" s="7" t="s">
        <v>237</v>
      </c>
      <c r="C936" s="4">
        <v>27</v>
      </c>
      <c r="D936" s="4">
        <v>5</v>
      </c>
      <c r="E936" s="8">
        <v>45158</v>
      </c>
      <c r="F936" s="9">
        <v>0.40156249999999999</v>
      </c>
      <c r="G936" s="8">
        <v>45167</v>
      </c>
      <c r="H936" s="9">
        <v>0.7212615740740741</v>
      </c>
      <c r="I936" s="7" t="s">
        <v>502</v>
      </c>
      <c r="J936" s="7" t="s">
        <v>33</v>
      </c>
      <c r="K936" s="18" t="str">
        <f>_xlfn.XLOOKUP(tblMaster[[#This Row],[Customer_ID]],tblCustomers[Customer_ID],tblCustomers[City],"Not Found",0)</f>
        <v>Guna</v>
      </c>
      <c r="L936" s="18" t="str">
        <f>_xlfn.XLOOKUP(tblMaster[[#This Row],[Customer_ID]],tblCustomers[Customer_ID],tblCustomers[Name],"Not Found",0)</f>
        <v>Tara Kannan</v>
      </c>
      <c r="M936" s="18" t="str">
        <f>_xlfn.XLOOKUP(tblMaster[[#This Row],[Customer_ID]],tblCustomers[Customer_ID],tblCustomers[Gender],"Not Found",0)</f>
        <v>Male</v>
      </c>
      <c r="N936" s="18" t="str">
        <f>_xlfn.XLOOKUP(tblMaster[[#This Row],[Product_ID]],tblProducts[Product_ID],tblProducts[Product_Name],"Not Found",0)</f>
        <v>Architecto Gift</v>
      </c>
      <c r="O936" s="18" t="str">
        <f>_xlfn.XLOOKUP(tblMaster[[#This Row],[Product_ID]],tblProducts[Product_ID],tblProducts[Category],"Not Found",0)</f>
        <v>Cake</v>
      </c>
      <c r="P936" s="18" t="str">
        <f>_xlfn.XLOOKUP(tblMaster[[#This Row],[Product_ID]],tblProducts[Product_ID],tblProducts[Occasion],"Not Found",0)</f>
        <v>Raksha Bandhan</v>
      </c>
      <c r="Q936" s="18">
        <f>_xlfn.XLOOKUP(tblMaster[[#This Row],[Product_ID]],tblProducts[Product_ID],tblProducts[Price (INR)],"Not Found",0)</f>
        <v>548</v>
      </c>
      <c r="R936" s="19">
        <f>tblMaster[[#This Row],[Price]]*tblMaster[[#This Row],[Quantity]]</f>
        <v>2740</v>
      </c>
      <c r="S936" s="19">
        <f>tblMaster[[#This Row],[Price]]*0.7*tblMaster[[#This Row],[Quantity]]</f>
        <v>1917.9999999999998</v>
      </c>
      <c r="T936" s="19">
        <f>tblMaster[[#This Row],[Revenue]]-tblMaster[[#This Row],[Estimated Cost (at 70%) ]]</f>
        <v>822.00000000000023</v>
      </c>
      <c r="U936" s="19">
        <f>tblMaster[[#This Row],[Profit]]/tblMaster[[#This Row],[Revenue]]</f>
        <v>0.3000000000000001</v>
      </c>
      <c r="V936" s="19">
        <f>tblMaster[[#This Row],[Delivery_Date]]-tblMaster[[#This Row],[Order_Date]]</f>
        <v>9</v>
      </c>
      <c r="W936" s="19" t="str">
        <f>TEXT(tblMaster[[#This Row],[Order_Date]],"mmmm")</f>
        <v>August</v>
      </c>
      <c r="X936" s="19">
        <f>MONTH(tblMaster[[#This Row],[Order_Date]])</f>
        <v>8</v>
      </c>
      <c r="Y936" s="19" t="str">
        <f>"Q"&amp;ROUNDUP(tblMaster[[#This Row],[Month Number]]/3,0)</f>
        <v>Q3</v>
      </c>
      <c r="Z936" s="19">
        <f>YEAR(tblMaster[[#This Row],[Order_Date]])</f>
        <v>2023</v>
      </c>
      <c r="AA936" s="19" t="str">
        <f>TEXT(DAY(tblMaster[[#This Row],[Order_Date]]),"dddd")</f>
        <v>Friday</v>
      </c>
      <c r="AB936" s="19" t="str">
        <f>IF(tblMaster[[#This Row],[Revenue]]&gt;=5000,"High",IF(tblMaster[[#This Row],[Revenue]]&lt;2000,"Low","Medium"))</f>
        <v>Medium</v>
      </c>
    </row>
    <row r="937" spans="1:28" x14ac:dyDescent="0.25">
      <c r="A937" s="10">
        <v>936</v>
      </c>
      <c r="B937" s="10" t="s">
        <v>254</v>
      </c>
      <c r="C937" s="5">
        <v>43</v>
      </c>
      <c r="D937" s="5">
        <v>4</v>
      </c>
      <c r="E937" s="11">
        <v>45232</v>
      </c>
      <c r="F937" s="12">
        <v>0.89341435185185181</v>
      </c>
      <c r="G937" s="11">
        <v>45238</v>
      </c>
      <c r="H937" s="12">
        <v>0.41912037037037037</v>
      </c>
      <c r="I937" s="10" t="s">
        <v>167</v>
      </c>
      <c r="J937" s="10" t="s">
        <v>19</v>
      </c>
      <c r="K937" s="18" t="str">
        <f>_xlfn.XLOOKUP(tblMaster[[#This Row],[Customer_ID]],tblCustomers[Customer_ID],tblCustomers[City],"Not Found",0)</f>
        <v>Maheshtala</v>
      </c>
      <c r="L937" s="18" t="str">
        <f>_xlfn.XLOOKUP(tblMaster[[#This Row],[Customer_ID]],tblCustomers[Customer_ID],tblCustomers[Name],"Not Found",0)</f>
        <v>Divit Mahajan</v>
      </c>
      <c r="M937" s="18" t="str">
        <f>_xlfn.XLOOKUP(tblMaster[[#This Row],[Customer_ID]],tblCustomers[Customer_ID],tblCustomers[Gender],"Not Found",0)</f>
        <v>Female</v>
      </c>
      <c r="N937" s="18" t="str">
        <f>_xlfn.XLOOKUP(tblMaster[[#This Row],[Product_ID]],tblProducts[Product_ID],tblProducts[Product_Name],"Not Found",0)</f>
        <v>Quisquam Pack</v>
      </c>
      <c r="O937" s="18" t="str">
        <f>_xlfn.XLOOKUP(tblMaster[[#This Row],[Product_ID]],tblProducts[Product_ID],tblProducts[Category],"Not Found",0)</f>
        <v>Raksha Bandhan</v>
      </c>
      <c r="P937" s="18" t="str">
        <f>_xlfn.XLOOKUP(tblMaster[[#This Row],[Product_ID]],tblProducts[Product_ID],tblProducts[Occasion],"Not Found",0)</f>
        <v>Diwali</v>
      </c>
      <c r="Q937" s="18">
        <f>_xlfn.XLOOKUP(tblMaster[[#This Row],[Product_ID]],tblProducts[Product_ID],tblProducts[Price (INR)],"Not Found",0)</f>
        <v>750</v>
      </c>
      <c r="R937" s="19">
        <f>tblMaster[[#This Row],[Price]]*tblMaster[[#This Row],[Quantity]]</f>
        <v>3000</v>
      </c>
      <c r="S937" s="19">
        <f>tblMaster[[#This Row],[Price]]*0.7*tblMaster[[#This Row],[Quantity]]</f>
        <v>2100</v>
      </c>
      <c r="T937" s="19">
        <f>tblMaster[[#This Row],[Revenue]]-tblMaster[[#This Row],[Estimated Cost (at 70%) ]]</f>
        <v>900</v>
      </c>
      <c r="U937" s="19">
        <f>tblMaster[[#This Row],[Profit]]/tblMaster[[#This Row],[Revenue]]</f>
        <v>0.3</v>
      </c>
      <c r="V937" s="19">
        <f>tblMaster[[#This Row],[Delivery_Date]]-tblMaster[[#This Row],[Order_Date]]</f>
        <v>6</v>
      </c>
      <c r="W937" s="19" t="str">
        <f>TEXT(tblMaster[[#This Row],[Order_Date]],"mmmm")</f>
        <v>November</v>
      </c>
      <c r="X937" s="19">
        <f>MONTH(tblMaster[[#This Row],[Order_Date]])</f>
        <v>11</v>
      </c>
      <c r="Y937" s="19" t="str">
        <f>"Q"&amp;ROUNDUP(tblMaster[[#This Row],[Month Number]]/3,0)</f>
        <v>Q4</v>
      </c>
      <c r="Z937" s="19">
        <f>YEAR(tblMaster[[#This Row],[Order_Date]])</f>
        <v>2023</v>
      </c>
      <c r="AA937" s="19" t="str">
        <f>TEXT(DAY(tblMaster[[#This Row],[Order_Date]]),"dddd")</f>
        <v>Monday</v>
      </c>
      <c r="AB937" s="19" t="str">
        <f>IF(tblMaster[[#This Row],[Revenue]]&gt;=5000,"High",IF(tblMaster[[#This Row],[Revenue]]&lt;2000,"Low","Medium"))</f>
        <v>Medium</v>
      </c>
    </row>
    <row r="938" spans="1:28" x14ac:dyDescent="0.25">
      <c r="A938" s="7">
        <v>937</v>
      </c>
      <c r="B938" s="7" t="s">
        <v>180</v>
      </c>
      <c r="C938" s="4">
        <v>51</v>
      </c>
      <c r="D938" s="4">
        <v>2</v>
      </c>
      <c r="E938" s="8">
        <v>44996</v>
      </c>
      <c r="F938" s="9">
        <v>0.16508101851851853</v>
      </c>
      <c r="G938" s="8">
        <v>45000</v>
      </c>
      <c r="H938" s="9">
        <v>0.81056712962962962</v>
      </c>
      <c r="I938" s="7" t="s">
        <v>305</v>
      </c>
      <c r="J938" s="7" t="s">
        <v>8</v>
      </c>
      <c r="K938" s="18" t="str">
        <f>_xlfn.XLOOKUP(tblMaster[[#This Row],[Customer_ID]],tblCustomers[Customer_ID],tblCustomers[City],"Not Found",0)</f>
        <v>Sri Ganganagar</v>
      </c>
      <c r="L938" s="18" t="str">
        <f>_xlfn.XLOOKUP(tblMaster[[#This Row],[Customer_ID]],tblCustomers[Customer_ID],tblCustomers[Name],"Not Found",0)</f>
        <v>Nakul Randhawa</v>
      </c>
      <c r="M938" s="18" t="str">
        <f>_xlfn.XLOOKUP(tblMaster[[#This Row],[Customer_ID]],tblCustomers[Customer_ID],tblCustomers[Gender],"Not Found",0)</f>
        <v>Female</v>
      </c>
      <c r="N938" s="18" t="str">
        <f>_xlfn.XLOOKUP(tblMaster[[#This Row],[Product_ID]],tblProducts[Product_ID],tblProducts[Product_Name],"Not Found",0)</f>
        <v>Fugit Set</v>
      </c>
      <c r="O938" s="18" t="str">
        <f>_xlfn.XLOOKUP(tblMaster[[#This Row],[Product_ID]],tblProducts[Product_ID],tblProducts[Category],"Not Found",0)</f>
        <v>Soft Toys</v>
      </c>
      <c r="P938" s="18" t="str">
        <f>_xlfn.XLOOKUP(tblMaster[[#This Row],[Product_ID]],tblProducts[Product_ID],tblProducts[Occasion],"Not Found",0)</f>
        <v>All Occasions</v>
      </c>
      <c r="Q938" s="18">
        <f>_xlfn.XLOOKUP(tblMaster[[#This Row],[Product_ID]],tblProducts[Product_ID],tblProducts[Price (INR)],"Not Found",0)</f>
        <v>1084</v>
      </c>
      <c r="R938" s="19">
        <f>tblMaster[[#This Row],[Price]]*tblMaster[[#This Row],[Quantity]]</f>
        <v>2168</v>
      </c>
      <c r="S938" s="19">
        <f>tblMaster[[#This Row],[Price]]*0.7*tblMaster[[#This Row],[Quantity]]</f>
        <v>1517.6</v>
      </c>
      <c r="T938" s="19">
        <f>tblMaster[[#This Row],[Revenue]]-tblMaster[[#This Row],[Estimated Cost (at 70%) ]]</f>
        <v>650.40000000000009</v>
      </c>
      <c r="U938" s="19">
        <f>tblMaster[[#This Row],[Profit]]/tblMaster[[#This Row],[Revenue]]</f>
        <v>0.30000000000000004</v>
      </c>
      <c r="V938" s="19">
        <f>tblMaster[[#This Row],[Delivery_Date]]-tblMaster[[#This Row],[Order_Date]]</f>
        <v>4</v>
      </c>
      <c r="W938" s="19" t="str">
        <f>TEXT(tblMaster[[#This Row],[Order_Date]],"mmmm")</f>
        <v>March</v>
      </c>
      <c r="X938" s="19">
        <f>MONTH(tblMaster[[#This Row],[Order_Date]])</f>
        <v>3</v>
      </c>
      <c r="Y938" s="19" t="str">
        <f>"Q"&amp;ROUNDUP(tblMaster[[#This Row],[Month Number]]/3,0)</f>
        <v>Q1</v>
      </c>
      <c r="Z938" s="19">
        <f>YEAR(tblMaster[[#This Row],[Order_Date]])</f>
        <v>2023</v>
      </c>
      <c r="AA938" s="19" t="str">
        <f>TEXT(DAY(tblMaster[[#This Row],[Order_Date]]),"dddd")</f>
        <v>Wednesday</v>
      </c>
      <c r="AB938" s="19" t="str">
        <f>IF(tblMaster[[#This Row],[Revenue]]&gt;=5000,"High",IF(tblMaster[[#This Row],[Revenue]]&lt;2000,"Low","Medium"))</f>
        <v>Medium</v>
      </c>
    </row>
    <row r="939" spans="1:28" x14ac:dyDescent="0.25">
      <c r="A939" s="10">
        <v>938</v>
      </c>
      <c r="B939" s="10" t="s">
        <v>463</v>
      </c>
      <c r="C939" s="5">
        <v>59</v>
      </c>
      <c r="D939" s="5">
        <v>3</v>
      </c>
      <c r="E939" s="11">
        <v>45167</v>
      </c>
      <c r="F939" s="12">
        <v>0.75890046296296299</v>
      </c>
      <c r="G939" s="11">
        <v>45177</v>
      </c>
      <c r="H939" s="12">
        <v>5.3854166666666668E-2</v>
      </c>
      <c r="I939" s="10" t="s">
        <v>256</v>
      </c>
      <c r="J939" s="10" t="s">
        <v>33</v>
      </c>
      <c r="K939" s="18" t="str">
        <f>_xlfn.XLOOKUP(tblMaster[[#This Row],[Customer_ID]],tblCustomers[Customer_ID],tblCustomers[City],"Not Found",0)</f>
        <v>Kottayam</v>
      </c>
      <c r="L939" s="18" t="str">
        <f>_xlfn.XLOOKUP(tblMaster[[#This Row],[Customer_ID]],tblCustomers[Customer_ID],tblCustomers[Name],"Not Found",0)</f>
        <v>Hiran Kaul</v>
      </c>
      <c r="M939" s="18" t="str">
        <f>_xlfn.XLOOKUP(tblMaster[[#This Row],[Customer_ID]],tblCustomers[Customer_ID],tblCustomers[Gender],"Not Found",0)</f>
        <v>Male</v>
      </c>
      <c r="N939" s="18" t="str">
        <f>_xlfn.XLOOKUP(tblMaster[[#This Row],[Product_ID]],tblProducts[Product_ID],tblProducts[Product_Name],"Not Found",0)</f>
        <v>Pariatur Box</v>
      </c>
      <c r="O939" s="18" t="str">
        <f>_xlfn.XLOOKUP(tblMaster[[#This Row],[Product_ID]],tblProducts[Product_ID],tblProducts[Category],"Not Found",0)</f>
        <v>Cake</v>
      </c>
      <c r="P939" s="18" t="str">
        <f>_xlfn.XLOOKUP(tblMaster[[#This Row],[Product_ID]],tblProducts[Product_ID],tblProducts[Occasion],"Not Found",0)</f>
        <v>Raksha Bandhan</v>
      </c>
      <c r="Q939" s="18">
        <f>_xlfn.XLOOKUP(tblMaster[[#This Row],[Product_ID]],tblProducts[Product_ID],tblProducts[Price (INR)],"Not Found",0)</f>
        <v>811</v>
      </c>
      <c r="R939" s="19">
        <f>tblMaster[[#This Row],[Price]]*tblMaster[[#This Row],[Quantity]]</f>
        <v>2433</v>
      </c>
      <c r="S939" s="19">
        <f>tblMaster[[#This Row],[Price]]*0.7*tblMaster[[#This Row],[Quantity]]</f>
        <v>1703.1</v>
      </c>
      <c r="T939" s="19">
        <f>tblMaster[[#This Row],[Revenue]]-tblMaster[[#This Row],[Estimated Cost (at 70%) ]]</f>
        <v>729.90000000000009</v>
      </c>
      <c r="U939" s="19">
        <f>tblMaster[[#This Row],[Profit]]/tblMaster[[#This Row],[Revenue]]</f>
        <v>0.30000000000000004</v>
      </c>
      <c r="V939" s="19">
        <f>tblMaster[[#This Row],[Delivery_Date]]-tblMaster[[#This Row],[Order_Date]]</f>
        <v>10</v>
      </c>
      <c r="W939" s="19" t="str">
        <f>TEXT(tblMaster[[#This Row],[Order_Date]],"mmmm")</f>
        <v>August</v>
      </c>
      <c r="X939" s="19">
        <f>MONTH(tblMaster[[#This Row],[Order_Date]])</f>
        <v>8</v>
      </c>
      <c r="Y939" s="19" t="str">
        <f>"Q"&amp;ROUNDUP(tblMaster[[#This Row],[Month Number]]/3,0)</f>
        <v>Q3</v>
      </c>
      <c r="Z939" s="19">
        <f>YEAR(tblMaster[[#This Row],[Order_Date]])</f>
        <v>2023</v>
      </c>
      <c r="AA939" s="19" t="str">
        <f>TEXT(DAY(tblMaster[[#This Row],[Order_Date]]),"dddd")</f>
        <v>Sunday</v>
      </c>
      <c r="AB939" s="19" t="str">
        <f>IF(tblMaster[[#This Row],[Revenue]]&gt;=5000,"High",IF(tblMaster[[#This Row],[Revenue]]&lt;2000,"Low","Medium"))</f>
        <v>Medium</v>
      </c>
    </row>
    <row r="940" spans="1:28" x14ac:dyDescent="0.25">
      <c r="A940" s="7">
        <v>939</v>
      </c>
      <c r="B940" s="7" t="s">
        <v>364</v>
      </c>
      <c r="C940" s="4">
        <v>9</v>
      </c>
      <c r="D940" s="4">
        <v>4</v>
      </c>
      <c r="E940" s="8">
        <v>45158</v>
      </c>
      <c r="F940" s="9">
        <v>0.8715856481481481</v>
      </c>
      <c r="G940" s="8">
        <v>45159</v>
      </c>
      <c r="H940" s="9">
        <v>0.1918287037037037</v>
      </c>
      <c r="I940" s="7" t="s">
        <v>383</v>
      </c>
      <c r="J940" s="7" t="s">
        <v>33</v>
      </c>
      <c r="K940" s="18" t="str">
        <f>_xlfn.XLOOKUP(tblMaster[[#This Row],[Customer_ID]],tblCustomers[Customer_ID],tblCustomers[City],"Not Found",0)</f>
        <v>Tiruchirappalli</v>
      </c>
      <c r="L940" s="18" t="str">
        <f>_xlfn.XLOOKUP(tblMaster[[#This Row],[Customer_ID]],tblCustomers[Customer_ID],tblCustomers[Name],"Not Found",0)</f>
        <v>Anahita Shankar</v>
      </c>
      <c r="M940" s="18" t="str">
        <f>_xlfn.XLOOKUP(tblMaster[[#This Row],[Customer_ID]],tblCustomers[Customer_ID],tblCustomers[Gender],"Not Found",0)</f>
        <v>Male</v>
      </c>
      <c r="N940" s="18" t="str">
        <f>_xlfn.XLOOKUP(tblMaster[[#This Row],[Product_ID]],tblProducts[Product_ID],tblProducts[Product_Name],"Not Found",0)</f>
        <v>Aperiam Box</v>
      </c>
      <c r="O940" s="18" t="str">
        <f>_xlfn.XLOOKUP(tblMaster[[#This Row],[Product_ID]],tblProducts[Product_ID],tblProducts[Category],"Not Found",0)</f>
        <v>Colors</v>
      </c>
      <c r="P940" s="18" t="str">
        <f>_xlfn.XLOOKUP(tblMaster[[#This Row],[Product_ID]],tblProducts[Product_ID],tblProducts[Occasion],"Not Found",0)</f>
        <v>Raksha Bandhan</v>
      </c>
      <c r="Q940" s="18">
        <f>_xlfn.XLOOKUP(tblMaster[[#This Row],[Product_ID]],tblProducts[Product_ID],tblProducts[Price (INR)],"Not Found",0)</f>
        <v>1605</v>
      </c>
      <c r="R940" s="19">
        <f>tblMaster[[#This Row],[Price]]*tblMaster[[#This Row],[Quantity]]</f>
        <v>6420</v>
      </c>
      <c r="S940" s="19">
        <f>tblMaster[[#This Row],[Price]]*0.7*tblMaster[[#This Row],[Quantity]]</f>
        <v>4494</v>
      </c>
      <c r="T940" s="19">
        <f>tblMaster[[#This Row],[Revenue]]-tblMaster[[#This Row],[Estimated Cost (at 70%) ]]</f>
        <v>1926</v>
      </c>
      <c r="U940" s="19">
        <f>tblMaster[[#This Row],[Profit]]/tblMaster[[#This Row],[Revenue]]</f>
        <v>0.3</v>
      </c>
      <c r="V940" s="19">
        <f>tblMaster[[#This Row],[Delivery_Date]]-tblMaster[[#This Row],[Order_Date]]</f>
        <v>1</v>
      </c>
      <c r="W940" s="19" t="str">
        <f>TEXT(tblMaster[[#This Row],[Order_Date]],"mmmm")</f>
        <v>August</v>
      </c>
      <c r="X940" s="19">
        <f>MONTH(tblMaster[[#This Row],[Order_Date]])</f>
        <v>8</v>
      </c>
      <c r="Y940" s="19" t="str">
        <f>"Q"&amp;ROUNDUP(tblMaster[[#This Row],[Month Number]]/3,0)</f>
        <v>Q3</v>
      </c>
      <c r="Z940" s="19">
        <f>YEAR(tblMaster[[#This Row],[Order_Date]])</f>
        <v>2023</v>
      </c>
      <c r="AA940" s="19" t="str">
        <f>TEXT(DAY(tblMaster[[#This Row],[Order_Date]]),"dddd")</f>
        <v>Friday</v>
      </c>
      <c r="AB940" s="19" t="str">
        <f>IF(tblMaster[[#This Row],[Revenue]]&gt;=5000,"High",IF(tblMaster[[#This Row],[Revenue]]&lt;2000,"Low","Medium"))</f>
        <v>High</v>
      </c>
    </row>
    <row r="941" spans="1:28" x14ac:dyDescent="0.25">
      <c r="A941" s="10">
        <v>940</v>
      </c>
      <c r="B941" s="10" t="s">
        <v>316</v>
      </c>
      <c r="C941" s="5">
        <v>57</v>
      </c>
      <c r="D941" s="5">
        <v>4</v>
      </c>
      <c r="E941" s="11">
        <v>44937</v>
      </c>
      <c r="F941" s="12">
        <v>0.98501157407407403</v>
      </c>
      <c r="G941" s="11">
        <v>44938</v>
      </c>
      <c r="H941" s="12">
        <v>0.17005787037037037</v>
      </c>
      <c r="I941" s="10" t="s">
        <v>410</v>
      </c>
      <c r="J941" s="10" t="s">
        <v>36</v>
      </c>
      <c r="K941" s="18" t="str">
        <f>_xlfn.XLOOKUP(tblMaster[[#This Row],[Customer_ID]],tblCustomers[Customer_ID],tblCustomers[City],"Not Found",0)</f>
        <v>Ahmednagar</v>
      </c>
      <c r="L941" s="18" t="str">
        <f>_xlfn.XLOOKUP(tblMaster[[#This Row],[Customer_ID]],tblCustomers[Customer_ID],tblCustomers[Name],"Not Found",0)</f>
        <v>Anya Chaudhari</v>
      </c>
      <c r="M941" s="18" t="str">
        <f>_xlfn.XLOOKUP(tblMaster[[#This Row],[Customer_ID]],tblCustomers[Customer_ID],tblCustomers[Gender],"Not Found",0)</f>
        <v>Female</v>
      </c>
      <c r="N941" s="18" t="str">
        <f>_xlfn.XLOOKUP(tblMaster[[#This Row],[Product_ID]],tblProducts[Product_ID],tblProducts[Product_Name],"Not Found",0)</f>
        <v>Voluptatem Box</v>
      </c>
      <c r="O941" s="18" t="str">
        <f>_xlfn.XLOOKUP(tblMaster[[#This Row],[Product_ID]],tblProducts[Product_ID],tblProducts[Category],"Not Found",0)</f>
        <v>Colors</v>
      </c>
      <c r="P941" s="18" t="str">
        <f>_xlfn.XLOOKUP(tblMaster[[#This Row],[Product_ID]],tblProducts[Product_ID],tblProducts[Occasion],"Not Found",0)</f>
        <v>Birthday</v>
      </c>
      <c r="Q941" s="18">
        <f>_xlfn.XLOOKUP(tblMaster[[#This Row],[Product_ID]],tblProducts[Product_ID],tblProducts[Price (INR)],"Not Found",0)</f>
        <v>1582</v>
      </c>
      <c r="R941" s="19">
        <f>tblMaster[[#This Row],[Price]]*tblMaster[[#This Row],[Quantity]]</f>
        <v>6328</v>
      </c>
      <c r="S941" s="19">
        <f>tblMaster[[#This Row],[Price]]*0.7*tblMaster[[#This Row],[Quantity]]</f>
        <v>4429.5999999999995</v>
      </c>
      <c r="T941" s="19">
        <f>tblMaster[[#This Row],[Revenue]]-tblMaster[[#This Row],[Estimated Cost (at 70%) ]]</f>
        <v>1898.4000000000005</v>
      </c>
      <c r="U941" s="19">
        <f>tblMaster[[#This Row],[Profit]]/tblMaster[[#This Row],[Revenue]]</f>
        <v>0.3000000000000001</v>
      </c>
      <c r="V941" s="19">
        <f>tblMaster[[#This Row],[Delivery_Date]]-tblMaster[[#This Row],[Order_Date]]</f>
        <v>1</v>
      </c>
      <c r="W941" s="19" t="str">
        <f>TEXT(tblMaster[[#This Row],[Order_Date]],"mmmm")</f>
        <v>January</v>
      </c>
      <c r="X941" s="19">
        <f>MONTH(tblMaster[[#This Row],[Order_Date]])</f>
        <v>1</v>
      </c>
      <c r="Y941" s="19" t="str">
        <f>"Q"&amp;ROUNDUP(tblMaster[[#This Row],[Month Number]]/3,0)</f>
        <v>Q1</v>
      </c>
      <c r="Z941" s="19">
        <f>YEAR(tblMaster[[#This Row],[Order_Date]])</f>
        <v>2023</v>
      </c>
      <c r="AA941" s="19" t="str">
        <f>TEXT(DAY(tblMaster[[#This Row],[Order_Date]]),"dddd")</f>
        <v>Wednesday</v>
      </c>
      <c r="AB941" s="19" t="str">
        <f>IF(tblMaster[[#This Row],[Revenue]]&gt;=5000,"High",IF(tblMaster[[#This Row],[Revenue]]&lt;2000,"Low","Medium"))</f>
        <v>High</v>
      </c>
    </row>
    <row r="942" spans="1:28" x14ac:dyDescent="0.25">
      <c r="A942" s="7">
        <v>941</v>
      </c>
      <c r="B942" s="7" t="s">
        <v>265</v>
      </c>
      <c r="C942" s="4">
        <v>18</v>
      </c>
      <c r="D942" s="4">
        <v>4</v>
      </c>
      <c r="E942" s="8">
        <v>45065</v>
      </c>
      <c r="F942" s="9">
        <v>0.38619212962962962</v>
      </c>
      <c r="G942" s="8">
        <v>45068</v>
      </c>
      <c r="H942" s="9">
        <v>0.43612268518518521</v>
      </c>
      <c r="I942" s="7" t="s">
        <v>362</v>
      </c>
      <c r="J942" s="7" t="s">
        <v>36</v>
      </c>
      <c r="K942" s="18" t="str">
        <f>_xlfn.XLOOKUP(tblMaster[[#This Row],[Customer_ID]],tblCustomers[Customer_ID],tblCustomers[City],"Not Found",0)</f>
        <v>Guntakal</v>
      </c>
      <c r="L942" s="18" t="str">
        <f>_xlfn.XLOOKUP(tblMaster[[#This Row],[Customer_ID]],tblCustomers[Customer_ID],tblCustomers[Name],"Not Found",0)</f>
        <v>Charvi Kanda</v>
      </c>
      <c r="M942" s="18" t="str">
        <f>_xlfn.XLOOKUP(tblMaster[[#This Row],[Customer_ID]],tblCustomers[Customer_ID],tblCustomers[Gender],"Not Found",0)</f>
        <v>Male</v>
      </c>
      <c r="N942" s="18" t="str">
        <f>_xlfn.XLOOKUP(tblMaster[[#This Row],[Product_ID]],tblProducts[Product_ID],tblProducts[Product_Name],"Not Found",0)</f>
        <v>Nemo Set</v>
      </c>
      <c r="O942" s="18" t="str">
        <f>_xlfn.XLOOKUP(tblMaster[[#This Row],[Product_ID]],tblProducts[Product_ID],tblProducts[Category],"Not Found",0)</f>
        <v>Plants</v>
      </c>
      <c r="P942" s="18" t="str">
        <f>_xlfn.XLOOKUP(tblMaster[[#This Row],[Product_ID]],tblProducts[Product_ID],tblProducts[Occasion],"Not Found",0)</f>
        <v>Birthday</v>
      </c>
      <c r="Q942" s="18">
        <f>_xlfn.XLOOKUP(tblMaster[[#This Row],[Product_ID]],tblProducts[Product_ID],tblProducts[Price (INR)],"Not Found",0)</f>
        <v>781</v>
      </c>
      <c r="R942" s="19">
        <f>tblMaster[[#This Row],[Price]]*tblMaster[[#This Row],[Quantity]]</f>
        <v>3124</v>
      </c>
      <c r="S942" s="19">
        <f>tblMaster[[#This Row],[Price]]*0.7*tblMaster[[#This Row],[Quantity]]</f>
        <v>2186.7999999999997</v>
      </c>
      <c r="T942" s="19">
        <f>tblMaster[[#This Row],[Revenue]]-tblMaster[[#This Row],[Estimated Cost (at 70%) ]]</f>
        <v>937.20000000000027</v>
      </c>
      <c r="U942" s="19">
        <f>tblMaster[[#This Row],[Profit]]/tblMaster[[#This Row],[Revenue]]</f>
        <v>0.3000000000000001</v>
      </c>
      <c r="V942" s="19">
        <f>tblMaster[[#This Row],[Delivery_Date]]-tblMaster[[#This Row],[Order_Date]]</f>
        <v>3</v>
      </c>
      <c r="W942" s="19" t="str">
        <f>TEXT(tblMaster[[#This Row],[Order_Date]],"mmmm")</f>
        <v>May</v>
      </c>
      <c r="X942" s="19">
        <f>MONTH(tblMaster[[#This Row],[Order_Date]])</f>
        <v>5</v>
      </c>
      <c r="Y942" s="19" t="str">
        <f>"Q"&amp;ROUNDUP(tblMaster[[#This Row],[Month Number]]/3,0)</f>
        <v>Q2</v>
      </c>
      <c r="Z942" s="19">
        <f>YEAR(tblMaster[[#This Row],[Order_Date]])</f>
        <v>2023</v>
      </c>
      <c r="AA942" s="19" t="str">
        <f>TEXT(DAY(tblMaster[[#This Row],[Order_Date]]),"dddd")</f>
        <v>Thursday</v>
      </c>
      <c r="AB942" s="19" t="str">
        <f>IF(tblMaster[[#This Row],[Revenue]]&gt;=5000,"High",IF(tblMaster[[#This Row],[Revenue]]&lt;2000,"Low","Medium"))</f>
        <v>Medium</v>
      </c>
    </row>
    <row r="943" spans="1:28" x14ac:dyDescent="0.25">
      <c r="A943" s="10">
        <v>942</v>
      </c>
      <c r="B943" s="10" t="s">
        <v>188</v>
      </c>
      <c r="C943" s="5">
        <v>51</v>
      </c>
      <c r="D943" s="5">
        <v>1</v>
      </c>
      <c r="E943" s="11">
        <v>45283</v>
      </c>
      <c r="F943" s="12">
        <v>0.20813657407407407</v>
      </c>
      <c r="G943" s="11">
        <v>45286</v>
      </c>
      <c r="H943" s="12">
        <v>0.66414351851851849</v>
      </c>
      <c r="I943" s="10" t="s">
        <v>422</v>
      </c>
      <c r="J943" s="10" t="s">
        <v>8</v>
      </c>
      <c r="K943" s="18" t="str">
        <f>_xlfn.XLOOKUP(tblMaster[[#This Row],[Customer_ID]],tblCustomers[Customer_ID],tblCustomers[City],"Not Found",0)</f>
        <v>Kavali</v>
      </c>
      <c r="L943" s="18" t="str">
        <f>_xlfn.XLOOKUP(tblMaster[[#This Row],[Customer_ID]],tblCustomers[Customer_ID],tblCustomers[Name],"Not Found",0)</f>
        <v>Jhanvi Chowdhury</v>
      </c>
      <c r="M943" s="18" t="str">
        <f>_xlfn.XLOOKUP(tblMaster[[#This Row],[Customer_ID]],tblCustomers[Customer_ID],tblCustomers[Gender],"Not Found",0)</f>
        <v>Female</v>
      </c>
      <c r="N943" s="18" t="str">
        <f>_xlfn.XLOOKUP(tblMaster[[#This Row],[Product_ID]],tblProducts[Product_ID],tblProducts[Product_Name],"Not Found",0)</f>
        <v>Fugit Set</v>
      </c>
      <c r="O943" s="18" t="str">
        <f>_xlfn.XLOOKUP(tblMaster[[#This Row],[Product_ID]],tblProducts[Product_ID],tblProducts[Category],"Not Found",0)</f>
        <v>Soft Toys</v>
      </c>
      <c r="P943" s="18" t="str">
        <f>_xlfn.XLOOKUP(tblMaster[[#This Row],[Product_ID]],tblProducts[Product_ID],tblProducts[Occasion],"Not Found",0)</f>
        <v>All Occasions</v>
      </c>
      <c r="Q943" s="18">
        <f>_xlfn.XLOOKUP(tblMaster[[#This Row],[Product_ID]],tblProducts[Product_ID],tblProducts[Price (INR)],"Not Found",0)</f>
        <v>1084</v>
      </c>
      <c r="R943" s="19">
        <f>tblMaster[[#This Row],[Price]]*tblMaster[[#This Row],[Quantity]]</f>
        <v>1084</v>
      </c>
      <c r="S943" s="19">
        <f>tblMaster[[#This Row],[Price]]*0.7*tblMaster[[#This Row],[Quantity]]</f>
        <v>758.8</v>
      </c>
      <c r="T943" s="19">
        <f>tblMaster[[#This Row],[Revenue]]-tblMaster[[#This Row],[Estimated Cost (at 70%) ]]</f>
        <v>325.20000000000005</v>
      </c>
      <c r="U943" s="19">
        <f>tblMaster[[#This Row],[Profit]]/tblMaster[[#This Row],[Revenue]]</f>
        <v>0.30000000000000004</v>
      </c>
      <c r="V943" s="19">
        <f>tblMaster[[#This Row],[Delivery_Date]]-tblMaster[[#This Row],[Order_Date]]</f>
        <v>3</v>
      </c>
      <c r="W943" s="19" t="str">
        <f>TEXT(tblMaster[[#This Row],[Order_Date]],"mmmm")</f>
        <v>December</v>
      </c>
      <c r="X943" s="19">
        <f>MONTH(tblMaster[[#This Row],[Order_Date]])</f>
        <v>12</v>
      </c>
      <c r="Y943" s="19" t="str">
        <f>"Q"&amp;ROUNDUP(tblMaster[[#This Row],[Month Number]]/3,0)</f>
        <v>Q4</v>
      </c>
      <c r="Z943" s="19">
        <f>YEAR(tblMaster[[#This Row],[Order_Date]])</f>
        <v>2023</v>
      </c>
      <c r="AA943" s="19" t="str">
        <f>TEXT(DAY(tblMaster[[#This Row],[Order_Date]]),"dddd")</f>
        <v>Monday</v>
      </c>
      <c r="AB943" s="19" t="str">
        <f>IF(tblMaster[[#This Row],[Revenue]]&gt;=5000,"High",IF(tblMaster[[#This Row],[Revenue]]&lt;2000,"Low","Medium"))</f>
        <v>Low</v>
      </c>
    </row>
    <row r="944" spans="1:28" x14ac:dyDescent="0.25">
      <c r="A944" s="7">
        <v>943</v>
      </c>
      <c r="B944" s="7" t="s">
        <v>335</v>
      </c>
      <c r="C944" s="4">
        <v>22</v>
      </c>
      <c r="D944" s="4">
        <v>4</v>
      </c>
      <c r="E944" s="8">
        <v>44976</v>
      </c>
      <c r="F944" s="9">
        <v>0.60218749999999999</v>
      </c>
      <c r="G944" s="8">
        <v>44979</v>
      </c>
      <c r="H944" s="9">
        <v>0.79582175925925924</v>
      </c>
      <c r="I944" s="7" t="s">
        <v>309</v>
      </c>
      <c r="J944" s="7" t="s">
        <v>8</v>
      </c>
      <c r="K944" s="18" t="str">
        <f>_xlfn.XLOOKUP(tblMaster[[#This Row],[Customer_ID]],tblCustomers[Customer_ID],tblCustomers[City],"Not Found",0)</f>
        <v>Farrukhabad</v>
      </c>
      <c r="L944" s="18" t="str">
        <f>_xlfn.XLOOKUP(tblMaster[[#This Row],[Customer_ID]],tblCustomers[Customer_ID],tblCustomers[Name],"Not Found",0)</f>
        <v>Ira Chahal</v>
      </c>
      <c r="M944" s="18" t="str">
        <f>_xlfn.XLOOKUP(tblMaster[[#This Row],[Customer_ID]],tblCustomers[Customer_ID],tblCustomers[Gender],"Not Found",0)</f>
        <v>Female</v>
      </c>
      <c r="N944" s="18" t="str">
        <f>_xlfn.XLOOKUP(tblMaster[[#This Row],[Product_ID]],tblProducts[Product_ID],tblProducts[Product_Name],"Not Found",0)</f>
        <v>Exercitationem Pack</v>
      </c>
      <c r="O944" s="18" t="str">
        <f>_xlfn.XLOOKUP(tblMaster[[#This Row],[Product_ID]],tblProducts[Product_ID],tblProducts[Category],"Not Found",0)</f>
        <v>Soft Toys</v>
      </c>
      <c r="P944" s="18" t="str">
        <f>_xlfn.XLOOKUP(tblMaster[[#This Row],[Product_ID]],tblProducts[Product_ID],tblProducts[Occasion],"Not Found",0)</f>
        <v>All Occasions</v>
      </c>
      <c r="Q944" s="18">
        <f>_xlfn.XLOOKUP(tblMaster[[#This Row],[Product_ID]],tblProducts[Product_ID],tblProducts[Price (INR)],"Not Found",0)</f>
        <v>1639</v>
      </c>
      <c r="R944" s="19">
        <f>tblMaster[[#This Row],[Price]]*tblMaster[[#This Row],[Quantity]]</f>
        <v>6556</v>
      </c>
      <c r="S944" s="19">
        <f>tblMaster[[#This Row],[Price]]*0.7*tblMaster[[#This Row],[Quantity]]</f>
        <v>4589.2</v>
      </c>
      <c r="T944" s="19">
        <f>tblMaster[[#This Row],[Revenue]]-tblMaster[[#This Row],[Estimated Cost (at 70%) ]]</f>
        <v>1966.8000000000002</v>
      </c>
      <c r="U944" s="19">
        <f>tblMaster[[#This Row],[Profit]]/tblMaster[[#This Row],[Revenue]]</f>
        <v>0.30000000000000004</v>
      </c>
      <c r="V944" s="19">
        <f>tblMaster[[#This Row],[Delivery_Date]]-tblMaster[[#This Row],[Order_Date]]</f>
        <v>3</v>
      </c>
      <c r="W944" s="19" t="str">
        <f>TEXT(tblMaster[[#This Row],[Order_Date]],"mmmm")</f>
        <v>February</v>
      </c>
      <c r="X944" s="19">
        <f>MONTH(tblMaster[[#This Row],[Order_Date]])</f>
        <v>2</v>
      </c>
      <c r="Y944" s="19" t="str">
        <f>"Q"&amp;ROUNDUP(tblMaster[[#This Row],[Month Number]]/3,0)</f>
        <v>Q1</v>
      </c>
      <c r="Z944" s="19">
        <f>YEAR(tblMaster[[#This Row],[Order_Date]])</f>
        <v>2023</v>
      </c>
      <c r="AA944" s="19" t="str">
        <f>TEXT(DAY(tblMaster[[#This Row],[Order_Date]]),"dddd")</f>
        <v>Thursday</v>
      </c>
      <c r="AB944" s="19" t="str">
        <f>IF(tblMaster[[#This Row],[Revenue]]&gt;=5000,"High",IF(tblMaster[[#This Row],[Revenue]]&lt;2000,"Low","Medium"))</f>
        <v>High</v>
      </c>
    </row>
    <row r="945" spans="1:28" x14ac:dyDescent="0.25">
      <c r="A945" s="10">
        <v>944</v>
      </c>
      <c r="B945" s="10" t="s">
        <v>188</v>
      </c>
      <c r="C945" s="5">
        <v>67</v>
      </c>
      <c r="D945" s="5">
        <v>4</v>
      </c>
      <c r="E945" s="11">
        <v>45247</v>
      </c>
      <c r="F945" s="12">
        <v>0.8573263888888889</v>
      </c>
      <c r="G945" s="11">
        <v>45251</v>
      </c>
      <c r="H945" s="12">
        <v>0.69490740740740742</v>
      </c>
      <c r="I945" s="10" t="s">
        <v>262</v>
      </c>
      <c r="J945" s="10" t="s">
        <v>30</v>
      </c>
      <c r="K945" s="18" t="str">
        <f>_xlfn.XLOOKUP(tblMaster[[#This Row],[Customer_ID]],tblCustomers[Customer_ID],tblCustomers[City],"Not Found",0)</f>
        <v>Kavali</v>
      </c>
      <c r="L945" s="18" t="str">
        <f>_xlfn.XLOOKUP(tblMaster[[#This Row],[Customer_ID]],tblCustomers[Customer_ID],tblCustomers[Name],"Not Found",0)</f>
        <v>Jhanvi Chowdhury</v>
      </c>
      <c r="M945" s="18" t="str">
        <f>_xlfn.XLOOKUP(tblMaster[[#This Row],[Customer_ID]],tblCustomers[Customer_ID],tblCustomers[Gender],"Not Found",0)</f>
        <v>Female</v>
      </c>
      <c r="N945" s="18" t="str">
        <f>_xlfn.XLOOKUP(tblMaster[[#This Row],[Product_ID]],tblProducts[Product_ID],tblProducts[Product_Name],"Not Found",0)</f>
        <v>Maiores Box</v>
      </c>
      <c r="O945" s="18" t="str">
        <f>_xlfn.XLOOKUP(tblMaster[[#This Row],[Product_ID]],tblProducts[Product_ID],tblProducts[Category],"Not Found",0)</f>
        <v>Raksha Bandhan</v>
      </c>
      <c r="P945" s="18" t="str">
        <f>_xlfn.XLOOKUP(tblMaster[[#This Row],[Product_ID]],tblProducts[Product_ID],tblProducts[Occasion],"Not Found",0)</f>
        <v>Anniversary</v>
      </c>
      <c r="Q945" s="18">
        <f>_xlfn.XLOOKUP(tblMaster[[#This Row],[Product_ID]],tblProducts[Product_ID],tblProducts[Price (INR)],"Not Found",0)</f>
        <v>1374</v>
      </c>
      <c r="R945" s="19">
        <f>tblMaster[[#This Row],[Price]]*tblMaster[[#This Row],[Quantity]]</f>
        <v>5496</v>
      </c>
      <c r="S945" s="19">
        <f>tblMaster[[#This Row],[Price]]*0.7*tblMaster[[#This Row],[Quantity]]</f>
        <v>3847.2</v>
      </c>
      <c r="T945" s="19">
        <f>tblMaster[[#This Row],[Revenue]]-tblMaster[[#This Row],[Estimated Cost (at 70%) ]]</f>
        <v>1648.8000000000002</v>
      </c>
      <c r="U945" s="19">
        <f>tblMaster[[#This Row],[Profit]]/tblMaster[[#This Row],[Revenue]]</f>
        <v>0.30000000000000004</v>
      </c>
      <c r="V945" s="19">
        <f>tblMaster[[#This Row],[Delivery_Date]]-tblMaster[[#This Row],[Order_Date]]</f>
        <v>4</v>
      </c>
      <c r="W945" s="19" t="str">
        <f>TEXT(tblMaster[[#This Row],[Order_Date]],"mmmm")</f>
        <v>November</v>
      </c>
      <c r="X945" s="19">
        <f>MONTH(tblMaster[[#This Row],[Order_Date]])</f>
        <v>11</v>
      </c>
      <c r="Y945" s="19" t="str">
        <f>"Q"&amp;ROUNDUP(tblMaster[[#This Row],[Month Number]]/3,0)</f>
        <v>Q4</v>
      </c>
      <c r="Z945" s="19">
        <f>YEAR(tblMaster[[#This Row],[Order_Date]])</f>
        <v>2023</v>
      </c>
      <c r="AA945" s="19" t="str">
        <f>TEXT(DAY(tblMaster[[#This Row],[Order_Date]]),"dddd")</f>
        <v>Tuesday</v>
      </c>
      <c r="AB945" s="19" t="str">
        <f>IF(tblMaster[[#This Row],[Revenue]]&gt;=5000,"High",IF(tblMaster[[#This Row],[Revenue]]&lt;2000,"Low","Medium"))</f>
        <v>High</v>
      </c>
    </row>
    <row r="946" spans="1:28" x14ac:dyDescent="0.25">
      <c r="A946" s="7">
        <v>945</v>
      </c>
      <c r="B946" s="7" t="s">
        <v>293</v>
      </c>
      <c r="C946" s="4">
        <v>18</v>
      </c>
      <c r="D946" s="4">
        <v>2</v>
      </c>
      <c r="E946" s="8">
        <v>45137</v>
      </c>
      <c r="F946" s="9">
        <v>0.50002314814814819</v>
      </c>
      <c r="G946" s="8">
        <v>45144</v>
      </c>
      <c r="H946" s="9">
        <v>0.53112268518518524</v>
      </c>
      <c r="I946" s="7" t="s">
        <v>448</v>
      </c>
      <c r="J946" s="7" t="s">
        <v>36</v>
      </c>
      <c r="K946" s="18" t="str">
        <f>_xlfn.XLOOKUP(tblMaster[[#This Row],[Customer_ID]],tblCustomers[Customer_ID],tblCustomers[City],"Not Found",0)</f>
        <v>Aizawl</v>
      </c>
      <c r="L946" s="18" t="str">
        <f>_xlfn.XLOOKUP(tblMaster[[#This Row],[Customer_ID]],tblCustomers[Customer_ID],tblCustomers[Name],"Not Found",0)</f>
        <v>Yakshit Shah</v>
      </c>
      <c r="M946" s="18" t="str">
        <f>_xlfn.XLOOKUP(tblMaster[[#This Row],[Customer_ID]],tblCustomers[Customer_ID],tblCustomers[Gender],"Not Found",0)</f>
        <v>Female</v>
      </c>
      <c r="N946" s="18" t="str">
        <f>_xlfn.XLOOKUP(tblMaster[[#This Row],[Product_ID]],tblProducts[Product_ID],tblProducts[Product_Name],"Not Found",0)</f>
        <v>Nemo Set</v>
      </c>
      <c r="O946" s="18" t="str">
        <f>_xlfn.XLOOKUP(tblMaster[[#This Row],[Product_ID]],tblProducts[Product_ID],tblProducts[Category],"Not Found",0)</f>
        <v>Plants</v>
      </c>
      <c r="P946" s="18" t="str">
        <f>_xlfn.XLOOKUP(tblMaster[[#This Row],[Product_ID]],tblProducts[Product_ID],tblProducts[Occasion],"Not Found",0)</f>
        <v>Birthday</v>
      </c>
      <c r="Q946" s="18">
        <f>_xlfn.XLOOKUP(tblMaster[[#This Row],[Product_ID]],tblProducts[Product_ID],tblProducts[Price (INR)],"Not Found",0)</f>
        <v>781</v>
      </c>
      <c r="R946" s="19">
        <f>tblMaster[[#This Row],[Price]]*tblMaster[[#This Row],[Quantity]]</f>
        <v>1562</v>
      </c>
      <c r="S946" s="19">
        <f>tblMaster[[#This Row],[Price]]*0.7*tblMaster[[#This Row],[Quantity]]</f>
        <v>1093.3999999999999</v>
      </c>
      <c r="T946" s="19">
        <f>tblMaster[[#This Row],[Revenue]]-tblMaster[[#This Row],[Estimated Cost (at 70%) ]]</f>
        <v>468.60000000000014</v>
      </c>
      <c r="U946" s="19">
        <f>tblMaster[[#This Row],[Profit]]/tblMaster[[#This Row],[Revenue]]</f>
        <v>0.3000000000000001</v>
      </c>
      <c r="V946" s="19">
        <f>tblMaster[[#This Row],[Delivery_Date]]-tblMaster[[#This Row],[Order_Date]]</f>
        <v>7</v>
      </c>
      <c r="W946" s="19" t="str">
        <f>TEXT(tblMaster[[#This Row],[Order_Date]],"mmmm")</f>
        <v>July</v>
      </c>
      <c r="X946" s="19">
        <f>MONTH(tblMaster[[#This Row],[Order_Date]])</f>
        <v>7</v>
      </c>
      <c r="Y946" s="19" t="str">
        <f>"Q"&amp;ROUNDUP(tblMaster[[#This Row],[Month Number]]/3,0)</f>
        <v>Q3</v>
      </c>
      <c r="Z946" s="19">
        <f>YEAR(tblMaster[[#This Row],[Order_Date]])</f>
        <v>2023</v>
      </c>
      <c r="AA946" s="19" t="str">
        <f>TEXT(DAY(tblMaster[[#This Row],[Order_Date]]),"dddd")</f>
        <v>Monday</v>
      </c>
      <c r="AB946" s="19" t="str">
        <f>IF(tblMaster[[#This Row],[Revenue]]&gt;=5000,"High",IF(tblMaster[[#This Row],[Revenue]]&lt;2000,"Low","Medium"))</f>
        <v>Low</v>
      </c>
    </row>
    <row r="947" spans="1:28" x14ac:dyDescent="0.25">
      <c r="A947" s="10">
        <v>946</v>
      </c>
      <c r="B947" s="10" t="s">
        <v>276</v>
      </c>
      <c r="C947" s="5">
        <v>17</v>
      </c>
      <c r="D947" s="5">
        <v>4</v>
      </c>
      <c r="E947" s="11">
        <v>45262</v>
      </c>
      <c r="F947" s="12">
        <v>0.46353009259259259</v>
      </c>
      <c r="G947" s="11">
        <v>45269</v>
      </c>
      <c r="H947" s="12">
        <v>0.7383912037037037</v>
      </c>
      <c r="I947" s="10" t="s">
        <v>256</v>
      </c>
      <c r="J947" s="10" t="s">
        <v>30</v>
      </c>
      <c r="K947" s="18" t="str">
        <f>_xlfn.XLOOKUP(tblMaster[[#This Row],[Customer_ID]],tblCustomers[Customer_ID],tblCustomers[City],"Not Found",0)</f>
        <v>Imphal</v>
      </c>
      <c r="L947" s="18" t="str">
        <f>_xlfn.XLOOKUP(tblMaster[[#This Row],[Customer_ID]],tblCustomers[Customer_ID],tblCustomers[Name],"Not Found",0)</f>
        <v>Chirag Srinivas</v>
      </c>
      <c r="M947" s="18" t="str">
        <f>_xlfn.XLOOKUP(tblMaster[[#This Row],[Customer_ID]],tblCustomers[Customer_ID],tblCustomers[Gender],"Not Found",0)</f>
        <v>Female</v>
      </c>
      <c r="N947" s="18" t="str">
        <f>_xlfn.XLOOKUP(tblMaster[[#This Row],[Product_ID]],tblProducts[Product_ID],tblProducts[Product_Name],"Not Found",0)</f>
        <v>Delectus Gift</v>
      </c>
      <c r="O947" s="18" t="str">
        <f>_xlfn.XLOOKUP(tblMaster[[#This Row],[Product_ID]],tblProducts[Product_ID],tblProducts[Category],"Not Found",0)</f>
        <v>Soft Toys</v>
      </c>
      <c r="P947" s="18" t="str">
        <f>_xlfn.XLOOKUP(tblMaster[[#This Row],[Product_ID]],tblProducts[Product_ID],tblProducts[Occasion],"Not Found",0)</f>
        <v>Anniversary</v>
      </c>
      <c r="Q947" s="18">
        <f>_xlfn.XLOOKUP(tblMaster[[#This Row],[Product_ID]],tblProducts[Product_ID],tblProducts[Price (INR)],"Not Found",0)</f>
        <v>1899</v>
      </c>
      <c r="R947" s="19">
        <f>tblMaster[[#This Row],[Price]]*tblMaster[[#This Row],[Quantity]]</f>
        <v>7596</v>
      </c>
      <c r="S947" s="19">
        <f>tblMaster[[#This Row],[Price]]*0.7*tblMaster[[#This Row],[Quantity]]</f>
        <v>5317.2</v>
      </c>
      <c r="T947" s="19">
        <f>tblMaster[[#This Row],[Revenue]]-tblMaster[[#This Row],[Estimated Cost (at 70%) ]]</f>
        <v>2278.8000000000002</v>
      </c>
      <c r="U947" s="19">
        <f>tblMaster[[#This Row],[Profit]]/tblMaster[[#This Row],[Revenue]]</f>
        <v>0.30000000000000004</v>
      </c>
      <c r="V947" s="19">
        <f>tblMaster[[#This Row],[Delivery_Date]]-tblMaster[[#This Row],[Order_Date]]</f>
        <v>7</v>
      </c>
      <c r="W947" s="19" t="str">
        <f>TEXT(tblMaster[[#This Row],[Order_Date]],"mmmm")</f>
        <v>December</v>
      </c>
      <c r="X947" s="19">
        <f>MONTH(tblMaster[[#This Row],[Order_Date]])</f>
        <v>12</v>
      </c>
      <c r="Y947" s="19" t="str">
        <f>"Q"&amp;ROUNDUP(tblMaster[[#This Row],[Month Number]]/3,0)</f>
        <v>Q4</v>
      </c>
      <c r="Z947" s="19">
        <f>YEAR(tblMaster[[#This Row],[Order_Date]])</f>
        <v>2023</v>
      </c>
      <c r="AA947" s="19" t="str">
        <f>TEXT(DAY(tblMaster[[#This Row],[Order_Date]]),"dddd")</f>
        <v>Monday</v>
      </c>
      <c r="AB947" s="19" t="str">
        <f>IF(tblMaster[[#This Row],[Revenue]]&gt;=5000,"High",IF(tblMaster[[#This Row],[Revenue]]&lt;2000,"Low","Medium"))</f>
        <v>High</v>
      </c>
    </row>
    <row r="948" spans="1:28" x14ac:dyDescent="0.25">
      <c r="A948" s="7">
        <v>947</v>
      </c>
      <c r="B948" s="7" t="s">
        <v>304</v>
      </c>
      <c r="C948" s="4">
        <v>38</v>
      </c>
      <c r="D948" s="4">
        <v>3</v>
      </c>
      <c r="E948" s="8">
        <v>45205</v>
      </c>
      <c r="F948" s="9">
        <v>0.80299768518518522</v>
      </c>
      <c r="G948" s="8">
        <v>45207</v>
      </c>
      <c r="H948" s="9">
        <v>0.97554398148148147</v>
      </c>
      <c r="I948" s="7" t="s">
        <v>428</v>
      </c>
      <c r="J948" s="7" t="s">
        <v>36</v>
      </c>
      <c r="K948" s="18" t="str">
        <f>_xlfn.XLOOKUP(tblMaster[[#This Row],[Customer_ID]],tblCustomers[Customer_ID],tblCustomers[City],"Not Found",0)</f>
        <v>Phagwara</v>
      </c>
      <c r="L948" s="18" t="str">
        <f>_xlfn.XLOOKUP(tblMaster[[#This Row],[Customer_ID]],tblCustomers[Customer_ID],tblCustomers[Name],"Not Found",0)</f>
        <v>Pranay Chaudhary</v>
      </c>
      <c r="M948" s="18" t="str">
        <f>_xlfn.XLOOKUP(tblMaster[[#This Row],[Customer_ID]],tblCustomers[Customer_ID],tblCustomers[Gender],"Not Found",0)</f>
        <v>Female</v>
      </c>
      <c r="N948" s="18" t="str">
        <f>_xlfn.XLOOKUP(tblMaster[[#This Row],[Product_ID]],tblProducts[Product_ID],tblProducts[Product_Name],"Not Found",0)</f>
        <v>Mollitia Set</v>
      </c>
      <c r="O948" s="18" t="str">
        <f>_xlfn.XLOOKUP(tblMaster[[#This Row],[Product_ID]],tblProducts[Product_ID],tblProducts[Category],"Not Found",0)</f>
        <v>Cake</v>
      </c>
      <c r="P948" s="18" t="str">
        <f>_xlfn.XLOOKUP(tblMaster[[#This Row],[Product_ID]],tblProducts[Product_ID],tblProducts[Occasion],"Not Found",0)</f>
        <v>Birthday</v>
      </c>
      <c r="Q948" s="18">
        <f>_xlfn.XLOOKUP(tblMaster[[#This Row],[Product_ID]],tblProducts[Product_ID],tblProducts[Price (INR)],"Not Found",0)</f>
        <v>562</v>
      </c>
      <c r="R948" s="19">
        <f>tblMaster[[#This Row],[Price]]*tblMaster[[#This Row],[Quantity]]</f>
        <v>1686</v>
      </c>
      <c r="S948" s="19">
        <f>tblMaster[[#This Row],[Price]]*0.7*tblMaster[[#This Row],[Quantity]]</f>
        <v>1180.1999999999998</v>
      </c>
      <c r="T948" s="19">
        <f>tblMaster[[#This Row],[Revenue]]-tblMaster[[#This Row],[Estimated Cost (at 70%) ]]</f>
        <v>505.80000000000018</v>
      </c>
      <c r="U948" s="19">
        <f>tblMaster[[#This Row],[Profit]]/tblMaster[[#This Row],[Revenue]]</f>
        <v>0.3000000000000001</v>
      </c>
      <c r="V948" s="19">
        <f>tblMaster[[#This Row],[Delivery_Date]]-tblMaster[[#This Row],[Order_Date]]</f>
        <v>2</v>
      </c>
      <c r="W948" s="19" t="str">
        <f>TEXT(tblMaster[[#This Row],[Order_Date]],"mmmm")</f>
        <v>October</v>
      </c>
      <c r="X948" s="19">
        <f>MONTH(tblMaster[[#This Row],[Order_Date]])</f>
        <v>10</v>
      </c>
      <c r="Y948" s="19" t="str">
        <f>"Q"&amp;ROUNDUP(tblMaster[[#This Row],[Month Number]]/3,0)</f>
        <v>Q4</v>
      </c>
      <c r="Z948" s="19">
        <f>YEAR(tblMaster[[#This Row],[Order_Date]])</f>
        <v>2023</v>
      </c>
      <c r="AA948" s="19" t="str">
        <f>TEXT(DAY(tblMaster[[#This Row],[Order_Date]]),"dddd")</f>
        <v>Friday</v>
      </c>
      <c r="AB948" s="19" t="str">
        <f>IF(tblMaster[[#This Row],[Revenue]]&gt;=5000,"High",IF(tblMaster[[#This Row],[Revenue]]&lt;2000,"Low","Medium"))</f>
        <v>Low</v>
      </c>
    </row>
    <row r="949" spans="1:28" x14ac:dyDescent="0.25">
      <c r="A949" s="10">
        <v>948</v>
      </c>
      <c r="B949" s="10" t="s">
        <v>302</v>
      </c>
      <c r="C949" s="5">
        <v>26</v>
      </c>
      <c r="D949" s="5">
        <v>3</v>
      </c>
      <c r="E949" s="11">
        <v>44989</v>
      </c>
      <c r="F949" s="12">
        <v>0.76517361111111115</v>
      </c>
      <c r="G949" s="11">
        <v>44992</v>
      </c>
      <c r="H949" s="12">
        <v>0.5496064814814815</v>
      </c>
      <c r="I949" s="10" t="s">
        <v>411</v>
      </c>
      <c r="J949" s="10" t="s">
        <v>25</v>
      </c>
      <c r="K949" s="18" t="str">
        <f>_xlfn.XLOOKUP(tblMaster[[#This Row],[Customer_ID]],tblCustomers[Customer_ID],tblCustomers[City],"Not Found",0)</f>
        <v>Kavali</v>
      </c>
      <c r="L949" s="18" t="str">
        <f>_xlfn.XLOOKUP(tblMaster[[#This Row],[Customer_ID]],tblCustomers[Customer_ID],tblCustomers[Name],"Not Found",0)</f>
        <v>Akarsh Ramesh</v>
      </c>
      <c r="M949" s="18" t="str">
        <f>_xlfn.XLOOKUP(tblMaster[[#This Row],[Customer_ID]],tblCustomers[Customer_ID],tblCustomers[Gender],"Not Found",0)</f>
        <v>Female</v>
      </c>
      <c r="N949" s="18" t="str">
        <f>_xlfn.XLOOKUP(tblMaster[[#This Row],[Product_ID]],tblProducts[Product_ID],tblProducts[Product_Name],"Not Found",0)</f>
        <v>Aliquam Box</v>
      </c>
      <c r="O949" s="18" t="str">
        <f>_xlfn.XLOOKUP(tblMaster[[#This Row],[Product_ID]],tblProducts[Product_ID],tblProducts[Category],"Not Found",0)</f>
        <v>Colors</v>
      </c>
      <c r="P949" s="18" t="str">
        <f>_xlfn.XLOOKUP(tblMaster[[#This Row],[Product_ID]],tblProducts[Product_ID],tblProducts[Occasion],"Not Found",0)</f>
        <v>Holi</v>
      </c>
      <c r="Q949" s="18">
        <f>_xlfn.XLOOKUP(tblMaster[[#This Row],[Product_ID]],tblProducts[Product_ID],tblProducts[Price (INR)],"Not Found",0)</f>
        <v>289</v>
      </c>
      <c r="R949" s="19">
        <f>tblMaster[[#This Row],[Price]]*tblMaster[[#This Row],[Quantity]]</f>
        <v>867</v>
      </c>
      <c r="S949" s="19">
        <f>tblMaster[[#This Row],[Price]]*0.7*tblMaster[[#This Row],[Quantity]]</f>
        <v>606.9</v>
      </c>
      <c r="T949" s="19">
        <f>tblMaster[[#This Row],[Revenue]]-tblMaster[[#This Row],[Estimated Cost (at 70%) ]]</f>
        <v>260.10000000000002</v>
      </c>
      <c r="U949" s="19">
        <f>tblMaster[[#This Row],[Profit]]/tblMaster[[#This Row],[Revenue]]</f>
        <v>0.30000000000000004</v>
      </c>
      <c r="V949" s="19">
        <f>tblMaster[[#This Row],[Delivery_Date]]-tblMaster[[#This Row],[Order_Date]]</f>
        <v>3</v>
      </c>
      <c r="W949" s="19" t="str">
        <f>TEXT(tblMaster[[#This Row],[Order_Date]],"mmmm")</f>
        <v>March</v>
      </c>
      <c r="X949" s="19">
        <f>MONTH(tblMaster[[#This Row],[Order_Date]])</f>
        <v>3</v>
      </c>
      <c r="Y949" s="19" t="str">
        <f>"Q"&amp;ROUNDUP(tblMaster[[#This Row],[Month Number]]/3,0)</f>
        <v>Q1</v>
      </c>
      <c r="Z949" s="19">
        <f>YEAR(tblMaster[[#This Row],[Order_Date]])</f>
        <v>2023</v>
      </c>
      <c r="AA949" s="19" t="str">
        <f>TEXT(DAY(tblMaster[[#This Row],[Order_Date]]),"dddd")</f>
        <v>Wednesday</v>
      </c>
      <c r="AB949" s="19" t="str">
        <f>IF(tblMaster[[#This Row],[Revenue]]&gt;=5000,"High",IF(tblMaster[[#This Row],[Revenue]]&lt;2000,"Low","Medium"))</f>
        <v>Low</v>
      </c>
    </row>
    <row r="950" spans="1:28" x14ac:dyDescent="0.25">
      <c r="A950" s="7">
        <v>949</v>
      </c>
      <c r="B950" s="7" t="s">
        <v>246</v>
      </c>
      <c r="C950" s="4">
        <v>6</v>
      </c>
      <c r="D950" s="4">
        <v>4</v>
      </c>
      <c r="E950" s="8">
        <v>44984</v>
      </c>
      <c r="F950" s="9">
        <v>0.87153935185185183</v>
      </c>
      <c r="G950" s="8">
        <v>44991</v>
      </c>
      <c r="H950" s="9">
        <v>0.3995023148148148</v>
      </c>
      <c r="I950" s="7" t="s">
        <v>396</v>
      </c>
      <c r="J950" s="7" t="s">
        <v>25</v>
      </c>
      <c r="K950" s="18" t="str">
        <f>_xlfn.XLOOKUP(tblMaster[[#This Row],[Customer_ID]],tblCustomers[Customer_ID],tblCustomers[City],"Not Found",0)</f>
        <v>Machilipatnam</v>
      </c>
      <c r="L950" s="18" t="str">
        <f>_xlfn.XLOOKUP(tblMaster[[#This Row],[Customer_ID]],tblCustomers[Customer_ID],tblCustomers[Name],"Not Found",0)</f>
        <v>Samaira Ganesh</v>
      </c>
      <c r="M950" s="18" t="str">
        <f>_xlfn.XLOOKUP(tblMaster[[#This Row],[Customer_ID]],tblCustomers[Customer_ID],tblCustomers[Gender],"Not Found",0)</f>
        <v>Male</v>
      </c>
      <c r="N950" s="18" t="str">
        <f>_xlfn.XLOOKUP(tblMaster[[#This Row],[Product_ID]],tblProducts[Product_ID],tblProducts[Product_Name],"Not Found",0)</f>
        <v>Quos Box</v>
      </c>
      <c r="O950" s="18" t="str">
        <f>_xlfn.XLOOKUP(tblMaster[[#This Row],[Product_ID]],tblProducts[Product_ID],tblProducts[Category],"Not Found",0)</f>
        <v>Cake</v>
      </c>
      <c r="P950" s="18" t="str">
        <f>_xlfn.XLOOKUP(tblMaster[[#This Row],[Product_ID]],tblProducts[Product_ID],tblProducts[Occasion],"Not Found",0)</f>
        <v>Holi</v>
      </c>
      <c r="Q950" s="18">
        <f>_xlfn.XLOOKUP(tblMaster[[#This Row],[Product_ID]],tblProducts[Product_ID],tblProducts[Price (INR)],"Not Found",0)</f>
        <v>1112</v>
      </c>
      <c r="R950" s="19">
        <f>tblMaster[[#This Row],[Price]]*tblMaster[[#This Row],[Quantity]]</f>
        <v>4448</v>
      </c>
      <c r="S950" s="19">
        <f>tblMaster[[#This Row],[Price]]*0.7*tblMaster[[#This Row],[Quantity]]</f>
        <v>3113.6</v>
      </c>
      <c r="T950" s="19">
        <f>tblMaster[[#This Row],[Revenue]]-tblMaster[[#This Row],[Estimated Cost (at 70%) ]]</f>
        <v>1334.4</v>
      </c>
      <c r="U950" s="19">
        <f>tblMaster[[#This Row],[Profit]]/tblMaster[[#This Row],[Revenue]]</f>
        <v>0.30000000000000004</v>
      </c>
      <c r="V950" s="19">
        <f>tblMaster[[#This Row],[Delivery_Date]]-tblMaster[[#This Row],[Order_Date]]</f>
        <v>7</v>
      </c>
      <c r="W950" s="19" t="str">
        <f>TEXT(tblMaster[[#This Row],[Order_Date]],"mmmm")</f>
        <v>February</v>
      </c>
      <c r="X950" s="19">
        <f>MONTH(tblMaster[[#This Row],[Order_Date]])</f>
        <v>2</v>
      </c>
      <c r="Y950" s="19" t="str">
        <f>"Q"&amp;ROUNDUP(tblMaster[[#This Row],[Month Number]]/3,0)</f>
        <v>Q1</v>
      </c>
      <c r="Z950" s="19">
        <f>YEAR(tblMaster[[#This Row],[Order_Date]])</f>
        <v>2023</v>
      </c>
      <c r="AA950" s="19" t="str">
        <f>TEXT(DAY(tblMaster[[#This Row],[Order_Date]]),"dddd")</f>
        <v>Friday</v>
      </c>
      <c r="AB950" s="19" t="str">
        <f>IF(tblMaster[[#This Row],[Revenue]]&gt;=5000,"High",IF(tblMaster[[#This Row],[Revenue]]&lt;2000,"Low","Medium"))</f>
        <v>Medium</v>
      </c>
    </row>
    <row r="951" spans="1:28" x14ac:dyDescent="0.25">
      <c r="A951" s="10">
        <v>950</v>
      </c>
      <c r="B951" s="10" t="s">
        <v>248</v>
      </c>
      <c r="C951" s="5">
        <v>39</v>
      </c>
      <c r="D951" s="5">
        <v>3</v>
      </c>
      <c r="E951" s="11">
        <v>45215</v>
      </c>
      <c r="F951" s="12">
        <v>0.81319444444444444</v>
      </c>
      <c r="G951" s="11">
        <v>45217</v>
      </c>
      <c r="H951" s="12">
        <v>0.88148148148148153</v>
      </c>
      <c r="I951" s="10" t="s">
        <v>461</v>
      </c>
      <c r="J951" s="10" t="s">
        <v>8</v>
      </c>
      <c r="K951" s="18" t="str">
        <f>_xlfn.XLOOKUP(tblMaster[[#This Row],[Customer_ID]],tblCustomers[Customer_ID],tblCustomers[City],"Not Found",0)</f>
        <v>Panvel</v>
      </c>
      <c r="L951" s="18" t="str">
        <f>_xlfn.XLOOKUP(tblMaster[[#This Row],[Customer_ID]],tblCustomers[Customer_ID],tblCustomers[Name],"Not Found",0)</f>
        <v>Indrans Shukla</v>
      </c>
      <c r="M951" s="18" t="str">
        <f>_xlfn.XLOOKUP(tblMaster[[#This Row],[Customer_ID]],tblCustomers[Customer_ID],tblCustomers[Gender],"Not Found",0)</f>
        <v>Female</v>
      </c>
      <c r="N951" s="18" t="str">
        <f>_xlfn.XLOOKUP(tblMaster[[#This Row],[Product_ID]],tblProducts[Product_ID],tblProducts[Product_Name],"Not Found",0)</f>
        <v>Voluptate Set</v>
      </c>
      <c r="O951" s="18" t="str">
        <f>_xlfn.XLOOKUP(tblMaster[[#This Row],[Product_ID]],tblProducts[Product_ID],tblProducts[Category],"Not Found",0)</f>
        <v>Mugs</v>
      </c>
      <c r="P951" s="18" t="str">
        <f>_xlfn.XLOOKUP(tblMaster[[#This Row],[Product_ID]],tblProducts[Product_ID],tblProducts[Occasion],"Not Found",0)</f>
        <v>All Occasions</v>
      </c>
      <c r="Q951" s="18">
        <f>_xlfn.XLOOKUP(tblMaster[[#This Row],[Product_ID]],tblProducts[Product_ID],tblProducts[Price (INR)],"Not Found",0)</f>
        <v>387</v>
      </c>
      <c r="R951" s="19">
        <f>tblMaster[[#This Row],[Price]]*tblMaster[[#This Row],[Quantity]]</f>
        <v>1161</v>
      </c>
      <c r="S951" s="19">
        <f>tblMaster[[#This Row],[Price]]*0.7*tblMaster[[#This Row],[Quantity]]</f>
        <v>812.69999999999993</v>
      </c>
      <c r="T951" s="19">
        <f>tblMaster[[#This Row],[Revenue]]-tblMaster[[#This Row],[Estimated Cost (at 70%) ]]</f>
        <v>348.30000000000007</v>
      </c>
      <c r="U951" s="19">
        <f>tblMaster[[#This Row],[Profit]]/tblMaster[[#This Row],[Revenue]]</f>
        <v>0.30000000000000004</v>
      </c>
      <c r="V951" s="19">
        <f>tblMaster[[#This Row],[Delivery_Date]]-tblMaster[[#This Row],[Order_Date]]</f>
        <v>2</v>
      </c>
      <c r="W951" s="19" t="str">
        <f>TEXT(tblMaster[[#This Row],[Order_Date]],"mmmm")</f>
        <v>October</v>
      </c>
      <c r="X951" s="19">
        <f>MONTH(tblMaster[[#This Row],[Order_Date]])</f>
        <v>10</v>
      </c>
      <c r="Y951" s="19" t="str">
        <f>"Q"&amp;ROUNDUP(tblMaster[[#This Row],[Month Number]]/3,0)</f>
        <v>Q4</v>
      </c>
      <c r="Z951" s="19">
        <f>YEAR(tblMaster[[#This Row],[Order_Date]])</f>
        <v>2023</v>
      </c>
      <c r="AA951" s="19" t="str">
        <f>TEXT(DAY(tblMaster[[#This Row],[Order_Date]]),"dddd")</f>
        <v>Monday</v>
      </c>
      <c r="AB951" s="19" t="str">
        <f>IF(tblMaster[[#This Row],[Revenue]]&gt;=5000,"High",IF(tblMaster[[#This Row],[Revenue]]&lt;2000,"Low","Medium"))</f>
        <v>Low</v>
      </c>
    </row>
    <row r="952" spans="1:28" x14ac:dyDescent="0.25">
      <c r="A952" s="7">
        <v>951</v>
      </c>
      <c r="B952" s="7" t="s">
        <v>188</v>
      </c>
      <c r="C952" s="4">
        <v>20</v>
      </c>
      <c r="D952" s="4">
        <v>1</v>
      </c>
      <c r="E952" s="8">
        <v>45253</v>
      </c>
      <c r="F952" s="9">
        <v>0.64871527777777782</v>
      </c>
      <c r="G952" s="8">
        <v>45255</v>
      </c>
      <c r="H952" s="9">
        <v>0.7941435185185185</v>
      </c>
      <c r="I952" s="7" t="s">
        <v>518</v>
      </c>
      <c r="J952" s="7" t="s">
        <v>30</v>
      </c>
      <c r="K952" s="18" t="str">
        <f>_xlfn.XLOOKUP(tblMaster[[#This Row],[Customer_ID]],tblCustomers[Customer_ID],tblCustomers[City],"Not Found",0)</f>
        <v>Kavali</v>
      </c>
      <c r="L952" s="18" t="str">
        <f>_xlfn.XLOOKUP(tblMaster[[#This Row],[Customer_ID]],tblCustomers[Customer_ID],tblCustomers[Name],"Not Found",0)</f>
        <v>Jhanvi Chowdhury</v>
      </c>
      <c r="M952" s="18" t="str">
        <f>_xlfn.XLOOKUP(tblMaster[[#This Row],[Customer_ID]],tblCustomers[Customer_ID],tblCustomers[Gender],"Not Found",0)</f>
        <v>Female</v>
      </c>
      <c r="N952" s="18" t="str">
        <f>_xlfn.XLOOKUP(tblMaster[[#This Row],[Product_ID]],tblProducts[Product_ID],tblProducts[Product_Name],"Not Found",0)</f>
        <v>Reiciendis Box</v>
      </c>
      <c r="O952" s="18" t="str">
        <f>_xlfn.XLOOKUP(tblMaster[[#This Row],[Product_ID]],tblProducts[Product_ID],tblProducts[Category],"Not Found",0)</f>
        <v>Colors</v>
      </c>
      <c r="P952" s="18" t="str">
        <f>_xlfn.XLOOKUP(tblMaster[[#This Row],[Product_ID]],tblProducts[Product_ID],tblProducts[Occasion],"Not Found",0)</f>
        <v>Anniversary</v>
      </c>
      <c r="Q952" s="18">
        <f>_xlfn.XLOOKUP(tblMaster[[#This Row],[Product_ID]],tblProducts[Product_ID],tblProducts[Price (INR)],"Not Found",0)</f>
        <v>697</v>
      </c>
      <c r="R952" s="19">
        <f>tblMaster[[#This Row],[Price]]*tblMaster[[#This Row],[Quantity]]</f>
        <v>697</v>
      </c>
      <c r="S952" s="19">
        <f>tblMaster[[#This Row],[Price]]*0.7*tblMaster[[#This Row],[Quantity]]</f>
        <v>487.9</v>
      </c>
      <c r="T952" s="19">
        <f>tblMaster[[#This Row],[Revenue]]-tblMaster[[#This Row],[Estimated Cost (at 70%) ]]</f>
        <v>209.10000000000002</v>
      </c>
      <c r="U952" s="19">
        <f>tblMaster[[#This Row],[Profit]]/tblMaster[[#This Row],[Revenue]]</f>
        <v>0.30000000000000004</v>
      </c>
      <c r="V952" s="19">
        <f>tblMaster[[#This Row],[Delivery_Date]]-tblMaster[[#This Row],[Order_Date]]</f>
        <v>2</v>
      </c>
      <c r="W952" s="19" t="str">
        <f>TEXT(tblMaster[[#This Row],[Order_Date]],"mmmm")</f>
        <v>November</v>
      </c>
      <c r="X952" s="19">
        <f>MONTH(tblMaster[[#This Row],[Order_Date]])</f>
        <v>11</v>
      </c>
      <c r="Y952" s="19" t="str">
        <f>"Q"&amp;ROUNDUP(tblMaster[[#This Row],[Month Number]]/3,0)</f>
        <v>Q4</v>
      </c>
      <c r="Z952" s="19">
        <f>YEAR(tblMaster[[#This Row],[Order_Date]])</f>
        <v>2023</v>
      </c>
      <c r="AA952" s="19" t="str">
        <f>TEXT(DAY(tblMaster[[#This Row],[Order_Date]]),"dddd")</f>
        <v>Monday</v>
      </c>
      <c r="AB952" s="19" t="str">
        <f>IF(tblMaster[[#This Row],[Revenue]]&gt;=5000,"High",IF(tblMaster[[#This Row],[Revenue]]&lt;2000,"Low","Medium"))</f>
        <v>Low</v>
      </c>
    </row>
    <row r="953" spans="1:28" x14ac:dyDescent="0.25">
      <c r="A953" s="10">
        <v>952</v>
      </c>
      <c r="B953" s="10" t="s">
        <v>387</v>
      </c>
      <c r="C953" s="5">
        <v>49</v>
      </c>
      <c r="D953" s="5">
        <v>4</v>
      </c>
      <c r="E953" s="11">
        <v>44969</v>
      </c>
      <c r="F953" s="12">
        <v>0.11674768518518519</v>
      </c>
      <c r="G953" s="11">
        <v>44979</v>
      </c>
      <c r="H953" s="12">
        <v>0.38829861111111114</v>
      </c>
      <c r="I953" s="10" t="s">
        <v>362</v>
      </c>
      <c r="J953" s="10" t="s">
        <v>12</v>
      </c>
      <c r="K953" s="18" t="str">
        <f>_xlfn.XLOOKUP(tblMaster[[#This Row],[Customer_ID]],tblCustomers[Customer_ID],tblCustomers[City],"Not Found",0)</f>
        <v>Serampore</v>
      </c>
      <c r="L953" s="18" t="str">
        <f>_xlfn.XLOOKUP(tblMaster[[#This Row],[Customer_ID]],tblCustomers[Customer_ID],tblCustomers[Name],"Not Found",0)</f>
        <v>Kashvi Sur</v>
      </c>
      <c r="M953" s="18" t="str">
        <f>_xlfn.XLOOKUP(tblMaster[[#This Row],[Customer_ID]],tblCustomers[Customer_ID],tblCustomers[Gender],"Not Found",0)</f>
        <v>Female</v>
      </c>
      <c r="N953" s="18" t="str">
        <f>_xlfn.XLOOKUP(tblMaster[[#This Row],[Product_ID]],tblProducts[Product_ID],tblProducts[Product_Name],"Not Found",0)</f>
        <v>Voluptate Pack</v>
      </c>
      <c r="O953" s="18" t="str">
        <f>_xlfn.XLOOKUP(tblMaster[[#This Row],[Product_ID]],tblProducts[Product_ID],tblProducts[Category],"Not Found",0)</f>
        <v>Colors</v>
      </c>
      <c r="P953" s="18" t="str">
        <f>_xlfn.XLOOKUP(tblMaster[[#This Row],[Product_ID]],tblProducts[Product_ID],tblProducts[Occasion],"Not Found",0)</f>
        <v>Valentine's Day</v>
      </c>
      <c r="Q953" s="18">
        <f>_xlfn.XLOOKUP(tblMaster[[#This Row],[Product_ID]],tblProducts[Product_ID],tblProducts[Price (INR)],"Not Found",0)</f>
        <v>903</v>
      </c>
      <c r="R953" s="19">
        <f>tblMaster[[#This Row],[Price]]*tblMaster[[#This Row],[Quantity]]</f>
        <v>3612</v>
      </c>
      <c r="S953" s="19">
        <f>tblMaster[[#This Row],[Price]]*0.7*tblMaster[[#This Row],[Quantity]]</f>
        <v>2528.3999999999996</v>
      </c>
      <c r="T953" s="19">
        <f>tblMaster[[#This Row],[Revenue]]-tblMaster[[#This Row],[Estimated Cost (at 70%) ]]</f>
        <v>1083.6000000000004</v>
      </c>
      <c r="U953" s="19">
        <f>tblMaster[[#This Row],[Profit]]/tblMaster[[#This Row],[Revenue]]</f>
        <v>0.3000000000000001</v>
      </c>
      <c r="V953" s="19">
        <f>tblMaster[[#This Row],[Delivery_Date]]-tblMaster[[#This Row],[Order_Date]]</f>
        <v>10</v>
      </c>
      <c r="W953" s="19" t="str">
        <f>TEXT(tblMaster[[#This Row],[Order_Date]],"mmmm")</f>
        <v>February</v>
      </c>
      <c r="X953" s="19">
        <f>MONTH(tblMaster[[#This Row],[Order_Date]])</f>
        <v>2</v>
      </c>
      <c r="Y953" s="19" t="str">
        <f>"Q"&amp;ROUNDUP(tblMaster[[#This Row],[Month Number]]/3,0)</f>
        <v>Q1</v>
      </c>
      <c r="Z953" s="19">
        <f>YEAR(tblMaster[[#This Row],[Order_Date]])</f>
        <v>2023</v>
      </c>
      <c r="AA953" s="19" t="str">
        <f>TEXT(DAY(tblMaster[[#This Row],[Order_Date]]),"dddd")</f>
        <v>Thursday</v>
      </c>
      <c r="AB953" s="19" t="str">
        <f>IF(tblMaster[[#This Row],[Revenue]]&gt;=5000,"High",IF(tblMaster[[#This Row],[Revenue]]&lt;2000,"Low","Medium"))</f>
        <v>Medium</v>
      </c>
    </row>
    <row r="954" spans="1:28" x14ac:dyDescent="0.25">
      <c r="A954" s="7">
        <v>953</v>
      </c>
      <c r="B954" s="7" t="s">
        <v>417</v>
      </c>
      <c r="C954" s="4">
        <v>40</v>
      </c>
      <c r="D954" s="4">
        <v>1</v>
      </c>
      <c r="E954" s="8">
        <v>45172</v>
      </c>
      <c r="F954" s="9">
        <v>1.8067129629629631E-2</v>
      </c>
      <c r="G954" s="8">
        <v>45173</v>
      </c>
      <c r="H954" s="9">
        <v>0.31516203703703705</v>
      </c>
      <c r="I954" s="7" t="s">
        <v>288</v>
      </c>
      <c r="J954" s="7" t="s">
        <v>30</v>
      </c>
      <c r="K954" s="18" t="str">
        <f>_xlfn.XLOOKUP(tblMaster[[#This Row],[Customer_ID]],tblCustomers[Customer_ID],tblCustomers[City],"Not Found",0)</f>
        <v>Gaya</v>
      </c>
      <c r="L954" s="18" t="str">
        <f>_xlfn.XLOOKUP(tblMaster[[#This Row],[Customer_ID]],tblCustomers[Customer_ID],tblCustomers[Name],"Not Found",0)</f>
        <v>Oorja Dayal</v>
      </c>
      <c r="M954" s="18" t="str">
        <f>_xlfn.XLOOKUP(tblMaster[[#This Row],[Customer_ID]],tblCustomers[Customer_ID],tblCustomers[Gender],"Not Found",0)</f>
        <v>Female</v>
      </c>
      <c r="N954" s="18" t="str">
        <f>_xlfn.XLOOKUP(tblMaster[[#This Row],[Product_ID]],tblProducts[Product_ID],tblProducts[Product_Name],"Not Found",0)</f>
        <v>Provident Pack</v>
      </c>
      <c r="O954" s="18" t="str">
        <f>_xlfn.XLOOKUP(tblMaster[[#This Row],[Product_ID]],tblProducts[Product_ID],tblProducts[Category],"Not Found",0)</f>
        <v>Sweets</v>
      </c>
      <c r="P954" s="18" t="str">
        <f>_xlfn.XLOOKUP(tblMaster[[#This Row],[Product_ID]],tblProducts[Product_ID],tblProducts[Occasion],"Not Found",0)</f>
        <v>Anniversary</v>
      </c>
      <c r="Q954" s="18">
        <f>_xlfn.XLOOKUP(tblMaster[[#This Row],[Product_ID]],tblProducts[Product_ID],tblProducts[Price (INR)],"Not Found",0)</f>
        <v>1923</v>
      </c>
      <c r="R954" s="19">
        <f>tblMaster[[#This Row],[Price]]*tblMaster[[#This Row],[Quantity]]</f>
        <v>1923</v>
      </c>
      <c r="S954" s="19">
        <f>tblMaster[[#This Row],[Price]]*0.7*tblMaster[[#This Row],[Quantity]]</f>
        <v>1346.1</v>
      </c>
      <c r="T954" s="19">
        <f>tblMaster[[#This Row],[Revenue]]-tblMaster[[#This Row],[Estimated Cost (at 70%) ]]</f>
        <v>576.90000000000009</v>
      </c>
      <c r="U954" s="19">
        <f>tblMaster[[#This Row],[Profit]]/tblMaster[[#This Row],[Revenue]]</f>
        <v>0.30000000000000004</v>
      </c>
      <c r="V954" s="19">
        <f>tblMaster[[#This Row],[Delivery_Date]]-tblMaster[[#This Row],[Order_Date]]</f>
        <v>1</v>
      </c>
      <c r="W954" s="19" t="str">
        <f>TEXT(tblMaster[[#This Row],[Order_Date]],"mmmm")</f>
        <v>September</v>
      </c>
      <c r="X954" s="19">
        <f>MONTH(tblMaster[[#This Row],[Order_Date]])</f>
        <v>9</v>
      </c>
      <c r="Y954" s="19" t="str">
        <f>"Q"&amp;ROUNDUP(tblMaster[[#This Row],[Month Number]]/3,0)</f>
        <v>Q3</v>
      </c>
      <c r="Z954" s="19">
        <f>YEAR(tblMaster[[#This Row],[Order_Date]])</f>
        <v>2023</v>
      </c>
      <c r="AA954" s="19" t="str">
        <f>TEXT(DAY(tblMaster[[#This Row],[Order_Date]]),"dddd")</f>
        <v>Tuesday</v>
      </c>
      <c r="AB954" s="19" t="str">
        <f>IF(tblMaster[[#This Row],[Revenue]]&gt;=5000,"High",IF(tblMaster[[#This Row],[Revenue]]&lt;2000,"Low","Medium"))</f>
        <v>Low</v>
      </c>
    </row>
    <row r="955" spans="1:28" x14ac:dyDescent="0.25">
      <c r="A955" s="10">
        <v>954</v>
      </c>
      <c r="B955" s="10" t="s">
        <v>213</v>
      </c>
      <c r="C955" s="5">
        <v>44</v>
      </c>
      <c r="D955" s="5">
        <v>3</v>
      </c>
      <c r="E955" s="11">
        <v>45232</v>
      </c>
      <c r="F955" s="12">
        <v>0.1678587962962963</v>
      </c>
      <c r="G955" s="11">
        <v>45233</v>
      </c>
      <c r="H955" s="12">
        <v>0.76459490740740743</v>
      </c>
      <c r="I955" s="10" t="s">
        <v>452</v>
      </c>
      <c r="J955" s="10" t="s">
        <v>19</v>
      </c>
      <c r="K955" s="18" t="str">
        <f>_xlfn.XLOOKUP(tblMaster[[#This Row],[Customer_ID]],tblCustomers[Customer_ID],tblCustomers[City],"Not Found",0)</f>
        <v>Jamnagar</v>
      </c>
      <c r="L955" s="18" t="str">
        <f>_xlfn.XLOOKUP(tblMaster[[#This Row],[Customer_ID]],tblCustomers[Customer_ID],tblCustomers[Name],"Not Found",0)</f>
        <v>Arhaan Ahluwalia</v>
      </c>
      <c r="M955" s="18" t="str">
        <f>_xlfn.XLOOKUP(tblMaster[[#This Row],[Customer_ID]],tblCustomers[Customer_ID],tblCustomers[Gender],"Not Found",0)</f>
        <v>Male</v>
      </c>
      <c r="N955" s="18" t="str">
        <f>_xlfn.XLOOKUP(tblMaster[[#This Row],[Product_ID]],tblProducts[Product_ID],tblProducts[Product_Name],"Not Found",0)</f>
        <v>Dolorum Set</v>
      </c>
      <c r="O955" s="18" t="str">
        <f>_xlfn.XLOOKUP(tblMaster[[#This Row],[Product_ID]],tblProducts[Product_ID],tblProducts[Category],"Not Found",0)</f>
        <v>Plants</v>
      </c>
      <c r="P955" s="18" t="str">
        <f>_xlfn.XLOOKUP(tblMaster[[#This Row],[Product_ID]],tblProducts[Product_ID],tblProducts[Occasion],"Not Found",0)</f>
        <v>Diwali</v>
      </c>
      <c r="Q955" s="18">
        <f>_xlfn.XLOOKUP(tblMaster[[#This Row],[Product_ID]],tblProducts[Product_ID],tblProducts[Price (INR)],"Not Found",0)</f>
        <v>794</v>
      </c>
      <c r="R955" s="19">
        <f>tblMaster[[#This Row],[Price]]*tblMaster[[#This Row],[Quantity]]</f>
        <v>2382</v>
      </c>
      <c r="S955" s="19">
        <f>tblMaster[[#This Row],[Price]]*0.7*tblMaster[[#This Row],[Quantity]]</f>
        <v>1667.3999999999999</v>
      </c>
      <c r="T955" s="19">
        <f>tblMaster[[#This Row],[Revenue]]-tblMaster[[#This Row],[Estimated Cost (at 70%) ]]</f>
        <v>714.60000000000014</v>
      </c>
      <c r="U955" s="19">
        <f>tblMaster[[#This Row],[Profit]]/tblMaster[[#This Row],[Revenue]]</f>
        <v>0.30000000000000004</v>
      </c>
      <c r="V955" s="19">
        <f>tblMaster[[#This Row],[Delivery_Date]]-tblMaster[[#This Row],[Order_Date]]</f>
        <v>1</v>
      </c>
      <c r="W955" s="19" t="str">
        <f>TEXT(tblMaster[[#This Row],[Order_Date]],"mmmm")</f>
        <v>November</v>
      </c>
      <c r="X955" s="19">
        <f>MONTH(tblMaster[[#This Row],[Order_Date]])</f>
        <v>11</v>
      </c>
      <c r="Y955" s="19" t="str">
        <f>"Q"&amp;ROUNDUP(tblMaster[[#This Row],[Month Number]]/3,0)</f>
        <v>Q4</v>
      </c>
      <c r="Z955" s="19">
        <f>YEAR(tblMaster[[#This Row],[Order_Date]])</f>
        <v>2023</v>
      </c>
      <c r="AA955" s="19" t="str">
        <f>TEXT(DAY(tblMaster[[#This Row],[Order_Date]]),"dddd")</f>
        <v>Monday</v>
      </c>
      <c r="AB955" s="19" t="str">
        <f>IF(tblMaster[[#This Row],[Revenue]]&gt;=5000,"High",IF(tblMaster[[#This Row],[Revenue]]&lt;2000,"Low","Medium"))</f>
        <v>Medium</v>
      </c>
    </row>
    <row r="956" spans="1:28" x14ac:dyDescent="0.25">
      <c r="A956" s="7">
        <v>955</v>
      </c>
      <c r="B956" s="7" t="s">
        <v>270</v>
      </c>
      <c r="C956" s="4">
        <v>24</v>
      </c>
      <c r="D956" s="4">
        <v>4</v>
      </c>
      <c r="E956" s="8">
        <v>45080</v>
      </c>
      <c r="F956" s="9">
        <v>2.1388888888888888E-2</v>
      </c>
      <c r="G956" s="8">
        <v>45084</v>
      </c>
      <c r="H956" s="9">
        <v>0.38016203703703705</v>
      </c>
      <c r="I956" s="7" t="s">
        <v>562</v>
      </c>
      <c r="J956" s="7" t="s">
        <v>36</v>
      </c>
      <c r="K956" s="18" t="str">
        <f>_xlfn.XLOOKUP(tblMaster[[#This Row],[Customer_ID]],tblCustomers[Customer_ID],tblCustomers[City],"Not Found",0)</f>
        <v>Kolkata</v>
      </c>
      <c r="L956" s="18" t="str">
        <f>_xlfn.XLOOKUP(tblMaster[[#This Row],[Customer_ID]],tblCustomers[Customer_ID],tblCustomers[Name],"Not Found",0)</f>
        <v>Romil Bajwa</v>
      </c>
      <c r="M956" s="18" t="str">
        <f>_xlfn.XLOOKUP(tblMaster[[#This Row],[Customer_ID]],tblCustomers[Customer_ID],tblCustomers[Gender],"Not Found",0)</f>
        <v>Female</v>
      </c>
      <c r="N956" s="18" t="str">
        <f>_xlfn.XLOOKUP(tblMaster[[#This Row],[Product_ID]],tblProducts[Product_ID],tblProducts[Product_Name],"Not Found",0)</f>
        <v>Ad Box</v>
      </c>
      <c r="O956" s="18" t="str">
        <f>_xlfn.XLOOKUP(tblMaster[[#This Row],[Product_ID]],tblProducts[Product_ID],tblProducts[Category],"Not Found",0)</f>
        <v>Mugs</v>
      </c>
      <c r="P956" s="18" t="str">
        <f>_xlfn.XLOOKUP(tblMaster[[#This Row],[Product_ID]],tblProducts[Product_ID],tblProducts[Occasion],"Not Found",0)</f>
        <v>Birthday</v>
      </c>
      <c r="Q956" s="18">
        <f>_xlfn.XLOOKUP(tblMaster[[#This Row],[Product_ID]],tblProducts[Product_ID],tblProducts[Price (INR)],"Not Found",0)</f>
        <v>535</v>
      </c>
      <c r="R956" s="19">
        <f>tblMaster[[#This Row],[Price]]*tblMaster[[#This Row],[Quantity]]</f>
        <v>2140</v>
      </c>
      <c r="S956" s="19">
        <f>tblMaster[[#This Row],[Price]]*0.7*tblMaster[[#This Row],[Quantity]]</f>
        <v>1498</v>
      </c>
      <c r="T956" s="19">
        <f>tblMaster[[#This Row],[Revenue]]-tblMaster[[#This Row],[Estimated Cost (at 70%) ]]</f>
        <v>642</v>
      </c>
      <c r="U956" s="19">
        <f>tblMaster[[#This Row],[Profit]]/tblMaster[[#This Row],[Revenue]]</f>
        <v>0.3</v>
      </c>
      <c r="V956" s="19">
        <f>tblMaster[[#This Row],[Delivery_Date]]-tblMaster[[#This Row],[Order_Date]]</f>
        <v>4</v>
      </c>
      <c r="W956" s="19" t="str">
        <f>TEXT(tblMaster[[#This Row],[Order_Date]],"mmmm")</f>
        <v>June</v>
      </c>
      <c r="X956" s="19">
        <f>MONTH(tblMaster[[#This Row],[Order_Date]])</f>
        <v>6</v>
      </c>
      <c r="Y956" s="19" t="str">
        <f>"Q"&amp;ROUNDUP(tblMaster[[#This Row],[Month Number]]/3,0)</f>
        <v>Q2</v>
      </c>
      <c r="Z956" s="19">
        <f>YEAR(tblMaster[[#This Row],[Order_Date]])</f>
        <v>2023</v>
      </c>
      <c r="AA956" s="19" t="str">
        <f>TEXT(DAY(tblMaster[[#This Row],[Order_Date]]),"dddd")</f>
        <v>Tuesday</v>
      </c>
      <c r="AB956" s="19" t="str">
        <f>IF(tblMaster[[#This Row],[Revenue]]&gt;=5000,"High",IF(tblMaster[[#This Row],[Revenue]]&lt;2000,"Low","Medium"))</f>
        <v>Medium</v>
      </c>
    </row>
    <row r="957" spans="1:28" x14ac:dyDescent="0.25">
      <c r="A957" s="10">
        <v>956</v>
      </c>
      <c r="B957" s="10" t="s">
        <v>166</v>
      </c>
      <c r="C957" s="5">
        <v>34</v>
      </c>
      <c r="D957" s="5">
        <v>5</v>
      </c>
      <c r="E957" s="11">
        <v>45167</v>
      </c>
      <c r="F957" s="12">
        <v>0.20305555555555554</v>
      </c>
      <c r="G957" s="11">
        <v>45172</v>
      </c>
      <c r="H957" s="12">
        <v>0.62046296296296299</v>
      </c>
      <c r="I957" s="10" t="s">
        <v>513</v>
      </c>
      <c r="J957" s="10" t="s">
        <v>33</v>
      </c>
      <c r="K957" s="18" t="str">
        <f>_xlfn.XLOOKUP(tblMaster[[#This Row],[Customer_ID]],tblCustomers[Customer_ID],tblCustomers[City],"Not Found",0)</f>
        <v>Davanagere</v>
      </c>
      <c r="L957" s="18" t="str">
        <f>_xlfn.XLOOKUP(tblMaster[[#This Row],[Customer_ID]],tblCustomers[Customer_ID],tblCustomers[Name],"Not Found",0)</f>
        <v>Aradhya Kumar</v>
      </c>
      <c r="M957" s="18" t="str">
        <f>_xlfn.XLOOKUP(tblMaster[[#This Row],[Customer_ID]],tblCustomers[Customer_ID],tblCustomers[Gender],"Not Found",0)</f>
        <v>Male</v>
      </c>
      <c r="N957" s="18" t="str">
        <f>_xlfn.XLOOKUP(tblMaster[[#This Row],[Product_ID]],tblProducts[Product_ID],tblProducts[Product_Name],"Not Found",0)</f>
        <v>Placeat Pack</v>
      </c>
      <c r="O957" s="18" t="str">
        <f>_xlfn.XLOOKUP(tblMaster[[#This Row],[Product_ID]],tblProducts[Product_ID],tblProducts[Category],"Not Found",0)</f>
        <v>Soft Toys</v>
      </c>
      <c r="P957" s="18" t="str">
        <f>_xlfn.XLOOKUP(tblMaster[[#This Row],[Product_ID]],tblProducts[Product_ID],tblProducts[Occasion],"Not Found",0)</f>
        <v>Raksha Bandhan</v>
      </c>
      <c r="Q957" s="18">
        <f>_xlfn.XLOOKUP(tblMaster[[#This Row],[Product_ID]],tblProducts[Product_ID],tblProducts[Price (INR)],"Not Found",0)</f>
        <v>1335</v>
      </c>
      <c r="R957" s="19">
        <f>tblMaster[[#This Row],[Price]]*tblMaster[[#This Row],[Quantity]]</f>
        <v>6675</v>
      </c>
      <c r="S957" s="19">
        <f>tblMaster[[#This Row],[Price]]*0.7*tblMaster[[#This Row],[Quantity]]</f>
        <v>4672.4999999999991</v>
      </c>
      <c r="T957" s="19">
        <f>tblMaster[[#This Row],[Revenue]]-tblMaster[[#This Row],[Estimated Cost (at 70%) ]]</f>
        <v>2002.5000000000009</v>
      </c>
      <c r="U957" s="19">
        <f>tblMaster[[#This Row],[Profit]]/tblMaster[[#This Row],[Revenue]]</f>
        <v>0.30000000000000016</v>
      </c>
      <c r="V957" s="19">
        <f>tblMaster[[#This Row],[Delivery_Date]]-tblMaster[[#This Row],[Order_Date]]</f>
        <v>5</v>
      </c>
      <c r="W957" s="19" t="str">
        <f>TEXT(tblMaster[[#This Row],[Order_Date]],"mmmm")</f>
        <v>August</v>
      </c>
      <c r="X957" s="19">
        <f>MONTH(tblMaster[[#This Row],[Order_Date]])</f>
        <v>8</v>
      </c>
      <c r="Y957" s="19" t="str">
        <f>"Q"&amp;ROUNDUP(tblMaster[[#This Row],[Month Number]]/3,0)</f>
        <v>Q3</v>
      </c>
      <c r="Z957" s="19">
        <f>YEAR(tblMaster[[#This Row],[Order_Date]])</f>
        <v>2023</v>
      </c>
      <c r="AA957" s="19" t="str">
        <f>TEXT(DAY(tblMaster[[#This Row],[Order_Date]]),"dddd")</f>
        <v>Sunday</v>
      </c>
      <c r="AB957" s="19" t="str">
        <f>IF(tblMaster[[#This Row],[Revenue]]&gt;=5000,"High",IF(tblMaster[[#This Row],[Revenue]]&lt;2000,"Low","Medium"))</f>
        <v>High</v>
      </c>
    </row>
    <row r="958" spans="1:28" x14ac:dyDescent="0.25">
      <c r="A958" s="7">
        <v>957</v>
      </c>
      <c r="B958" s="7" t="s">
        <v>293</v>
      </c>
      <c r="C958" s="4">
        <v>23</v>
      </c>
      <c r="D958" s="4">
        <v>1</v>
      </c>
      <c r="E958" s="8">
        <v>45275</v>
      </c>
      <c r="F958" s="9">
        <v>8.099537037037037E-2</v>
      </c>
      <c r="G958" s="8">
        <v>45277</v>
      </c>
      <c r="H958" s="9">
        <v>0.88049768518518523</v>
      </c>
      <c r="I958" s="7" t="s">
        <v>284</v>
      </c>
      <c r="J958" s="7" t="s">
        <v>30</v>
      </c>
      <c r="K958" s="18" t="str">
        <f>_xlfn.XLOOKUP(tblMaster[[#This Row],[Customer_ID]],tblCustomers[Customer_ID],tblCustomers[City],"Not Found",0)</f>
        <v>Aizawl</v>
      </c>
      <c r="L958" s="18" t="str">
        <f>_xlfn.XLOOKUP(tblMaster[[#This Row],[Customer_ID]],tblCustomers[Customer_ID],tblCustomers[Name],"Not Found",0)</f>
        <v>Yakshit Shah</v>
      </c>
      <c r="M958" s="18" t="str">
        <f>_xlfn.XLOOKUP(tblMaster[[#This Row],[Customer_ID]],tblCustomers[Customer_ID],tblCustomers[Gender],"Not Found",0)</f>
        <v>Female</v>
      </c>
      <c r="N958" s="18" t="str">
        <f>_xlfn.XLOOKUP(tblMaster[[#This Row],[Product_ID]],tblProducts[Product_ID],tblProducts[Product_Name],"Not Found",0)</f>
        <v>Dignissimos Pack</v>
      </c>
      <c r="O958" s="18" t="str">
        <f>_xlfn.XLOOKUP(tblMaster[[#This Row],[Product_ID]],tblProducts[Product_ID],tblProducts[Category],"Not Found",0)</f>
        <v>Sweets</v>
      </c>
      <c r="P958" s="18" t="str">
        <f>_xlfn.XLOOKUP(tblMaster[[#This Row],[Product_ID]],tblProducts[Product_ID],tblProducts[Occasion],"Not Found",0)</f>
        <v>Anniversary</v>
      </c>
      <c r="Q958" s="18">
        <f>_xlfn.XLOOKUP(tblMaster[[#This Row],[Product_ID]],tblProducts[Product_ID],tblProducts[Price (INR)],"Not Found",0)</f>
        <v>1098</v>
      </c>
      <c r="R958" s="19">
        <f>tblMaster[[#This Row],[Price]]*tblMaster[[#This Row],[Quantity]]</f>
        <v>1098</v>
      </c>
      <c r="S958" s="19">
        <f>tblMaster[[#This Row],[Price]]*0.7*tblMaster[[#This Row],[Quantity]]</f>
        <v>768.59999999999991</v>
      </c>
      <c r="T958" s="19">
        <f>tblMaster[[#This Row],[Revenue]]-tblMaster[[#This Row],[Estimated Cost (at 70%) ]]</f>
        <v>329.40000000000009</v>
      </c>
      <c r="U958" s="19">
        <f>tblMaster[[#This Row],[Profit]]/tblMaster[[#This Row],[Revenue]]</f>
        <v>0.3000000000000001</v>
      </c>
      <c r="V958" s="19">
        <f>tblMaster[[#This Row],[Delivery_Date]]-tblMaster[[#This Row],[Order_Date]]</f>
        <v>2</v>
      </c>
      <c r="W958" s="19" t="str">
        <f>TEXT(tblMaster[[#This Row],[Order_Date]],"mmmm")</f>
        <v>December</v>
      </c>
      <c r="X958" s="19">
        <f>MONTH(tblMaster[[#This Row],[Order_Date]])</f>
        <v>12</v>
      </c>
      <c r="Y958" s="19" t="str">
        <f>"Q"&amp;ROUNDUP(tblMaster[[#This Row],[Month Number]]/3,0)</f>
        <v>Q4</v>
      </c>
      <c r="Z958" s="19">
        <f>YEAR(tblMaster[[#This Row],[Order_Date]])</f>
        <v>2023</v>
      </c>
      <c r="AA958" s="19" t="str">
        <f>TEXT(DAY(tblMaster[[#This Row],[Order_Date]]),"dddd")</f>
        <v>Sunday</v>
      </c>
      <c r="AB958" s="19" t="str">
        <f>IF(tblMaster[[#This Row],[Revenue]]&gt;=5000,"High",IF(tblMaster[[#This Row],[Revenue]]&lt;2000,"Low","Medium"))</f>
        <v>Low</v>
      </c>
    </row>
    <row r="959" spans="1:28" x14ac:dyDescent="0.25">
      <c r="A959" s="10">
        <v>958</v>
      </c>
      <c r="B959" s="10" t="s">
        <v>178</v>
      </c>
      <c r="C959" s="5">
        <v>16</v>
      </c>
      <c r="D959" s="5">
        <v>3</v>
      </c>
      <c r="E959" s="11">
        <v>44992</v>
      </c>
      <c r="F959" s="12">
        <v>0.58538194444444447</v>
      </c>
      <c r="G959" s="11">
        <v>44999</v>
      </c>
      <c r="H959" s="12">
        <v>0.91991898148148143</v>
      </c>
      <c r="I959" s="10" t="s">
        <v>564</v>
      </c>
      <c r="J959" s="10" t="s">
        <v>25</v>
      </c>
      <c r="K959" s="18" t="str">
        <f>_xlfn.XLOOKUP(tblMaster[[#This Row],[Customer_ID]],tblCustomers[Customer_ID],tblCustomers[City],"Not Found",0)</f>
        <v>Madurai</v>
      </c>
      <c r="L959" s="18" t="str">
        <f>_xlfn.XLOOKUP(tblMaster[[#This Row],[Customer_ID]],tblCustomers[Customer_ID],tblCustomers[Name],"Not Found",0)</f>
        <v>Ritvik Borah</v>
      </c>
      <c r="M959" s="18" t="str">
        <f>_xlfn.XLOOKUP(tblMaster[[#This Row],[Customer_ID]],tblCustomers[Customer_ID],tblCustomers[Gender],"Not Found",0)</f>
        <v>Female</v>
      </c>
      <c r="N959" s="18" t="str">
        <f>_xlfn.XLOOKUP(tblMaster[[#This Row],[Product_ID]],tblProducts[Product_ID],tblProducts[Product_Name],"Not Found",0)</f>
        <v>Ut Pack</v>
      </c>
      <c r="O959" s="18" t="str">
        <f>_xlfn.XLOOKUP(tblMaster[[#This Row],[Product_ID]],tblProducts[Product_ID],tblProducts[Category],"Not Found",0)</f>
        <v>Sweets</v>
      </c>
      <c r="P959" s="18" t="str">
        <f>_xlfn.XLOOKUP(tblMaster[[#This Row],[Product_ID]],tblProducts[Product_ID],tblProducts[Occasion],"Not Found",0)</f>
        <v>Holi</v>
      </c>
      <c r="Q959" s="18">
        <f>_xlfn.XLOOKUP(tblMaster[[#This Row],[Product_ID]],tblProducts[Product_ID],tblProducts[Price (INR)],"Not Found",0)</f>
        <v>1721</v>
      </c>
      <c r="R959" s="19">
        <f>tblMaster[[#This Row],[Price]]*tblMaster[[#This Row],[Quantity]]</f>
        <v>5163</v>
      </c>
      <c r="S959" s="19">
        <f>tblMaster[[#This Row],[Price]]*0.7*tblMaster[[#This Row],[Quantity]]</f>
        <v>3614.0999999999995</v>
      </c>
      <c r="T959" s="19">
        <f>tblMaster[[#This Row],[Revenue]]-tblMaster[[#This Row],[Estimated Cost (at 70%) ]]</f>
        <v>1548.9000000000005</v>
      </c>
      <c r="U959" s="19">
        <f>tblMaster[[#This Row],[Profit]]/tblMaster[[#This Row],[Revenue]]</f>
        <v>0.3000000000000001</v>
      </c>
      <c r="V959" s="19">
        <f>tblMaster[[#This Row],[Delivery_Date]]-tblMaster[[#This Row],[Order_Date]]</f>
        <v>7</v>
      </c>
      <c r="W959" s="19" t="str">
        <f>TEXT(tblMaster[[#This Row],[Order_Date]],"mmmm")</f>
        <v>March</v>
      </c>
      <c r="X959" s="19">
        <f>MONTH(tblMaster[[#This Row],[Order_Date]])</f>
        <v>3</v>
      </c>
      <c r="Y959" s="19" t="str">
        <f>"Q"&amp;ROUNDUP(tblMaster[[#This Row],[Month Number]]/3,0)</f>
        <v>Q1</v>
      </c>
      <c r="Z959" s="19">
        <f>YEAR(tblMaster[[#This Row],[Order_Date]])</f>
        <v>2023</v>
      </c>
      <c r="AA959" s="19" t="str">
        <f>TEXT(DAY(tblMaster[[#This Row],[Order_Date]]),"dddd")</f>
        <v>Saturday</v>
      </c>
      <c r="AB959" s="19" t="str">
        <f>IF(tblMaster[[#This Row],[Revenue]]&gt;=5000,"High",IF(tblMaster[[#This Row],[Revenue]]&lt;2000,"Low","Medium"))</f>
        <v>High</v>
      </c>
    </row>
    <row r="960" spans="1:28" x14ac:dyDescent="0.25">
      <c r="A960" s="7">
        <v>959</v>
      </c>
      <c r="B960" s="7" t="s">
        <v>413</v>
      </c>
      <c r="C960" s="4">
        <v>40</v>
      </c>
      <c r="D960" s="4">
        <v>1</v>
      </c>
      <c r="E960" s="8">
        <v>45281</v>
      </c>
      <c r="F960" s="9">
        <v>7.9699074074074075E-2</v>
      </c>
      <c r="G960" s="8">
        <v>45286</v>
      </c>
      <c r="H960" s="9">
        <v>0.87899305555555551</v>
      </c>
      <c r="I960" s="7" t="s">
        <v>448</v>
      </c>
      <c r="J960" s="7" t="s">
        <v>30</v>
      </c>
      <c r="K960" s="18" t="str">
        <f>_xlfn.XLOOKUP(tblMaster[[#This Row],[Customer_ID]],tblCustomers[Customer_ID],tblCustomers[City],"Not Found",0)</f>
        <v>Cuttack</v>
      </c>
      <c r="L960" s="18" t="str">
        <f>_xlfn.XLOOKUP(tblMaster[[#This Row],[Customer_ID]],tblCustomers[Customer_ID],tblCustomers[Name],"Not Found",0)</f>
        <v>Navya Golla</v>
      </c>
      <c r="M960" s="18" t="str">
        <f>_xlfn.XLOOKUP(tblMaster[[#This Row],[Customer_ID]],tblCustomers[Customer_ID],tblCustomers[Gender],"Not Found",0)</f>
        <v>Male</v>
      </c>
      <c r="N960" s="18" t="str">
        <f>_xlfn.XLOOKUP(tblMaster[[#This Row],[Product_ID]],tblProducts[Product_ID],tblProducts[Product_Name],"Not Found",0)</f>
        <v>Provident Pack</v>
      </c>
      <c r="O960" s="18" t="str">
        <f>_xlfn.XLOOKUP(tblMaster[[#This Row],[Product_ID]],tblProducts[Product_ID],tblProducts[Category],"Not Found",0)</f>
        <v>Sweets</v>
      </c>
      <c r="P960" s="18" t="str">
        <f>_xlfn.XLOOKUP(tblMaster[[#This Row],[Product_ID]],tblProducts[Product_ID],tblProducts[Occasion],"Not Found",0)</f>
        <v>Anniversary</v>
      </c>
      <c r="Q960" s="18">
        <f>_xlfn.XLOOKUP(tblMaster[[#This Row],[Product_ID]],tblProducts[Product_ID],tblProducts[Price (INR)],"Not Found",0)</f>
        <v>1923</v>
      </c>
      <c r="R960" s="19">
        <f>tblMaster[[#This Row],[Price]]*tblMaster[[#This Row],[Quantity]]</f>
        <v>1923</v>
      </c>
      <c r="S960" s="19">
        <f>tblMaster[[#This Row],[Price]]*0.7*tblMaster[[#This Row],[Quantity]]</f>
        <v>1346.1</v>
      </c>
      <c r="T960" s="19">
        <f>tblMaster[[#This Row],[Revenue]]-tblMaster[[#This Row],[Estimated Cost (at 70%) ]]</f>
        <v>576.90000000000009</v>
      </c>
      <c r="U960" s="19">
        <f>tblMaster[[#This Row],[Profit]]/tblMaster[[#This Row],[Revenue]]</f>
        <v>0.30000000000000004</v>
      </c>
      <c r="V960" s="19">
        <f>tblMaster[[#This Row],[Delivery_Date]]-tblMaster[[#This Row],[Order_Date]]</f>
        <v>5</v>
      </c>
      <c r="W960" s="19" t="str">
        <f>TEXT(tblMaster[[#This Row],[Order_Date]],"mmmm")</f>
        <v>December</v>
      </c>
      <c r="X960" s="19">
        <f>MONTH(tblMaster[[#This Row],[Order_Date]])</f>
        <v>12</v>
      </c>
      <c r="Y960" s="19" t="str">
        <f>"Q"&amp;ROUNDUP(tblMaster[[#This Row],[Month Number]]/3,0)</f>
        <v>Q4</v>
      </c>
      <c r="Z960" s="19">
        <f>YEAR(tblMaster[[#This Row],[Order_Date]])</f>
        <v>2023</v>
      </c>
      <c r="AA960" s="19" t="str">
        <f>TEXT(DAY(tblMaster[[#This Row],[Order_Date]]),"dddd")</f>
        <v>Saturday</v>
      </c>
      <c r="AB960" s="19" t="str">
        <f>IF(tblMaster[[#This Row],[Revenue]]&gt;=5000,"High",IF(tblMaster[[#This Row],[Revenue]]&lt;2000,"Low","Medium"))</f>
        <v>Low</v>
      </c>
    </row>
    <row r="961" spans="1:28" x14ac:dyDescent="0.25">
      <c r="A961" s="10">
        <v>960</v>
      </c>
      <c r="B961" s="10" t="s">
        <v>295</v>
      </c>
      <c r="C961" s="5">
        <v>48</v>
      </c>
      <c r="D961" s="5">
        <v>3</v>
      </c>
      <c r="E961" s="11">
        <v>45235</v>
      </c>
      <c r="F961" s="12">
        <v>0.22626157407407407</v>
      </c>
      <c r="G961" s="11">
        <v>45238</v>
      </c>
      <c r="H961" s="12">
        <v>0.41408564814814813</v>
      </c>
      <c r="I961" s="10" t="s">
        <v>428</v>
      </c>
      <c r="J961" s="10" t="s">
        <v>19</v>
      </c>
      <c r="K961" s="18" t="str">
        <f>_xlfn.XLOOKUP(tblMaster[[#This Row],[Customer_ID]],tblCustomers[Customer_ID],tblCustomers[City],"Not Found",0)</f>
        <v>Surat</v>
      </c>
      <c r="L961" s="18" t="str">
        <f>_xlfn.XLOOKUP(tblMaster[[#This Row],[Customer_ID]],tblCustomers[Customer_ID],tblCustomers[Name],"Not Found",0)</f>
        <v>Mannat Anand</v>
      </c>
      <c r="M961" s="18" t="str">
        <f>_xlfn.XLOOKUP(tblMaster[[#This Row],[Customer_ID]],tblCustomers[Customer_ID],tblCustomers[Gender],"Not Found",0)</f>
        <v>Male</v>
      </c>
      <c r="N961" s="18" t="str">
        <f>_xlfn.XLOOKUP(tblMaster[[#This Row],[Product_ID]],tblProducts[Product_ID],tblProducts[Product_Name],"Not Found",0)</f>
        <v>Maiores Gift</v>
      </c>
      <c r="O961" s="18" t="str">
        <f>_xlfn.XLOOKUP(tblMaster[[#This Row],[Product_ID]],tblProducts[Product_ID],tblProducts[Category],"Not Found",0)</f>
        <v>Colors</v>
      </c>
      <c r="P961" s="18" t="str">
        <f>_xlfn.XLOOKUP(tblMaster[[#This Row],[Product_ID]],tblProducts[Product_ID],tblProducts[Occasion],"Not Found",0)</f>
        <v>Diwali</v>
      </c>
      <c r="Q961" s="18">
        <f>_xlfn.XLOOKUP(tblMaster[[#This Row],[Product_ID]],tblProducts[Product_ID],tblProducts[Price (INR)],"Not Found",0)</f>
        <v>433</v>
      </c>
      <c r="R961" s="19">
        <f>tblMaster[[#This Row],[Price]]*tblMaster[[#This Row],[Quantity]]</f>
        <v>1299</v>
      </c>
      <c r="S961" s="19">
        <f>tblMaster[[#This Row],[Price]]*0.7*tblMaster[[#This Row],[Quantity]]</f>
        <v>909.3</v>
      </c>
      <c r="T961" s="19">
        <f>tblMaster[[#This Row],[Revenue]]-tblMaster[[#This Row],[Estimated Cost (at 70%) ]]</f>
        <v>389.70000000000005</v>
      </c>
      <c r="U961" s="19">
        <f>tblMaster[[#This Row],[Profit]]/tblMaster[[#This Row],[Revenue]]</f>
        <v>0.30000000000000004</v>
      </c>
      <c r="V961" s="19">
        <f>tblMaster[[#This Row],[Delivery_Date]]-tblMaster[[#This Row],[Order_Date]]</f>
        <v>3</v>
      </c>
      <c r="W961" s="19" t="str">
        <f>TEXT(tblMaster[[#This Row],[Order_Date]],"mmmm")</f>
        <v>November</v>
      </c>
      <c r="X961" s="19">
        <f>MONTH(tblMaster[[#This Row],[Order_Date]])</f>
        <v>11</v>
      </c>
      <c r="Y961" s="19" t="str">
        <f>"Q"&amp;ROUNDUP(tblMaster[[#This Row],[Month Number]]/3,0)</f>
        <v>Q4</v>
      </c>
      <c r="Z961" s="19">
        <f>YEAR(tblMaster[[#This Row],[Order_Date]])</f>
        <v>2023</v>
      </c>
      <c r="AA961" s="19" t="str">
        <f>TEXT(DAY(tblMaster[[#This Row],[Order_Date]]),"dddd")</f>
        <v>Thursday</v>
      </c>
      <c r="AB961" s="19" t="str">
        <f>IF(tblMaster[[#This Row],[Revenue]]&gt;=5000,"High",IF(tblMaster[[#This Row],[Revenue]]&lt;2000,"Low","Medium"))</f>
        <v>Low</v>
      </c>
    </row>
    <row r="962" spans="1:28" x14ac:dyDescent="0.25">
      <c r="A962" s="7">
        <v>961</v>
      </c>
      <c r="B962" s="7" t="s">
        <v>392</v>
      </c>
      <c r="C962" s="4">
        <v>1</v>
      </c>
      <c r="D962" s="4">
        <v>5</v>
      </c>
      <c r="E962" s="8">
        <v>44958</v>
      </c>
      <c r="F962" s="9">
        <v>0.28435185185185186</v>
      </c>
      <c r="G962" s="8">
        <v>44967</v>
      </c>
      <c r="H962" s="9">
        <v>0.87127314814814816</v>
      </c>
      <c r="I962" s="7" t="s">
        <v>334</v>
      </c>
      <c r="J962" s="7" t="s">
        <v>8</v>
      </c>
      <c r="K962" s="18" t="str">
        <f>_xlfn.XLOOKUP(tblMaster[[#This Row],[Customer_ID]],tblCustomers[Customer_ID],tblCustomers[City],"Not Found",0)</f>
        <v>Tenali</v>
      </c>
      <c r="L962" s="18" t="str">
        <f>_xlfn.XLOOKUP(tblMaster[[#This Row],[Customer_ID]],tblCustomers[Customer_ID],tblCustomers[Name],"Not Found",0)</f>
        <v>Amani Ganesh</v>
      </c>
      <c r="M962" s="18" t="str">
        <f>_xlfn.XLOOKUP(tblMaster[[#This Row],[Customer_ID]],tblCustomers[Customer_ID],tblCustomers[Gender],"Not Found",0)</f>
        <v>Male</v>
      </c>
      <c r="N962" s="18" t="str">
        <f>_xlfn.XLOOKUP(tblMaster[[#This Row],[Product_ID]],tblProducts[Product_ID],tblProducts[Product_Name],"Not Found",0)</f>
        <v>Magnam Set</v>
      </c>
      <c r="O962" s="18" t="str">
        <f>_xlfn.XLOOKUP(tblMaster[[#This Row],[Product_ID]],tblProducts[Product_ID],tblProducts[Category],"Not Found",0)</f>
        <v>Soft Toys</v>
      </c>
      <c r="P962" s="18" t="str">
        <f>_xlfn.XLOOKUP(tblMaster[[#This Row],[Product_ID]],tblProducts[Product_ID],tblProducts[Occasion],"Not Found",0)</f>
        <v>All Occasions</v>
      </c>
      <c r="Q962" s="18">
        <f>_xlfn.XLOOKUP(tblMaster[[#This Row],[Product_ID]],tblProducts[Product_ID],tblProducts[Price (INR)],"Not Found",0)</f>
        <v>1935</v>
      </c>
      <c r="R962" s="19">
        <f>tblMaster[[#This Row],[Price]]*tblMaster[[#This Row],[Quantity]]</f>
        <v>9675</v>
      </c>
      <c r="S962" s="19">
        <f>tblMaster[[#This Row],[Price]]*0.7*tblMaster[[#This Row],[Quantity]]</f>
        <v>6772.5</v>
      </c>
      <c r="T962" s="19">
        <f>tblMaster[[#This Row],[Revenue]]-tblMaster[[#This Row],[Estimated Cost (at 70%) ]]</f>
        <v>2902.5</v>
      </c>
      <c r="U962" s="19">
        <f>tblMaster[[#This Row],[Profit]]/tblMaster[[#This Row],[Revenue]]</f>
        <v>0.3</v>
      </c>
      <c r="V962" s="19">
        <f>tblMaster[[#This Row],[Delivery_Date]]-tblMaster[[#This Row],[Order_Date]]</f>
        <v>9</v>
      </c>
      <c r="W962" s="19" t="str">
        <f>TEXT(tblMaster[[#This Row],[Order_Date]],"mmmm")</f>
        <v>February</v>
      </c>
      <c r="X962" s="19">
        <f>MONTH(tblMaster[[#This Row],[Order_Date]])</f>
        <v>2</v>
      </c>
      <c r="Y962" s="19" t="str">
        <f>"Q"&amp;ROUNDUP(tblMaster[[#This Row],[Month Number]]/3,0)</f>
        <v>Q1</v>
      </c>
      <c r="Z962" s="19">
        <f>YEAR(tblMaster[[#This Row],[Order_Date]])</f>
        <v>2023</v>
      </c>
      <c r="AA962" s="19" t="str">
        <f>TEXT(DAY(tblMaster[[#This Row],[Order_Date]]),"dddd")</f>
        <v>Sunday</v>
      </c>
      <c r="AB962" s="19" t="str">
        <f>IF(tblMaster[[#This Row],[Revenue]]&gt;=5000,"High",IF(tblMaster[[#This Row],[Revenue]]&lt;2000,"Low","Medium"))</f>
        <v>High</v>
      </c>
    </row>
    <row r="963" spans="1:28" x14ac:dyDescent="0.25">
      <c r="A963" s="10">
        <v>962</v>
      </c>
      <c r="B963" s="10" t="s">
        <v>283</v>
      </c>
      <c r="C963" s="5">
        <v>17</v>
      </c>
      <c r="D963" s="5">
        <v>5</v>
      </c>
      <c r="E963" s="11">
        <v>45198</v>
      </c>
      <c r="F963" s="12">
        <v>0.49714120370370368</v>
      </c>
      <c r="G963" s="11">
        <v>45200</v>
      </c>
      <c r="H963" s="12">
        <v>0.6771759259259259</v>
      </c>
      <c r="I963" s="10" t="s">
        <v>292</v>
      </c>
      <c r="J963" s="10" t="s">
        <v>30</v>
      </c>
      <c r="K963" s="18" t="str">
        <f>_xlfn.XLOOKUP(tblMaster[[#This Row],[Customer_ID]],tblCustomers[Customer_ID],tblCustomers[City],"Not Found",0)</f>
        <v>Noida</v>
      </c>
      <c r="L963" s="18" t="str">
        <f>_xlfn.XLOOKUP(tblMaster[[#This Row],[Customer_ID]],tblCustomers[Customer_ID],tblCustomers[Name],"Not Found",0)</f>
        <v>Hridaan Rajagopalan</v>
      </c>
      <c r="M963" s="18" t="str">
        <f>_xlfn.XLOOKUP(tblMaster[[#This Row],[Customer_ID]],tblCustomers[Customer_ID],tblCustomers[Gender],"Not Found",0)</f>
        <v>Female</v>
      </c>
      <c r="N963" s="18" t="str">
        <f>_xlfn.XLOOKUP(tblMaster[[#This Row],[Product_ID]],tblProducts[Product_ID],tblProducts[Product_Name],"Not Found",0)</f>
        <v>Delectus Gift</v>
      </c>
      <c r="O963" s="18" t="str">
        <f>_xlfn.XLOOKUP(tblMaster[[#This Row],[Product_ID]],tblProducts[Product_ID],tblProducts[Category],"Not Found",0)</f>
        <v>Soft Toys</v>
      </c>
      <c r="P963" s="18" t="str">
        <f>_xlfn.XLOOKUP(tblMaster[[#This Row],[Product_ID]],tblProducts[Product_ID],tblProducts[Occasion],"Not Found",0)</f>
        <v>Anniversary</v>
      </c>
      <c r="Q963" s="18">
        <f>_xlfn.XLOOKUP(tblMaster[[#This Row],[Product_ID]],tblProducts[Product_ID],tblProducts[Price (INR)],"Not Found",0)</f>
        <v>1899</v>
      </c>
      <c r="R963" s="19">
        <f>tblMaster[[#This Row],[Price]]*tblMaster[[#This Row],[Quantity]]</f>
        <v>9495</v>
      </c>
      <c r="S963" s="19">
        <f>tblMaster[[#This Row],[Price]]*0.7*tblMaster[[#This Row],[Quantity]]</f>
        <v>6646.5</v>
      </c>
      <c r="T963" s="19">
        <f>tblMaster[[#This Row],[Revenue]]-tblMaster[[#This Row],[Estimated Cost (at 70%) ]]</f>
        <v>2848.5</v>
      </c>
      <c r="U963" s="19">
        <f>tblMaster[[#This Row],[Profit]]/tblMaster[[#This Row],[Revenue]]</f>
        <v>0.3</v>
      </c>
      <c r="V963" s="19">
        <f>tblMaster[[#This Row],[Delivery_Date]]-tblMaster[[#This Row],[Order_Date]]</f>
        <v>2</v>
      </c>
      <c r="W963" s="19" t="str">
        <f>TEXT(tblMaster[[#This Row],[Order_Date]],"mmmm")</f>
        <v>September</v>
      </c>
      <c r="X963" s="19">
        <f>MONTH(tblMaster[[#This Row],[Order_Date]])</f>
        <v>9</v>
      </c>
      <c r="Y963" s="19" t="str">
        <f>"Q"&amp;ROUNDUP(tblMaster[[#This Row],[Month Number]]/3,0)</f>
        <v>Q3</v>
      </c>
      <c r="Z963" s="19">
        <f>YEAR(tblMaster[[#This Row],[Order_Date]])</f>
        <v>2023</v>
      </c>
      <c r="AA963" s="19" t="str">
        <f>TEXT(DAY(tblMaster[[#This Row],[Order_Date]]),"dddd")</f>
        <v>Sunday</v>
      </c>
      <c r="AB963" s="19" t="str">
        <f>IF(tblMaster[[#This Row],[Revenue]]&gt;=5000,"High",IF(tblMaster[[#This Row],[Revenue]]&lt;2000,"Low","Medium"))</f>
        <v>High</v>
      </c>
    </row>
    <row r="964" spans="1:28" x14ac:dyDescent="0.25">
      <c r="A964" s="7">
        <v>963</v>
      </c>
      <c r="B964" s="7" t="s">
        <v>492</v>
      </c>
      <c r="C964" s="4">
        <v>29</v>
      </c>
      <c r="D964" s="4">
        <v>1</v>
      </c>
      <c r="E964" s="8">
        <v>44988</v>
      </c>
      <c r="F964" s="9">
        <v>0.36410879629629628</v>
      </c>
      <c r="G964" s="8">
        <v>44991</v>
      </c>
      <c r="H964" s="9">
        <v>0.44219907407407405</v>
      </c>
      <c r="I964" s="7" t="s">
        <v>397</v>
      </c>
      <c r="J964" s="7" t="s">
        <v>25</v>
      </c>
      <c r="K964" s="18" t="str">
        <f>_xlfn.XLOOKUP(tblMaster[[#This Row],[Customer_ID]],tblCustomers[Customer_ID],tblCustomers[City],"Not Found",0)</f>
        <v>Singrauli</v>
      </c>
      <c r="L964" s="18" t="str">
        <f>_xlfn.XLOOKUP(tblMaster[[#This Row],[Customer_ID]],tblCustomers[Customer_ID],tblCustomers[Name],"Not Found",0)</f>
        <v>Ira Bava</v>
      </c>
      <c r="M964" s="18" t="str">
        <f>_xlfn.XLOOKUP(tblMaster[[#This Row],[Customer_ID]],tblCustomers[Customer_ID],tblCustomers[Gender],"Not Found",0)</f>
        <v>Female</v>
      </c>
      <c r="N964" s="18" t="str">
        <f>_xlfn.XLOOKUP(tblMaster[[#This Row],[Product_ID]],tblProducts[Product_ID],tblProducts[Product_Name],"Not Found",0)</f>
        <v>In Set</v>
      </c>
      <c r="O964" s="18" t="str">
        <f>_xlfn.XLOOKUP(tblMaster[[#This Row],[Product_ID]],tblProducts[Product_ID],tblProducts[Category],"Not Found",0)</f>
        <v>Colors</v>
      </c>
      <c r="P964" s="18" t="str">
        <f>_xlfn.XLOOKUP(tblMaster[[#This Row],[Product_ID]],tblProducts[Product_ID],tblProducts[Occasion],"Not Found",0)</f>
        <v>Holi</v>
      </c>
      <c r="Q964" s="18">
        <f>_xlfn.XLOOKUP(tblMaster[[#This Row],[Product_ID]],tblProducts[Product_ID],tblProducts[Price (INR)],"Not Found",0)</f>
        <v>1252</v>
      </c>
      <c r="R964" s="19">
        <f>tblMaster[[#This Row],[Price]]*tblMaster[[#This Row],[Quantity]]</f>
        <v>1252</v>
      </c>
      <c r="S964" s="19">
        <f>tblMaster[[#This Row],[Price]]*0.7*tblMaster[[#This Row],[Quantity]]</f>
        <v>876.4</v>
      </c>
      <c r="T964" s="19">
        <f>tblMaster[[#This Row],[Revenue]]-tblMaster[[#This Row],[Estimated Cost (at 70%) ]]</f>
        <v>375.6</v>
      </c>
      <c r="U964" s="19">
        <f>tblMaster[[#This Row],[Profit]]/tblMaster[[#This Row],[Revenue]]</f>
        <v>0.30000000000000004</v>
      </c>
      <c r="V964" s="19">
        <f>tblMaster[[#This Row],[Delivery_Date]]-tblMaster[[#This Row],[Order_Date]]</f>
        <v>3</v>
      </c>
      <c r="W964" s="19" t="str">
        <f>TEXT(tblMaster[[#This Row],[Order_Date]],"mmmm")</f>
        <v>March</v>
      </c>
      <c r="X964" s="19">
        <f>MONTH(tblMaster[[#This Row],[Order_Date]])</f>
        <v>3</v>
      </c>
      <c r="Y964" s="19" t="str">
        <f>"Q"&amp;ROUNDUP(tblMaster[[#This Row],[Month Number]]/3,0)</f>
        <v>Q1</v>
      </c>
      <c r="Z964" s="19">
        <f>YEAR(tblMaster[[#This Row],[Order_Date]])</f>
        <v>2023</v>
      </c>
      <c r="AA964" s="19" t="str">
        <f>TEXT(DAY(tblMaster[[#This Row],[Order_Date]]),"dddd")</f>
        <v>Tuesday</v>
      </c>
      <c r="AB964" s="19" t="str">
        <f>IF(tblMaster[[#This Row],[Revenue]]&gt;=5000,"High",IF(tblMaster[[#This Row],[Revenue]]&lt;2000,"Low","Medium"))</f>
        <v>Low</v>
      </c>
    </row>
    <row r="965" spans="1:28" x14ac:dyDescent="0.25">
      <c r="A965" s="10">
        <v>964</v>
      </c>
      <c r="B965" s="10" t="s">
        <v>413</v>
      </c>
      <c r="C965" s="5">
        <v>32</v>
      </c>
      <c r="D965" s="5">
        <v>4</v>
      </c>
      <c r="E965" s="11">
        <v>45218</v>
      </c>
      <c r="F965" s="12">
        <v>0.27755787037037039</v>
      </c>
      <c r="G965" s="11">
        <v>45222</v>
      </c>
      <c r="H965" s="12">
        <v>0.93239583333333331</v>
      </c>
      <c r="I965" s="10" t="s">
        <v>433</v>
      </c>
      <c r="J965" s="10" t="s">
        <v>36</v>
      </c>
      <c r="K965" s="18" t="str">
        <f>_xlfn.XLOOKUP(tblMaster[[#This Row],[Customer_ID]],tblCustomers[Customer_ID],tblCustomers[City],"Not Found",0)</f>
        <v>Cuttack</v>
      </c>
      <c r="L965" s="18" t="str">
        <f>_xlfn.XLOOKUP(tblMaster[[#This Row],[Customer_ID]],tblCustomers[Customer_ID],tblCustomers[Name],"Not Found",0)</f>
        <v>Navya Golla</v>
      </c>
      <c r="M965" s="18" t="str">
        <f>_xlfn.XLOOKUP(tblMaster[[#This Row],[Customer_ID]],tblCustomers[Customer_ID],tblCustomers[Gender],"Not Found",0)</f>
        <v>Male</v>
      </c>
      <c r="N965" s="18" t="str">
        <f>_xlfn.XLOOKUP(tblMaster[[#This Row],[Product_ID]],tblProducts[Product_ID],tblProducts[Product_Name],"Not Found",0)</f>
        <v>Fuga Set</v>
      </c>
      <c r="O965" s="18" t="str">
        <f>_xlfn.XLOOKUP(tblMaster[[#This Row],[Product_ID]],tblProducts[Product_ID],tblProducts[Category],"Not Found",0)</f>
        <v>Soft Toys</v>
      </c>
      <c r="P965" s="18" t="str">
        <f>_xlfn.XLOOKUP(tblMaster[[#This Row],[Product_ID]],tblProducts[Product_ID],tblProducts[Occasion],"Not Found",0)</f>
        <v>Birthday</v>
      </c>
      <c r="Q965" s="18">
        <f>_xlfn.XLOOKUP(tblMaster[[#This Row],[Product_ID]],tblProducts[Product_ID],tblProducts[Price (INR)],"Not Found",0)</f>
        <v>1792</v>
      </c>
      <c r="R965" s="19">
        <f>tblMaster[[#This Row],[Price]]*tblMaster[[#This Row],[Quantity]]</f>
        <v>7168</v>
      </c>
      <c r="S965" s="19">
        <f>tblMaster[[#This Row],[Price]]*0.7*tblMaster[[#This Row],[Quantity]]</f>
        <v>5017.5999999999995</v>
      </c>
      <c r="T965" s="19">
        <f>tblMaster[[#This Row],[Revenue]]-tblMaster[[#This Row],[Estimated Cost (at 70%) ]]</f>
        <v>2150.4000000000005</v>
      </c>
      <c r="U965" s="19">
        <f>tblMaster[[#This Row],[Profit]]/tblMaster[[#This Row],[Revenue]]</f>
        <v>0.3000000000000001</v>
      </c>
      <c r="V965" s="19">
        <f>tblMaster[[#This Row],[Delivery_Date]]-tblMaster[[#This Row],[Order_Date]]</f>
        <v>4</v>
      </c>
      <c r="W965" s="19" t="str">
        <f>TEXT(tblMaster[[#This Row],[Order_Date]],"mmmm")</f>
        <v>October</v>
      </c>
      <c r="X965" s="19">
        <f>MONTH(tblMaster[[#This Row],[Order_Date]])</f>
        <v>10</v>
      </c>
      <c r="Y965" s="19" t="str">
        <f>"Q"&amp;ROUNDUP(tblMaster[[#This Row],[Month Number]]/3,0)</f>
        <v>Q4</v>
      </c>
      <c r="Z965" s="19">
        <f>YEAR(tblMaster[[#This Row],[Order_Date]])</f>
        <v>2023</v>
      </c>
      <c r="AA965" s="19" t="str">
        <f>TEXT(DAY(tblMaster[[#This Row],[Order_Date]]),"dddd")</f>
        <v>Thursday</v>
      </c>
      <c r="AB965" s="19" t="str">
        <f>IF(tblMaster[[#This Row],[Revenue]]&gt;=5000,"High",IF(tblMaster[[#This Row],[Revenue]]&lt;2000,"Low","Medium"))</f>
        <v>High</v>
      </c>
    </row>
    <row r="966" spans="1:28" x14ac:dyDescent="0.25">
      <c r="A966" s="7">
        <v>965</v>
      </c>
      <c r="B966" s="7" t="s">
        <v>235</v>
      </c>
      <c r="C966" s="4">
        <v>62</v>
      </c>
      <c r="D966" s="4">
        <v>1</v>
      </c>
      <c r="E966" s="8">
        <v>44987</v>
      </c>
      <c r="F966" s="9">
        <v>0.13553240740740741</v>
      </c>
      <c r="G966" s="8">
        <v>44991</v>
      </c>
      <c r="H966" s="9">
        <v>0.72247685185185184</v>
      </c>
      <c r="I966" s="7" t="s">
        <v>539</v>
      </c>
      <c r="J966" s="7" t="s">
        <v>25</v>
      </c>
      <c r="K966" s="18" t="str">
        <f>_xlfn.XLOOKUP(tblMaster[[#This Row],[Customer_ID]],tblCustomers[Customer_ID],tblCustomers[City],"Not Found",0)</f>
        <v>Bhopal</v>
      </c>
      <c r="L966" s="18" t="str">
        <f>_xlfn.XLOOKUP(tblMaster[[#This Row],[Customer_ID]],tblCustomers[Customer_ID],tblCustomers[Name],"Not Found",0)</f>
        <v>Mohanlal Garde</v>
      </c>
      <c r="M966" s="18" t="str">
        <f>_xlfn.XLOOKUP(tblMaster[[#This Row],[Customer_ID]],tblCustomers[Customer_ID],tblCustomers[Gender],"Not Found",0)</f>
        <v>Male</v>
      </c>
      <c r="N966" s="18" t="str">
        <f>_xlfn.XLOOKUP(tblMaster[[#This Row],[Product_ID]],tblProducts[Product_ID],tblProducts[Product_Name],"Not Found",0)</f>
        <v>Sed Set</v>
      </c>
      <c r="O966" s="18" t="str">
        <f>_xlfn.XLOOKUP(tblMaster[[#This Row],[Product_ID]],tblProducts[Product_ID],tblProducts[Category],"Not Found",0)</f>
        <v>Colors</v>
      </c>
      <c r="P966" s="18" t="str">
        <f>_xlfn.XLOOKUP(tblMaster[[#This Row],[Product_ID]],tblProducts[Product_ID],tblProducts[Occasion],"Not Found",0)</f>
        <v>Holi</v>
      </c>
      <c r="Q966" s="18">
        <f>_xlfn.XLOOKUP(tblMaster[[#This Row],[Product_ID]],tblProducts[Product_ID],tblProducts[Price (INR)],"Not Found",0)</f>
        <v>1356</v>
      </c>
      <c r="R966" s="19">
        <f>tblMaster[[#This Row],[Price]]*tblMaster[[#This Row],[Quantity]]</f>
        <v>1356</v>
      </c>
      <c r="S966" s="19">
        <f>tblMaster[[#This Row],[Price]]*0.7*tblMaster[[#This Row],[Quantity]]</f>
        <v>949.19999999999993</v>
      </c>
      <c r="T966" s="19">
        <f>tblMaster[[#This Row],[Revenue]]-tblMaster[[#This Row],[Estimated Cost (at 70%) ]]</f>
        <v>406.80000000000007</v>
      </c>
      <c r="U966" s="19">
        <f>tblMaster[[#This Row],[Profit]]/tblMaster[[#This Row],[Revenue]]</f>
        <v>0.30000000000000004</v>
      </c>
      <c r="V966" s="19">
        <f>tblMaster[[#This Row],[Delivery_Date]]-tblMaster[[#This Row],[Order_Date]]</f>
        <v>4</v>
      </c>
      <c r="W966" s="19" t="str">
        <f>TEXT(tblMaster[[#This Row],[Order_Date]],"mmmm")</f>
        <v>March</v>
      </c>
      <c r="X966" s="19">
        <f>MONTH(tblMaster[[#This Row],[Order_Date]])</f>
        <v>3</v>
      </c>
      <c r="Y966" s="19" t="str">
        <f>"Q"&amp;ROUNDUP(tblMaster[[#This Row],[Month Number]]/3,0)</f>
        <v>Q1</v>
      </c>
      <c r="Z966" s="19">
        <f>YEAR(tblMaster[[#This Row],[Order_Date]])</f>
        <v>2023</v>
      </c>
      <c r="AA966" s="19" t="str">
        <f>TEXT(DAY(tblMaster[[#This Row],[Order_Date]]),"dddd")</f>
        <v>Monday</v>
      </c>
      <c r="AB966" s="19" t="str">
        <f>IF(tblMaster[[#This Row],[Revenue]]&gt;=5000,"High",IF(tblMaster[[#This Row],[Revenue]]&lt;2000,"Low","Medium"))</f>
        <v>Low</v>
      </c>
    </row>
    <row r="967" spans="1:28" x14ac:dyDescent="0.25">
      <c r="A967" s="10">
        <v>966</v>
      </c>
      <c r="B967" s="10" t="s">
        <v>302</v>
      </c>
      <c r="C967" s="5">
        <v>13</v>
      </c>
      <c r="D967" s="5">
        <v>2</v>
      </c>
      <c r="E967" s="11">
        <v>44986</v>
      </c>
      <c r="F967" s="12">
        <v>9.7986111111111107E-2</v>
      </c>
      <c r="G967" s="11">
        <v>44995</v>
      </c>
      <c r="H967" s="12">
        <v>0.43255787037037036</v>
      </c>
      <c r="I967" s="10" t="s">
        <v>384</v>
      </c>
      <c r="J967" s="10" t="s">
        <v>25</v>
      </c>
      <c r="K967" s="18" t="str">
        <f>_xlfn.XLOOKUP(tblMaster[[#This Row],[Customer_ID]],tblCustomers[Customer_ID],tblCustomers[City],"Not Found",0)</f>
        <v>Kavali</v>
      </c>
      <c r="L967" s="18" t="str">
        <f>_xlfn.XLOOKUP(tblMaster[[#This Row],[Customer_ID]],tblCustomers[Customer_ID],tblCustomers[Name],"Not Found",0)</f>
        <v>Akarsh Ramesh</v>
      </c>
      <c r="M967" s="18" t="str">
        <f>_xlfn.XLOOKUP(tblMaster[[#This Row],[Customer_ID]],tblCustomers[Customer_ID],tblCustomers[Gender],"Not Found",0)</f>
        <v>Female</v>
      </c>
      <c r="N967" s="18" t="str">
        <f>_xlfn.XLOOKUP(tblMaster[[#This Row],[Product_ID]],tblProducts[Product_ID],tblProducts[Product_Name],"Not Found",0)</f>
        <v>Et Set</v>
      </c>
      <c r="O967" s="18" t="str">
        <f>_xlfn.XLOOKUP(tblMaster[[#This Row],[Product_ID]],tblProducts[Product_ID],tblProducts[Category],"Not Found",0)</f>
        <v>Mugs</v>
      </c>
      <c r="P967" s="18" t="str">
        <f>_xlfn.XLOOKUP(tblMaster[[#This Row],[Product_ID]],tblProducts[Product_ID],tblProducts[Occasion],"Not Found",0)</f>
        <v>Holi</v>
      </c>
      <c r="Q967" s="18">
        <f>_xlfn.XLOOKUP(tblMaster[[#This Row],[Product_ID]],tblProducts[Product_ID],tblProducts[Price (INR)],"Not Found",0)</f>
        <v>1141</v>
      </c>
      <c r="R967" s="19">
        <f>tblMaster[[#This Row],[Price]]*tblMaster[[#This Row],[Quantity]]</f>
        <v>2282</v>
      </c>
      <c r="S967" s="19">
        <f>tblMaster[[#This Row],[Price]]*0.7*tblMaster[[#This Row],[Quantity]]</f>
        <v>1597.3999999999999</v>
      </c>
      <c r="T967" s="19">
        <f>tblMaster[[#This Row],[Revenue]]-tblMaster[[#This Row],[Estimated Cost (at 70%) ]]</f>
        <v>684.60000000000014</v>
      </c>
      <c r="U967" s="19">
        <f>tblMaster[[#This Row],[Profit]]/tblMaster[[#This Row],[Revenue]]</f>
        <v>0.30000000000000004</v>
      </c>
      <c r="V967" s="19">
        <f>tblMaster[[#This Row],[Delivery_Date]]-tblMaster[[#This Row],[Order_Date]]</f>
        <v>9</v>
      </c>
      <c r="W967" s="19" t="str">
        <f>TEXT(tblMaster[[#This Row],[Order_Date]],"mmmm")</f>
        <v>March</v>
      </c>
      <c r="X967" s="19">
        <f>MONTH(tblMaster[[#This Row],[Order_Date]])</f>
        <v>3</v>
      </c>
      <c r="Y967" s="19" t="str">
        <f>"Q"&amp;ROUNDUP(tblMaster[[#This Row],[Month Number]]/3,0)</f>
        <v>Q1</v>
      </c>
      <c r="Z967" s="19">
        <f>YEAR(tblMaster[[#This Row],[Order_Date]])</f>
        <v>2023</v>
      </c>
      <c r="AA967" s="19" t="str">
        <f>TEXT(DAY(tblMaster[[#This Row],[Order_Date]]),"dddd")</f>
        <v>Sunday</v>
      </c>
      <c r="AB967" s="19" t="str">
        <f>IF(tblMaster[[#This Row],[Revenue]]&gt;=5000,"High",IF(tblMaster[[#This Row],[Revenue]]&lt;2000,"Low","Medium"))</f>
        <v>Medium</v>
      </c>
    </row>
    <row r="968" spans="1:28" x14ac:dyDescent="0.25">
      <c r="A968" s="7">
        <v>967</v>
      </c>
      <c r="B968" s="7" t="s">
        <v>206</v>
      </c>
      <c r="C968" s="4">
        <v>68</v>
      </c>
      <c r="D968" s="4">
        <v>4</v>
      </c>
      <c r="E968" s="8">
        <v>44969</v>
      </c>
      <c r="F968" s="9">
        <v>1.4849537037037038E-2</v>
      </c>
      <c r="G968" s="8">
        <v>44977</v>
      </c>
      <c r="H968" s="9">
        <v>0.77069444444444446</v>
      </c>
      <c r="I968" s="7" t="s">
        <v>350</v>
      </c>
      <c r="J968" s="7" t="s">
        <v>12</v>
      </c>
      <c r="K968" s="18" t="str">
        <f>_xlfn.XLOOKUP(tblMaster[[#This Row],[Customer_ID]],tblCustomers[Customer_ID],tblCustomers[City],"Not Found",0)</f>
        <v>Karaikudi</v>
      </c>
      <c r="L968" s="18" t="str">
        <f>_xlfn.XLOOKUP(tblMaster[[#This Row],[Customer_ID]],tblCustomers[Customer_ID],tblCustomers[Name],"Not Found",0)</f>
        <v>Rati Dhingra</v>
      </c>
      <c r="M968" s="18" t="str">
        <f>_xlfn.XLOOKUP(tblMaster[[#This Row],[Customer_ID]],tblCustomers[Customer_ID],tblCustomers[Gender],"Not Found",0)</f>
        <v>Male</v>
      </c>
      <c r="N968" s="18" t="str">
        <f>_xlfn.XLOOKUP(tblMaster[[#This Row],[Product_ID]],tblProducts[Product_ID],tblProducts[Product_Name],"Not Found",0)</f>
        <v>Quas Gift</v>
      </c>
      <c r="O968" s="18" t="str">
        <f>_xlfn.XLOOKUP(tblMaster[[#This Row],[Product_ID]],tblProducts[Product_ID],tblProducts[Category],"Not Found",0)</f>
        <v>Soft Toys</v>
      </c>
      <c r="P968" s="18" t="str">
        <f>_xlfn.XLOOKUP(tblMaster[[#This Row],[Product_ID]],tblProducts[Product_ID],tblProducts[Occasion],"Not Found",0)</f>
        <v>Valentine's Day</v>
      </c>
      <c r="Q968" s="18">
        <f>_xlfn.XLOOKUP(tblMaster[[#This Row],[Product_ID]],tblProducts[Product_ID],tblProducts[Price (INR)],"Not Found",0)</f>
        <v>597</v>
      </c>
      <c r="R968" s="19">
        <f>tblMaster[[#This Row],[Price]]*tblMaster[[#This Row],[Quantity]]</f>
        <v>2388</v>
      </c>
      <c r="S968" s="19">
        <f>tblMaster[[#This Row],[Price]]*0.7*tblMaster[[#This Row],[Quantity]]</f>
        <v>1671.6</v>
      </c>
      <c r="T968" s="19">
        <f>tblMaster[[#This Row],[Revenue]]-tblMaster[[#This Row],[Estimated Cost (at 70%) ]]</f>
        <v>716.40000000000009</v>
      </c>
      <c r="U968" s="19">
        <f>tblMaster[[#This Row],[Profit]]/tblMaster[[#This Row],[Revenue]]</f>
        <v>0.30000000000000004</v>
      </c>
      <c r="V968" s="19">
        <f>tblMaster[[#This Row],[Delivery_Date]]-tblMaster[[#This Row],[Order_Date]]</f>
        <v>8</v>
      </c>
      <c r="W968" s="19" t="str">
        <f>TEXT(tblMaster[[#This Row],[Order_Date]],"mmmm")</f>
        <v>February</v>
      </c>
      <c r="X968" s="19">
        <f>MONTH(tblMaster[[#This Row],[Order_Date]])</f>
        <v>2</v>
      </c>
      <c r="Y968" s="19" t="str">
        <f>"Q"&amp;ROUNDUP(tblMaster[[#This Row],[Month Number]]/3,0)</f>
        <v>Q1</v>
      </c>
      <c r="Z968" s="19">
        <f>YEAR(tblMaster[[#This Row],[Order_Date]])</f>
        <v>2023</v>
      </c>
      <c r="AA968" s="19" t="str">
        <f>TEXT(DAY(tblMaster[[#This Row],[Order_Date]]),"dddd")</f>
        <v>Thursday</v>
      </c>
      <c r="AB968" s="19" t="str">
        <f>IF(tblMaster[[#This Row],[Revenue]]&gt;=5000,"High",IF(tblMaster[[#This Row],[Revenue]]&lt;2000,"Low","Medium"))</f>
        <v>Medium</v>
      </c>
    </row>
    <row r="969" spans="1:28" x14ac:dyDescent="0.25">
      <c r="A969" s="10">
        <v>968</v>
      </c>
      <c r="B969" s="10" t="s">
        <v>488</v>
      </c>
      <c r="C969" s="5">
        <v>9</v>
      </c>
      <c r="D969" s="5">
        <v>2</v>
      </c>
      <c r="E969" s="11">
        <v>45163</v>
      </c>
      <c r="F969" s="12">
        <v>0.99678240740740742</v>
      </c>
      <c r="G969" s="11">
        <v>45170</v>
      </c>
      <c r="H969" s="12">
        <v>0.85012731481481485</v>
      </c>
      <c r="I969" s="10" t="s">
        <v>548</v>
      </c>
      <c r="J969" s="10" t="s">
        <v>33</v>
      </c>
      <c r="K969" s="18" t="str">
        <f>_xlfn.XLOOKUP(tblMaster[[#This Row],[Customer_ID]],tblCustomers[Customer_ID],tblCustomers[City],"Not Found",0)</f>
        <v>Bulandshahr</v>
      </c>
      <c r="L969" s="18" t="str">
        <f>_xlfn.XLOOKUP(tblMaster[[#This Row],[Customer_ID]],tblCustomers[Customer_ID],tblCustomers[Name],"Not Found",0)</f>
        <v>Myra Edwin</v>
      </c>
      <c r="M969" s="18" t="str">
        <f>_xlfn.XLOOKUP(tblMaster[[#This Row],[Customer_ID]],tblCustomers[Customer_ID],tblCustomers[Gender],"Not Found",0)</f>
        <v>Female</v>
      </c>
      <c r="N969" s="18" t="str">
        <f>_xlfn.XLOOKUP(tblMaster[[#This Row],[Product_ID]],tblProducts[Product_ID],tblProducts[Product_Name],"Not Found",0)</f>
        <v>Aperiam Box</v>
      </c>
      <c r="O969" s="18" t="str">
        <f>_xlfn.XLOOKUP(tblMaster[[#This Row],[Product_ID]],tblProducts[Product_ID],tblProducts[Category],"Not Found",0)</f>
        <v>Colors</v>
      </c>
      <c r="P969" s="18" t="str">
        <f>_xlfn.XLOOKUP(tblMaster[[#This Row],[Product_ID]],tblProducts[Product_ID],tblProducts[Occasion],"Not Found",0)</f>
        <v>Raksha Bandhan</v>
      </c>
      <c r="Q969" s="18">
        <f>_xlfn.XLOOKUP(tblMaster[[#This Row],[Product_ID]],tblProducts[Product_ID],tblProducts[Price (INR)],"Not Found",0)</f>
        <v>1605</v>
      </c>
      <c r="R969" s="19">
        <f>tblMaster[[#This Row],[Price]]*tblMaster[[#This Row],[Quantity]]</f>
        <v>3210</v>
      </c>
      <c r="S969" s="19">
        <f>tblMaster[[#This Row],[Price]]*0.7*tblMaster[[#This Row],[Quantity]]</f>
        <v>2247</v>
      </c>
      <c r="T969" s="19">
        <f>tblMaster[[#This Row],[Revenue]]-tblMaster[[#This Row],[Estimated Cost (at 70%) ]]</f>
        <v>963</v>
      </c>
      <c r="U969" s="19">
        <f>tblMaster[[#This Row],[Profit]]/tblMaster[[#This Row],[Revenue]]</f>
        <v>0.3</v>
      </c>
      <c r="V969" s="19">
        <f>tblMaster[[#This Row],[Delivery_Date]]-tblMaster[[#This Row],[Order_Date]]</f>
        <v>7</v>
      </c>
      <c r="W969" s="19" t="str">
        <f>TEXT(tblMaster[[#This Row],[Order_Date]],"mmmm")</f>
        <v>August</v>
      </c>
      <c r="X969" s="19">
        <f>MONTH(tblMaster[[#This Row],[Order_Date]])</f>
        <v>8</v>
      </c>
      <c r="Y969" s="19" t="str">
        <f>"Q"&amp;ROUNDUP(tblMaster[[#This Row],[Month Number]]/3,0)</f>
        <v>Q3</v>
      </c>
      <c r="Z969" s="19">
        <f>YEAR(tblMaster[[#This Row],[Order_Date]])</f>
        <v>2023</v>
      </c>
      <c r="AA969" s="19" t="str">
        <f>TEXT(DAY(tblMaster[[#This Row],[Order_Date]]),"dddd")</f>
        <v>Wednesday</v>
      </c>
      <c r="AB969" s="19" t="str">
        <f>IF(tblMaster[[#This Row],[Revenue]]&gt;=5000,"High",IF(tblMaster[[#This Row],[Revenue]]&lt;2000,"Low","Medium"))</f>
        <v>Medium</v>
      </c>
    </row>
    <row r="970" spans="1:28" x14ac:dyDescent="0.25">
      <c r="A970" s="7">
        <v>969</v>
      </c>
      <c r="B970" s="7" t="s">
        <v>400</v>
      </c>
      <c r="C970" s="4">
        <v>42</v>
      </c>
      <c r="D970" s="4">
        <v>4</v>
      </c>
      <c r="E970" s="8">
        <v>45168</v>
      </c>
      <c r="F970" s="9">
        <v>0.95594907407407403</v>
      </c>
      <c r="G970" s="8">
        <v>45172</v>
      </c>
      <c r="H970" s="9">
        <v>0.14096064814814815</v>
      </c>
      <c r="I970" s="7" t="s">
        <v>194</v>
      </c>
      <c r="J970" s="7" t="s">
        <v>8</v>
      </c>
      <c r="K970" s="18" t="str">
        <f>_xlfn.XLOOKUP(tblMaster[[#This Row],[Customer_ID]],tblCustomers[Customer_ID],tblCustomers[City],"Not Found",0)</f>
        <v>Miryalaguda</v>
      </c>
      <c r="L970" s="18" t="str">
        <f>_xlfn.XLOOKUP(tblMaster[[#This Row],[Customer_ID]],tblCustomers[Customer_ID],tblCustomers[Name],"Not Found",0)</f>
        <v>Tarini Bava</v>
      </c>
      <c r="M970" s="18" t="str">
        <f>_xlfn.XLOOKUP(tblMaster[[#This Row],[Customer_ID]],tblCustomers[Customer_ID],tblCustomers[Gender],"Not Found",0)</f>
        <v>Male</v>
      </c>
      <c r="N970" s="18" t="str">
        <f>_xlfn.XLOOKUP(tblMaster[[#This Row],[Product_ID]],tblProducts[Product_ID],tblProducts[Product_Name],"Not Found",0)</f>
        <v>Expedita Gift</v>
      </c>
      <c r="O970" s="18" t="str">
        <f>_xlfn.XLOOKUP(tblMaster[[#This Row],[Product_ID]],tblProducts[Product_ID],tblProducts[Category],"Not Found",0)</f>
        <v>Sweets</v>
      </c>
      <c r="P970" s="18" t="str">
        <f>_xlfn.XLOOKUP(tblMaster[[#This Row],[Product_ID]],tblProducts[Product_ID],tblProducts[Occasion],"Not Found",0)</f>
        <v>All Occasions</v>
      </c>
      <c r="Q970" s="18">
        <f>_xlfn.XLOOKUP(tblMaster[[#This Row],[Product_ID]],tblProducts[Product_ID],tblProducts[Price (INR)],"Not Found",0)</f>
        <v>1744</v>
      </c>
      <c r="R970" s="19">
        <f>tblMaster[[#This Row],[Price]]*tblMaster[[#This Row],[Quantity]]</f>
        <v>6976</v>
      </c>
      <c r="S970" s="19">
        <f>tblMaster[[#This Row],[Price]]*0.7*tblMaster[[#This Row],[Quantity]]</f>
        <v>4883.2</v>
      </c>
      <c r="T970" s="19">
        <f>tblMaster[[#This Row],[Revenue]]-tblMaster[[#This Row],[Estimated Cost (at 70%) ]]</f>
        <v>2092.8000000000002</v>
      </c>
      <c r="U970" s="19">
        <f>tblMaster[[#This Row],[Profit]]/tblMaster[[#This Row],[Revenue]]</f>
        <v>0.30000000000000004</v>
      </c>
      <c r="V970" s="19">
        <f>tblMaster[[#This Row],[Delivery_Date]]-tblMaster[[#This Row],[Order_Date]]</f>
        <v>4</v>
      </c>
      <c r="W970" s="19" t="str">
        <f>TEXT(tblMaster[[#This Row],[Order_Date]],"mmmm")</f>
        <v>August</v>
      </c>
      <c r="X970" s="19">
        <f>MONTH(tblMaster[[#This Row],[Order_Date]])</f>
        <v>8</v>
      </c>
      <c r="Y970" s="19" t="str">
        <f>"Q"&amp;ROUNDUP(tblMaster[[#This Row],[Month Number]]/3,0)</f>
        <v>Q3</v>
      </c>
      <c r="Z970" s="19">
        <f>YEAR(tblMaster[[#This Row],[Order_Date]])</f>
        <v>2023</v>
      </c>
      <c r="AA970" s="19" t="str">
        <f>TEXT(DAY(tblMaster[[#This Row],[Order_Date]]),"dddd")</f>
        <v>Monday</v>
      </c>
      <c r="AB970" s="19" t="str">
        <f>IF(tblMaster[[#This Row],[Revenue]]&gt;=5000,"High",IF(tblMaster[[#This Row],[Revenue]]&lt;2000,"Low","Medium"))</f>
        <v>High</v>
      </c>
    </row>
    <row r="971" spans="1:28" x14ac:dyDescent="0.25">
      <c r="A971" s="10">
        <v>970</v>
      </c>
      <c r="B971" s="10" t="s">
        <v>246</v>
      </c>
      <c r="C971" s="5">
        <v>54</v>
      </c>
      <c r="D971" s="5">
        <v>4</v>
      </c>
      <c r="E971" s="11">
        <v>45029</v>
      </c>
      <c r="F971" s="12">
        <v>0.1434375</v>
      </c>
      <c r="G971" s="11">
        <v>45037</v>
      </c>
      <c r="H971" s="12">
        <v>0.90089120370370368</v>
      </c>
      <c r="I971" s="10" t="s">
        <v>350</v>
      </c>
      <c r="J971" s="10" t="s">
        <v>30</v>
      </c>
      <c r="K971" s="18" t="str">
        <f>_xlfn.XLOOKUP(tblMaster[[#This Row],[Customer_ID]],tblCustomers[Customer_ID],tblCustomers[City],"Not Found",0)</f>
        <v>Machilipatnam</v>
      </c>
      <c r="L971" s="18" t="str">
        <f>_xlfn.XLOOKUP(tblMaster[[#This Row],[Customer_ID]],tblCustomers[Customer_ID],tblCustomers[Name],"Not Found",0)</f>
        <v>Samaira Ganesh</v>
      </c>
      <c r="M971" s="18" t="str">
        <f>_xlfn.XLOOKUP(tblMaster[[#This Row],[Customer_ID]],tblCustomers[Customer_ID],tblCustomers[Gender],"Not Found",0)</f>
        <v>Male</v>
      </c>
      <c r="N971" s="18" t="str">
        <f>_xlfn.XLOOKUP(tblMaster[[#This Row],[Product_ID]],tblProducts[Product_ID],tblProducts[Product_Name],"Not Found",0)</f>
        <v>Occaecati Gift</v>
      </c>
      <c r="O971" s="18" t="str">
        <f>_xlfn.XLOOKUP(tblMaster[[#This Row],[Product_ID]],tblProducts[Product_ID],tblProducts[Category],"Not Found",0)</f>
        <v>Cake</v>
      </c>
      <c r="P971" s="18" t="str">
        <f>_xlfn.XLOOKUP(tblMaster[[#This Row],[Product_ID]],tblProducts[Product_ID],tblProducts[Occasion],"Not Found",0)</f>
        <v>Anniversary</v>
      </c>
      <c r="Q971" s="18">
        <f>_xlfn.XLOOKUP(tblMaster[[#This Row],[Product_ID]],tblProducts[Product_ID],tblProducts[Price (INR)],"Not Found",0)</f>
        <v>1236</v>
      </c>
      <c r="R971" s="19">
        <f>tblMaster[[#This Row],[Price]]*tblMaster[[#This Row],[Quantity]]</f>
        <v>4944</v>
      </c>
      <c r="S971" s="19">
        <f>tblMaster[[#This Row],[Price]]*0.7*tblMaster[[#This Row],[Quantity]]</f>
        <v>3460.7999999999997</v>
      </c>
      <c r="T971" s="19">
        <f>tblMaster[[#This Row],[Revenue]]-tblMaster[[#This Row],[Estimated Cost (at 70%) ]]</f>
        <v>1483.2000000000003</v>
      </c>
      <c r="U971" s="19">
        <f>tblMaster[[#This Row],[Profit]]/tblMaster[[#This Row],[Revenue]]</f>
        <v>0.30000000000000004</v>
      </c>
      <c r="V971" s="19">
        <f>tblMaster[[#This Row],[Delivery_Date]]-tblMaster[[#This Row],[Order_Date]]</f>
        <v>8</v>
      </c>
      <c r="W971" s="19" t="str">
        <f>TEXT(tblMaster[[#This Row],[Order_Date]],"mmmm")</f>
        <v>April</v>
      </c>
      <c r="X971" s="19">
        <f>MONTH(tblMaster[[#This Row],[Order_Date]])</f>
        <v>4</v>
      </c>
      <c r="Y971" s="19" t="str">
        <f>"Q"&amp;ROUNDUP(tblMaster[[#This Row],[Month Number]]/3,0)</f>
        <v>Q2</v>
      </c>
      <c r="Z971" s="19">
        <f>YEAR(tblMaster[[#This Row],[Order_Date]])</f>
        <v>2023</v>
      </c>
      <c r="AA971" s="19" t="str">
        <f>TEXT(DAY(tblMaster[[#This Row],[Order_Date]]),"dddd")</f>
        <v>Friday</v>
      </c>
      <c r="AB971" s="19" t="str">
        <f>IF(tblMaster[[#This Row],[Revenue]]&gt;=5000,"High",IF(tblMaster[[#This Row],[Revenue]]&lt;2000,"Low","Medium"))</f>
        <v>Medium</v>
      </c>
    </row>
    <row r="972" spans="1:28" x14ac:dyDescent="0.25">
      <c r="A972" s="7">
        <v>971</v>
      </c>
      <c r="B972" s="7" t="s">
        <v>387</v>
      </c>
      <c r="C972" s="4">
        <v>47</v>
      </c>
      <c r="D972" s="4">
        <v>1</v>
      </c>
      <c r="E972" s="8">
        <v>44987</v>
      </c>
      <c r="F972" s="9">
        <v>0.16820601851851852</v>
      </c>
      <c r="G972" s="8">
        <v>44995</v>
      </c>
      <c r="H972" s="9">
        <v>0.80388888888888888</v>
      </c>
      <c r="I972" s="7" t="s">
        <v>557</v>
      </c>
      <c r="J972" s="7" t="s">
        <v>25</v>
      </c>
      <c r="K972" s="18" t="str">
        <f>_xlfn.XLOOKUP(tblMaster[[#This Row],[Customer_ID]],tblCustomers[Customer_ID],tblCustomers[City],"Not Found",0)</f>
        <v>Serampore</v>
      </c>
      <c r="L972" s="18" t="str">
        <f>_xlfn.XLOOKUP(tblMaster[[#This Row],[Customer_ID]],tblCustomers[Customer_ID],tblCustomers[Name],"Not Found",0)</f>
        <v>Kashvi Sur</v>
      </c>
      <c r="M972" s="18" t="str">
        <f>_xlfn.XLOOKUP(tblMaster[[#This Row],[Customer_ID]],tblCustomers[Customer_ID],tblCustomers[Gender],"Not Found",0)</f>
        <v>Female</v>
      </c>
      <c r="N972" s="18" t="str">
        <f>_xlfn.XLOOKUP(tblMaster[[#This Row],[Product_ID]],tblProducts[Product_ID],tblProducts[Product_Name],"Not Found",0)</f>
        <v>Harum Pack</v>
      </c>
      <c r="O972" s="18" t="str">
        <f>_xlfn.XLOOKUP(tblMaster[[#This Row],[Product_ID]],tblProducts[Product_ID],tblProducts[Category],"Not Found",0)</f>
        <v>Colors</v>
      </c>
      <c r="P972" s="18" t="str">
        <f>_xlfn.XLOOKUP(tblMaster[[#This Row],[Product_ID]],tblProducts[Product_ID],tblProducts[Occasion],"Not Found",0)</f>
        <v>Holi</v>
      </c>
      <c r="Q972" s="18">
        <f>_xlfn.XLOOKUP(tblMaster[[#This Row],[Product_ID]],tblProducts[Product_ID],tblProducts[Price (INR)],"Not Found",0)</f>
        <v>1638</v>
      </c>
      <c r="R972" s="19">
        <f>tblMaster[[#This Row],[Price]]*tblMaster[[#This Row],[Quantity]]</f>
        <v>1638</v>
      </c>
      <c r="S972" s="19">
        <f>tblMaster[[#This Row],[Price]]*0.7*tblMaster[[#This Row],[Quantity]]</f>
        <v>1146.5999999999999</v>
      </c>
      <c r="T972" s="19">
        <f>tblMaster[[#This Row],[Revenue]]-tblMaster[[#This Row],[Estimated Cost (at 70%) ]]</f>
        <v>491.40000000000009</v>
      </c>
      <c r="U972" s="19">
        <f>tblMaster[[#This Row],[Profit]]/tblMaster[[#This Row],[Revenue]]</f>
        <v>0.30000000000000004</v>
      </c>
      <c r="V972" s="19">
        <f>tblMaster[[#This Row],[Delivery_Date]]-tblMaster[[#This Row],[Order_Date]]</f>
        <v>8</v>
      </c>
      <c r="W972" s="19" t="str">
        <f>TEXT(tblMaster[[#This Row],[Order_Date]],"mmmm")</f>
        <v>March</v>
      </c>
      <c r="X972" s="19">
        <f>MONTH(tblMaster[[#This Row],[Order_Date]])</f>
        <v>3</v>
      </c>
      <c r="Y972" s="19" t="str">
        <f>"Q"&amp;ROUNDUP(tblMaster[[#This Row],[Month Number]]/3,0)</f>
        <v>Q1</v>
      </c>
      <c r="Z972" s="19">
        <f>YEAR(tblMaster[[#This Row],[Order_Date]])</f>
        <v>2023</v>
      </c>
      <c r="AA972" s="19" t="str">
        <f>TEXT(DAY(tblMaster[[#This Row],[Order_Date]]),"dddd")</f>
        <v>Monday</v>
      </c>
      <c r="AB972" s="19" t="str">
        <f>IF(tblMaster[[#This Row],[Revenue]]&gt;=5000,"High",IF(tblMaster[[#This Row],[Revenue]]&lt;2000,"Low","Medium"))</f>
        <v>Low</v>
      </c>
    </row>
    <row r="973" spans="1:28" x14ac:dyDescent="0.25">
      <c r="A973" s="10">
        <v>972</v>
      </c>
      <c r="B973" s="10" t="s">
        <v>335</v>
      </c>
      <c r="C973" s="5">
        <v>30</v>
      </c>
      <c r="D973" s="5">
        <v>2</v>
      </c>
      <c r="E973" s="11">
        <v>45046</v>
      </c>
      <c r="F973" s="12">
        <v>6.5671296296296297E-2</v>
      </c>
      <c r="G973" s="11">
        <v>45048</v>
      </c>
      <c r="H973" s="12">
        <v>0.22724537037037038</v>
      </c>
      <c r="I973" s="10" t="s">
        <v>374</v>
      </c>
      <c r="J973" s="10" t="s">
        <v>30</v>
      </c>
      <c r="K973" s="18" t="str">
        <f>_xlfn.XLOOKUP(tblMaster[[#This Row],[Customer_ID]],tblCustomers[Customer_ID],tblCustomers[City],"Not Found",0)</f>
        <v>Farrukhabad</v>
      </c>
      <c r="L973" s="18" t="str">
        <f>_xlfn.XLOOKUP(tblMaster[[#This Row],[Customer_ID]],tblCustomers[Customer_ID],tblCustomers[Name],"Not Found",0)</f>
        <v>Ira Chahal</v>
      </c>
      <c r="M973" s="18" t="str">
        <f>_xlfn.XLOOKUP(tblMaster[[#This Row],[Customer_ID]],tblCustomers[Customer_ID],tblCustomers[Gender],"Not Found",0)</f>
        <v>Female</v>
      </c>
      <c r="N973" s="18" t="str">
        <f>_xlfn.XLOOKUP(tblMaster[[#This Row],[Product_ID]],tblProducts[Product_ID],tblProducts[Product_Name],"Not Found",0)</f>
        <v>Recusandae Pack</v>
      </c>
      <c r="O973" s="18" t="str">
        <f>_xlfn.XLOOKUP(tblMaster[[#This Row],[Product_ID]],tblProducts[Product_ID],tblProducts[Category],"Not Found",0)</f>
        <v>Colors</v>
      </c>
      <c r="P973" s="18" t="str">
        <f>_xlfn.XLOOKUP(tblMaster[[#This Row],[Product_ID]],tblProducts[Product_ID],tblProducts[Occasion],"Not Found",0)</f>
        <v>Anniversary</v>
      </c>
      <c r="Q973" s="18">
        <f>_xlfn.XLOOKUP(tblMaster[[#This Row],[Product_ID]],tblProducts[Product_ID],tblProducts[Price (INR)],"Not Found",0)</f>
        <v>751</v>
      </c>
      <c r="R973" s="19">
        <f>tblMaster[[#This Row],[Price]]*tblMaster[[#This Row],[Quantity]]</f>
        <v>1502</v>
      </c>
      <c r="S973" s="19">
        <f>tblMaster[[#This Row],[Price]]*0.7*tblMaster[[#This Row],[Quantity]]</f>
        <v>1051.3999999999999</v>
      </c>
      <c r="T973" s="19">
        <f>tblMaster[[#This Row],[Revenue]]-tblMaster[[#This Row],[Estimated Cost (at 70%) ]]</f>
        <v>450.60000000000014</v>
      </c>
      <c r="U973" s="19">
        <f>tblMaster[[#This Row],[Profit]]/tblMaster[[#This Row],[Revenue]]</f>
        <v>0.3000000000000001</v>
      </c>
      <c r="V973" s="19">
        <f>tblMaster[[#This Row],[Delivery_Date]]-tblMaster[[#This Row],[Order_Date]]</f>
        <v>2</v>
      </c>
      <c r="W973" s="19" t="str">
        <f>TEXT(tblMaster[[#This Row],[Order_Date]],"mmmm")</f>
        <v>April</v>
      </c>
      <c r="X973" s="19">
        <f>MONTH(tblMaster[[#This Row],[Order_Date]])</f>
        <v>4</v>
      </c>
      <c r="Y973" s="19" t="str">
        <f>"Q"&amp;ROUNDUP(tblMaster[[#This Row],[Month Number]]/3,0)</f>
        <v>Q2</v>
      </c>
      <c r="Z973" s="19">
        <f>YEAR(tblMaster[[#This Row],[Order_Date]])</f>
        <v>2023</v>
      </c>
      <c r="AA973" s="19" t="str">
        <f>TEXT(DAY(tblMaster[[#This Row],[Order_Date]]),"dddd")</f>
        <v>Monday</v>
      </c>
      <c r="AB973" s="19" t="str">
        <f>IF(tblMaster[[#This Row],[Revenue]]&gt;=5000,"High",IF(tblMaster[[#This Row],[Revenue]]&lt;2000,"Low","Medium"))</f>
        <v>Low</v>
      </c>
    </row>
    <row r="974" spans="1:28" x14ac:dyDescent="0.25">
      <c r="A974" s="7">
        <v>973</v>
      </c>
      <c r="B974" s="7" t="s">
        <v>244</v>
      </c>
      <c r="C974" s="4">
        <v>66</v>
      </c>
      <c r="D974" s="4">
        <v>3</v>
      </c>
      <c r="E974" s="8">
        <v>44983</v>
      </c>
      <c r="F974" s="9">
        <v>0.44160879629629629</v>
      </c>
      <c r="G974" s="8">
        <v>44992</v>
      </c>
      <c r="H974" s="9">
        <v>0.15722222222222224</v>
      </c>
      <c r="I974" s="7" t="s">
        <v>373</v>
      </c>
      <c r="J974" s="7" t="s">
        <v>25</v>
      </c>
      <c r="K974" s="18" t="str">
        <f>_xlfn.XLOOKUP(tblMaster[[#This Row],[Customer_ID]],tblCustomers[Customer_ID],tblCustomers[City],"Not Found",0)</f>
        <v>Sasaram</v>
      </c>
      <c r="L974" s="18" t="str">
        <f>_xlfn.XLOOKUP(tblMaster[[#This Row],[Customer_ID]],tblCustomers[Customer_ID],tblCustomers[Name],"Not Found",0)</f>
        <v>Madhup Wable</v>
      </c>
      <c r="M974" s="18" t="str">
        <f>_xlfn.XLOOKUP(tblMaster[[#This Row],[Customer_ID]],tblCustomers[Customer_ID],tblCustomers[Gender],"Not Found",0)</f>
        <v>Female</v>
      </c>
      <c r="N974" s="18" t="str">
        <f>_xlfn.XLOOKUP(tblMaster[[#This Row],[Product_ID]],tblProducts[Product_ID],tblProducts[Product_Name],"Not Found",0)</f>
        <v>Quas Box</v>
      </c>
      <c r="O974" s="18" t="str">
        <f>_xlfn.XLOOKUP(tblMaster[[#This Row],[Product_ID]],tblProducts[Product_ID],tblProducts[Category],"Not Found",0)</f>
        <v>Colors</v>
      </c>
      <c r="P974" s="18" t="str">
        <f>_xlfn.XLOOKUP(tblMaster[[#This Row],[Product_ID]],tblProducts[Product_ID],tblProducts[Occasion],"Not Found",0)</f>
        <v>Holi</v>
      </c>
      <c r="Q974" s="18">
        <f>_xlfn.XLOOKUP(tblMaster[[#This Row],[Product_ID]],tblProducts[Product_ID],tblProducts[Price (INR)],"Not Found",0)</f>
        <v>610</v>
      </c>
      <c r="R974" s="19">
        <f>tblMaster[[#This Row],[Price]]*tblMaster[[#This Row],[Quantity]]</f>
        <v>1830</v>
      </c>
      <c r="S974" s="19">
        <f>tblMaster[[#This Row],[Price]]*0.7*tblMaster[[#This Row],[Quantity]]</f>
        <v>1281</v>
      </c>
      <c r="T974" s="19">
        <f>tblMaster[[#This Row],[Revenue]]-tblMaster[[#This Row],[Estimated Cost (at 70%) ]]</f>
        <v>549</v>
      </c>
      <c r="U974" s="19">
        <f>tblMaster[[#This Row],[Profit]]/tblMaster[[#This Row],[Revenue]]</f>
        <v>0.3</v>
      </c>
      <c r="V974" s="19">
        <f>tblMaster[[#This Row],[Delivery_Date]]-tblMaster[[#This Row],[Order_Date]]</f>
        <v>9</v>
      </c>
      <c r="W974" s="19" t="str">
        <f>TEXT(tblMaster[[#This Row],[Order_Date]],"mmmm")</f>
        <v>February</v>
      </c>
      <c r="X974" s="19">
        <f>MONTH(tblMaster[[#This Row],[Order_Date]])</f>
        <v>2</v>
      </c>
      <c r="Y974" s="19" t="str">
        <f>"Q"&amp;ROUNDUP(tblMaster[[#This Row],[Month Number]]/3,0)</f>
        <v>Q1</v>
      </c>
      <c r="Z974" s="19">
        <f>YEAR(tblMaster[[#This Row],[Order_Date]])</f>
        <v>2023</v>
      </c>
      <c r="AA974" s="19" t="str">
        <f>TEXT(DAY(tblMaster[[#This Row],[Order_Date]]),"dddd")</f>
        <v>Thursday</v>
      </c>
      <c r="AB974" s="19" t="str">
        <f>IF(tblMaster[[#This Row],[Revenue]]&gt;=5000,"High",IF(tblMaster[[#This Row],[Revenue]]&lt;2000,"Low","Medium"))</f>
        <v>Low</v>
      </c>
    </row>
    <row r="975" spans="1:28" x14ac:dyDescent="0.25">
      <c r="A975" s="10">
        <v>974</v>
      </c>
      <c r="B975" s="10" t="s">
        <v>248</v>
      </c>
      <c r="C975" s="5">
        <v>17</v>
      </c>
      <c r="D975" s="5">
        <v>4</v>
      </c>
      <c r="E975" s="11">
        <v>45234</v>
      </c>
      <c r="F975" s="12">
        <v>0.8034606481481481</v>
      </c>
      <c r="G975" s="11">
        <v>45237</v>
      </c>
      <c r="H975" s="12">
        <v>0.67461805555555554</v>
      </c>
      <c r="I975" s="10" t="s">
        <v>286</v>
      </c>
      <c r="J975" s="10" t="s">
        <v>30</v>
      </c>
      <c r="K975" s="18" t="str">
        <f>_xlfn.XLOOKUP(tblMaster[[#This Row],[Customer_ID]],tblCustomers[Customer_ID],tblCustomers[City],"Not Found",0)</f>
        <v>Panvel</v>
      </c>
      <c r="L975" s="18" t="str">
        <f>_xlfn.XLOOKUP(tblMaster[[#This Row],[Customer_ID]],tblCustomers[Customer_ID],tblCustomers[Name],"Not Found",0)</f>
        <v>Indrans Shukla</v>
      </c>
      <c r="M975" s="18" t="str">
        <f>_xlfn.XLOOKUP(tblMaster[[#This Row],[Customer_ID]],tblCustomers[Customer_ID],tblCustomers[Gender],"Not Found",0)</f>
        <v>Female</v>
      </c>
      <c r="N975" s="18" t="str">
        <f>_xlfn.XLOOKUP(tblMaster[[#This Row],[Product_ID]],tblProducts[Product_ID],tblProducts[Product_Name],"Not Found",0)</f>
        <v>Delectus Gift</v>
      </c>
      <c r="O975" s="18" t="str">
        <f>_xlfn.XLOOKUP(tblMaster[[#This Row],[Product_ID]],tblProducts[Product_ID],tblProducts[Category],"Not Found",0)</f>
        <v>Soft Toys</v>
      </c>
      <c r="P975" s="18" t="str">
        <f>_xlfn.XLOOKUP(tblMaster[[#This Row],[Product_ID]],tblProducts[Product_ID],tblProducts[Occasion],"Not Found",0)</f>
        <v>Anniversary</v>
      </c>
      <c r="Q975" s="18">
        <f>_xlfn.XLOOKUP(tblMaster[[#This Row],[Product_ID]],tblProducts[Product_ID],tblProducts[Price (INR)],"Not Found",0)</f>
        <v>1899</v>
      </c>
      <c r="R975" s="19">
        <f>tblMaster[[#This Row],[Price]]*tblMaster[[#This Row],[Quantity]]</f>
        <v>7596</v>
      </c>
      <c r="S975" s="19">
        <f>tblMaster[[#This Row],[Price]]*0.7*tblMaster[[#This Row],[Quantity]]</f>
        <v>5317.2</v>
      </c>
      <c r="T975" s="19">
        <f>tblMaster[[#This Row],[Revenue]]-tblMaster[[#This Row],[Estimated Cost (at 70%) ]]</f>
        <v>2278.8000000000002</v>
      </c>
      <c r="U975" s="19">
        <f>tblMaster[[#This Row],[Profit]]/tblMaster[[#This Row],[Revenue]]</f>
        <v>0.30000000000000004</v>
      </c>
      <c r="V975" s="19">
        <f>tblMaster[[#This Row],[Delivery_Date]]-tblMaster[[#This Row],[Order_Date]]</f>
        <v>3</v>
      </c>
      <c r="W975" s="19" t="str">
        <f>TEXT(tblMaster[[#This Row],[Order_Date]],"mmmm")</f>
        <v>November</v>
      </c>
      <c r="X975" s="19">
        <f>MONTH(tblMaster[[#This Row],[Order_Date]])</f>
        <v>11</v>
      </c>
      <c r="Y975" s="19" t="str">
        <f>"Q"&amp;ROUNDUP(tblMaster[[#This Row],[Month Number]]/3,0)</f>
        <v>Q4</v>
      </c>
      <c r="Z975" s="19">
        <f>YEAR(tblMaster[[#This Row],[Order_Date]])</f>
        <v>2023</v>
      </c>
      <c r="AA975" s="19" t="str">
        <f>TEXT(DAY(tblMaster[[#This Row],[Order_Date]]),"dddd")</f>
        <v>Wednesday</v>
      </c>
      <c r="AB975" s="19" t="str">
        <f>IF(tblMaster[[#This Row],[Revenue]]&gt;=5000,"High",IF(tblMaster[[#This Row],[Revenue]]&lt;2000,"Low","Medium"))</f>
        <v>High</v>
      </c>
    </row>
    <row r="976" spans="1:28" x14ac:dyDescent="0.25">
      <c r="A976" s="7">
        <v>975</v>
      </c>
      <c r="B976" s="7" t="s">
        <v>261</v>
      </c>
      <c r="C976" s="4">
        <v>62</v>
      </c>
      <c r="D976" s="4">
        <v>2</v>
      </c>
      <c r="E976" s="8">
        <v>44989</v>
      </c>
      <c r="F976" s="9">
        <v>1.8425925925925925E-2</v>
      </c>
      <c r="G976" s="8">
        <v>44997</v>
      </c>
      <c r="H976" s="9">
        <v>0.33590277777777777</v>
      </c>
      <c r="I976" s="7" t="s">
        <v>557</v>
      </c>
      <c r="J976" s="7" t="s">
        <v>25</v>
      </c>
      <c r="K976" s="18" t="str">
        <f>_xlfn.XLOOKUP(tblMaster[[#This Row],[Customer_ID]],tblCustomers[Customer_ID],tblCustomers[City],"Not Found",0)</f>
        <v>Panchkula</v>
      </c>
      <c r="L976" s="18" t="str">
        <f>_xlfn.XLOOKUP(tblMaster[[#This Row],[Customer_ID]],tblCustomers[Customer_ID],tblCustomers[Name],"Not Found",0)</f>
        <v>Gokul Ahluwalia</v>
      </c>
      <c r="M976" s="18" t="str">
        <f>_xlfn.XLOOKUP(tblMaster[[#This Row],[Customer_ID]],tblCustomers[Customer_ID],tblCustomers[Gender],"Not Found",0)</f>
        <v>Female</v>
      </c>
      <c r="N976" s="18" t="str">
        <f>_xlfn.XLOOKUP(tblMaster[[#This Row],[Product_ID]],tblProducts[Product_ID],tblProducts[Product_Name],"Not Found",0)</f>
        <v>Sed Set</v>
      </c>
      <c r="O976" s="18" t="str">
        <f>_xlfn.XLOOKUP(tblMaster[[#This Row],[Product_ID]],tblProducts[Product_ID],tblProducts[Category],"Not Found",0)</f>
        <v>Colors</v>
      </c>
      <c r="P976" s="18" t="str">
        <f>_xlfn.XLOOKUP(tblMaster[[#This Row],[Product_ID]],tblProducts[Product_ID],tblProducts[Occasion],"Not Found",0)</f>
        <v>Holi</v>
      </c>
      <c r="Q976" s="18">
        <f>_xlfn.XLOOKUP(tblMaster[[#This Row],[Product_ID]],tblProducts[Product_ID],tblProducts[Price (INR)],"Not Found",0)</f>
        <v>1356</v>
      </c>
      <c r="R976" s="19">
        <f>tblMaster[[#This Row],[Price]]*tblMaster[[#This Row],[Quantity]]</f>
        <v>2712</v>
      </c>
      <c r="S976" s="19">
        <f>tblMaster[[#This Row],[Price]]*0.7*tblMaster[[#This Row],[Quantity]]</f>
        <v>1898.3999999999999</v>
      </c>
      <c r="T976" s="19">
        <f>tblMaster[[#This Row],[Revenue]]-tblMaster[[#This Row],[Estimated Cost (at 70%) ]]</f>
        <v>813.60000000000014</v>
      </c>
      <c r="U976" s="19">
        <f>tblMaster[[#This Row],[Profit]]/tblMaster[[#This Row],[Revenue]]</f>
        <v>0.30000000000000004</v>
      </c>
      <c r="V976" s="19">
        <f>tblMaster[[#This Row],[Delivery_Date]]-tblMaster[[#This Row],[Order_Date]]</f>
        <v>8</v>
      </c>
      <c r="W976" s="19" t="str">
        <f>TEXT(tblMaster[[#This Row],[Order_Date]],"mmmm")</f>
        <v>March</v>
      </c>
      <c r="X976" s="19">
        <f>MONTH(tblMaster[[#This Row],[Order_Date]])</f>
        <v>3</v>
      </c>
      <c r="Y976" s="19" t="str">
        <f>"Q"&amp;ROUNDUP(tblMaster[[#This Row],[Month Number]]/3,0)</f>
        <v>Q1</v>
      </c>
      <c r="Z976" s="19">
        <f>YEAR(tblMaster[[#This Row],[Order_Date]])</f>
        <v>2023</v>
      </c>
      <c r="AA976" s="19" t="str">
        <f>TEXT(DAY(tblMaster[[#This Row],[Order_Date]]),"dddd")</f>
        <v>Wednesday</v>
      </c>
      <c r="AB976" s="19" t="str">
        <f>IF(tblMaster[[#This Row],[Revenue]]&gt;=5000,"High",IF(tblMaster[[#This Row],[Revenue]]&lt;2000,"Low","Medium"))</f>
        <v>Medium</v>
      </c>
    </row>
    <row r="977" spans="1:28" x14ac:dyDescent="0.25">
      <c r="A977" s="10">
        <v>976</v>
      </c>
      <c r="B977" s="10" t="s">
        <v>274</v>
      </c>
      <c r="C977" s="5">
        <v>17</v>
      </c>
      <c r="D977" s="5">
        <v>2</v>
      </c>
      <c r="E977" s="11">
        <v>45065</v>
      </c>
      <c r="F977" s="12">
        <v>0.29940972222222223</v>
      </c>
      <c r="G977" s="11">
        <v>45066</v>
      </c>
      <c r="H977" s="12">
        <v>0.36004629629629631</v>
      </c>
      <c r="I977" s="10" t="s">
        <v>547</v>
      </c>
      <c r="J977" s="10" t="s">
        <v>30</v>
      </c>
      <c r="K977" s="18" t="str">
        <f>_xlfn.XLOOKUP(tblMaster[[#This Row],[Customer_ID]],tblCustomers[Customer_ID],tblCustomers[City],"Not Found",0)</f>
        <v>Gangtok</v>
      </c>
      <c r="L977" s="18" t="str">
        <f>_xlfn.XLOOKUP(tblMaster[[#This Row],[Customer_ID]],tblCustomers[Customer_ID],tblCustomers[Name],"Not Found",0)</f>
        <v>Advika Dhar</v>
      </c>
      <c r="M977" s="18" t="str">
        <f>_xlfn.XLOOKUP(tblMaster[[#This Row],[Customer_ID]],tblCustomers[Customer_ID],tblCustomers[Gender],"Not Found",0)</f>
        <v>Male</v>
      </c>
      <c r="N977" s="18" t="str">
        <f>_xlfn.XLOOKUP(tblMaster[[#This Row],[Product_ID]],tblProducts[Product_ID],tblProducts[Product_Name],"Not Found",0)</f>
        <v>Delectus Gift</v>
      </c>
      <c r="O977" s="18" t="str">
        <f>_xlfn.XLOOKUP(tblMaster[[#This Row],[Product_ID]],tblProducts[Product_ID],tblProducts[Category],"Not Found",0)</f>
        <v>Soft Toys</v>
      </c>
      <c r="P977" s="18" t="str">
        <f>_xlfn.XLOOKUP(tblMaster[[#This Row],[Product_ID]],tblProducts[Product_ID],tblProducts[Occasion],"Not Found",0)</f>
        <v>Anniversary</v>
      </c>
      <c r="Q977" s="18">
        <f>_xlfn.XLOOKUP(tblMaster[[#This Row],[Product_ID]],tblProducts[Product_ID],tblProducts[Price (INR)],"Not Found",0)</f>
        <v>1899</v>
      </c>
      <c r="R977" s="19">
        <f>tblMaster[[#This Row],[Price]]*tblMaster[[#This Row],[Quantity]]</f>
        <v>3798</v>
      </c>
      <c r="S977" s="19">
        <f>tblMaster[[#This Row],[Price]]*0.7*tblMaster[[#This Row],[Quantity]]</f>
        <v>2658.6</v>
      </c>
      <c r="T977" s="19">
        <f>tblMaster[[#This Row],[Revenue]]-tblMaster[[#This Row],[Estimated Cost (at 70%) ]]</f>
        <v>1139.4000000000001</v>
      </c>
      <c r="U977" s="19">
        <f>tblMaster[[#This Row],[Profit]]/tblMaster[[#This Row],[Revenue]]</f>
        <v>0.30000000000000004</v>
      </c>
      <c r="V977" s="19">
        <f>tblMaster[[#This Row],[Delivery_Date]]-tblMaster[[#This Row],[Order_Date]]</f>
        <v>1</v>
      </c>
      <c r="W977" s="19" t="str">
        <f>TEXT(tblMaster[[#This Row],[Order_Date]],"mmmm")</f>
        <v>May</v>
      </c>
      <c r="X977" s="19">
        <f>MONTH(tblMaster[[#This Row],[Order_Date]])</f>
        <v>5</v>
      </c>
      <c r="Y977" s="19" t="str">
        <f>"Q"&amp;ROUNDUP(tblMaster[[#This Row],[Month Number]]/3,0)</f>
        <v>Q2</v>
      </c>
      <c r="Z977" s="19">
        <f>YEAR(tblMaster[[#This Row],[Order_Date]])</f>
        <v>2023</v>
      </c>
      <c r="AA977" s="19" t="str">
        <f>TEXT(DAY(tblMaster[[#This Row],[Order_Date]]),"dddd")</f>
        <v>Thursday</v>
      </c>
      <c r="AB977" s="19" t="str">
        <f>IF(tblMaster[[#This Row],[Revenue]]&gt;=5000,"High",IF(tblMaster[[#This Row],[Revenue]]&lt;2000,"Low","Medium"))</f>
        <v>Medium</v>
      </c>
    </row>
    <row r="978" spans="1:28" x14ac:dyDescent="0.25">
      <c r="A978" s="7">
        <v>977</v>
      </c>
      <c r="B978" s="7" t="s">
        <v>463</v>
      </c>
      <c r="C978" s="4">
        <v>47</v>
      </c>
      <c r="D978" s="4">
        <v>2</v>
      </c>
      <c r="E978" s="8">
        <v>44990</v>
      </c>
      <c r="F978" s="9">
        <v>0.52327546296296301</v>
      </c>
      <c r="G978" s="8">
        <v>44992</v>
      </c>
      <c r="H978" s="9">
        <v>0.98592592592592587</v>
      </c>
      <c r="I978" s="7" t="s">
        <v>549</v>
      </c>
      <c r="J978" s="7" t="s">
        <v>25</v>
      </c>
      <c r="K978" s="18" t="str">
        <f>_xlfn.XLOOKUP(tblMaster[[#This Row],[Customer_ID]],tblCustomers[Customer_ID],tblCustomers[City],"Not Found",0)</f>
        <v>Kottayam</v>
      </c>
      <c r="L978" s="18" t="str">
        <f>_xlfn.XLOOKUP(tblMaster[[#This Row],[Customer_ID]],tblCustomers[Customer_ID],tblCustomers[Name],"Not Found",0)</f>
        <v>Hiran Kaul</v>
      </c>
      <c r="M978" s="18" t="str">
        <f>_xlfn.XLOOKUP(tblMaster[[#This Row],[Customer_ID]],tblCustomers[Customer_ID],tblCustomers[Gender],"Not Found",0)</f>
        <v>Male</v>
      </c>
      <c r="N978" s="18" t="str">
        <f>_xlfn.XLOOKUP(tblMaster[[#This Row],[Product_ID]],tblProducts[Product_ID],tblProducts[Product_Name],"Not Found",0)</f>
        <v>Harum Pack</v>
      </c>
      <c r="O978" s="18" t="str">
        <f>_xlfn.XLOOKUP(tblMaster[[#This Row],[Product_ID]],tblProducts[Product_ID],tblProducts[Category],"Not Found",0)</f>
        <v>Colors</v>
      </c>
      <c r="P978" s="18" t="str">
        <f>_xlfn.XLOOKUP(tblMaster[[#This Row],[Product_ID]],tblProducts[Product_ID],tblProducts[Occasion],"Not Found",0)</f>
        <v>Holi</v>
      </c>
      <c r="Q978" s="18">
        <f>_xlfn.XLOOKUP(tblMaster[[#This Row],[Product_ID]],tblProducts[Product_ID],tblProducts[Price (INR)],"Not Found",0)</f>
        <v>1638</v>
      </c>
      <c r="R978" s="19">
        <f>tblMaster[[#This Row],[Price]]*tblMaster[[#This Row],[Quantity]]</f>
        <v>3276</v>
      </c>
      <c r="S978" s="19">
        <f>tblMaster[[#This Row],[Price]]*0.7*tblMaster[[#This Row],[Quantity]]</f>
        <v>2293.1999999999998</v>
      </c>
      <c r="T978" s="19">
        <f>tblMaster[[#This Row],[Revenue]]-tblMaster[[#This Row],[Estimated Cost (at 70%) ]]</f>
        <v>982.80000000000018</v>
      </c>
      <c r="U978" s="19">
        <f>tblMaster[[#This Row],[Profit]]/tblMaster[[#This Row],[Revenue]]</f>
        <v>0.30000000000000004</v>
      </c>
      <c r="V978" s="19">
        <f>tblMaster[[#This Row],[Delivery_Date]]-tblMaster[[#This Row],[Order_Date]]</f>
        <v>2</v>
      </c>
      <c r="W978" s="19" t="str">
        <f>TEXT(tblMaster[[#This Row],[Order_Date]],"mmmm")</f>
        <v>March</v>
      </c>
      <c r="X978" s="19">
        <f>MONTH(tblMaster[[#This Row],[Order_Date]])</f>
        <v>3</v>
      </c>
      <c r="Y978" s="19" t="str">
        <f>"Q"&amp;ROUNDUP(tblMaster[[#This Row],[Month Number]]/3,0)</f>
        <v>Q1</v>
      </c>
      <c r="Z978" s="19">
        <f>YEAR(tblMaster[[#This Row],[Order_Date]])</f>
        <v>2023</v>
      </c>
      <c r="AA978" s="19" t="str">
        <f>TEXT(DAY(tblMaster[[#This Row],[Order_Date]]),"dddd")</f>
        <v>Thursday</v>
      </c>
      <c r="AB978" s="19" t="str">
        <f>IF(tblMaster[[#This Row],[Revenue]]&gt;=5000,"High",IF(tblMaster[[#This Row],[Revenue]]&lt;2000,"Low","Medium"))</f>
        <v>Medium</v>
      </c>
    </row>
    <row r="979" spans="1:28" x14ac:dyDescent="0.25">
      <c r="A979" s="10">
        <v>978</v>
      </c>
      <c r="B979" s="10" t="s">
        <v>168</v>
      </c>
      <c r="C979" s="5">
        <v>29</v>
      </c>
      <c r="D979" s="5">
        <v>4</v>
      </c>
      <c r="E979" s="11">
        <v>44985</v>
      </c>
      <c r="F979" s="12">
        <v>0.37447916666666664</v>
      </c>
      <c r="G979" s="11">
        <v>44994</v>
      </c>
      <c r="H979" s="12">
        <v>0.27160879629629631</v>
      </c>
      <c r="I979" s="10" t="s">
        <v>373</v>
      </c>
      <c r="J979" s="10" t="s">
        <v>25</v>
      </c>
      <c r="K979" s="18" t="str">
        <f>_xlfn.XLOOKUP(tblMaster[[#This Row],[Customer_ID]],tblCustomers[Customer_ID],tblCustomers[City],"Not Found",0)</f>
        <v>Danapur</v>
      </c>
      <c r="L979" s="18" t="str">
        <f>_xlfn.XLOOKUP(tblMaster[[#This Row],[Customer_ID]],tblCustomers[Customer_ID],tblCustomers[Name],"Not Found",0)</f>
        <v>Amira Sengupta</v>
      </c>
      <c r="M979" s="18" t="str">
        <f>_xlfn.XLOOKUP(tblMaster[[#This Row],[Customer_ID]],tblCustomers[Customer_ID],tblCustomers[Gender],"Not Found",0)</f>
        <v>Male</v>
      </c>
      <c r="N979" s="18" t="str">
        <f>_xlfn.XLOOKUP(tblMaster[[#This Row],[Product_ID]],tblProducts[Product_ID],tblProducts[Product_Name],"Not Found",0)</f>
        <v>In Set</v>
      </c>
      <c r="O979" s="18" t="str">
        <f>_xlfn.XLOOKUP(tblMaster[[#This Row],[Product_ID]],tblProducts[Product_ID],tblProducts[Category],"Not Found",0)</f>
        <v>Colors</v>
      </c>
      <c r="P979" s="18" t="str">
        <f>_xlfn.XLOOKUP(tblMaster[[#This Row],[Product_ID]],tblProducts[Product_ID],tblProducts[Occasion],"Not Found",0)</f>
        <v>Holi</v>
      </c>
      <c r="Q979" s="18">
        <f>_xlfn.XLOOKUP(tblMaster[[#This Row],[Product_ID]],tblProducts[Product_ID],tblProducts[Price (INR)],"Not Found",0)</f>
        <v>1252</v>
      </c>
      <c r="R979" s="19">
        <f>tblMaster[[#This Row],[Price]]*tblMaster[[#This Row],[Quantity]]</f>
        <v>5008</v>
      </c>
      <c r="S979" s="19">
        <f>tblMaster[[#This Row],[Price]]*0.7*tblMaster[[#This Row],[Quantity]]</f>
        <v>3505.6</v>
      </c>
      <c r="T979" s="19">
        <f>tblMaster[[#This Row],[Revenue]]-tblMaster[[#This Row],[Estimated Cost (at 70%) ]]</f>
        <v>1502.4</v>
      </c>
      <c r="U979" s="19">
        <f>tblMaster[[#This Row],[Profit]]/tblMaster[[#This Row],[Revenue]]</f>
        <v>0.30000000000000004</v>
      </c>
      <c r="V979" s="19">
        <f>tblMaster[[#This Row],[Delivery_Date]]-tblMaster[[#This Row],[Order_Date]]</f>
        <v>9</v>
      </c>
      <c r="W979" s="19" t="str">
        <f>TEXT(tblMaster[[#This Row],[Order_Date]],"mmmm")</f>
        <v>February</v>
      </c>
      <c r="X979" s="19">
        <f>MONTH(tblMaster[[#This Row],[Order_Date]])</f>
        <v>2</v>
      </c>
      <c r="Y979" s="19" t="str">
        <f>"Q"&amp;ROUNDUP(tblMaster[[#This Row],[Month Number]]/3,0)</f>
        <v>Q1</v>
      </c>
      <c r="Z979" s="19">
        <f>YEAR(tblMaster[[#This Row],[Order_Date]])</f>
        <v>2023</v>
      </c>
      <c r="AA979" s="19" t="str">
        <f>TEXT(DAY(tblMaster[[#This Row],[Order_Date]]),"dddd")</f>
        <v>Saturday</v>
      </c>
      <c r="AB979" s="19" t="str">
        <f>IF(tblMaster[[#This Row],[Revenue]]&gt;=5000,"High",IF(tblMaster[[#This Row],[Revenue]]&lt;2000,"Low","Medium"))</f>
        <v>High</v>
      </c>
    </row>
    <row r="980" spans="1:28" x14ac:dyDescent="0.25">
      <c r="A980" s="7">
        <v>979</v>
      </c>
      <c r="B980" s="7" t="s">
        <v>337</v>
      </c>
      <c r="C980" s="4">
        <v>9</v>
      </c>
      <c r="D980" s="4">
        <v>4</v>
      </c>
      <c r="E980" s="8">
        <v>45166</v>
      </c>
      <c r="F980" s="9">
        <v>0.77990740740740738</v>
      </c>
      <c r="G980" s="8">
        <v>45169</v>
      </c>
      <c r="H980" s="9">
        <v>0.84233796296296293</v>
      </c>
      <c r="I980" s="7" t="s">
        <v>538</v>
      </c>
      <c r="J980" s="7" t="s">
        <v>33</v>
      </c>
      <c r="K980" s="18" t="str">
        <f>_xlfn.XLOOKUP(tblMaster[[#This Row],[Customer_ID]],tblCustomers[Customer_ID],tblCustomers[City],"Not Found",0)</f>
        <v>Sambhal</v>
      </c>
      <c r="L980" s="18" t="str">
        <f>_xlfn.XLOOKUP(tblMaster[[#This Row],[Customer_ID]],tblCustomers[Customer_ID],tblCustomers[Name],"Not Found",0)</f>
        <v>Vardaniya Contractor</v>
      </c>
      <c r="M980" s="18" t="str">
        <f>_xlfn.XLOOKUP(tblMaster[[#This Row],[Customer_ID]],tblCustomers[Customer_ID],tblCustomers[Gender],"Not Found",0)</f>
        <v>Male</v>
      </c>
      <c r="N980" s="18" t="str">
        <f>_xlfn.XLOOKUP(tblMaster[[#This Row],[Product_ID]],tblProducts[Product_ID],tblProducts[Product_Name],"Not Found",0)</f>
        <v>Aperiam Box</v>
      </c>
      <c r="O980" s="18" t="str">
        <f>_xlfn.XLOOKUP(tblMaster[[#This Row],[Product_ID]],tblProducts[Product_ID],tblProducts[Category],"Not Found",0)</f>
        <v>Colors</v>
      </c>
      <c r="P980" s="18" t="str">
        <f>_xlfn.XLOOKUP(tblMaster[[#This Row],[Product_ID]],tblProducts[Product_ID],tblProducts[Occasion],"Not Found",0)</f>
        <v>Raksha Bandhan</v>
      </c>
      <c r="Q980" s="18">
        <f>_xlfn.XLOOKUP(tblMaster[[#This Row],[Product_ID]],tblProducts[Product_ID],tblProducts[Price (INR)],"Not Found",0)</f>
        <v>1605</v>
      </c>
      <c r="R980" s="19">
        <f>tblMaster[[#This Row],[Price]]*tblMaster[[#This Row],[Quantity]]</f>
        <v>6420</v>
      </c>
      <c r="S980" s="19">
        <f>tblMaster[[#This Row],[Price]]*0.7*tblMaster[[#This Row],[Quantity]]</f>
        <v>4494</v>
      </c>
      <c r="T980" s="19">
        <f>tblMaster[[#This Row],[Revenue]]-tblMaster[[#This Row],[Estimated Cost (at 70%) ]]</f>
        <v>1926</v>
      </c>
      <c r="U980" s="19">
        <f>tblMaster[[#This Row],[Profit]]/tblMaster[[#This Row],[Revenue]]</f>
        <v>0.3</v>
      </c>
      <c r="V980" s="19">
        <f>tblMaster[[#This Row],[Delivery_Date]]-tblMaster[[#This Row],[Order_Date]]</f>
        <v>3</v>
      </c>
      <c r="W980" s="19" t="str">
        <f>TEXT(tblMaster[[#This Row],[Order_Date]],"mmmm")</f>
        <v>August</v>
      </c>
      <c r="X980" s="19">
        <f>MONTH(tblMaster[[#This Row],[Order_Date]])</f>
        <v>8</v>
      </c>
      <c r="Y980" s="19" t="str">
        <f>"Q"&amp;ROUNDUP(tblMaster[[#This Row],[Month Number]]/3,0)</f>
        <v>Q3</v>
      </c>
      <c r="Z980" s="19">
        <f>YEAR(tblMaster[[#This Row],[Order_Date]])</f>
        <v>2023</v>
      </c>
      <c r="AA980" s="19" t="str">
        <f>TEXT(DAY(tblMaster[[#This Row],[Order_Date]]),"dddd")</f>
        <v>Saturday</v>
      </c>
      <c r="AB980" s="19" t="str">
        <f>IF(tblMaster[[#This Row],[Revenue]]&gt;=5000,"High",IF(tblMaster[[#This Row],[Revenue]]&lt;2000,"Low","Medium"))</f>
        <v>High</v>
      </c>
    </row>
    <row r="981" spans="1:28" x14ac:dyDescent="0.25">
      <c r="A981" s="10">
        <v>980</v>
      </c>
      <c r="B981" s="10" t="s">
        <v>229</v>
      </c>
      <c r="C981" s="5">
        <v>12</v>
      </c>
      <c r="D981" s="5">
        <v>5</v>
      </c>
      <c r="E981" s="11">
        <v>45190</v>
      </c>
      <c r="F981" s="12">
        <v>0.85793981481481485</v>
      </c>
      <c r="G981" s="11">
        <v>45199</v>
      </c>
      <c r="H981" s="12">
        <v>3.0312499999999999E-2</v>
      </c>
      <c r="I981" s="10" t="s">
        <v>423</v>
      </c>
      <c r="J981" s="10" t="s">
        <v>30</v>
      </c>
      <c r="K981" s="18" t="str">
        <f>_xlfn.XLOOKUP(tblMaster[[#This Row],[Customer_ID]],tblCustomers[Customer_ID],tblCustomers[City],"Not Found",0)</f>
        <v>Anand</v>
      </c>
      <c r="L981" s="18" t="str">
        <f>_xlfn.XLOOKUP(tblMaster[[#This Row],[Customer_ID]],tblCustomers[Customer_ID],tblCustomers[Name],"Not Found",0)</f>
        <v>Eva Sankaran</v>
      </c>
      <c r="M981" s="18" t="str">
        <f>_xlfn.XLOOKUP(tblMaster[[#This Row],[Customer_ID]],tblCustomers[Customer_ID],tblCustomers[Gender],"Not Found",0)</f>
        <v>Male</v>
      </c>
      <c r="N981" s="18" t="str">
        <f>_xlfn.XLOOKUP(tblMaster[[#This Row],[Product_ID]],tblProducts[Product_ID],tblProducts[Product_Name],"Not Found",0)</f>
        <v>Non Set</v>
      </c>
      <c r="O981" s="18" t="str">
        <f>_xlfn.XLOOKUP(tblMaster[[#This Row],[Product_ID]],tblProducts[Product_ID],tblProducts[Category],"Not Found",0)</f>
        <v>Plants</v>
      </c>
      <c r="P981" s="18" t="str">
        <f>_xlfn.XLOOKUP(tblMaster[[#This Row],[Product_ID]],tblProducts[Product_ID],tblProducts[Occasion],"Not Found",0)</f>
        <v>Anniversary</v>
      </c>
      <c r="Q981" s="18">
        <f>_xlfn.XLOOKUP(tblMaster[[#This Row],[Product_ID]],tblProducts[Product_ID],tblProducts[Price (INR)],"Not Found",0)</f>
        <v>672</v>
      </c>
      <c r="R981" s="19">
        <f>tblMaster[[#This Row],[Price]]*tblMaster[[#This Row],[Quantity]]</f>
        <v>3360</v>
      </c>
      <c r="S981" s="19">
        <f>tblMaster[[#This Row],[Price]]*0.7*tblMaster[[#This Row],[Quantity]]</f>
        <v>2352</v>
      </c>
      <c r="T981" s="19">
        <f>tblMaster[[#This Row],[Revenue]]-tblMaster[[#This Row],[Estimated Cost (at 70%) ]]</f>
        <v>1008</v>
      </c>
      <c r="U981" s="19">
        <f>tblMaster[[#This Row],[Profit]]/tblMaster[[#This Row],[Revenue]]</f>
        <v>0.3</v>
      </c>
      <c r="V981" s="19">
        <f>tblMaster[[#This Row],[Delivery_Date]]-tblMaster[[#This Row],[Order_Date]]</f>
        <v>9</v>
      </c>
      <c r="W981" s="19" t="str">
        <f>TEXT(tblMaster[[#This Row],[Order_Date]],"mmmm")</f>
        <v>September</v>
      </c>
      <c r="X981" s="19">
        <f>MONTH(tblMaster[[#This Row],[Order_Date]])</f>
        <v>9</v>
      </c>
      <c r="Y981" s="19" t="str">
        <f>"Q"&amp;ROUNDUP(tblMaster[[#This Row],[Month Number]]/3,0)</f>
        <v>Q3</v>
      </c>
      <c r="Z981" s="19">
        <f>YEAR(tblMaster[[#This Row],[Order_Date]])</f>
        <v>2023</v>
      </c>
      <c r="AA981" s="19" t="str">
        <f>TEXT(DAY(tblMaster[[#This Row],[Order_Date]]),"dddd")</f>
        <v>Saturday</v>
      </c>
      <c r="AB981" s="19" t="str">
        <f>IF(tblMaster[[#This Row],[Revenue]]&gt;=5000,"High",IF(tblMaster[[#This Row],[Revenue]]&lt;2000,"Low","Medium"))</f>
        <v>Medium</v>
      </c>
    </row>
    <row r="982" spans="1:28" x14ac:dyDescent="0.25">
      <c r="A982" s="7">
        <v>981</v>
      </c>
      <c r="B982" s="7" t="s">
        <v>248</v>
      </c>
      <c r="C982" s="4">
        <v>46</v>
      </c>
      <c r="D982" s="4">
        <v>2</v>
      </c>
      <c r="E982" s="8">
        <v>45018</v>
      </c>
      <c r="F982" s="9">
        <v>0.83412037037037035</v>
      </c>
      <c r="G982" s="8">
        <v>45019</v>
      </c>
      <c r="H982" s="9">
        <v>0.84834490740740742</v>
      </c>
      <c r="I982" s="7" t="s">
        <v>411</v>
      </c>
      <c r="J982" s="7" t="s">
        <v>30</v>
      </c>
      <c r="K982" s="18" t="str">
        <f>_xlfn.XLOOKUP(tblMaster[[#This Row],[Customer_ID]],tblCustomers[Customer_ID],tblCustomers[City],"Not Found",0)</f>
        <v>Panvel</v>
      </c>
      <c r="L982" s="18" t="str">
        <f>_xlfn.XLOOKUP(tblMaster[[#This Row],[Customer_ID]],tblCustomers[Customer_ID],tblCustomers[Name],"Not Found",0)</f>
        <v>Indrans Shukla</v>
      </c>
      <c r="M982" s="18" t="str">
        <f>_xlfn.XLOOKUP(tblMaster[[#This Row],[Customer_ID]],tblCustomers[Customer_ID],tblCustomers[Gender],"Not Found",0)</f>
        <v>Female</v>
      </c>
      <c r="N982" s="18" t="str">
        <f>_xlfn.XLOOKUP(tblMaster[[#This Row],[Product_ID]],tblProducts[Product_ID],tblProducts[Product_Name],"Not Found",0)</f>
        <v>Pariatur Set</v>
      </c>
      <c r="O982" s="18" t="str">
        <f>_xlfn.XLOOKUP(tblMaster[[#This Row],[Product_ID]],tblProducts[Product_ID],tblProducts[Category],"Not Found",0)</f>
        <v>Cake</v>
      </c>
      <c r="P982" s="18" t="str">
        <f>_xlfn.XLOOKUP(tblMaster[[#This Row],[Product_ID]],tblProducts[Product_ID],tblProducts[Occasion],"Not Found",0)</f>
        <v>Anniversary</v>
      </c>
      <c r="Q982" s="18">
        <f>_xlfn.XLOOKUP(tblMaster[[#This Row],[Product_ID]],tblProducts[Product_ID],tblProducts[Price (INR)],"Not Found",0)</f>
        <v>758</v>
      </c>
      <c r="R982" s="19">
        <f>tblMaster[[#This Row],[Price]]*tblMaster[[#This Row],[Quantity]]</f>
        <v>1516</v>
      </c>
      <c r="S982" s="19">
        <f>tblMaster[[#This Row],[Price]]*0.7*tblMaster[[#This Row],[Quantity]]</f>
        <v>1061.2</v>
      </c>
      <c r="T982" s="19">
        <f>tblMaster[[#This Row],[Revenue]]-tblMaster[[#This Row],[Estimated Cost (at 70%) ]]</f>
        <v>454.79999999999995</v>
      </c>
      <c r="U982" s="19">
        <f>tblMaster[[#This Row],[Profit]]/tblMaster[[#This Row],[Revenue]]</f>
        <v>0.3</v>
      </c>
      <c r="V982" s="19">
        <f>tblMaster[[#This Row],[Delivery_Date]]-tblMaster[[#This Row],[Order_Date]]</f>
        <v>1</v>
      </c>
      <c r="W982" s="19" t="str">
        <f>TEXT(tblMaster[[#This Row],[Order_Date]],"mmmm")</f>
        <v>April</v>
      </c>
      <c r="X982" s="19">
        <f>MONTH(tblMaster[[#This Row],[Order_Date]])</f>
        <v>4</v>
      </c>
      <c r="Y982" s="19" t="str">
        <f>"Q"&amp;ROUNDUP(tblMaster[[#This Row],[Month Number]]/3,0)</f>
        <v>Q2</v>
      </c>
      <c r="Z982" s="19">
        <f>YEAR(tblMaster[[#This Row],[Order_Date]])</f>
        <v>2023</v>
      </c>
      <c r="AA982" s="19" t="str">
        <f>TEXT(DAY(tblMaster[[#This Row],[Order_Date]]),"dddd")</f>
        <v>Monday</v>
      </c>
      <c r="AB982" s="19" t="str">
        <f>IF(tblMaster[[#This Row],[Revenue]]&gt;=5000,"High",IF(tblMaster[[#This Row],[Revenue]]&lt;2000,"Low","Medium"))</f>
        <v>Low</v>
      </c>
    </row>
    <row r="983" spans="1:28" x14ac:dyDescent="0.25">
      <c r="A983" s="10">
        <v>982</v>
      </c>
      <c r="B983" s="10" t="s">
        <v>168</v>
      </c>
      <c r="C983" s="5">
        <v>47</v>
      </c>
      <c r="D983" s="5">
        <v>4</v>
      </c>
      <c r="E983" s="11">
        <v>44985</v>
      </c>
      <c r="F983" s="12">
        <v>0.78915509259259264</v>
      </c>
      <c r="G983" s="11">
        <v>44989</v>
      </c>
      <c r="H983" s="12">
        <v>0.13290509259259259</v>
      </c>
      <c r="I983" s="10" t="s">
        <v>355</v>
      </c>
      <c r="J983" s="10" t="s">
        <v>25</v>
      </c>
      <c r="K983" s="18" t="str">
        <f>_xlfn.XLOOKUP(tblMaster[[#This Row],[Customer_ID]],tblCustomers[Customer_ID],tblCustomers[City],"Not Found",0)</f>
        <v>Danapur</v>
      </c>
      <c r="L983" s="18" t="str">
        <f>_xlfn.XLOOKUP(tblMaster[[#This Row],[Customer_ID]],tblCustomers[Customer_ID],tblCustomers[Name],"Not Found",0)</f>
        <v>Amira Sengupta</v>
      </c>
      <c r="M983" s="18" t="str">
        <f>_xlfn.XLOOKUP(tblMaster[[#This Row],[Customer_ID]],tblCustomers[Customer_ID],tblCustomers[Gender],"Not Found",0)</f>
        <v>Male</v>
      </c>
      <c r="N983" s="18" t="str">
        <f>_xlfn.XLOOKUP(tblMaster[[#This Row],[Product_ID]],tblProducts[Product_ID],tblProducts[Product_Name],"Not Found",0)</f>
        <v>Harum Pack</v>
      </c>
      <c r="O983" s="18" t="str">
        <f>_xlfn.XLOOKUP(tblMaster[[#This Row],[Product_ID]],tblProducts[Product_ID],tblProducts[Category],"Not Found",0)</f>
        <v>Colors</v>
      </c>
      <c r="P983" s="18" t="str">
        <f>_xlfn.XLOOKUP(tblMaster[[#This Row],[Product_ID]],tblProducts[Product_ID],tblProducts[Occasion],"Not Found",0)</f>
        <v>Holi</v>
      </c>
      <c r="Q983" s="18">
        <f>_xlfn.XLOOKUP(tblMaster[[#This Row],[Product_ID]],tblProducts[Product_ID],tblProducts[Price (INR)],"Not Found",0)</f>
        <v>1638</v>
      </c>
      <c r="R983" s="19">
        <f>tblMaster[[#This Row],[Price]]*tblMaster[[#This Row],[Quantity]]</f>
        <v>6552</v>
      </c>
      <c r="S983" s="19">
        <f>tblMaster[[#This Row],[Price]]*0.7*tblMaster[[#This Row],[Quantity]]</f>
        <v>4586.3999999999996</v>
      </c>
      <c r="T983" s="19">
        <f>tblMaster[[#This Row],[Revenue]]-tblMaster[[#This Row],[Estimated Cost (at 70%) ]]</f>
        <v>1965.6000000000004</v>
      </c>
      <c r="U983" s="19">
        <f>tblMaster[[#This Row],[Profit]]/tblMaster[[#This Row],[Revenue]]</f>
        <v>0.30000000000000004</v>
      </c>
      <c r="V983" s="19">
        <f>tblMaster[[#This Row],[Delivery_Date]]-tblMaster[[#This Row],[Order_Date]]</f>
        <v>4</v>
      </c>
      <c r="W983" s="19" t="str">
        <f>TEXT(tblMaster[[#This Row],[Order_Date]],"mmmm")</f>
        <v>February</v>
      </c>
      <c r="X983" s="19">
        <f>MONTH(tblMaster[[#This Row],[Order_Date]])</f>
        <v>2</v>
      </c>
      <c r="Y983" s="19" t="str">
        <f>"Q"&amp;ROUNDUP(tblMaster[[#This Row],[Month Number]]/3,0)</f>
        <v>Q1</v>
      </c>
      <c r="Z983" s="19">
        <f>YEAR(tblMaster[[#This Row],[Order_Date]])</f>
        <v>2023</v>
      </c>
      <c r="AA983" s="19" t="str">
        <f>TEXT(DAY(tblMaster[[#This Row],[Order_Date]]),"dddd")</f>
        <v>Saturday</v>
      </c>
      <c r="AB983" s="19" t="str">
        <f>IF(tblMaster[[#This Row],[Revenue]]&gt;=5000,"High",IF(tblMaster[[#This Row],[Revenue]]&lt;2000,"Low","Medium"))</f>
        <v>High</v>
      </c>
    </row>
    <row r="984" spans="1:28" x14ac:dyDescent="0.25">
      <c r="A984" s="7">
        <v>983</v>
      </c>
      <c r="B984" s="7" t="s">
        <v>365</v>
      </c>
      <c r="C984" s="4">
        <v>70</v>
      </c>
      <c r="D984" s="4">
        <v>1</v>
      </c>
      <c r="E984" s="8">
        <v>45010</v>
      </c>
      <c r="F984" s="9">
        <v>0.40259259259259261</v>
      </c>
      <c r="G984" s="8">
        <v>45017</v>
      </c>
      <c r="H984" s="9">
        <v>0.27688657407407408</v>
      </c>
      <c r="I984" s="7" t="s">
        <v>532</v>
      </c>
      <c r="J984" s="7" t="s">
        <v>36</v>
      </c>
      <c r="K984" s="18" t="str">
        <f>_xlfn.XLOOKUP(tblMaster[[#This Row],[Customer_ID]],tblCustomers[Customer_ID],tblCustomers[City],"Not Found",0)</f>
        <v>Deoghar</v>
      </c>
      <c r="L984" s="18" t="str">
        <f>_xlfn.XLOOKUP(tblMaster[[#This Row],[Customer_ID]],tblCustomers[Customer_ID],tblCustomers[Name],"Not Found",0)</f>
        <v>Raghav Babu</v>
      </c>
      <c r="M984" s="18" t="str">
        <f>_xlfn.XLOOKUP(tblMaster[[#This Row],[Customer_ID]],tblCustomers[Customer_ID],tblCustomers[Gender],"Not Found",0)</f>
        <v>Female</v>
      </c>
      <c r="N984" s="18" t="str">
        <f>_xlfn.XLOOKUP(tblMaster[[#This Row],[Product_ID]],tblProducts[Product_ID],tblProducts[Product_Name],"Not Found",0)</f>
        <v>Error Gift</v>
      </c>
      <c r="O984" s="18" t="str">
        <f>_xlfn.XLOOKUP(tblMaster[[#This Row],[Product_ID]],tblProducts[Product_ID],tblProducts[Category],"Not Found",0)</f>
        <v>Sweets</v>
      </c>
      <c r="P984" s="18" t="str">
        <f>_xlfn.XLOOKUP(tblMaster[[#This Row],[Product_ID]],tblProducts[Product_ID],tblProducts[Occasion],"Not Found",0)</f>
        <v>Birthday</v>
      </c>
      <c r="Q984" s="18">
        <f>_xlfn.XLOOKUP(tblMaster[[#This Row],[Product_ID]],tblProducts[Product_ID],tblProducts[Price (INR)],"Not Found",0)</f>
        <v>866</v>
      </c>
      <c r="R984" s="19">
        <f>tblMaster[[#This Row],[Price]]*tblMaster[[#This Row],[Quantity]]</f>
        <v>866</v>
      </c>
      <c r="S984" s="19">
        <f>tblMaster[[#This Row],[Price]]*0.7*tblMaster[[#This Row],[Quantity]]</f>
        <v>606.19999999999993</v>
      </c>
      <c r="T984" s="19">
        <f>tblMaster[[#This Row],[Revenue]]-tblMaster[[#This Row],[Estimated Cost (at 70%) ]]</f>
        <v>259.80000000000007</v>
      </c>
      <c r="U984" s="19">
        <f>tblMaster[[#This Row],[Profit]]/tblMaster[[#This Row],[Revenue]]</f>
        <v>0.3000000000000001</v>
      </c>
      <c r="V984" s="19">
        <f>tblMaster[[#This Row],[Delivery_Date]]-tblMaster[[#This Row],[Order_Date]]</f>
        <v>7</v>
      </c>
      <c r="W984" s="19" t="str">
        <f>TEXT(tblMaster[[#This Row],[Order_Date]],"mmmm")</f>
        <v>March</v>
      </c>
      <c r="X984" s="19">
        <f>MONTH(tblMaster[[#This Row],[Order_Date]])</f>
        <v>3</v>
      </c>
      <c r="Y984" s="19" t="str">
        <f>"Q"&amp;ROUNDUP(tblMaster[[#This Row],[Month Number]]/3,0)</f>
        <v>Q1</v>
      </c>
      <c r="Z984" s="19">
        <f>YEAR(tblMaster[[#This Row],[Order_Date]])</f>
        <v>2023</v>
      </c>
      <c r="AA984" s="19" t="str">
        <f>TEXT(DAY(tblMaster[[#This Row],[Order_Date]]),"dddd")</f>
        <v>Wednesday</v>
      </c>
      <c r="AB984" s="19" t="str">
        <f>IF(tblMaster[[#This Row],[Revenue]]&gt;=5000,"High",IF(tblMaster[[#This Row],[Revenue]]&lt;2000,"Low","Medium"))</f>
        <v>Low</v>
      </c>
    </row>
    <row r="985" spans="1:28" x14ac:dyDescent="0.25">
      <c r="A985" s="10">
        <v>984</v>
      </c>
      <c r="B985" s="10" t="s">
        <v>265</v>
      </c>
      <c r="C985" s="5">
        <v>65</v>
      </c>
      <c r="D985" s="5">
        <v>1</v>
      </c>
      <c r="E985" s="11">
        <v>45141</v>
      </c>
      <c r="F985" s="12">
        <v>0.93821759259259263</v>
      </c>
      <c r="G985" s="11">
        <v>45145</v>
      </c>
      <c r="H985" s="12">
        <v>0.69387731481481485</v>
      </c>
      <c r="I985" s="10" t="s">
        <v>452</v>
      </c>
      <c r="J985" s="10" t="s">
        <v>8</v>
      </c>
      <c r="K985" s="18" t="str">
        <f>_xlfn.XLOOKUP(tblMaster[[#This Row],[Customer_ID]],tblCustomers[Customer_ID],tblCustomers[City],"Not Found",0)</f>
        <v>Guntakal</v>
      </c>
      <c r="L985" s="18" t="str">
        <f>_xlfn.XLOOKUP(tblMaster[[#This Row],[Customer_ID]],tblCustomers[Customer_ID],tblCustomers[Name],"Not Found",0)</f>
        <v>Charvi Kanda</v>
      </c>
      <c r="M985" s="18" t="str">
        <f>_xlfn.XLOOKUP(tblMaster[[#This Row],[Customer_ID]],tblCustomers[Customer_ID],tblCustomers[Gender],"Not Found",0)</f>
        <v>Male</v>
      </c>
      <c r="N985" s="18" t="str">
        <f>_xlfn.XLOOKUP(tblMaster[[#This Row],[Product_ID]],tblProducts[Product_ID],tblProducts[Product_Name],"Not Found",0)</f>
        <v>Error Gift</v>
      </c>
      <c r="O985" s="18" t="str">
        <f>_xlfn.XLOOKUP(tblMaster[[#This Row],[Product_ID]],tblProducts[Product_ID],tblProducts[Category],"Not Found",0)</f>
        <v>Raksha Bandhan</v>
      </c>
      <c r="P985" s="18" t="str">
        <f>_xlfn.XLOOKUP(tblMaster[[#This Row],[Product_ID]],tblProducts[Product_ID],tblProducts[Occasion],"Not Found",0)</f>
        <v>All Occasions</v>
      </c>
      <c r="Q985" s="18">
        <f>_xlfn.XLOOKUP(tblMaster[[#This Row],[Product_ID]],tblProducts[Product_ID],tblProducts[Price (INR)],"Not Found",0)</f>
        <v>1895</v>
      </c>
      <c r="R985" s="19">
        <f>tblMaster[[#This Row],[Price]]*tblMaster[[#This Row],[Quantity]]</f>
        <v>1895</v>
      </c>
      <c r="S985" s="19">
        <f>tblMaster[[#This Row],[Price]]*0.7*tblMaster[[#This Row],[Quantity]]</f>
        <v>1326.5</v>
      </c>
      <c r="T985" s="19">
        <f>tblMaster[[#This Row],[Revenue]]-tblMaster[[#This Row],[Estimated Cost (at 70%) ]]</f>
        <v>568.5</v>
      </c>
      <c r="U985" s="19">
        <f>tblMaster[[#This Row],[Profit]]/tblMaster[[#This Row],[Revenue]]</f>
        <v>0.3</v>
      </c>
      <c r="V985" s="19">
        <f>tblMaster[[#This Row],[Delivery_Date]]-tblMaster[[#This Row],[Order_Date]]</f>
        <v>4</v>
      </c>
      <c r="W985" s="19" t="str">
        <f>TEXT(tblMaster[[#This Row],[Order_Date]],"mmmm")</f>
        <v>August</v>
      </c>
      <c r="X985" s="19">
        <f>MONTH(tblMaster[[#This Row],[Order_Date]])</f>
        <v>8</v>
      </c>
      <c r="Y985" s="19" t="str">
        <f>"Q"&amp;ROUNDUP(tblMaster[[#This Row],[Month Number]]/3,0)</f>
        <v>Q3</v>
      </c>
      <c r="Z985" s="19">
        <f>YEAR(tblMaster[[#This Row],[Order_Date]])</f>
        <v>2023</v>
      </c>
      <c r="AA985" s="19" t="str">
        <f>TEXT(DAY(tblMaster[[#This Row],[Order_Date]]),"dddd")</f>
        <v>Tuesday</v>
      </c>
      <c r="AB985" s="19" t="str">
        <f>IF(tblMaster[[#This Row],[Revenue]]&gt;=5000,"High",IF(tblMaster[[#This Row],[Revenue]]&lt;2000,"Low","Medium"))</f>
        <v>Low</v>
      </c>
    </row>
    <row r="986" spans="1:28" x14ac:dyDescent="0.25">
      <c r="A986" s="7">
        <v>985</v>
      </c>
      <c r="B986" s="7" t="s">
        <v>343</v>
      </c>
      <c r="C986" s="4">
        <v>31</v>
      </c>
      <c r="D986" s="4">
        <v>4</v>
      </c>
      <c r="E986" s="8">
        <v>45204</v>
      </c>
      <c r="F986" s="9">
        <v>0.4773148148148148</v>
      </c>
      <c r="G986" s="8">
        <v>45212</v>
      </c>
      <c r="H986" s="9">
        <v>0.70387731481481486</v>
      </c>
      <c r="I986" s="7" t="s">
        <v>207</v>
      </c>
      <c r="J986" s="7" t="s">
        <v>8</v>
      </c>
      <c r="K986" s="18" t="str">
        <f>_xlfn.XLOOKUP(tblMaster[[#This Row],[Customer_ID]],tblCustomers[Customer_ID],tblCustomers[City],"Not Found",0)</f>
        <v>Bhatpara</v>
      </c>
      <c r="L986" s="18" t="str">
        <f>_xlfn.XLOOKUP(tblMaster[[#This Row],[Customer_ID]],tblCustomers[Customer_ID],tblCustomers[Name],"Not Found",0)</f>
        <v>Emir Gokhale</v>
      </c>
      <c r="M986" s="18" t="str">
        <f>_xlfn.XLOOKUP(tblMaster[[#This Row],[Customer_ID]],tblCustomers[Customer_ID],tblCustomers[Gender],"Not Found",0)</f>
        <v>Male</v>
      </c>
      <c r="N986" s="18" t="str">
        <f>_xlfn.XLOOKUP(tblMaster[[#This Row],[Product_ID]],tblProducts[Product_ID],tblProducts[Product_Name],"Not Found",0)</f>
        <v>Nihil Box</v>
      </c>
      <c r="O986" s="18" t="str">
        <f>_xlfn.XLOOKUP(tblMaster[[#This Row],[Product_ID]],tblProducts[Product_ID],tblProducts[Category],"Not Found",0)</f>
        <v>Colors</v>
      </c>
      <c r="P986" s="18" t="str">
        <f>_xlfn.XLOOKUP(tblMaster[[#This Row],[Product_ID]],tblProducts[Product_ID],tblProducts[Occasion],"Not Found",0)</f>
        <v>All Occasions</v>
      </c>
      <c r="Q986" s="18">
        <f>_xlfn.XLOOKUP(tblMaster[[#This Row],[Product_ID]],tblProducts[Product_ID],tblProducts[Price (INR)],"Not Found",0)</f>
        <v>1804</v>
      </c>
      <c r="R986" s="19">
        <f>tblMaster[[#This Row],[Price]]*tblMaster[[#This Row],[Quantity]]</f>
        <v>7216</v>
      </c>
      <c r="S986" s="19">
        <f>tblMaster[[#This Row],[Price]]*0.7*tblMaster[[#This Row],[Quantity]]</f>
        <v>5051.2</v>
      </c>
      <c r="T986" s="19">
        <f>tblMaster[[#This Row],[Revenue]]-tblMaster[[#This Row],[Estimated Cost (at 70%) ]]</f>
        <v>2164.8000000000002</v>
      </c>
      <c r="U986" s="19">
        <f>tblMaster[[#This Row],[Profit]]/tblMaster[[#This Row],[Revenue]]</f>
        <v>0.30000000000000004</v>
      </c>
      <c r="V986" s="19">
        <f>tblMaster[[#This Row],[Delivery_Date]]-tblMaster[[#This Row],[Order_Date]]</f>
        <v>8</v>
      </c>
      <c r="W986" s="19" t="str">
        <f>TEXT(tblMaster[[#This Row],[Order_Date]],"mmmm")</f>
        <v>October</v>
      </c>
      <c r="X986" s="19">
        <f>MONTH(tblMaster[[#This Row],[Order_Date]])</f>
        <v>10</v>
      </c>
      <c r="Y986" s="19" t="str">
        <f>"Q"&amp;ROUNDUP(tblMaster[[#This Row],[Month Number]]/3,0)</f>
        <v>Q4</v>
      </c>
      <c r="Z986" s="19">
        <f>YEAR(tblMaster[[#This Row],[Order_Date]])</f>
        <v>2023</v>
      </c>
      <c r="AA986" s="19" t="str">
        <f>TEXT(DAY(tblMaster[[#This Row],[Order_Date]]),"dddd")</f>
        <v>Thursday</v>
      </c>
      <c r="AB986" s="19" t="str">
        <f>IF(tblMaster[[#This Row],[Revenue]]&gt;=5000,"High",IF(tblMaster[[#This Row],[Revenue]]&lt;2000,"Low","Medium"))</f>
        <v>High</v>
      </c>
    </row>
    <row r="987" spans="1:28" x14ac:dyDescent="0.25">
      <c r="A987" s="10">
        <v>986</v>
      </c>
      <c r="B987" s="10" t="s">
        <v>441</v>
      </c>
      <c r="C987" s="5">
        <v>1</v>
      </c>
      <c r="D987" s="5">
        <v>2</v>
      </c>
      <c r="E987" s="11">
        <v>45233</v>
      </c>
      <c r="F987" s="12">
        <v>0.69576388888888885</v>
      </c>
      <c r="G987" s="11">
        <v>45235</v>
      </c>
      <c r="H987" s="12">
        <v>0.94685185185185183</v>
      </c>
      <c r="I987" s="10" t="s">
        <v>278</v>
      </c>
      <c r="J987" s="10" t="s">
        <v>8</v>
      </c>
      <c r="K987" s="18" t="str">
        <f>_xlfn.XLOOKUP(tblMaster[[#This Row],[Customer_ID]],tblCustomers[Customer_ID],tblCustomers[City],"Not Found",0)</f>
        <v>Purnia</v>
      </c>
      <c r="L987" s="18" t="str">
        <f>_xlfn.XLOOKUP(tblMaster[[#This Row],[Customer_ID]],tblCustomers[Customer_ID],tblCustomers[Name],"Not Found",0)</f>
        <v>Ivana Amble</v>
      </c>
      <c r="M987" s="18" t="str">
        <f>_xlfn.XLOOKUP(tblMaster[[#This Row],[Customer_ID]],tblCustomers[Customer_ID],tblCustomers[Gender],"Not Found",0)</f>
        <v>Female</v>
      </c>
      <c r="N987" s="18" t="str">
        <f>_xlfn.XLOOKUP(tblMaster[[#This Row],[Product_ID]],tblProducts[Product_ID],tblProducts[Product_Name],"Not Found",0)</f>
        <v>Magnam Set</v>
      </c>
      <c r="O987" s="18" t="str">
        <f>_xlfn.XLOOKUP(tblMaster[[#This Row],[Product_ID]],tblProducts[Product_ID],tblProducts[Category],"Not Found",0)</f>
        <v>Soft Toys</v>
      </c>
      <c r="P987" s="18" t="str">
        <f>_xlfn.XLOOKUP(tblMaster[[#This Row],[Product_ID]],tblProducts[Product_ID],tblProducts[Occasion],"Not Found",0)</f>
        <v>All Occasions</v>
      </c>
      <c r="Q987" s="18">
        <f>_xlfn.XLOOKUP(tblMaster[[#This Row],[Product_ID]],tblProducts[Product_ID],tblProducts[Price (INR)],"Not Found",0)</f>
        <v>1935</v>
      </c>
      <c r="R987" s="19">
        <f>tblMaster[[#This Row],[Price]]*tblMaster[[#This Row],[Quantity]]</f>
        <v>3870</v>
      </c>
      <c r="S987" s="19">
        <f>tblMaster[[#This Row],[Price]]*0.7*tblMaster[[#This Row],[Quantity]]</f>
        <v>2709</v>
      </c>
      <c r="T987" s="19">
        <f>tblMaster[[#This Row],[Revenue]]-tblMaster[[#This Row],[Estimated Cost (at 70%) ]]</f>
        <v>1161</v>
      </c>
      <c r="U987" s="19">
        <f>tblMaster[[#This Row],[Profit]]/tblMaster[[#This Row],[Revenue]]</f>
        <v>0.3</v>
      </c>
      <c r="V987" s="19">
        <f>tblMaster[[#This Row],[Delivery_Date]]-tblMaster[[#This Row],[Order_Date]]</f>
        <v>2</v>
      </c>
      <c r="W987" s="19" t="str">
        <f>TEXT(tblMaster[[#This Row],[Order_Date]],"mmmm")</f>
        <v>November</v>
      </c>
      <c r="X987" s="19">
        <f>MONTH(tblMaster[[#This Row],[Order_Date]])</f>
        <v>11</v>
      </c>
      <c r="Y987" s="19" t="str">
        <f>"Q"&amp;ROUNDUP(tblMaster[[#This Row],[Month Number]]/3,0)</f>
        <v>Q4</v>
      </c>
      <c r="Z987" s="19">
        <f>YEAR(tblMaster[[#This Row],[Order_Date]])</f>
        <v>2023</v>
      </c>
      <c r="AA987" s="19" t="str">
        <f>TEXT(DAY(tblMaster[[#This Row],[Order_Date]]),"dddd")</f>
        <v>Tuesday</v>
      </c>
      <c r="AB987" s="19" t="str">
        <f>IF(tblMaster[[#This Row],[Revenue]]&gt;=5000,"High",IF(tblMaster[[#This Row],[Revenue]]&lt;2000,"Low","Medium"))</f>
        <v>Medium</v>
      </c>
    </row>
    <row r="988" spans="1:28" x14ac:dyDescent="0.25">
      <c r="A988" s="7">
        <v>987</v>
      </c>
      <c r="B988" s="7" t="s">
        <v>208</v>
      </c>
      <c r="C988" s="4">
        <v>65</v>
      </c>
      <c r="D988" s="4">
        <v>3</v>
      </c>
      <c r="E988" s="8">
        <v>45280</v>
      </c>
      <c r="F988" s="9">
        <v>0.38422453703703702</v>
      </c>
      <c r="G988" s="8">
        <v>45285</v>
      </c>
      <c r="H988" s="9">
        <v>0.17371527777777779</v>
      </c>
      <c r="I988" s="7" t="s">
        <v>218</v>
      </c>
      <c r="J988" s="7" t="s">
        <v>8</v>
      </c>
      <c r="K988" s="18" t="str">
        <f>_xlfn.XLOOKUP(tblMaster[[#This Row],[Customer_ID]],tblCustomers[Customer_ID],tblCustomers[City],"Not Found",0)</f>
        <v>Nizamabad</v>
      </c>
      <c r="L988" s="18" t="str">
        <f>_xlfn.XLOOKUP(tblMaster[[#This Row],[Customer_ID]],tblCustomers[Customer_ID],tblCustomers[Name],"Not Found",0)</f>
        <v>Eva Vaidya</v>
      </c>
      <c r="M988" s="18" t="str">
        <f>_xlfn.XLOOKUP(tblMaster[[#This Row],[Customer_ID]],tblCustomers[Customer_ID],tblCustomers[Gender],"Not Found",0)</f>
        <v>Male</v>
      </c>
      <c r="N988" s="18" t="str">
        <f>_xlfn.XLOOKUP(tblMaster[[#This Row],[Product_ID]],tblProducts[Product_ID],tblProducts[Product_Name],"Not Found",0)</f>
        <v>Error Gift</v>
      </c>
      <c r="O988" s="18" t="str">
        <f>_xlfn.XLOOKUP(tblMaster[[#This Row],[Product_ID]],tblProducts[Product_ID],tblProducts[Category],"Not Found",0)</f>
        <v>Raksha Bandhan</v>
      </c>
      <c r="P988" s="18" t="str">
        <f>_xlfn.XLOOKUP(tblMaster[[#This Row],[Product_ID]],tblProducts[Product_ID],tblProducts[Occasion],"Not Found",0)</f>
        <v>All Occasions</v>
      </c>
      <c r="Q988" s="18">
        <f>_xlfn.XLOOKUP(tblMaster[[#This Row],[Product_ID]],tblProducts[Product_ID],tblProducts[Price (INR)],"Not Found",0)</f>
        <v>1895</v>
      </c>
      <c r="R988" s="19">
        <f>tblMaster[[#This Row],[Price]]*tblMaster[[#This Row],[Quantity]]</f>
        <v>5685</v>
      </c>
      <c r="S988" s="19">
        <f>tblMaster[[#This Row],[Price]]*0.7*tblMaster[[#This Row],[Quantity]]</f>
        <v>3979.5</v>
      </c>
      <c r="T988" s="19">
        <f>tblMaster[[#This Row],[Revenue]]-tblMaster[[#This Row],[Estimated Cost (at 70%) ]]</f>
        <v>1705.5</v>
      </c>
      <c r="U988" s="19">
        <f>tblMaster[[#This Row],[Profit]]/tblMaster[[#This Row],[Revenue]]</f>
        <v>0.3</v>
      </c>
      <c r="V988" s="19">
        <f>tblMaster[[#This Row],[Delivery_Date]]-tblMaster[[#This Row],[Order_Date]]</f>
        <v>5</v>
      </c>
      <c r="W988" s="19" t="str">
        <f>TEXT(tblMaster[[#This Row],[Order_Date]],"mmmm")</f>
        <v>December</v>
      </c>
      <c r="X988" s="19">
        <f>MONTH(tblMaster[[#This Row],[Order_Date]])</f>
        <v>12</v>
      </c>
      <c r="Y988" s="19" t="str">
        <f>"Q"&amp;ROUNDUP(tblMaster[[#This Row],[Month Number]]/3,0)</f>
        <v>Q4</v>
      </c>
      <c r="Z988" s="19">
        <f>YEAR(tblMaster[[#This Row],[Order_Date]])</f>
        <v>2023</v>
      </c>
      <c r="AA988" s="19" t="str">
        <f>TEXT(DAY(tblMaster[[#This Row],[Order_Date]]),"dddd")</f>
        <v>Friday</v>
      </c>
      <c r="AB988" s="19" t="str">
        <f>IF(tblMaster[[#This Row],[Revenue]]&gt;=5000,"High",IF(tblMaster[[#This Row],[Revenue]]&lt;2000,"Low","Medium"))</f>
        <v>High</v>
      </c>
    </row>
    <row r="989" spans="1:28" x14ac:dyDescent="0.25">
      <c r="A989" s="10">
        <v>988</v>
      </c>
      <c r="B989" s="10" t="s">
        <v>246</v>
      </c>
      <c r="C989" s="5">
        <v>4</v>
      </c>
      <c r="D989" s="5">
        <v>3</v>
      </c>
      <c r="E989" s="11">
        <v>45240</v>
      </c>
      <c r="F989" s="12">
        <v>0.40783564814814816</v>
      </c>
      <c r="G989" s="11">
        <v>45245</v>
      </c>
      <c r="H989" s="12">
        <v>0.43702546296296296</v>
      </c>
      <c r="I989" s="10" t="s">
        <v>530</v>
      </c>
      <c r="J989" s="10" t="s">
        <v>19</v>
      </c>
      <c r="K989" s="18" t="str">
        <f>_xlfn.XLOOKUP(tblMaster[[#This Row],[Customer_ID]],tblCustomers[Customer_ID],tblCustomers[City],"Not Found",0)</f>
        <v>Machilipatnam</v>
      </c>
      <c r="L989" s="18" t="str">
        <f>_xlfn.XLOOKUP(tblMaster[[#This Row],[Customer_ID]],tblCustomers[Customer_ID],tblCustomers[Name],"Not Found",0)</f>
        <v>Samaira Ganesh</v>
      </c>
      <c r="M989" s="18" t="str">
        <f>_xlfn.XLOOKUP(tblMaster[[#This Row],[Customer_ID]],tblCustomers[Customer_ID],tblCustomers[Gender],"Not Found",0)</f>
        <v>Male</v>
      </c>
      <c r="N989" s="18" t="str">
        <f>_xlfn.XLOOKUP(tblMaster[[#This Row],[Product_ID]],tblProducts[Product_ID],tblProducts[Product_Name],"Not Found",0)</f>
        <v>Accusantium Set</v>
      </c>
      <c r="O989" s="18" t="str">
        <f>_xlfn.XLOOKUP(tblMaster[[#This Row],[Product_ID]],tblProducts[Product_ID],tblProducts[Category],"Not Found",0)</f>
        <v>Sweets</v>
      </c>
      <c r="P989" s="18" t="str">
        <f>_xlfn.XLOOKUP(tblMaster[[#This Row],[Product_ID]],tblProducts[Product_ID],tblProducts[Occasion],"Not Found",0)</f>
        <v>Diwali</v>
      </c>
      <c r="Q989" s="18">
        <f>_xlfn.XLOOKUP(tblMaster[[#This Row],[Product_ID]],tblProducts[Product_ID],tblProducts[Price (INR)],"Not Found",0)</f>
        <v>1199</v>
      </c>
      <c r="R989" s="19">
        <f>tblMaster[[#This Row],[Price]]*tblMaster[[#This Row],[Quantity]]</f>
        <v>3597</v>
      </c>
      <c r="S989" s="19">
        <f>tblMaster[[#This Row],[Price]]*0.7*tblMaster[[#This Row],[Quantity]]</f>
        <v>2517.8999999999996</v>
      </c>
      <c r="T989" s="19">
        <f>tblMaster[[#This Row],[Revenue]]-tblMaster[[#This Row],[Estimated Cost (at 70%) ]]</f>
        <v>1079.1000000000004</v>
      </c>
      <c r="U989" s="19">
        <f>tblMaster[[#This Row],[Profit]]/tblMaster[[#This Row],[Revenue]]</f>
        <v>0.3000000000000001</v>
      </c>
      <c r="V989" s="19">
        <f>tblMaster[[#This Row],[Delivery_Date]]-tblMaster[[#This Row],[Order_Date]]</f>
        <v>5</v>
      </c>
      <c r="W989" s="19" t="str">
        <f>TEXT(tblMaster[[#This Row],[Order_Date]],"mmmm")</f>
        <v>November</v>
      </c>
      <c r="X989" s="19">
        <f>MONTH(tblMaster[[#This Row],[Order_Date]])</f>
        <v>11</v>
      </c>
      <c r="Y989" s="19" t="str">
        <f>"Q"&amp;ROUNDUP(tblMaster[[#This Row],[Month Number]]/3,0)</f>
        <v>Q4</v>
      </c>
      <c r="Z989" s="19">
        <f>YEAR(tblMaster[[#This Row],[Order_Date]])</f>
        <v>2023</v>
      </c>
      <c r="AA989" s="19" t="str">
        <f>TEXT(DAY(tblMaster[[#This Row],[Order_Date]]),"dddd")</f>
        <v>Tuesday</v>
      </c>
      <c r="AB989" s="19" t="str">
        <f>IF(tblMaster[[#This Row],[Revenue]]&gt;=5000,"High",IF(tblMaster[[#This Row],[Revenue]]&lt;2000,"Low","Medium"))</f>
        <v>Medium</v>
      </c>
    </row>
    <row r="990" spans="1:28" x14ac:dyDescent="0.25">
      <c r="A990" s="7">
        <v>989</v>
      </c>
      <c r="B990" s="7" t="s">
        <v>274</v>
      </c>
      <c r="C990" s="4">
        <v>52</v>
      </c>
      <c r="D990" s="4">
        <v>3</v>
      </c>
      <c r="E990" s="8">
        <v>44963</v>
      </c>
      <c r="F990" s="9">
        <v>0.34128472222222223</v>
      </c>
      <c r="G990" s="8">
        <v>44972</v>
      </c>
      <c r="H990" s="9">
        <v>8.3379629629629623E-2</v>
      </c>
      <c r="I990" s="7" t="s">
        <v>487</v>
      </c>
      <c r="J990" s="7" t="s">
        <v>12</v>
      </c>
      <c r="K990" s="18" t="str">
        <f>_xlfn.XLOOKUP(tblMaster[[#This Row],[Customer_ID]],tblCustomers[Customer_ID],tblCustomers[City],"Not Found",0)</f>
        <v>Gangtok</v>
      </c>
      <c r="L990" s="18" t="str">
        <f>_xlfn.XLOOKUP(tblMaster[[#This Row],[Customer_ID]],tblCustomers[Customer_ID],tblCustomers[Name],"Not Found",0)</f>
        <v>Advika Dhar</v>
      </c>
      <c r="M990" s="18" t="str">
        <f>_xlfn.XLOOKUP(tblMaster[[#This Row],[Customer_ID]],tblCustomers[Customer_ID],tblCustomers[Gender],"Not Found",0)</f>
        <v>Male</v>
      </c>
      <c r="N990" s="18" t="str">
        <f>_xlfn.XLOOKUP(tblMaster[[#This Row],[Product_ID]],tblProducts[Product_ID],tblProducts[Product_Name],"Not Found",0)</f>
        <v>Dolorum Box</v>
      </c>
      <c r="O990" s="18" t="str">
        <f>_xlfn.XLOOKUP(tblMaster[[#This Row],[Product_ID]],tblProducts[Product_ID],tblProducts[Category],"Not Found",0)</f>
        <v>Raksha Bandhan</v>
      </c>
      <c r="P990" s="18" t="str">
        <f>_xlfn.XLOOKUP(tblMaster[[#This Row],[Product_ID]],tblProducts[Product_ID],tblProducts[Occasion],"Not Found",0)</f>
        <v>Valentine's Day</v>
      </c>
      <c r="Q990" s="18">
        <f>_xlfn.XLOOKUP(tblMaster[[#This Row],[Product_ID]],tblProducts[Product_ID],tblProducts[Price (INR)],"Not Found",0)</f>
        <v>236</v>
      </c>
      <c r="R990" s="19">
        <f>tblMaster[[#This Row],[Price]]*tblMaster[[#This Row],[Quantity]]</f>
        <v>708</v>
      </c>
      <c r="S990" s="19">
        <f>tblMaster[[#This Row],[Price]]*0.7*tblMaster[[#This Row],[Quantity]]</f>
        <v>495.59999999999997</v>
      </c>
      <c r="T990" s="19">
        <f>tblMaster[[#This Row],[Revenue]]-tblMaster[[#This Row],[Estimated Cost (at 70%) ]]</f>
        <v>212.40000000000003</v>
      </c>
      <c r="U990" s="19">
        <f>tblMaster[[#This Row],[Profit]]/tblMaster[[#This Row],[Revenue]]</f>
        <v>0.30000000000000004</v>
      </c>
      <c r="V990" s="19">
        <f>tblMaster[[#This Row],[Delivery_Date]]-tblMaster[[#This Row],[Order_Date]]</f>
        <v>9</v>
      </c>
      <c r="W990" s="19" t="str">
        <f>TEXT(tblMaster[[#This Row],[Order_Date]],"mmmm")</f>
        <v>February</v>
      </c>
      <c r="X990" s="19">
        <f>MONTH(tblMaster[[#This Row],[Order_Date]])</f>
        <v>2</v>
      </c>
      <c r="Y990" s="19" t="str">
        <f>"Q"&amp;ROUNDUP(tblMaster[[#This Row],[Month Number]]/3,0)</f>
        <v>Q1</v>
      </c>
      <c r="Z990" s="19">
        <f>YEAR(tblMaster[[#This Row],[Order_Date]])</f>
        <v>2023</v>
      </c>
      <c r="AA990" s="19" t="str">
        <f>TEXT(DAY(tblMaster[[#This Row],[Order_Date]]),"dddd")</f>
        <v>Friday</v>
      </c>
      <c r="AB990" s="19" t="str">
        <f>IF(tblMaster[[#This Row],[Revenue]]&gt;=5000,"High",IF(tblMaster[[#This Row],[Revenue]]&lt;2000,"Low","Medium"))</f>
        <v>Low</v>
      </c>
    </row>
    <row r="991" spans="1:28" x14ac:dyDescent="0.25">
      <c r="A991" s="10">
        <v>990</v>
      </c>
      <c r="B991" s="10" t="s">
        <v>503</v>
      </c>
      <c r="C991" s="5">
        <v>42</v>
      </c>
      <c r="D991" s="5">
        <v>2</v>
      </c>
      <c r="E991" s="11">
        <v>45264</v>
      </c>
      <c r="F991" s="12">
        <v>0.93055555555555558</v>
      </c>
      <c r="G991" s="11">
        <v>45268</v>
      </c>
      <c r="H991" s="12">
        <v>0.9985532407407407</v>
      </c>
      <c r="I991" s="10" t="s">
        <v>351</v>
      </c>
      <c r="J991" s="10" t="s">
        <v>8</v>
      </c>
      <c r="K991" s="18" t="str">
        <f>_xlfn.XLOOKUP(tblMaster[[#This Row],[Customer_ID]],tblCustomers[Customer_ID],tblCustomers[City],"Not Found",0)</f>
        <v>Mehsana</v>
      </c>
      <c r="L991" s="18" t="str">
        <f>_xlfn.XLOOKUP(tblMaster[[#This Row],[Customer_ID]],tblCustomers[Customer_ID],tblCustomers[Name],"Not Found",0)</f>
        <v>Siya Talwar</v>
      </c>
      <c r="M991" s="18" t="str">
        <f>_xlfn.XLOOKUP(tblMaster[[#This Row],[Customer_ID]],tblCustomers[Customer_ID],tblCustomers[Gender],"Not Found",0)</f>
        <v>Male</v>
      </c>
      <c r="N991" s="18" t="str">
        <f>_xlfn.XLOOKUP(tblMaster[[#This Row],[Product_ID]],tblProducts[Product_ID],tblProducts[Product_Name],"Not Found",0)</f>
        <v>Expedita Gift</v>
      </c>
      <c r="O991" s="18" t="str">
        <f>_xlfn.XLOOKUP(tblMaster[[#This Row],[Product_ID]],tblProducts[Product_ID],tblProducts[Category],"Not Found",0)</f>
        <v>Sweets</v>
      </c>
      <c r="P991" s="18" t="str">
        <f>_xlfn.XLOOKUP(tblMaster[[#This Row],[Product_ID]],tblProducts[Product_ID],tblProducts[Occasion],"Not Found",0)</f>
        <v>All Occasions</v>
      </c>
      <c r="Q991" s="18">
        <f>_xlfn.XLOOKUP(tblMaster[[#This Row],[Product_ID]],tblProducts[Product_ID],tblProducts[Price (INR)],"Not Found",0)</f>
        <v>1744</v>
      </c>
      <c r="R991" s="19">
        <f>tblMaster[[#This Row],[Price]]*tblMaster[[#This Row],[Quantity]]</f>
        <v>3488</v>
      </c>
      <c r="S991" s="19">
        <f>tblMaster[[#This Row],[Price]]*0.7*tblMaster[[#This Row],[Quantity]]</f>
        <v>2441.6</v>
      </c>
      <c r="T991" s="19">
        <f>tblMaster[[#This Row],[Revenue]]-tblMaster[[#This Row],[Estimated Cost (at 70%) ]]</f>
        <v>1046.4000000000001</v>
      </c>
      <c r="U991" s="19">
        <f>tblMaster[[#This Row],[Profit]]/tblMaster[[#This Row],[Revenue]]</f>
        <v>0.30000000000000004</v>
      </c>
      <c r="V991" s="19">
        <f>tblMaster[[#This Row],[Delivery_Date]]-tblMaster[[#This Row],[Order_Date]]</f>
        <v>4</v>
      </c>
      <c r="W991" s="19" t="str">
        <f>TEXT(tblMaster[[#This Row],[Order_Date]],"mmmm")</f>
        <v>December</v>
      </c>
      <c r="X991" s="19">
        <f>MONTH(tblMaster[[#This Row],[Order_Date]])</f>
        <v>12</v>
      </c>
      <c r="Y991" s="19" t="str">
        <f>"Q"&amp;ROUNDUP(tblMaster[[#This Row],[Month Number]]/3,0)</f>
        <v>Q4</v>
      </c>
      <c r="Z991" s="19">
        <f>YEAR(tblMaster[[#This Row],[Order_Date]])</f>
        <v>2023</v>
      </c>
      <c r="AA991" s="19" t="str">
        <f>TEXT(DAY(tblMaster[[#This Row],[Order_Date]]),"dddd")</f>
        <v>Wednesday</v>
      </c>
      <c r="AB991" s="19" t="str">
        <f>IF(tblMaster[[#This Row],[Revenue]]&gt;=5000,"High",IF(tblMaster[[#This Row],[Revenue]]&lt;2000,"Low","Medium"))</f>
        <v>Medium</v>
      </c>
    </row>
    <row r="992" spans="1:28" x14ac:dyDescent="0.25">
      <c r="A992" s="7">
        <v>991</v>
      </c>
      <c r="B992" s="7" t="s">
        <v>204</v>
      </c>
      <c r="C992" s="4">
        <v>36</v>
      </c>
      <c r="D992" s="4">
        <v>5</v>
      </c>
      <c r="E992" s="8">
        <v>44966</v>
      </c>
      <c r="F992" s="9">
        <v>0.62583333333333335</v>
      </c>
      <c r="G992" s="8">
        <v>44972</v>
      </c>
      <c r="H992" s="9">
        <v>0.72009259259259262</v>
      </c>
      <c r="I992" s="7" t="s">
        <v>373</v>
      </c>
      <c r="J992" s="7" t="s">
        <v>36</v>
      </c>
      <c r="K992" s="18" t="str">
        <f>_xlfn.XLOOKUP(tblMaster[[#This Row],[Customer_ID]],tblCustomers[Customer_ID],tblCustomers[City],"Not Found",0)</f>
        <v>Bidhannagar</v>
      </c>
      <c r="L992" s="18" t="str">
        <f>_xlfn.XLOOKUP(tblMaster[[#This Row],[Customer_ID]],tblCustomers[Customer_ID],tblCustomers[Name],"Not Found",0)</f>
        <v>Umang Ahuja</v>
      </c>
      <c r="M992" s="18" t="str">
        <f>_xlfn.XLOOKUP(tblMaster[[#This Row],[Customer_ID]],tblCustomers[Customer_ID],tblCustomers[Gender],"Not Found",0)</f>
        <v>Female</v>
      </c>
      <c r="N992" s="18" t="str">
        <f>_xlfn.XLOOKUP(tblMaster[[#This Row],[Product_ID]],tblProducts[Product_ID],tblProducts[Product_Name],"Not Found",0)</f>
        <v>Cum Gift</v>
      </c>
      <c r="O992" s="18" t="str">
        <f>_xlfn.XLOOKUP(tblMaster[[#This Row],[Product_ID]],tblProducts[Product_ID],tblProducts[Category],"Not Found",0)</f>
        <v>Plants</v>
      </c>
      <c r="P992" s="18" t="str">
        <f>_xlfn.XLOOKUP(tblMaster[[#This Row],[Product_ID]],tblProducts[Product_ID],tblProducts[Occasion],"Not Found",0)</f>
        <v>Birthday</v>
      </c>
      <c r="Q992" s="18">
        <f>_xlfn.XLOOKUP(tblMaster[[#This Row],[Product_ID]],tblProducts[Product_ID],tblProducts[Price (INR)],"Not Found",0)</f>
        <v>203</v>
      </c>
      <c r="R992" s="19">
        <f>tblMaster[[#This Row],[Price]]*tblMaster[[#This Row],[Quantity]]</f>
        <v>1015</v>
      </c>
      <c r="S992" s="19">
        <f>tblMaster[[#This Row],[Price]]*0.7*tblMaster[[#This Row],[Quantity]]</f>
        <v>710.5</v>
      </c>
      <c r="T992" s="19">
        <f>tblMaster[[#This Row],[Revenue]]-tblMaster[[#This Row],[Estimated Cost (at 70%) ]]</f>
        <v>304.5</v>
      </c>
      <c r="U992" s="19">
        <f>tblMaster[[#This Row],[Profit]]/tblMaster[[#This Row],[Revenue]]</f>
        <v>0.3</v>
      </c>
      <c r="V992" s="19">
        <f>tblMaster[[#This Row],[Delivery_Date]]-tblMaster[[#This Row],[Order_Date]]</f>
        <v>6</v>
      </c>
      <c r="W992" s="19" t="str">
        <f>TEXT(tblMaster[[#This Row],[Order_Date]],"mmmm")</f>
        <v>February</v>
      </c>
      <c r="X992" s="19">
        <f>MONTH(tblMaster[[#This Row],[Order_Date]])</f>
        <v>2</v>
      </c>
      <c r="Y992" s="19" t="str">
        <f>"Q"&amp;ROUNDUP(tblMaster[[#This Row],[Month Number]]/3,0)</f>
        <v>Q1</v>
      </c>
      <c r="Z992" s="19">
        <f>YEAR(tblMaster[[#This Row],[Order_Date]])</f>
        <v>2023</v>
      </c>
      <c r="AA992" s="19" t="str">
        <f>TEXT(DAY(tblMaster[[#This Row],[Order_Date]]),"dddd")</f>
        <v>Monday</v>
      </c>
      <c r="AB992" s="19" t="str">
        <f>IF(tblMaster[[#This Row],[Revenue]]&gt;=5000,"High",IF(tblMaster[[#This Row],[Revenue]]&lt;2000,"Low","Medium"))</f>
        <v>Low</v>
      </c>
    </row>
    <row r="993" spans="1:28" x14ac:dyDescent="0.25">
      <c r="A993" s="10">
        <v>992</v>
      </c>
      <c r="B993" s="10" t="s">
        <v>210</v>
      </c>
      <c r="C993" s="5">
        <v>43</v>
      </c>
      <c r="D993" s="5">
        <v>3</v>
      </c>
      <c r="E993" s="11">
        <v>45232</v>
      </c>
      <c r="F993" s="12">
        <v>0.58962962962962961</v>
      </c>
      <c r="G993" s="11">
        <v>45233</v>
      </c>
      <c r="H993" s="12">
        <v>0.81434027777777773</v>
      </c>
      <c r="I993" s="10" t="s">
        <v>271</v>
      </c>
      <c r="J993" s="10" t="s">
        <v>19</v>
      </c>
      <c r="K993" s="18" t="str">
        <f>_xlfn.XLOOKUP(tblMaster[[#This Row],[Customer_ID]],tblCustomers[Customer_ID],tblCustomers[City],"Not Found",0)</f>
        <v>New Delhi</v>
      </c>
      <c r="L993" s="18" t="str">
        <f>_xlfn.XLOOKUP(tblMaster[[#This Row],[Customer_ID]],tblCustomers[Customer_ID],tblCustomers[Name],"Not Found",0)</f>
        <v>Adira Rajan</v>
      </c>
      <c r="M993" s="18" t="str">
        <f>_xlfn.XLOOKUP(tblMaster[[#This Row],[Customer_ID]],tblCustomers[Customer_ID],tblCustomers[Gender],"Not Found",0)</f>
        <v>Female</v>
      </c>
      <c r="N993" s="18" t="str">
        <f>_xlfn.XLOOKUP(tblMaster[[#This Row],[Product_ID]],tblProducts[Product_ID],tblProducts[Product_Name],"Not Found",0)</f>
        <v>Quisquam Pack</v>
      </c>
      <c r="O993" s="18" t="str">
        <f>_xlfn.XLOOKUP(tblMaster[[#This Row],[Product_ID]],tblProducts[Product_ID],tblProducts[Category],"Not Found",0)</f>
        <v>Raksha Bandhan</v>
      </c>
      <c r="P993" s="18" t="str">
        <f>_xlfn.XLOOKUP(tblMaster[[#This Row],[Product_ID]],tblProducts[Product_ID],tblProducts[Occasion],"Not Found",0)</f>
        <v>Diwali</v>
      </c>
      <c r="Q993" s="18">
        <f>_xlfn.XLOOKUP(tblMaster[[#This Row],[Product_ID]],tblProducts[Product_ID],tblProducts[Price (INR)],"Not Found",0)</f>
        <v>750</v>
      </c>
      <c r="R993" s="19">
        <f>tblMaster[[#This Row],[Price]]*tblMaster[[#This Row],[Quantity]]</f>
        <v>2250</v>
      </c>
      <c r="S993" s="19">
        <f>tblMaster[[#This Row],[Price]]*0.7*tblMaster[[#This Row],[Quantity]]</f>
        <v>1575</v>
      </c>
      <c r="T993" s="19">
        <f>tblMaster[[#This Row],[Revenue]]-tblMaster[[#This Row],[Estimated Cost (at 70%) ]]</f>
        <v>675</v>
      </c>
      <c r="U993" s="19">
        <f>tblMaster[[#This Row],[Profit]]/tblMaster[[#This Row],[Revenue]]</f>
        <v>0.3</v>
      </c>
      <c r="V993" s="19">
        <f>tblMaster[[#This Row],[Delivery_Date]]-tblMaster[[#This Row],[Order_Date]]</f>
        <v>1</v>
      </c>
      <c r="W993" s="19" t="str">
        <f>TEXT(tblMaster[[#This Row],[Order_Date]],"mmmm")</f>
        <v>November</v>
      </c>
      <c r="X993" s="19">
        <f>MONTH(tblMaster[[#This Row],[Order_Date]])</f>
        <v>11</v>
      </c>
      <c r="Y993" s="19" t="str">
        <f>"Q"&amp;ROUNDUP(tblMaster[[#This Row],[Month Number]]/3,0)</f>
        <v>Q4</v>
      </c>
      <c r="Z993" s="19">
        <f>YEAR(tblMaster[[#This Row],[Order_Date]])</f>
        <v>2023</v>
      </c>
      <c r="AA993" s="19" t="str">
        <f>TEXT(DAY(tblMaster[[#This Row],[Order_Date]]),"dddd")</f>
        <v>Monday</v>
      </c>
      <c r="AB993" s="19" t="str">
        <f>IF(tblMaster[[#This Row],[Revenue]]&gt;=5000,"High",IF(tblMaster[[#This Row],[Revenue]]&lt;2000,"Low","Medium"))</f>
        <v>Medium</v>
      </c>
    </row>
    <row r="994" spans="1:28" x14ac:dyDescent="0.25">
      <c r="A994" s="7">
        <v>993</v>
      </c>
      <c r="B994" s="7" t="s">
        <v>316</v>
      </c>
      <c r="C994" s="4">
        <v>61</v>
      </c>
      <c r="D994" s="4">
        <v>5</v>
      </c>
      <c r="E994" s="8">
        <v>45207</v>
      </c>
      <c r="F994" s="9">
        <v>0.89868055555555559</v>
      </c>
      <c r="G994" s="8">
        <v>45213</v>
      </c>
      <c r="H994" s="9">
        <v>0.66386574074074078</v>
      </c>
      <c r="I994" s="7" t="s">
        <v>322</v>
      </c>
      <c r="J994" s="7" t="s">
        <v>30</v>
      </c>
      <c r="K994" s="18" t="str">
        <f>_xlfn.XLOOKUP(tblMaster[[#This Row],[Customer_ID]],tblCustomers[Customer_ID],tblCustomers[City],"Not Found",0)</f>
        <v>Ahmednagar</v>
      </c>
      <c r="L994" s="18" t="str">
        <f>_xlfn.XLOOKUP(tblMaster[[#This Row],[Customer_ID]],tblCustomers[Customer_ID],tblCustomers[Name],"Not Found",0)</f>
        <v>Anya Chaudhari</v>
      </c>
      <c r="M994" s="18" t="str">
        <f>_xlfn.XLOOKUP(tblMaster[[#This Row],[Customer_ID]],tblCustomers[Customer_ID],tblCustomers[Gender],"Not Found",0)</f>
        <v>Female</v>
      </c>
      <c r="N994" s="18" t="str">
        <f>_xlfn.XLOOKUP(tblMaster[[#This Row],[Product_ID]],tblProducts[Product_ID],tblProducts[Product_Name],"Not Found",0)</f>
        <v>Iusto Box</v>
      </c>
      <c r="O994" s="18" t="str">
        <f>_xlfn.XLOOKUP(tblMaster[[#This Row],[Product_ID]],tblProducts[Product_ID],tblProducts[Category],"Not Found",0)</f>
        <v>Plants</v>
      </c>
      <c r="P994" s="18" t="str">
        <f>_xlfn.XLOOKUP(tblMaster[[#This Row],[Product_ID]],tblProducts[Product_ID],tblProducts[Occasion],"Not Found",0)</f>
        <v>Anniversary</v>
      </c>
      <c r="Q994" s="18">
        <f>_xlfn.XLOOKUP(tblMaster[[#This Row],[Product_ID]],tblProducts[Product_ID],tblProducts[Price (INR)],"Not Found",0)</f>
        <v>810</v>
      </c>
      <c r="R994" s="19">
        <f>tblMaster[[#This Row],[Price]]*tblMaster[[#This Row],[Quantity]]</f>
        <v>4050</v>
      </c>
      <c r="S994" s="19">
        <f>tblMaster[[#This Row],[Price]]*0.7*tblMaster[[#This Row],[Quantity]]</f>
        <v>2835</v>
      </c>
      <c r="T994" s="19">
        <f>tblMaster[[#This Row],[Revenue]]-tblMaster[[#This Row],[Estimated Cost (at 70%) ]]</f>
        <v>1215</v>
      </c>
      <c r="U994" s="19">
        <f>tblMaster[[#This Row],[Profit]]/tblMaster[[#This Row],[Revenue]]</f>
        <v>0.3</v>
      </c>
      <c r="V994" s="19">
        <f>tblMaster[[#This Row],[Delivery_Date]]-tblMaster[[#This Row],[Order_Date]]</f>
        <v>6</v>
      </c>
      <c r="W994" s="19" t="str">
        <f>TEXT(tblMaster[[#This Row],[Order_Date]],"mmmm")</f>
        <v>October</v>
      </c>
      <c r="X994" s="19">
        <f>MONTH(tblMaster[[#This Row],[Order_Date]])</f>
        <v>10</v>
      </c>
      <c r="Y994" s="19" t="str">
        <f>"Q"&amp;ROUNDUP(tblMaster[[#This Row],[Month Number]]/3,0)</f>
        <v>Q4</v>
      </c>
      <c r="Z994" s="19">
        <f>YEAR(tblMaster[[#This Row],[Order_Date]])</f>
        <v>2023</v>
      </c>
      <c r="AA994" s="19" t="str">
        <f>TEXT(DAY(tblMaster[[#This Row],[Order_Date]]),"dddd")</f>
        <v>Sunday</v>
      </c>
      <c r="AB994" s="19" t="str">
        <f>IF(tblMaster[[#This Row],[Revenue]]&gt;=5000,"High",IF(tblMaster[[#This Row],[Revenue]]&lt;2000,"Low","Medium"))</f>
        <v>Medium</v>
      </c>
    </row>
    <row r="995" spans="1:28" x14ac:dyDescent="0.25">
      <c r="A995" s="10">
        <v>994</v>
      </c>
      <c r="B995" s="10" t="s">
        <v>400</v>
      </c>
      <c r="C995" s="5">
        <v>68</v>
      </c>
      <c r="D995" s="5">
        <v>2</v>
      </c>
      <c r="E995" s="11">
        <v>44970</v>
      </c>
      <c r="F995" s="12">
        <v>0.94763888888888892</v>
      </c>
      <c r="G995" s="11">
        <v>44978</v>
      </c>
      <c r="H995" s="12">
        <v>0.28159722222222222</v>
      </c>
      <c r="I995" s="10" t="s">
        <v>565</v>
      </c>
      <c r="J995" s="10" t="s">
        <v>12</v>
      </c>
      <c r="K995" s="18" t="str">
        <f>_xlfn.XLOOKUP(tblMaster[[#This Row],[Customer_ID]],tblCustomers[Customer_ID],tblCustomers[City],"Not Found",0)</f>
        <v>Miryalaguda</v>
      </c>
      <c r="L995" s="18" t="str">
        <f>_xlfn.XLOOKUP(tblMaster[[#This Row],[Customer_ID]],tblCustomers[Customer_ID],tblCustomers[Name],"Not Found",0)</f>
        <v>Tarini Bava</v>
      </c>
      <c r="M995" s="18" t="str">
        <f>_xlfn.XLOOKUP(tblMaster[[#This Row],[Customer_ID]],tblCustomers[Customer_ID],tblCustomers[Gender],"Not Found",0)</f>
        <v>Male</v>
      </c>
      <c r="N995" s="18" t="str">
        <f>_xlfn.XLOOKUP(tblMaster[[#This Row],[Product_ID]],tblProducts[Product_ID],tblProducts[Product_Name],"Not Found",0)</f>
        <v>Quas Gift</v>
      </c>
      <c r="O995" s="18" t="str">
        <f>_xlfn.XLOOKUP(tblMaster[[#This Row],[Product_ID]],tblProducts[Product_ID],tblProducts[Category],"Not Found",0)</f>
        <v>Soft Toys</v>
      </c>
      <c r="P995" s="18" t="str">
        <f>_xlfn.XLOOKUP(tblMaster[[#This Row],[Product_ID]],tblProducts[Product_ID],tblProducts[Occasion],"Not Found",0)</f>
        <v>Valentine's Day</v>
      </c>
      <c r="Q995" s="18">
        <f>_xlfn.XLOOKUP(tblMaster[[#This Row],[Product_ID]],tblProducts[Product_ID],tblProducts[Price (INR)],"Not Found",0)</f>
        <v>597</v>
      </c>
      <c r="R995" s="19">
        <f>tblMaster[[#This Row],[Price]]*tblMaster[[#This Row],[Quantity]]</f>
        <v>1194</v>
      </c>
      <c r="S995" s="19">
        <f>tblMaster[[#This Row],[Price]]*0.7*tblMaster[[#This Row],[Quantity]]</f>
        <v>835.8</v>
      </c>
      <c r="T995" s="19">
        <f>tblMaster[[#This Row],[Revenue]]-tblMaster[[#This Row],[Estimated Cost (at 70%) ]]</f>
        <v>358.20000000000005</v>
      </c>
      <c r="U995" s="19">
        <f>tblMaster[[#This Row],[Profit]]/tblMaster[[#This Row],[Revenue]]</f>
        <v>0.30000000000000004</v>
      </c>
      <c r="V995" s="19">
        <f>tblMaster[[#This Row],[Delivery_Date]]-tblMaster[[#This Row],[Order_Date]]</f>
        <v>8</v>
      </c>
      <c r="W995" s="19" t="str">
        <f>TEXT(tblMaster[[#This Row],[Order_Date]],"mmmm")</f>
        <v>February</v>
      </c>
      <c r="X995" s="19">
        <f>MONTH(tblMaster[[#This Row],[Order_Date]])</f>
        <v>2</v>
      </c>
      <c r="Y995" s="19" t="str">
        <f>"Q"&amp;ROUNDUP(tblMaster[[#This Row],[Month Number]]/3,0)</f>
        <v>Q1</v>
      </c>
      <c r="Z995" s="19">
        <f>YEAR(tblMaster[[#This Row],[Order_Date]])</f>
        <v>2023</v>
      </c>
      <c r="AA995" s="19" t="str">
        <f>TEXT(DAY(tblMaster[[#This Row],[Order_Date]]),"dddd")</f>
        <v>Friday</v>
      </c>
      <c r="AB995" s="19" t="str">
        <f>IF(tblMaster[[#This Row],[Revenue]]&gt;=5000,"High",IF(tblMaster[[#This Row],[Revenue]]&lt;2000,"Low","Medium"))</f>
        <v>Low</v>
      </c>
    </row>
    <row r="996" spans="1:28" x14ac:dyDescent="0.25">
      <c r="A996" s="7">
        <v>995</v>
      </c>
      <c r="B996" s="7" t="s">
        <v>402</v>
      </c>
      <c r="C996" s="4">
        <v>57</v>
      </c>
      <c r="D996" s="4">
        <v>2</v>
      </c>
      <c r="E996" s="8">
        <v>45127</v>
      </c>
      <c r="F996" s="9">
        <v>2.8217592592592593E-2</v>
      </c>
      <c r="G996" s="8">
        <v>45134</v>
      </c>
      <c r="H996" s="9">
        <v>0.48753472222222222</v>
      </c>
      <c r="I996" s="7" t="s">
        <v>455</v>
      </c>
      <c r="J996" s="7" t="s">
        <v>36</v>
      </c>
      <c r="K996" s="18" t="str">
        <f>_xlfn.XLOOKUP(tblMaster[[#This Row],[Customer_ID]],tblCustomers[Customer_ID],tblCustomers[City],"Not Found",0)</f>
        <v>Nellore</v>
      </c>
      <c r="L996" s="18" t="str">
        <f>_xlfn.XLOOKUP(tblMaster[[#This Row],[Customer_ID]],tblCustomers[Customer_ID],tblCustomers[Name],"Not Found",0)</f>
        <v>Oorja Dey</v>
      </c>
      <c r="M996" s="18" t="str">
        <f>_xlfn.XLOOKUP(tblMaster[[#This Row],[Customer_ID]],tblCustomers[Customer_ID],tblCustomers[Gender],"Not Found",0)</f>
        <v>Female</v>
      </c>
      <c r="N996" s="18" t="str">
        <f>_xlfn.XLOOKUP(tblMaster[[#This Row],[Product_ID]],tblProducts[Product_ID],tblProducts[Product_Name],"Not Found",0)</f>
        <v>Voluptatem Box</v>
      </c>
      <c r="O996" s="18" t="str">
        <f>_xlfn.XLOOKUP(tblMaster[[#This Row],[Product_ID]],tblProducts[Product_ID],tblProducts[Category],"Not Found",0)</f>
        <v>Colors</v>
      </c>
      <c r="P996" s="18" t="str">
        <f>_xlfn.XLOOKUP(tblMaster[[#This Row],[Product_ID]],tblProducts[Product_ID],tblProducts[Occasion],"Not Found",0)</f>
        <v>Birthday</v>
      </c>
      <c r="Q996" s="18">
        <f>_xlfn.XLOOKUP(tblMaster[[#This Row],[Product_ID]],tblProducts[Product_ID],tblProducts[Price (INR)],"Not Found",0)</f>
        <v>1582</v>
      </c>
      <c r="R996" s="19">
        <f>tblMaster[[#This Row],[Price]]*tblMaster[[#This Row],[Quantity]]</f>
        <v>3164</v>
      </c>
      <c r="S996" s="19">
        <f>tblMaster[[#This Row],[Price]]*0.7*tblMaster[[#This Row],[Quantity]]</f>
        <v>2214.7999999999997</v>
      </c>
      <c r="T996" s="19">
        <f>tblMaster[[#This Row],[Revenue]]-tblMaster[[#This Row],[Estimated Cost (at 70%) ]]</f>
        <v>949.20000000000027</v>
      </c>
      <c r="U996" s="19">
        <f>tblMaster[[#This Row],[Profit]]/tblMaster[[#This Row],[Revenue]]</f>
        <v>0.3000000000000001</v>
      </c>
      <c r="V996" s="19">
        <f>tblMaster[[#This Row],[Delivery_Date]]-tblMaster[[#This Row],[Order_Date]]</f>
        <v>7</v>
      </c>
      <c r="W996" s="19" t="str">
        <f>TEXT(tblMaster[[#This Row],[Order_Date]],"mmmm")</f>
        <v>July</v>
      </c>
      <c r="X996" s="19">
        <f>MONTH(tblMaster[[#This Row],[Order_Date]])</f>
        <v>7</v>
      </c>
      <c r="Y996" s="19" t="str">
        <f>"Q"&amp;ROUNDUP(tblMaster[[#This Row],[Month Number]]/3,0)</f>
        <v>Q3</v>
      </c>
      <c r="Z996" s="19">
        <f>YEAR(tblMaster[[#This Row],[Order_Date]])</f>
        <v>2023</v>
      </c>
      <c r="AA996" s="19" t="str">
        <f>TEXT(DAY(tblMaster[[#This Row],[Order_Date]]),"dddd")</f>
        <v>Friday</v>
      </c>
      <c r="AB996" s="19" t="str">
        <f>IF(tblMaster[[#This Row],[Revenue]]&gt;=5000,"High",IF(tblMaster[[#This Row],[Revenue]]&lt;2000,"Low","Medium"))</f>
        <v>Medium</v>
      </c>
    </row>
    <row r="997" spans="1:28" x14ac:dyDescent="0.25">
      <c r="A997" s="10">
        <v>996</v>
      </c>
      <c r="B997" s="10" t="s">
        <v>261</v>
      </c>
      <c r="C997" s="5">
        <v>25</v>
      </c>
      <c r="D997" s="5">
        <v>5</v>
      </c>
      <c r="E997" s="11">
        <v>45059</v>
      </c>
      <c r="F997" s="12">
        <v>0.2882986111111111</v>
      </c>
      <c r="G997" s="11">
        <v>45065</v>
      </c>
      <c r="H997" s="12">
        <v>0.23703703703703705</v>
      </c>
      <c r="I997" s="10" t="s">
        <v>236</v>
      </c>
      <c r="J997" s="10" t="s">
        <v>30</v>
      </c>
      <c r="K997" s="18" t="str">
        <f>_xlfn.XLOOKUP(tblMaster[[#This Row],[Customer_ID]],tblCustomers[Customer_ID],tblCustomers[City],"Not Found",0)</f>
        <v>Panchkula</v>
      </c>
      <c r="L997" s="18" t="str">
        <f>_xlfn.XLOOKUP(tblMaster[[#This Row],[Customer_ID]],tblCustomers[Customer_ID],tblCustomers[Name],"Not Found",0)</f>
        <v>Gokul Ahluwalia</v>
      </c>
      <c r="M997" s="18" t="str">
        <f>_xlfn.XLOOKUP(tblMaster[[#This Row],[Customer_ID]],tblCustomers[Customer_ID],tblCustomers[Gender],"Not Found",0)</f>
        <v>Female</v>
      </c>
      <c r="N997" s="18" t="str">
        <f>_xlfn.XLOOKUP(tblMaster[[#This Row],[Product_ID]],tblProducts[Product_ID],tblProducts[Product_Name],"Not Found",0)</f>
        <v>Qui Gift</v>
      </c>
      <c r="O997" s="18" t="str">
        <f>_xlfn.XLOOKUP(tblMaster[[#This Row],[Product_ID]],tblProducts[Product_ID],tblProducts[Category],"Not Found",0)</f>
        <v>Plants</v>
      </c>
      <c r="P997" s="18" t="str">
        <f>_xlfn.XLOOKUP(tblMaster[[#This Row],[Product_ID]],tblProducts[Product_ID],tblProducts[Occasion],"Not Found",0)</f>
        <v>Anniversary</v>
      </c>
      <c r="Q997" s="18">
        <f>_xlfn.XLOOKUP(tblMaster[[#This Row],[Product_ID]],tblProducts[Product_ID],tblProducts[Price (INR)],"Not Found",0)</f>
        <v>1202</v>
      </c>
      <c r="R997" s="19">
        <f>tblMaster[[#This Row],[Price]]*tblMaster[[#This Row],[Quantity]]</f>
        <v>6010</v>
      </c>
      <c r="S997" s="19">
        <f>tblMaster[[#This Row],[Price]]*0.7*tblMaster[[#This Row],[Quantity]]</f>
        <v>4207</v>
      </c>
      <c r="T997" s="19">
        <f>tblMaster[[#This Row],[Revenue]]-tblMaster[[#This Row],[Estimated Cost (at 70%) ]]</f>
        <v>1803</v>
      </c>
      <c r="U997" s="19">
        <f>tblMaster[[#This Row],[Profit]]/tblMaster[[#This Row],[Revenue]]</f>
        <v>0.3</v>
      </c>
      <c r="V997" s="19">
        <f>tblMaster[[#This Row],[Delivery_Date]]-tblMaster[[#This Row],[Order_Date]]</f>
        <v>6</v>
      </c>
      <c r="W997" s="19" t="str">
        <f>TEXT(tblMaster[[#This Row],[Order_Date]],"mmmm")</f>
        <v>May</v>
      </c>
      <c r="X997" s="19">
        <f>MONTH(tblMaster[[#This Row],[Order_Date]])</f>
        <v>5</v>
      </c>
      <c r="Y997" s="19" t="str">
        <f>"Q"&amp;ROUNDUP(tblMaster[[#This Row],[Month Number]]/3,0)</f>
        <v>Q2</v>
      </c>
      <c r="Z997" s="19">
        <f>YEAR(tblMaster[[#This Row],[Order_Date]])</f>
        <v>2023</v>
      </c>
      <c r="AA997" s="19" t="str">
        <f>TEXT(DAY(tblMaster[[#This Row],[Order_Date]]),"dddd")</f>
        <v>Friday</v>
      </c>
      <c r="AB997" s="19" t="str">
        <f>IF(tblMaster[[#This Row],[Revenue]]&gt;=5000,"High",IF(tblMaster[[#This Row],[Revenue]]&lt;2000,"Low","Medium"))</f>
        <v>High</v>
      </c>
    </row>
    <row r="998" spans="1:28" x14ac:dyDescent="0.25">
      <c r="A998" s="7">
        <v>997</v>
      </c>
      <c r="B998" s="7" t="s">
        <v>413</v>
      </c>
      <c r="C998" s="4">
        <v>19</v>
      </c>
      <c r="D998" s="4">
        <v>2</v>
      </c>
      <c r="E998" s="8">
        <v>44961</v>
      </c>
      <c r="F998" s="9">
        <v>0.18642361111111111</v>
      </c>
      <c r="G998" s="8">
        <v>44967</v>
      </c>
      <c r="H998" s="9">
        <v>0.49333333333333335</v>
      </c>
      <c r="I998" s="7" t="s">
        <v>553</v>
      </c>
      <c r="J998" s="7" t="s">
        <v>12</v>
      </c>
      <c r="K998" s="18" t="str">
        <f>_xlfn.XLOOKUP(tblMaster[[#This Row],[Customer_ID]],tblCustomers[Customer_ID],tblCustomers[City],"Not Found",0)</f>
        <v>Cuttack</v>
      </c>
      <c r="L998" s="18" t="str">
        <f>_xlfn.XLOOKUP(tblMaster[[#This Row],[Customer_ID]],tblCustomers[Customer_ID],tblCustomers[Name],"Not Found",0)</f>
        <v>Navya Golla</v>
      </c>
      <c r="M998" s="18" t="str">
        <f>_xlfn.XLOOKUP(tblMaster[[#This Row],[Customer_ID]],tblCustomers[Customer_ID],tblCustomers[Gender],"Not Found",0)</f>
        <v>Male</v>
      </c>
      <c r="N998" s="18" t="str">
        <f>_xlfn.XLOOKUP(tblMaster[[#This Row],[Product_ID]],tblProducts[Product_ID],tblProducts[Product_Name],"Not Found",0)</f>
        <v>Iure Gift</v>
      </c>
      <c r="O998" s="18" t="str">
        <f>_xlfn.XLOOKUP(tblMaster[[#This Row],[Product_ID]],tblProducts[Product_ID],tblProducts[Category],"Not Found",0)</f>
        <v>Mugs</v>
      </c>
      <c r="P998" s="18" t="str">
        <f>_xlfn.XLOOKUP(tblMaster[[#This Row],[Product_ID]],tblProducts[Product_ID],tblProducts[Occasion],"Not Found",0)</f>
        <v>Valentine's Day</v>
      </c>
      <c r="Q998" s="18">
        <f>_xlfn.XLOOKUP(tblMaster[[#This Row],[Product_ID]],tblProducts[Product_ID],tblProducts[Price (INR)],"Not Found",0)</f>
        <v>1234</v>
      </c>
      <c r="R998" s="19">
        <f>tblMaster[[#This Row],[Price]]*tblMaster[[#This Row],[Quantity]]</f>
        <v>2468</v>
      </c>
      <c r="S998" s="19">
        <f>tblMaster[[#This Row],[Price]]*0.7*tblMaster[[#This Row],[Quantity]]</f>
        <v>1727.6</v>
      </c>
      <c r="T998" s="19">
        <f>tblMaster[[#This Row],[Revenue]]-tblMaster[[#This Row],[Estimated Cost (at 70%) ]]</f>
        <v>740.40000000000009</v>
      </c>
      <c r="U998" s="19">
        <f>tblMaster[[#This Row],[Profit]]/tblMaster[[#This Row],[Revenue]]</f>
        <v>0.30000000000000004</v>
      </c>
      <c r="V998" s="19">
        <f>tblMaster[[#This Row],[Delivery_Date]]-tblMaster[[#This Row],[Order_Date]]</f>
        <v>6</v>
      </c>
      <c r="W998" s="19" t="str">
        <f>TEXT(tblMaster[[#This Row],[Order_Date]],"mmmm")</f>
        <v>February</v>
      </c>
      <c r="X998" s="19">
        <f>MONTH(tblMaster[[#This Row],[Order_Date]])</f>
        <v>2</v>
      </c>
      <c r="Y998" s="19" t="str">
        <f>"Q"&amp;ROUNDUP(tblMaster[[#This Row],[Month Number]]/3,0)</f>
        <v>Q1</v>
      </c>
      <c r="Z998" s="19">
        <f>YEAR(tblMaster[[#This Row],[Order_Date]])</f>
        <v>2023</v>
      </c>
      <c r="AA998" s="19" t="str">
        <f>TEXT(DAY(tblMaster[[#This Row],[Order_Date]]),"dddd")</f>
        <v>Wednesday</v>
      </c>
      <c r="AB998" s="19" t="str">
        <f>IF(tblMaster[[#This Row],[Revenue]]&gt;=5000,"High",IF(tblMaster[[#This Row],[Revenue]]&lt;2000,"Low","Medium"))</f>
        <v>Medium</v>
      </c>
    </row>
    <row r="999" spans="1:28" x14ac:dyDescent="0.25">
      <c r="A999" s="10">
        <v>998</v>
      </c>
      <c r="B999" s="10" t="s">
        <v>237</v>
      </c>
      <c r="C999" s="5">
        <v>44</v>
      </c>
      <c r="D999" s="5">
        <v>1</v>
      </c>
      <c r="E999" s="11">
        <v>45236</v>
      </c>
      <c r="F999" s="12">
        <v>0.67859953703703701</v>
      </c>
      <c r="G999" s="11">
        <v>45244</v>
      </c>
      <c r="H999" s="12">
        <v>0.18987268518518519</v>
      </c>
      <c r="I999" s="10" t="s">
        <v>452</v>
      </c>
      <c r="J999" s="10" t="s">
        <v>19</v>
      </c>
      <c r="K999" s="18" t="str">
        <f>_xlfn.XLOOKUP(tblMaster[[#This Row],[Customer_ID]],tblCustomers[Customer_ID],tblCustomers[City],"Not Found",0)</f>
        <v>Guna</v>
      </c>
      <c r="L999" s="18" t="str">
        <f>_xlfn.XLOOKUP(tblMaster[[#This Row],[Customer_ID]],tblCustomers[Customer_ID],tblCustomers[Name],"Not Found",0)</f>
        <v>Tara Kannan</v>
      </c>
      <c r="M999" s="18" t="str">
        <f>_xlfn.XLOOKUP(tblMaster[[#This Row],[Customer_ID]],tblCustomers[Customer_ID],tblCustomers[Gender],"Not Found",0)</f>
        <v>Male</v>
      </c>
      <c r="N999" s="18" t="str">
        <f>_xlfn.XLOOKUP(tblMaster[[#This Row],[Product_ID]],tblProducts[Product_ID],tblProducts[Product_Name],"Not Found",0)</f>
        <v>Dolorum Set</v>
      </c>
      <c r="O999" s="18" t="str">
        <f>_xlfn.XLOOKUP(tblMaster[[#This Row],[Product_ID]],tblProducts[Product_ID],tblProducts[Category],"Not Found",0)</f>
        <v>Plants</v>
      </c>
      <c r="P999" s="18" t="str">
        <f>_xlfn.XLOOKUP(tblMaster[[#This Row],[Product_ID]],tblProducts[Product_ID],tblProducts[Occasion],"Not Found",0)</f>
        <v>Diwali</v>
      </c>
      <c r="Q999" s="18">
        <f>_xlfn.XLOOKUP(tblMaster[[#This Row],[Product_ID]],tblProducts[Product_ID],tblProducts[Price (INR)],"Not Found",0)</f>
        <v>794</v>
      </c>
      <c r="R999" s="19">
        <f>tblMaster[[#This Row],[Price]]*tblMaster[[#This Row],[Quantity]]</f>
        <v>794</v>
      </c>
      <c r="S999" s="19">
        <f>tblMaster[[#This Row],[Price]]*0.7*tblMaster[[#This Row],[Quantity]]</f>
        <v>555.79999999999995</v>
      </c>
      <c r="T999" s="19">
        <f>tblMaster[[#This Row],[Revenue]]-tblMaster[[#This Row],[Estimated Cost (at 70%) ]]</f>
        <v>238.20000000000005</v>
      </c>
      <c r="U999" s="19">
        <f>tblMaster[[#This Row],[Profit]]/tblMaster[[#This Row],[Revenue]]</f>
        <v>0.30000000000000004</v>
      </c>
      <c r="V999" s="19">
        <f>tblMaster[[#This Row],[Delivery_Date]]-tblMaster[[#This Row],[Order_Date]]</f>
        <v>8</v>
      </c>
      <c r="W999" s="19" t="str">
        <f>TEXT(tblMaster[[#This Row],[Order_Date]],"mmmm")</f>
        <v>November</v>
      </c>
      <c r="X999" s="19">
        <f>MONTH(tblMaster[[#This Row],[Order_Date]])</f>
        <v>11</v>
      </c>
      <c r="Y999" s="19" t="str">
        <f>"Q"&amp;ROUNDUP(tblMaster[[#This Row],[Month Number]]/3,0)</f>
        <v>Q4</v>
      </c>
      <c r="Z999" s="19">
        <f>YEAR(tblMaster[[#This Row],[Order_Date]])</f>
        <v>2023</v>
      </c>
      <c r="AA999" s="19" t="str">
        <f>TEXT(DAY(tblMaster[[#This Row],[Order_Date]]),"dddd")</f>
        <v>Friday</v>
      </c>
      <c r="AB999" s="19" t="str">
        <f>IF(tblMaster[[#This Row],[Revenue]]&gt;=5000,"High",IF(tblMaster[[#This Row],[Revenue]]&lt;2000,"Low","Medium"))</f>
        <v>Low</v>
      </c>
    </row>
    <row r="1000" spans="1:28" x14ac:dyDescent="0.25">
      <c r="A1000" s="7">
        <v>999</v>
      </c>
      <c r="B1000" s="7" t="s">
        <v>204</v>
      </c>
      <c r="C1000" s="4">
        <v>52</v>
      </c>
      <c r="D1000" s="4">
        <v>2</v>
      </c>
      <c r="E1000" s="8">
        <v>44963</v>
      </c>
      <c r="F1000" s="9">
        <v>0.9450115740740741</v>
      </c>
      <c r="G1000" s="8">
        <v>44967</v>
      </c>
      <c r="H1000" s="9">
        <v>0.52038194444444441</v>
      </c>
      <c r="I1000" s="7" t="s">
        <v>566</v>
      </c>
      <c r="J1000" s="7" t="s">
        <v>12</v>
      </c>
      <c r="K1000" s="18" t="str">
        <f>_xlfn.XLOOKUP(tblMaster[[#This Row],[Customer_ID]],tblCustomers[Customer_ID],tblCustomers[City],"Not Found",0)</f>
        <v>Bidhannagar</v>
      </c>
      <c r="L1000" s="18" t="str">
        <f>_xlfn.XLOOKUP(tblMaster[[#This Row],[Customer_ID]],tblCustomers[Customer_ID],tblCustomers[Name],"Not Found",0)</f>
        <v>Umang Ahuja</v>
      </c>
      <c r="M1000" s="18" t="str">
        <f>_xlfn.XLOOKUP(tblMaster[[#This Row],[Customer_ID]],tblCustomers[Customer_ID],tblCustomers[Gender],"Not Found",0)</f>
        <v>Female</v>
      </c>
      <c r="N1000" s="18" t="str">
        <f>_xlfn.XLOOKUP(tblMaster[[#This Row],[Product_ID]],tblProducts[Product_ID],tblProducts[Product_Name],"Not Found",0)</f>
        <v>Dolorum Box</v>
      </c>
      <c r="O1000" s="18" t="str">
        <f>_xlfn.XLOOKUP(tblMaster[[#This Row],[Product_ID]],tblProducts[Product_ID],tblProducts[Category],"Not Found",0)</f>
        <v>Raksha Bandhan</v>
      </c>
      <c r="P1000" s="18" t="str">
        <f>_xlfn.XLOOKUP(tblMaster[[#This Row],[Product_ID]],tblProducts[Product_ID],tblProducts[Occasion],"Not Found",0)</f>
        <v>Valentine's Day</v>
      </c>
      <c r="Q1000" s="18">
        <f>_xlfn.XLOOKUP(tblMaster[[#This Row],[Product_ID]],tblProducts[Product_ID],tblProducts[Price (INR)],"Not Found",0)</f>
        <v>236</v>
      </c>
      <c r="R1000" s="19">
        <f>tblMaster[[#This Row],[Price]]*tblMaster[[#This Row],[Quantity]]</f>
        <v>472</v>
      </c>
      <c r="S1000" s="19">
        <f>tblMaster[[#This Row],[Price]]*0.7*tblMaster[[#This Row],[Quantity]]</f>
        <v>330.4</v>
      </c>
      <c r="T1000" s="19">
        <f>tblMaster[[#This Row],[Revenue]]-tblMaster[[#This Row],[Estimated Cost (at 70%) ]]</f>
        <v>141.60000000000002</v>
      </c>
      <c r="U1000" s="19">
        <f>tblMaster[[#This Row],[Profit]]/tblMaster[[#This Row],[Revenue]]</f>
        <v>0.30000000000000004</v>
      </c>
      <c r="V1000" s="19">
        <f>tblMaster[[#This Row],[Delivery_Date]]-tblMaster[[#This Row],[Order_Date]]</f>
        <v>4</v>
      </c>
      <c r="W1000" s="19" t="str">
        <f>TEXT(tblMaster[[#This Row],[Order_Date]],"mmmm")</f>
        <v>February</v>
      </c>
      <c r="X1000" s="19">
        <f>MONTH(tblMaster[[#This Row],[Order_Date]])</f>
        <v>2</v>
      </c>
      <c r="Y1000" s="19" t="str">
        <f>"Q"&amp;ROUNDUP(tblMaster[[#This Row],[Month Number]]/3,0)</f>
        <v>Q1</v>
      </c>
      <c r="Z1000" s="19">
        <f>YEAR(tblMaster[[#This Row],[Order_Date]])</f>
        <v>2023</v>
      </c>
      <c r="AA1000" s="19" t="str">
        <f>TEXT(DAY(tblMaster[[#This Row],[Order_Date]]),"dddd")</f>
        <v>Friday</v>
      </c>
      <c r="AB1000" s="19" t="str">
        <f>IF(tblMaster[[#This Row],[Revenue]]&gt;=5000,"High",IF(tblMaster[[#This Row],[Revenue]]&lt;2000,"Low","Medium"))</f>
        <v>Low</v>
      </c>
    </row>
    <row r="1001" spans="1:28" x14ac:dyDescent="0.25">
      <c r="A1001" s="14">
        <v>1000</v>
      </c>
      <c r="B1001" s="14" t="s">
        <v>172</v>
      </c>
      <c r="C1001" s="15">
        <v>27</v>
      </c>
      <c r="D1001" s="15">
        <v>4</v>
      </c>
      <c r="E1001" s="16">
        <v>45163</v>
      </c>
      <c r="F1001" s="17">
        <v>5.7442129629629628E-2</v>
      </c>
      <c r="G1001" s="16">
        <v>45169</v>
      </c>
      <c r="H1001" s="17">
        <v>0.29026620370370371</v>
      </c>
      <c r="I1001" s="14" t="s">
        <v>459</v>
      </c>
      <c r="J1001" s="14" t="s">
        <v>33</v>
      </c>
      <c r="K1001" s="18" t="str">
        <f>_xlfn.XLOOKUP(tblMaster[[#This Row],[Customer_ID]],tblCustomers[Customer_ID],tblCustomers[City],"Not Found",0)</f>
        <v>Bilaspur</v>
      </c>
      <c r="L1001" s="18" t="str">
        <f>_xlfn.XLOOKUP(tblMaster[[#This Row],[Customer_ID]],tblCustomers[Customer_ID],tblCustomers[Name],"Not Found",0)</f>
        <v>Onkar Mangat</v>
      </c>
      <c r="M1001" s="18" t="str">
        <f>_xlfn.XLOOKUP(tblMaster[[#This Row],[Customer_ID]],tblCustomers[Customer_ID],tblCustomers[Gender],"Not Found",0)</f>
        <v>Male</v>
      </c>
      <c r="N1001" s="18" t="str">
        <f>_xlfn.XLOOKUP(tblMaster[[#This Row],[Product_ID]],tblProducts[Product_ID],tblProducts[Product_Name],"Not Found",0)</f>
        <v>Architecto Gift</v>
      </c>
      <c r="O1001" s="18" t="str">
        <f>_xlfn.XLOOKUP(tblMaster[[#This Row],[Product_ID]],tblProducts[Product_ID],tblProducts[Category],"Not Found",0)</f>
        <v>Cake</v>
      </c>
      <c r="P1001" s="18" t="str">
        <f>_xlfn.XLOOKUP(tblMaster[[#This Row],[Product_ID]],tblProducts[Product_ID],tblProducts[Occasion],"Not Found",0)</f>
        <v>Raksha Bandhan</v>
      </c>
      <c r="Q1001" s="18">
        <f>_xlfn.XLOOKUP(tblMaster[[#This Row],[Product_ID]],tblProducts[Product_ID],tblProducts[Price (INR)],"Not Found",0)</f>
        <v>548</v>
      </c>
      <c r="R1001" s="19">
        <f>tblMaster[[#This Row],[Price]]*tblMaster[[#This Row],[Quantity]]</f>
        <v>2192</v>
      </c>
      <c r="S1001" s="19">
        <f>tblMaster[[#This Row],[Price]]*0.7*tblMaster[[#This Row],[Quantity]]</f>
        <v>1534.3999999999999</v>
      </c>
      <c r="T1001" s="19">
        <f>tblMaster[[#This Row],[Revenue]]-tblMaster[[#This Row],[Estimated Cost (at 70%) ]]</f>
        <v>657.60000000000014</v>
      </c>
      <c r="U1001" s="19">
        <f>tblMaster[[#This Row],[Profit]]/tblMaster[[#This Row],[Revenue]]</f>
        <v>0.30000000000000004</v>
      </c>
      <c r="V1001" s="19">
        <f>tblMaster[[#This Row],[Delivery_Date]]-tblMaster[[#This Row],[Order_Date]]</f>
        <v>6</v>
      </c>
      <c r="W1001" s="19" t="str">
        <f>TEXT(tblMaster[[#This Row],[Order_Date]],"mmmm")</f>
        <v>August</v>
      </c>
      <c r="X1001" s="19">
        <f>MONTH(tblMaster[[#This Row],[Order_Date]])</f>
        <v>8</v>
      </c>
      <c r="Y1001" s="19" t="str">
        <f>"Q"&amp;ROUNDUP(tblMaster[[#This Row],[Month Number]]/3,0)</f>
        <v>Q3</v>
      </c>
      <c r="Z1001" s="19">
        <f>YEAR(tblMaster[[#This Row],[Order_Date]])</f>
        <v>2023</v>
      </c>
      <c r="AA1001" s="19" t="str">
        <f>TEXT(DAY(tblMaster[[#This Row],[Order_Date]]),"dddd")</f>
        <v>Wednesday</v>
      </c>
      <c r="AB1001" s="19" t="str">
        <f>IF(tblMaster[[#This Row],[Revenue]]&gt;=5000,"High",IF(tblMaster[[#This Row],[Revenue]]&lt;2000,"Low","Medium"))</f>
        <v>Medium</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6FFF6-416A-41F8-B9FA-852FF1774A81}">
  <dimension ref="A3:S215"/>
  <sheetViews>
    <sheetView zoomScaleNormal="100" workbookViewId="0">
      <selection activeCell="F53" sqref="F53"/>
    </sheetView>
  </sheetViews>
  <sheetFormatPr defaultRowHeight="15" x14ac:dyDescent="0.25"/>
  <cols>
    <col min="1" max="1" width="27.140625" bestFit="1" customWidth="1"/>
    <col min="2" max="2" width="13.85546875" bestFit="1" customWidth="1"/>
    <col min="3" max="3" width="10.85546875" bestFit="1" customWidth="1"/>
    <col min="4" max="4" width="4" bestFit="1" customWidth="1"/>
    <col min="5" max="5" width="11.140625" customWidth="1"/>
    <col min="6" max="6" width="4" bestFit="1" customWidth="1"/>
    <col min="7" max="7" width="27.140625" bestFit="1" customWidth="1"/>
    <col min="8" max="8" width="21.42578125" bestFit="1" customWidth="1"/>
    <col min="9" max="9" width="10.85546875" bestFit="1" customWidth="1"/>
    <col min="10" max="12" width="4" bestFit="1" customWidth="1"/>
    <col min="13" max="13" width="27.140625" bestFit="1" customWidth="1"/>
    <col min="14" max="14" width="21.42578125" bestFit="1" customWidth="1"/>
    <col min="15" max="17" width="4" bestFit="1" customWidth="1"/>
    <col min="18" max="18" width="13.140625" bestFit="1" customWidth="1"/>
    <col min="19" max="19" width="13.85546875" bestFit="1" customWidth="1"/>
    <col min="20" max="26" width="4" bestFit="1" customWidth="1"/>
    <col min="27" max="27" width="19.140625" bestFit="1" customWidth="1"/>
    <col min="28" max="28" width="13.85546875" bestFit="1" customWidth="1"/>
    <col min="29" max="45" width="4" bestFit="1" customWidth="1"/>
    <col min="46" max="326" width="5" bestFit="1" customWidth="1"/>
    <col min="327" max="327" width="11.28515625" bestFit="1" customWidth="1"/>
  </cols>
  <sheetData>
    <row r="3" spans="1:8" x14ac:dyDescent="0.25">
      <c r="A3" s="32" t="s">
        <v>1025</v>
      </c>
      <c r="B3" s="33"/>
      <c r="G3" s="21" t="s">
        <v>1043</v>
      </c>
      <c r="H3" t="s">
        <v>1020</v>
      </c>
    </row>
    <row r="4" spans="1:8" x14ac:dyDescent="0.25">
      <c r="A4" s="30" t="s">
        <v>1020</v>
      </c>
      <c r="B4" s="29">
        <v>1000</v>
      </c>
      <c r="G4" s="22" t="s">
        <v>1040</v>
      </c>
      <c r="H4" s="1">
        <v>257</v>
      </c>
    </row>
    <row r="5" spans="1:8" x14ac:dyDescent="0.25">
      <c r="A5" s="30" t="s">
        <v>1021</v>
      </c>
      <c r="B5" s="29">
        <v>3520984</v>
      </c>
      <c r="G5" s="22" t="s">
        <v>1041</v>
      </c>
      <c r="H5" s="1">
        <v>356</v>
      </c>
    </row>
    <row r="6" spans="1:8" x14ac:dyDescent="0.25">
      <c r="A6" s="30" t="s">
        <v>1022</v>
      </c>
      <c r="B6" s="29">
        <v>1056295.2000000004</v>
      </c>
      <c r="G6" s="22" t="s">
        <v>1042</v>
      </c>
      <c r="H6" s="1">
        <v>387</v>
      </c>
    </row>
    <row r="7" spans="1:8" x14ac:dyDescent="0.25">
      <c r="A7" s="30" t="s">
        <v>1023</v>
      </c>
      <c r="B7" s="29">
        <v>3520.9839999999999</v>
      </c>
      <c r="G7" s="22" t="s">
        <v>1024</v>
      </c>
      <c r="H7" s="1">
        <v>1000</v>
      </c>
    </row>
    <row r="13" spans="1:8" x14ac:dyDescent="0.25">
      <c r="A13" s="21" t="s">
        <v>4</v>
      </c>
      <c r="B13" t="s">
        <v>1021</v>
      </c>
      <c r="C13" t="s">
        <v>1022</v>
      </c>
      <c r="G13" s="21" t="s">
        <v>4</v>
      </c>
      <c r="H13" t="s">
        <v>1039</v>
      </c>
    </row>
    <row r="14" spans="1:8" x14ac:dyDescent="0.25">
      <c r="A14" s="22" t="s">
        <v>8</v>
      </c>
      <c r="B14" s="1">
        <v>586176</v>
      </c>
      <c r="C14" s="1">
        <v>175852.7999999999</v>
      </c>
      <c r="G14" s="22" t="s">
        <v>25</v>
      </c>
      <c r="H14" s="23">
        <v>5.7777777777777777</v>
      </c>
    </row>
    <row r="15" spans="1:8" x14ac:dyDescent="0.25">
      <c r="A15" s="22" t="s">
        <v>30</v>
      </c>
      <c r="B15" s="1">
        <v>674634</v>
      </c>
      <c r="C15" s="1">
        <v>202390.19999999995</v>
      </c>
      <c r="G15" s="22" t="s">
        <v>8</v>
      </c>
      <c r="H15" s="23">
        <v>5.7222222222222223</v>
      </c>
    </row>
    <row r="16" spans="1:8" x14ac:dyDescent="0.25">
      <c r="A16" s="22" t="s">
        <v>36</v>
      </c>
      <c r="B16" s="1">
        <v>408194</v>
      </c>
      <c r="C16" s="1">
        <v>122458.20000000003</v>
      </c>
      <c r="G16" s="22" t="s">
        <v>33</v>
      </c>
      <c r="H16" s="23">
        <v>5.6893939393939394</v>
      </c>
    </row>
    <row r="17" spans="1:19" x14ac:dyDescent="0.25">
      <c r="A17" s="22" t="s">
        <v>19</v>
      </c>
      <c r="B17" s="1">
        <v>313783</v>
      </c>
      <c r="C17" s="1">
        <v>94134.900000000009</v>
      </c>
      <c r="G17" s="22" t="s">
        <v>30</v>
      </c>
      <c r="H17" s="23">
        <v>5.5170731707317069</v>
      </c>
    </row>
    <row r="18" spans="1:19" x14ac:dyDescent="0.25">
      <c r="A18" s="22" t="s">
        <v>25</v>
      </c>
      <c r="B18" s="1">
        <v>574682</v>
      </c>
      <c r="C18" s="1">
        <v>172404.6</v>
      </c>
      <c r="G18" s="22" t="s">
        <v>36</v>
      </c>
      <c r="H18" s="23">
        <v>5.4630872483221475</v>
      </c>
    </row>
    <row r="19" spans="1:19" x14ac:dyDescent="0.25">
      <c r="A19" s="22" t="s">
        <v>33</v>
      </c>
      <c r="B19" s="1">
        <v>631585</v>
      </c>
      <c r="C19" s="1">
        <v>189475.49999999994</v>
      </c>
      <c r="G19" s="22" t="s">
        <v>12</v>
      </c>
      <c r="H19" s="23">
        <v>5.336283185840708</v>
      </c>
    </row>
    <row r="20" spans="1:19" x14ac:dyDescent="0.25">
      <c r="A20" s="22" t="s">
        <v>12</v>
      </c>
      <c r="B20" s="1">
        <v>331930</v>
      </c>
      <c r="C20" s="1">
        <v>99579</v>
      </c>
      <c r="G20" s="22" t="s">
        <v>19</v>
      </c>
      <c r="H20" s="23">
        <v>4.9473684210526319</v>
      </c>
    </row>
    <row r="21" spans="1:19" x14ac:dyDescent="0.25">
      <c r="A21" s="22" t="s">
        <v>1024</v>
      </c>
      <c r="B21" s="1">
        <v>3520984</v>
      </c>
      <c r="C21" s="1">
        <v>1056295.1999999997</v>
      </c>
      <c r="G21" s="22" t="s">
        <v>1024</v>
      </c>
      <c r="H21" s="1">
        <v>5.53</v>
      </c>
    </row>
    <row r="22" spans="1:19" x14ac:dyDescent="0.25">
      <c r="A22" s="22"/>
      <c r="B22" s="1"/>
      <c r="R22" s="22"/>
      <c r="S22" s="1"/>
    </row>
    <row r="23" spans="1:19" x14ac:dyDescent="0.25">
      <c r="A23" s="22"/>
      <c r="B23" s="1"/>
      <c r="R23" s="22"/>
      <c r="S23" s="1"/>
    </row>
    <row r="24" spans="1:19" x14ac:dyDescent="0.25">
      <c r="A24" s="22"/>
      <c r="B24" s="1"/>
      <c r="R24" s="22"/>
      <c r="S24" s="1"/>
    </row>
    <row r="25" spans="1:19" x14ac:dyDescent="0.25">
      <c r="A25" s="21" t="s">
        <v>2</v>
      </c>
      <c r="B25" t="s">
        <v>1021</v>
      </c>
      <c r="C25" t="s">
        <v>1022</v>
      </c>
      <c r="G25" s="21" t="s">
        <v>2</v>
      </c>
      <c r="H25" t="s">
        <v>1039</v>
      </c>
    </row>
    <row r="26" spans="1:19" x14ac:dyDescent="0.25">
      <c r="A26" s="22" t="s">
        <v>24</v>
      </c>
      <c r="B26" s="1">
        <v>329862</v>
      </c>
      <c r="C26" s="1">
        <v>98958.600000000035</v>
      </c>
      <c r="G26" s="22" t="s">
        <v>24</v>
      </c>
      <c r="H26" s="23">
        <v>6.0169491525423728</v>
      </c>
    </row>
    <row r="27" spans="1:19" x14ac:dyDescent="0.25">
      <c r="A27" s="22" t="s">
        <v>15</v>
      </c>
      <c r="B27" s="1">
        <v>1005645</v>
      </c>
      <c r="C27" s="1">
        <v>301693.49999999994</v>
      </c>
      <c r="G27" s="22" t="s">
        <v>18</v>
      </c>
      <c r="H27" s="23">
        <v>5.7251461988304095</v>
      </c>
    </row>
    <row r="28" spans="1:19" x14ac:dyDescent="0.25">
      <c r="A28" s="22" t="s">
        <v>39</v>
      </c>
      <c r="B28" s="1">
        <v>201151</v>
      </c>
      <c r="C28" s="1">
        <v>60345.299999999996</v>
      </c>
      <c r="G28" s="22" t="s">
        <v>15</v>
      </c>
      <c r="H28" s="23">
        <v>5.6336996336996341</v>
      </c>
    </row>
    <row r="29" spans="1:19" x14ac:dyDescent="0.25">
      <c r="A29" s="22" t="s">
        <v>11</v>
      </c>
      <c r="B29" s="1">
        <v>212281</v>
      </c>
      <c r="C29" s="1">
        <v>63684.299999999988</v>
      </c>
      <c r="G29" s="22" t="s">
        <v>33</v>
      </c>
      <c r="H29" s="23">
        <v>5.3838383838383841</v>
      </c>
    </row>
    <row r="30" spans="1:19" x14ac:dyDescent="0.25">
      <c r="A30" s="22" t="s">
        <v>33</v>
      </c>
      <c r="B30" s="1">
        <v>297372</v>
      </c>
      <c r="C30" s="1">
        <v>89211.6</v>
      </c>
      <c r="G30" s="22" t="s">
        <v>39</v>
      </c>
      <c r="H30" s="23">
        <v>5.3513513513513518</v>
      </c>
    </row>
    <row r="31" spans="1:19" x14ac:dyDescent="0.25">
      <c r="A31" s="22" t="s">
        <v>7</v>
      </c>
      <c r="B31" s="1">
        <v>740831</v>
      </c>
      <c r="C31" s="1">
        <v>222249.3</v>
      </c>
      <c r="G31" s="22" t="s">
        <v>7</v>
      </c>
      <c r="H31" s="23">
        <v>5.2289156626506026</v>
      </c>
    </row>
    <row r="32" spans="1:19" x14ac:dyDescent="0.25">
      <c r="A32" s="22" t="s">
        <v>18</v>
      </c>
      <c r="B32" s="1">
        <v>733842</v>
      </c>
      <c r="C32" s="1">
        <v>220152.59999999989</v>
      </c>
      <c r="G32" s="22" t="s">
        <v>11</v>
      </c>
      <c r="H32" s="23">
        <v>5.1111111111111107</v>
      </c>
    </row>
    <row r="33" spans="1:9" x14ac:dyDescent="0.25">
      <c r="A33" s="22" t="s">
        <v>1024</v>
      </c>
      <c r="B33" s="1">
        <v>3520984</v>
      </c>
      <c r="C33" s="1">
        <v>1056295.1999999997</v>
      </c>
      <c r="G33" s="22" t="s">
        <v>1024</v>
      </c>
      <c r="H33" s="1">
        <v>5.53</v>
      </c>
    </row>
    <row r="37" spans="1:9" x14ac:dyDescent="0.25">
      <c r="A37" s="21" t="s">
        <v>1014</v>
      </c>
      <c r="B37" t="s">
        <v>1021</v>
      </c>
      <c r="C37" t="s">
        <v>1022</v>
      </c>
      <c r="G37" s="21" t="s">
        <v>1051</v>
      </c>
      <c r="H37" t="s">
        <v>1021</v>
      </c>
      <c r="I37" t="s">
        <v>1022</v>
      </c>
    </row>
    <row r="38" spans="1:9" x14ac:dyDescent="0.25">
      <c r="A38" s="22" t="s">
        <v>1034</v>
      </c>
      <c r="B38" s="1">
        <v>737389</v>
      </c>
      <c r="C38" s="1">
        <v>221216.69999999995</v>
      </c>
      <c r="G38" s="22" t="s">
        <v>1044</v>
      </c>
      <c r="H38" s="1">
        <v>449717</v>
      </c>
      <c r="I38" s="1">
        <v>134915.1</v>
      </c>
    </row>
    <row r="39" spans="1:9" x14ac:dyDescent="0.25">
      <c r="A39" s="22" t="s">
        <v>1028</v>
      </c>
      <c r="B39" s="1">
        <v>704509</v>
      </c>
      <c r="C39" s="1">
        <v>211352.7000000001</v>
      </c>
      <c r="G39" s="22" t="s">
        <v>1045</v>
      </c>
      <c r="H39" s="1">
        <v>423119</v>
      </c>
      <c r="I39" s="1">
        <v>126935.7</v>
      </c>
    </row>
    <row r="40" spans="1:9" x14ac:dyDescent="0.25">
      <c r="A40" s="22" t="s">
        <v>1029</v>
      </c>
      <c r="B40" s="1">
        <v>511823</v>
      </c>
      <c r="C40" s="1">
        <v>153546.90000000002</v>
      </c>
      <c r="G40" s="22" t="s">
        <v>1046</v>
      </c>
      <c r="H40" s="1">
        <v>475516</v>
      </c>
      <c r="I40" s="1">
        <v>142654.80000000002</v>
      </c>
    </row>
    <row r="41" spans="1:9" x14ac:dyDescent="0.25">
      <c r="A41" s="22" t="s">
        <v>1037</v>
      </c>
      <c r="B41" s="1">
        <v>449169</v>
      </c>
      <c r="C41" s="1">
        <v>134750.70000000004</v>
      </c>
      <c r="G41" s="22" t="s">
        <v>1047</v>
      </c>
      <c r="H41" s="1">
        <v>507392</v>
      </c>
      <c r="I41" s="1">
        <v>152217.59999999998</v>
      </c>
    </row>
    <row r="42" spans="1:9" x14ac:dyDescent="0.25">
      <c r="A42" s="22" t="s">
        <v>1032</v>
      </c>
      <c r="B42" s="1">
        <v>157913</v>
      </c>
      <c r="C42" s="1">
        <v>47373.9</v>
      </c>
      <c r="G42" s="22" t="s">
        <v>1048</v>
      </c>
      <c r="H42" s="1">
        <v>501552</v>
      </c>
      <c r="I42" s="1">
        <v>150465.60000000003</v>
      </c>
    </row>
    <row r="43" spans="1:9" x14ac:dyDescent="0.25">
      <c r="A43" s="22" t="s">
        <v>1036</v>
      </c>
      <c r="B43" s="1">
        <v>151619</v>
      </c>
      <c r="C43" s="1">
        <v>45485.700000000012</v>
      </c>
      <c r="G43" s="22" t="s">
        <v>1049</v>
      </c>
      <c r="H43" s="1">
        <v>521219</v>
      </c>
      <c r="I43" s="1">
        <v>156365.69999999998</v>
      </c>
    </row>
    <row r="44" spans="1:9" x14ac:dyDescent="0.25">
      <c r="A44" s="22" t="s">
        <v>1031</v>
      </c>
      <c r="B44" s="1">
        <v>150346</v>
      </c>
      <c r="C44" s="1">
        <v>45103.799999999996</v>
      </c>
      <c r="G44" s="22" t="s">
        <v>1050</v>
      </c>
      <c r="H44" s="1">
        <v>642469</v>
      </c>
      <c r="I44" s="1">
        <v>192740.69999999995</v>
      </c>
    </row>
    <row r="45" spans="1:9" x14ac:dyDescent="0.25">
      <c r="A45" s="22" t="s">
        <v>1038</v>
      </c>
      <c r="B45" s="1">
        <v>149591</v>
      </c>
      <c r="C45" s="1">
        <v>44877.30000000001</v>
      </c>
      <c r="G45" s="22" t="s">
        <v>1024</v>
      </c>
      <c r="H45" s="1">
        <v>3520984</v>
      </c>
      <c r="I45" s="1">
        <v>1056295.2</v>
      </c>
    </row>
    <row r="46" spans="1:9" x14ac:dyDescent="0.25">
      <c r="A46" s="22" t="s">
        <v>1030</v>
      </c>
      <c r="B46" s="1">
        <v>140393</v>
      </c>
      <c r="C46" s="1">
        <v>42117.900000000009</v>
      </c>
    </row>
    <row r="47" spans="1:9" x14ac:dyDescent="0.25">
      <c r="A47" s="22" t="s">
        <v>1035</v>
      </c>
      <c r="B47" s="1">
        <v>136938</v>
      </c>
      <c r="C47" s="1">
        <v>41081.400000000009</v>
      </c>
    </row>
    <row r="48" spans="1:9" x14ac:dyDescent="0.25">
      <c r="A48" s="22" t="s">
        <v>1033</v>
      </c>
      <c r="B48" s="1">
        <v>135826</v>
      </c>
      <c r="C48" s="1">
        <v>40747.800000000003</v>
      </c>
    </row>
    <row r="49" spans="1:8" x14ac:dyDescent="0.25">
      <c r="A49" s="22" t="s">
        <v>1027</v>
      </c>
      <c r="B49" s="1">
        <v>95468</v>
      </c>
      <c r="C49" s="1">
        <v>28640.400000000005</v>
      </c>
    </row>
    <row r="50" spans="1:8" x14ac:dyDescent="0.25">
      <c r="A50" s="22" t="s">
        <v>1024</v>
      </c>
      <c r="B50" s="1">
        <v>3520984</v>
      </c>
      <c r="C50" s="1">
        <v>1056295.2000000002</v>
      </c>
    </row>
    <row r="52" spans="1:8" ht="53.25" customHeight="1" x14ac:dyDescent="0.25">
      <c r="A52" s="27"/>
      <c r="B52" s="27"/>
      <c r="C52" s="27"/>
    </row>
    <row r="55" spans="1:8" x14ac:dyDescent="0.25">
      <c r="A55" s="21" t="s">
        <v>1026</v>
      </c>
      <c r="B55" t="s">
        <v>1021</v>
      </c>
      <c r="C55" t="s">
        <v>1022</v>
      </c>
      <c r="G55" s="21" t="s">
        <v>1026</v>
      </c>
      <c r="H55" t="s">
        <v>1039</v>
      </c>
    </row>
    <row r="56" spans="1:8" x14ac:dyDescent="0.25">
      <c r="A56" s="22" t="s">
        <v>35</v>
      </c>
      <c r="B56" s="1">
        <v>10619</v>
      </c>
      <c r="C56" s="1">
        <v>3185.7000000000003</v>
      </c>
      <c r="G56" s="22" t="s">
        <v>35</v>
      </c>
      <c r="H56" s="23">
        <v>6.4</v>
      </c>
    </row>
    <row r="57" spans="1:8" x14ac:dyDescent="0.25">
      <c r="A57" s="22" t="s">
        <v>17</v>
      </c>
      <c r="B57" s="1">
        <v>61149</v>
      </c>
      <c r="C57" s="1">
        <v>18344.700000000004</v>
      </c>
      <c r="G57" s="22" t="s">
        <v>17</v>
      </c>
      <c r="H57" s="23">
        <v>5.0625</v>
      </c>
    </row>
    <row r="58" spans="1:8" x14ac:dyDescent="0.25">
      <c r="A58" s="22" t="s">
        <v>65</v>
      </c>
      <c r="B58" s="1">
        <v>38520</v>
      </c>
      <c r="C58" s="1">
        <v>11556</v>
      </c>
      <c r="G58" s="22" t="s">
        <v>65</v>
      </c>
      <c r="H58" s="23">
        <v>4.8695652173913047</v>
      </c>
    </row>
    <row r="59" spans="1:8" x14ac:dyDescent="0.25">
      <c r="A59" s="22" t="s">
        <v>142</v>
      </c>
      <c r="B59" s="1">
        <v>32352</v>
      </c>
      <c r="C59" s="1">
        <v>9705.6000000000022</v>
      </c>
      <c r="G59" s="22" t="s">
        <v>142</v>
      </c>
      <c r="H59" s="23">
        <v>6.7777777777777777</v>
      </c>
    </row>
    <row r="60" spans="1:8" x14ac:dyDescent="0.25">
      <c r="A60" s="22" t="s">
        <v>69</v>
      </c>
      <c r="B60" s="1">
        <v>18785</v>
      </c>
      <c r="C60" s="1">
        <v>5635.5</v>
      </c>
      <c r="G60" s="22" t="s">
        <v>69</v>
      </c>
      <c r="H60" s="23">
        <v>6.0869565217391308</v>
      </c>
    </row>
    <row r="61" spans="1:8" x14ac:dyDescent="0.25">
      <c r="A61" s="22" t="s">
        <v>32</v>
      </c>
      <c r="B61" s="1">
        <v>89880</v>
      </c>
      <c r="C61" s="1">
        <v>26964</v>
      </c>
      <c r="G61" s="22" t="s">
        <v>32</v>
      </c>
      <c r="H61" s="23">
        <v>5.9444444444444446</v>
      </c>
    </row>
    <row r="62" spans="1:8" x14ac:dyDescent="0.25">
      <c r="A62" s="22" t="s">
        <v>71</v>
      </c>
      <c r="B62" s="1">
        <v>26852</v>
      </c>
      <c r="C62" s="1">
        <v>8055.6000000000013</v>
      </c>
      <c r="G62" s="22" t="s">
        <v>71</v>
      </c>
      <c r="H62" s="23">
        <v>6.5384615384615383</v>
      </c>
    </row>
    <row r="63" spans="1:8" x14ac:dyDescent="0.25">
      <c r="A63" s="22" t="s">
        <v>99</v>
      </c>
      <c r="B63" s="1">
        <v>81057</v>
      </c>
      <c r="C63" s="1">
        <v>24317.100000000006</v>
      </c>
      <c r="G63" s="22" t="s">
        <v>99</v>
      </c>
      <c r="H63" s="23">
        <v>5.0714285714285712</v>
      </c>
    </row>
    <row r="64" spans="1:8" x14ac:dyDescent="0.25">
      <c r="A64" s="22" t="s">
        <v>89</v>
      </c>
      <c r="B64" s="1">
        <v>7714</v>
      </c>
      <c r="C64" s="1">
        <v>2314.1999999999998</v>
      </c>
      <c r="G64" s="22" t="s">
        <v>89</v>
      </c>
      <c r="H64" s="23">
        <v>4.9230769230769234</v>
      </c>
    </row>
    <row r="65" spans="1:8" x14ac:dyDescent="0.25">
      <c r="A65" s="22" t="s">
        <v>51</v>
      </c>
      <c r="B65" s="1">
        <v>75960</v>
      </c>
      <c r="C65" s="1">
        <v>22788.000000000004</v>
      </c>
      <c r="G65" s="22" t="s">
        <v>51</v>
      </c>
      <c r="H65" s="23">
        <v>5.117647058823529</v>
      </c>
    </row>
    <row r="66" spans="1:8" x14ac:dyDescent="0.25">
      <c r="A66" s="22" t="s">
        <v>45</v>
      </c>
      <c r="B66" s="1">
        <v>97665</v>
      </c>
      <c r="C66" s="1">
        <v>29299.5</v>
      </c>
      <c r="G66" s="22" t="s">
        <v>45</v>
      </c>
      <c r="H66" s="23">
        <v>4.6470588235294121</v>
      </c>
    </row>
    <row r="67" spans="1:8" x14ac:dyDescent="0.25">
      <c r="A67" s="22" t="s">
        <v>63</v>
      </c>
      <c r="B67" s="1">
        <v>90036</v>
      </c>
      <c r="C67" s="1">
        <v>27010.800000000007</v>
      </c>
      <c r="G67" s="22" t="s">
        <v>63</v>
      </c>
      <c r="H67" s="23">
        <v>5.4444444444444446</v>
      </c>
    </row>
    <row r="68" spans="1:8" x14ac:dyDescent="0.25">
      <c r="A68" s="22" t="s">
        <v>127</v>
      </c>
      <c r="B68" s="1">
        <v>106624</v>
      </c>
      <c r="C68" s="1">
        <v>31987.200000000001</v>
      </c>
      <c r="G68" s="22" t="s">
        <v>127</v>
      </c>
      <c r="H68" s="23">
        <v>4.7647058823529411</v>
      </c>
    </row>
    <row r="69" spans="1:8" x14ac:dyDescent="0.25">
      <c r="A69" s="22" t="s">
        <v>121</v>
      </c>
      <c r="B69" s="1">
        <v>8024</v>
      </c>
      <c r="C69" s="1">
        <v>2407.2000000000003</v>
      </c>
      <c r="G69" s="22" t="s">
        <v>121</v>
      </c>
      <c r="H69" s="23">
        <v>5.2727272727272725</v>
      </c>
    </row>
    <row r="70" spans="1:8" x14ac:dyDescent="0.25">
      <c r="A70" s="22" t="s">
        <v>105</v>
      </c>
      <c r="B70" s="1">
        <v>34936</v>
      </c>
      <c r="C70" s="1">
        <v>10480.800000000001</v>
      </c>
      <c r="G70" s="22" t="s">
        <v>105</v>
      </c>
      <c r="H70" s="23">
        <v>3.0769230769230771</v>
      </c>
    </row>
    <row r="71" spans="1:8" x14ac:dyDescent="0.25">
      <c r="A71" s="22" t="s">
        <v>136</v>
      </c>
      <c r="B71" s="1">
        <v>36388</v>
      </c>
      <c r="C71" s="1">
        <v>10916.400000000001</v>
      </c>
      <c r="G71" s="22" t="s">
        <v>136</v>
      </c>
      <c r="H71" s="23">
        <v>6.7692307692307692</v>
      </c>
    </row>
    <row r="72" spans="1:8" x14ac:dyDescent="0.25">
      <c r="A72" s="22" t="s">
        <v>83</v>
      </c>
      <c r="B72" s="1">
        <v>13188</v>
      </c>
      <c r="C72" s="1">
        <v>3956.4000000000005</v>
      </c>
      <c r="G72" s="22" t="s">
        <v>83</v>
      </c>
      <c r="H72" s="23">
        <v>4.6923076923076925</v>
      </c>
    </row>
    <row r="73" spans="1:8" x14ac:dyDescent="0.25">
      <c r="A73" s="22" t="s">
        <v>14</v>
      </c>
      <c r="B73" s="1">
        <v>85904</v>
      </c>
      <c r="C73" s="1">
        <v>25771.199999999997</v>
      </c>
      <c r="G73" s="22" t="s">
        <v>14</v>
      </c>
      <c r="H73" s="23">
        <v>4.8235294117647056</v>
      </c>
    </row>
    <row r="74" spans="1:8" x14ac:dyDescent="0.25">
      <c r="A74" s="22" t="s">
        <v>117</v>
      </c>
      <c r="B74" s="1">
        <v>16880</v>
      </c>
      <c r="C74" s="1">
        <v>5064.0000000000018</v>
      </c>
      <c r="G74" s="22" t="s">
        <v>117</v>
      </c>
      <c r="H74" s="23">
        <v>5.5714285714285712</v>
      </c>
    </row>
    <row r="75" spans="1:8" x14ac:dyDescent="0.25">
      <c r="A75" s="22" t="s">
        <v>146</v>
      </c>
      <c r="B75" s="1">
        <v>97012</v>
      </c>
      <c r="C75" s="1">
        <v>29103.600000000002</v>
      </c>
      <c r="G75" s="22" t="s">
        <v>146</v>
      </c>
      <c r="H75" s="23">
        <v>5.4545454545454541</v>
      </c>
    </row>
    <row r="76" spans="1:8" x14ac:dyDescent="0.25">
      <c r="A76" s="22" t="s">
        <v>43</v>
      </c>
      <c r="B76" s="1">
        <v>69601</v>
      </c>
      <c r="C76" s="1">
        <v>20880.3</v>
      </c>
      <c r="G76" s="22" t="s">
        <v>43</v>
      </c>
      <c r="H76" s="23">
        <v>5.8421052631578947</v>
      </c>
    </row>
    <row r="77" spans="1:8" x14ac:dyDescent="0.25">
      <c r="A77" s="22" t="s">
        <v>61</v>
      </c>
      <c r="B77" s="1">
        <v>96701</v>
      </c>
      <c r="C77" s="1">
        <v>29010.3</v>
      </c>
      <c r="G77" s="22" t="s">
        <v>61</v>
      </c>
      <c r="H77" s="23">
        <v>5.6470588235294121</v>
      </c>
    </row>
    <row r="78" spans="1:8" x14ac:dyDescent="0.25">
      <c r="A78" s="22" t="s">
        <v>101</v>
      </c>
      <c r="B78" s="1">
        <v>88944</v>
      </c>
      <c r="C78" s="1">
        <v>26683.200000000004</v>
      </c>
      <c r="G78" s="22" t="s">
        <v>101</v>
      </c>
      <c r="H78" s="23">
        <v>5.5625</v>
      </c>
    </row>
    <row r="79" spans="1:8" x14ac:dyDescent="0.25">
      <c r="A79" s="22" t="s">
        <v>81</v>
      </c>
      <c r="B79" s="1">
        <v>80640</v>
      </c>
      <c r="C79" s="1">
        <v>24192.000000000004</v>
      </c>
      <c r="G79" s="22" t="s">
        <v>81</v>
      </c>
      <c r="H79" s="23">
        <v>4.9333333333333336</v>
      </c>
    </row>
    <row r="80" spans="1:8" x14ac:dyDescent="0.25">
      <c r="A80" s="22" t="s">
        <v>119</v>
      </c>
      <c r="B80" s="1">
        <v>68292</v>
      </c>
      <c r="C80" s="1">
        <v>20487.600000000002</v>
      </c>
      <c r="G80" s="22" t="s">
        <v>119</v>
      </c>
      <c r="H80" s="23">
        <v>4.6956521739130439</v>
      </c>
    </row>
    <row r="81" spans="1:8" x14ac:dyDescent="0.25">
      <c r="A81" s="22" t="s">
        <v>111</v>
      </c>
      <c r="B81" s="1">
        <v>101556</v>
      </c>
      <c r="C81" s="1">
        <v>30466.80000000001</v>
      </c>
      <c r="G81" s="22" t="s">
        <v>111</v>
      </c>
      <c r="H81" s="23">
        <v>5.6</v>
      </c>
    </row>
    <row r="82" spans="1:8" x14ac:dyDescent="0.25">
      <c r="A82" s="22" t="s">
        <v>154</v>
      </c>
      <c r="B82" s="1">
        <v>34930</v>
      </c>
      <c r="C82" s="1">
        <v>10479.000000000005</v>
      </c>
      <c r="G82" s="22" t="s">
        <v>154</v>
      </c>
      <c r="H82" s="23">
        <v>6.4</v>
      </c>
    </row>
    <row r="83" spans="1:8" x14ac:dyDescent="0.25">
      <c r="A83" s="22" t="s">
        <v>75</v>
      </c>
      <c r="B83" s="1">
        <v>45072</v>
      </c>
      <c r="C83" s="1">
        <v>13521.6</v>
      </c>
      <c r="G83" s="22" t="s">
        <v>75</v>
      </c>
      <c r="H83" s="23">
        <v>5.5714285714285712</v>
      </c>
    </row>
    <row r="84" spans="1:8" x14ac:dyDescent="0.25">
      <c r="A84" s="22" t="s">
        <v>123</v>
      </c>
      <c r="B84" s="1">
        <v>85272</v>
      </c>
      <c r="C84" s="1">
        <v>25581.600000000006</v>
      </c>
      <c r="G84" s="22" t="s">
        <v>123</v>
      </c>
      <c r="H84" s="23">
        <v>5.6875</v>
      </c>
    </row>
    <row r="85" spans="1:8" x14ac:dyDescent="0.25">
      <c r="A85" s="22" t="s">
        <v>55</v>
      </c>
      <c r="B85" s="1">
        <v>51828</v>
      </c>
      <c r="C85" s="1">
        <v>15548.400000000001</v>
      </c>
      <c r="G85" s="22" t="s">
        <v>55</v>
      </c>
      <c r="H85" s="23">
        <v>6.1538461538461542</v>
      </c>
    </row>
    <row r="86" spans="1:8" x14ac:dyDescent="0.25">
      <c r="A86" s="22" t="s">
        <v>138</v>
      </c>
      <c r="B86" s="1">
        <v>25110</v>
      </c>
      <c r="C86" s="1">
        <v>7533</v>
      </c>
      <c r="G86" s="22" t="s">
        <v>138</v>
      </c>
      <c r="H86" s="23">
        <v>4.6363636363636367</v>
      </c>
    </row>
    <row r="87" spans="1:8" x14ac:dyDescent="0.25">
      <c r="A87" s="22" t="s">
        <v>107</v>
      </c>
      <c r="B87" s="1">
        <v>30324</v>
      </c>
      <c r="C87" s="1">
        <v>9097.2000000000025</v>
      </c>
      <c r="G87" s="22" t="s">
        <v>107</v>
      </c>
      <c r="H87" s="23">
        <v>5.7058823529411766</v>
      </c>
    </row>
    <row r="88" spans="1:8" x14ac:dyDescent="0.25">
      <c r="A88" s="22" t="s">
        <v>6</v>
      </c>
      <c r="B88" s="1">
        <v>121905</v>
      </c>
      <c r="C88" s="1">
        <v>36571.5</v>
      </c>
      <c r="G88" s="22" t="s">
        <v>6</v>
      </c>
      <c r="H88" s="23">
        <v>6.4210526315789478</v>
      </c>
    </row>
    <row r="89" spans="1:8" x14ac:dyDescent="0.25">
      <c r="A89" s="22" t="s">
        <v>150</v>
      </c>
      <c r="B89" s="1">
        <v>65952</v>
      </c>
      <c r="C89" s="1">
        <v>19785.600000000002</v>
      </c>
      <c r="G89" s="22" t="s">
        <v>150</v>
      </c>
      <c r="H89" s="23">
        <v>5.6875</v>
      </c>
    </row>
    <row r="90" spans="1:8" x14ac:dyDescent="0.25">
      <c r="A90" s="22" t="s">
        <v>113</v>
      </c>
      <c r="B90" s="1">
        <v>12557</v>
      </c>
      <c r="C90" s="1">
        <v>3767.1000000000013</v>
      </c>
      <c r="G90" s="22" t="s">
        <v>113</v>
      </c>
      <c r="H90" s="23">
        <v>4.333333333333333</v>
      </c>
    </row>
    <row r="91" spans="1:8" x14ac:dyDescent="0.25">
      <c r="A91" s="22" t="s">
        <v>38</v>
      </c>
      <c r="B91" s="1">
        <v>29592</v>
      </c>
      <c r="C91" s="1">
        <v>8877.6000000000022</v>
      </c>
      <c r="G91" s="22" t="s">
        <v>38</v>
      </c>
      <c r="H91" s="23">
        <v>3.4444444444444446</v>
      </c>
    </row>
    <row r="92" spans="1:8" x14ac:dyDescent="0.25">
      <c r="A92" s="22" t="s">
        <v>93</v>
      </c>
      <c r="B92" s="1">
        <v>19670</v>
      </c>
      <c r="C92" s="1">
        <v>5901.0000000000009</v>
      </c>
      <c r="G92" s="22" t="s">
        <v>93</v>
      </c>
      <c r="H92" s="23">
        <v>6.4545454545454541</v>
      </c>
    </row>
    <row r="93" spans="1:8" x14ac:dyDescent="0.25">
      <c r="A93" s="22" t="s">
        <v>87</v>
      </c>
      <c r="B93" s="1">
        <v>91385</v>
      </c>
      <c r="C93" s="1">
        <v>27415.5</v>
      </c>
      <c r="G93" s="22" t="s">
        <v>87</v>
      </c>
      <c r="H93" s="23">
        <v>6.7777777777777777</v>
      </c>
    </row>
    <row r="94" spans="1:8" x14ac:dyDescent="0.25">
      <c r="A94" s="22" t="s">
        <v>21</v>
      </c>
      <c r="B94" s="1">
        <v>31768</v>
      </c>
      <c r="C94" s="1">
        <v>9530.4000000000015</v>
      </c>
      <c r="G94" s="22" t="s">
        <v>21</v>
      </c>
      <c r="H94" s="23">
        <v>5.625</v>
      </c>
    </row>
    <row r="95" spans="1:8" x14ac:dyDescent="0.25">
      <c r="A95" s="22" t="s">
        <v>53</v>
      </c>
      <c r="B95" s="1">
        <v>26554</v>
      </c>
      <c r="C95" s="1">
        <v>7966.2000000000025</v>
      </c>
      <c r="G95" s="22" t="s">
        <v>53</v>
      </c>
      <c r="H95" s="23">
        <v>6.416666666666667</v>
      </c>
    </row>
    <row r="96" spans="1:8" x14ac:dyDescent="0.25">
      <c r="A96" s="22" t="s">
        <v>79</v>
      </c>
      <c r="B96" s="1">
        <v>73964</v>
      </c>
      <c r="C96" s="1">
        <v>22189.200000000001</v>
      </c>
      <c r="G96" s="22" t="s">
        <v>79</v>
      </c>
      <c r="H96" s="23">
        <v>6</v>
      </c>
    </row>
    <row r="97" spans="1:8" x14ac:dyDescent="0.25">
      <c r="A97" s="22" t="s">
        <v>41</v>
      </c>
      <c r="B97" s="1">
        <v>32928</v>
      </c>
      <c r="C97" s="1">
        <v>9878.4000000000015</v>
      </c>
      <c r="G97" s="22" t="s">
        <v>41</v>
      </c>
      <c r="H97" s="23">
        <v>5.9285714285714288</v>
      </c>
    </row>
    <row r="98" spans="1:8" x14ac:dyDescent="0.25">
      <c r="A98" s="22" t="s">
        <v>144</v>
      </c>
      <c r="B98" s="1">
        <v>97656</v>
      </c>
      <c r="C98" s="1">
        <v>29296.800000000007</v>
      </c>
      <c r="G98" s="22" t="s">
        <v>144</v>
      </c>
      <c r="H98" s="23">
        <v>5.7777777777777777</v>
      </c>
    </row>
    <row r="99" spans="1:8" x14ac:dyDescent="0.25">
      <c r="A99" s="22" t="s">
        <v>125</v>
      </c>
      <c r="B99" s="1">
        <v>56856</v>
      </c>
      <c r="C99" s="1">
        <v>17056.800000000003</v>
      </c>
      <c r="G99" s="22" t="s">
        <v>125</v>
      </c>
      <c r="H99" s="23">
        <v>6.5</v>
      </c>
    </row>
    <row r="100" spans="1:8" x14ac:dyDescent="0.25">
      <c r="A100" s="22" t="s">
        <v>91</v>
      </c>
      <c r="B100" s="1">
        <v>45696</v>
      </c>
      <c r="C100" s="1">
        <v>13708.800000000003</v>
      </c>
      <c r="G100" s="22" t="s">
        <v>91</v>
      </c>
      <c r="H100" s="23">
        <v>5.2</v>
      </c>
    </row>
    <row r="101" spans="1:8" x14ac:dyDescent="0.25">
      <c r="A101" s="22" t="s">
        <v>134</v>
      </c>
      <c r="B101" s="1">
        <v>26763</v>
      </c>
      <c r="C101" s="1">
        <v>8028.9000000000015</v>
      </c>
      <c r="G101" s="22" t="s">
        <v>134</v>
      </c>
      <c r="H101" s="23">
        <v>6</v>
      </c>
    </row>
    <row r="102" spans="1:8" x14ac:dyDescent="0.25">
      <c r="A102" s="22" t="s">
        <v>109</v>
      </c>
      <c r="B102" s="1">
        <v>30320</v>
      </c>
      <c r="C102" s="1">
        <v>9096</v>
      </c>
      <c r="G102" s="22" t="s">
        <v>109</v>
      </c>
      <c r="H102" s="23">
        <v>4.0769230769230766</v>
      </c>
    </row>
    <row r="103" spans="1:8" x14ac:dyDescent="0.25">
      <c r="A103" s="22" t="s">
        <v>85</v>
      </c>
      <c r="B103" s="1">
        <v>53400</v>
      </c>
      <c r="C103" s="1">
        <v>16020.000000000004</v>
      </c>
      <c r="G103" s="22" t="s">
        <v>85</v>
      </c>
      <c r="H103" s="23">
        <v>5.4285714285714288</v>
      </c>
    </row>
    <row r="104" spans="1:8" x14ac:dyDescent="0.25">
      <c r="A104" s="22" t="s">
        <v>97</v>
      </c>
      <c r="B104" s="1">
        <v>84612</v>
      </c>
      <c r="C104" s="1">
        <v>25383.600000000006</v>
      </c>
      <c r="G104" s="22" t="s">
        <v>97</v>
      </c>
      <c r="H104" s="23">
        <v>5.4666666666666668</v>
      </c>
    </row>
    <row r="105" spans="1:8" x14ac:dyDescent="0.25">
      <c r="A105" s="22" t="s">
        <v>148</v>
      </c>
      <c r="B105" s="1">
        <v>9760</v>
      </c>
      <c r="C105" s="1">
        <v>2928</v>
      </c>
      <c r="G105" s="22" t="s">
        <v>148</v>
      </c>
      <c r="H105" s="23">
        <v>6.625</v>
      </c>
    </row>
    <row r="106" spans="1:8" x14ac:dyDescent="0.25">
      <c r="A106" s="22" t="s">
        <v>152</v>
      </c>
      <c r="B106" s="1">
        <v>15522</v>
      </c>
      <c r="C106" s="1">
        <v>4656.5999999999995</v>
      </c>
      <c r="G106" s="22" t="s">
        <v>152</v>
      </c>
      <c r="H106" s="23">
        <v>5.1818181818181817</v>
      </c>
    </row>
    <row r="107" spans="1:8" x14ac:dyDescent="0.25">
      <c r="A107" s="22" t="s">
        <v>29</v>
      </c>
      <c r="B107" s="1">
        <v>9576</v>
      </c>
      <c r="C107" s="1">
        <v>2872.8000000000006</v>
      </c>
      <c r="G107" s="22" t="s">
        <v>29</v>
      </c>
      <c r="H107" s="23">
        <v>6.5</v>
      </c>
    </row>
    <row r="108" spans="1:8" x14ac:dyDescent="0.25">
      <c r="A108" s="22" t="s">
        <v>67</v>
      </c>
      <c r="B108" s="1">
        <v>58898</v>
      </c>
      <c r="C108" s="1">
        <v>17669.400000000001</v>
      </c>
      <c r="G108" s="22" t="s">
        <v>67</v>
      </c>
      <c r="H108" s="23">
        <v>5.0666666666666664</v>
      </c>
    </row>
    <row r="109" spans="1:8" x14ac:dyDescent="0.25">
      <c r="A109" s="22" t="s">
        <v>59</v>
      </c>
      <c r="B109" s="1">
        <v>114476</v>
      </c>
      <c r="C109" s="1">
        <v>34342.80000000001</v>
      </c>
      <c r="G109" s="22" t="s">
        <v>59</v>
      </c>
      <c r="H109" s="23">
        <v>5.2592592592592595</v>
      </c>
    </row>
    <row r="110" spans="1:8" x14ac:dyDescent="0.25">
      <c r="A110" s="22" t="s">
        <v>103</v>
      </c>
      <c r="B110" s="1">
        <v>42000</v>
      </c>
      <c r="C110" s="1">
        <v>12600</v>
      </c>
      <c r="G110" s="22" t="s">
        <v>103</v>
      </c>
      <c r="H110" s="23">
        <v>4.95</v>
      </c>
    </row>
    <row r="111" spans="1:8" x14ac:dyDescent="0.25">
      <c r="A111" s="22" t="s">
        <v>23</v>
      </c>
      <c r="B111" s="1">
        <v>56712</v>
      </c>
      <c r="C111" s="1">
        <v>17013.600000000002</v>
      </c>
      <c r="G111" s="22" t="s">
        <v>23</v>
      </c>
      <c r="H111" s="23">
        <v>5.5882352941176467</v>
      </c>
    </row>
    <row r="112" spans="1:8" x14ac:dyDescent="0.25">
      <c r="A112" s="22" t="s">
        <v>27</v>
      </c>
      <c r="B112" s="1">
        <v>24131</v>
      </c>
      <c r="C112" s="1">
        <v>7239.300000000002</v>
      </c>
      <c r="G112" s="22" t="s">
        <v>27</v>
      </c>
      <c r="H112" s="23">
        <v>4.2</v>
      </c>
    </row>
    <row r="113" spans="1:8" x14ac:dyDescent="0.25">
      <c r="A113" s="22" t="s">
        <v>77</v>
      </c>
      <c r="B113" s="1">
        <v>33044</v>
      </c>
      <c r="C113" s="1">
        <v>9913.2000000000025</v>
      </c>
      <c r="G113" s="22" t="s">
        <v>77</v>
      </c>
      <c r="H113" s="23">
        <v>6.2666666666666666</v>
      </c>
    </row>
    <row r="114" spans="1:8" x14ac:dyDescent="0.25">
      <c r="A114" s="22" t="s">
        <v>57</v>
      </c>
      <c r="B114" s="1">
        <v>20910</v>
      </c>
      <c r="C114" s="1">
        <v>6273.0000000000009</v>
      </c>
      <c r="G114" s="22" t="s">
        <v>57</v>
      </c>
      <c r="H114" s="23">
        <v>5.8181818181818183</v>
      </c>
    </row>
    <row r="115" spans="1:8" x14ac:dyDescent="0.25">
      <c r="A115" s="22" t="s">
        <v>47</v>
      </c>
      <c r="B115" s="1">
        <v>44640</v>
      </c>
      <c r="C115" s="1">
        <v>13392.000000000002</v>
      </c>
      <c r="G115" s="22" t="s">
        <v>47</v>
      </c>
      <c r="H115" s="23">
        <v>5</v>
      </c>
    </row>
    <row r="116" spans="1:8" x14ac:dyDescent="0.25">
      <c r="A116" s="22" t="s">
        <v>132</v>
      </c>
      <c r="B116" s="1">
        <v>67140</v>
      </c>
      <c r="C116" s="1">
        <v>20142.000000000004</v>
      </c>
      <c r="G116" s="22" t="s">
        <v>132</v>
      </c>
      <c r="H116" s="23">
        <v>6.3571428571428568</v>
      </c>
    </row>
    <row r="117" spans="1:8" x14ac:dyDescent="0.25">
      <c r="A117" s="22" t="s">
        <v>140</v>
      </c>
      <c r="B117" s="1">
        <v>54240</v>
      </c>
      <c r="C117" s="1">
        <v>16272.000000000002</v>
      </c>
      <c r="G117" s="22" t="s">
        <v>140</v>
      </c>
      <c r="H117" s="23">
        <v>5.9230769230769234</v>
      </c>
    </row>
    <row r="118" spans="1:8" x14ac:dyDescent="0.25">
      <c r="A118" s="22" t="s">
        <v>49</v>
      </c>
      <c r="B118" s="1">
        <v>51630</v>
      </c>
      <c r="C118" s="1">
        <v>15489.000000000004</v>
      </c>
      <c r="G118" s="22" t="s">
        <v>49</v>
      </c>
      <c r="H118" s="23">
        <v>5.2222222222222223</v>
      </c>
    </row>
    <row r="119" spans="1:8" x14ac:dyDescent="0.25">
      <c r="A119" s="22" t="s">
        <v>73</v>
      </c>
      <c r="B119" s="1">
        <v>76454</v>
      </c>
      <c r="C119" s="1">
        <v>22936.200000000004</v>
      </c>
      <c r="G119" s="22" t="s">
        <v>73</v>
      </c>
      <c r="H119" s="23">
        <v>6.5</v>
      </c>
    </row>
    <row r="120" spans="1:8" x14ac:dyDescent="0.25">
      <c r="A120" s="22" t="s">
        <v>10</v>
      </c>
      <c r="B120" s="1">
        <v>9261</v>
      </c>
      <c r="C120" s="1">
        <v>2778.3</v>
      </c>
      <c r="G120" s="22" t="s">
        <v>10</v>
      </c>
      <c r="H120" s="23">
        <v>5.2857142857142856</v>
      </c>
    </row>
    <row r="121" spans="1:8" x14ac:dyDescent="0.25">
      <c r="A121" s="22" t="s">
        <v>115</v>
      </c>
      <c r="B121" s="1">
        <v>51471</v>
      </c>
      <c r="C121" s="1">
        <v>15441.300000000007</v>
      </c>
      <c r="G121" s="22" t="s">
        <v>115</v>
      </c>
      <c r="H121" s="23">
        <v>6</v>
      </c>
    </row>
    <row r="122" spans="1:8" x14ac:dyDescent="0.25">
      <c r="A122" s="22" t="s">
        <v>95</v>
      </c>
      <c r="B122" s="1">
        <v>11610</v>
      </c>
      <c r="C122" s="1">
        <v>3483.0000000000009</v>
      </c>
      <c r="G122" s="22" t="s">
        <v>95</v>
      </c>
      <c r="H122" s="23">
        <v>6.2</v>
      </c>
    </row>
    <row r="123" spans="1:8" x14ac:dyDescent="0.25">
      <c r="A123" s="22" t="s">
        <v>130</v>
      </c>
      <c r="B123" s="1">
        <v>60116</v>
      </c>
      <c r="C123" s="1">
        <v>18034.800000000007</v>
      </c>
      <c r="G123" s="22" t="s">
        <v>130</v>
      </c>
      <c r="H123" s="23">
        <v>5.5714285714285712</v>
      </c>
    </row>
    <row r="124" spans="1:8" x14ac:dyDescent="0.25">
      <c r="A124" s="22" t="s">
        <v>1024</v>
      </c>
      <c r="B124" s="1">
        <v>3520984</v>
      </c>
      <c r="C124" s="1">
        <v>1056295.2</v>
      </c>
      <c r="G124" s="22" t="s">
        <v>1024</v>
      </c>
      <c r="H124" s="23">
        <v>5.53</v>
      </c>
    </row>
    <row r="128" spans="1:8" x14ac:dyDescent="0.25">
      <c r="A128" s="21" t="s">
        <v>568</v>
      </c>
      <c r="B128" t="s">
        <v>1021</v>
      </c>
      <c r="C128" t="s">
        <v>1022</v>
      </c>
      <c r="G128" s="21" t="s">
        <v>568</v>
      </c>
      <c r="H128" t="s">
        <v>1039</v>
      </c>
    </row>
    <row r="129" spans="1:8" x14ac:dyDescent="0.25">
      <c r="A129" s="22" t="s">
        <v>296</v>
      </c>
      <c r="B129" s="1">
        <v>70409</v>
      </c>
      <c r="C129" s="1">
        <v>21122.7</v>
      </c>
      <c r="G129" s="22" t="s">
        <v>391</v>
      </c>
      <c r="H129" s="23">
        <v>8.25</v>
      </c>
    </row>
    <row r="130" spans="1:8" x14ac:dyDescent="0.25">
      <c r="A130" s="22" t="s">
        <v>317</v>
      </c>
      <c r="B130" s="1">
        <v>26728</v>
      </c>
      <c r="C130" s="1">
        <v>8018.4000000000024</v>
      </c>
      <c r="G130" s="22" t="s">
        <v>284</v>
      </c>
      <c r="H130" s="23">
        <v>7.625</v>
      </c>
    </row>
    <row r="131" spans="1:8" x14ac:dyDescent="0.25">
      <c r="A131" s="22" t="s">
        <v>537</v>
      </c>
      <c r="B131" s="1">
        <v>40160</v>
      </c>
      <c r="C131" s="1">
        <v>12048.000000000002</v>
      </c>
      <c r="G131" s="22" t="s">
        <v>543</v>
      </c>
      <c r="H131" s="23">
        <v>7.25</v>
      </c>
    </row>
    <row r="132" spans="1:8" x14ac:dyDescent="0.25">
      <c r="A132" s="22" t="s">
        <v>542</v>
      </c>
      <c r="B132" s="1">
        <v>28243</v>
      </c>
      <c r="C132" s="1">
        <v>8472.9000000000015</v>
      </c>
      <c r="G132" s="22" t="s">
        <v>389</v>
      </c>
      <c r="H132" s="23">
        <v>7.2142857142857144</v>
      </c>
    </row>
    <row r="133" spans="1:8" x14ac:dyDescent="0.25">
      <c r="A133" s="22" t="s">
        <v>408</v>
      </c>
      <c r="B133" s="1">
        <v>13859</v>
      </c>
      <c r="C133" s="1">
        <v>4157.7000000000007</v>
      </c>
      <c r="G133" s="22" t="s">
        <v>243</v>
      </c>
      <c r="H133" s="23">
        <v>6.7857142857142856</v>
      </c>
    </row>
    <row r="134" spans="1:8" x14ac:dyDescent="0.25">
      <c r="A134" s="22" t="s">
        <v>282</v>
      </c>
      <c r="B134" s="1">
        <v>38028</v>
      </c>
      <c r="C134" s="1">
        <v>11408.400000000003</v>
      </c>
      <c r="G134" s="22" t="s">
        <v>226</v>
      </c>
      <c r="H134" s="23">
        <v>6.583333333333333</v>
      </c>
    </row>
    <row r="135" spans="1:8" x14ac:dyDescent="0.25">
      <c r="A135" s="22" t="s">
        <v>540</v>
      </c>
      <c r="B135" s="1">
        <v>32456</v>
      </c>
      <c r="C135" s="1">
        <v>9736.8000000000011</v>
      </c>
      <c r="G135" s="22" t="s">
        <v>410</v>
      </c>
      <c r="H135" s="23">
        <v>6.5714285714285712</v>
      </c>
    </row>
    <row r="136" spans="1:8" x14ac:dyDescent="0.25">
      <c r="A136" s="22" t="s">
        <v>320</v>
      </c>
      <c r="B136" s="1">
        <v>34438</v>
      </c>
      <c r="C136" s="1">
        <v>10331.4</v>
      </c>
      <c r="G136" s="22" t="s">
        <v>352</v>
      </c>
      <c r="H136" s="23">
        <v>6.5</v>
      </c>
    </row>
    <row r="137" spans="1:8" x14ac:dyDescent="0.25">
      <c r="A137" s="22" t="s">
        <v>352</v>
      </c>
      <c r="B137" s="1">
        <v>32732</v>
      </c>
      <c r="C137" s="1">
        <v>9819.6000000000022</v>
      </c>
      <c r="G137" s="22" t="s">
        <v>430</v>
      </c>
      <c r="H137" s="23">
        <v>6.5</v>
      </c>
    </row>
    <row r="138" spans="1:8" x14ac:dyDescent="0.25">
      <c r="A138" s="22" t="s">
        <v>414</v>
      </c>
      <c r="B138" s="1">
        <v>72973</v>
      </c>
      <c r="C138" s="1">
        <v>21891.900000000005</v>
      </c>
      <c r="G138" s="22" t="s">
        <v>443</v>
      </c>
      <c r="H138" s="23">
        <v>6.5</v>
      </c>
    </row>
    <row r="139" spans="1:8" x14ac:dyDescent="0.25">
      <c r="A139" s="22" t="s">
        <v>383</v>
      </c>
      <c r="B139" s="1">
        <v>21593</v>
      </c>
      <c r="C139" s="1">
        <v>6477.9000000000015</v>
      </c>
      <c r="G139" s="22" t="s">
        <v>688</v>
      </c>
      <c r="H139" s="23">
        <v>6.416666666666667</v>
      </c>
    </row>
    <row r="140" spans="1:8" x14ac:dyDescent="0.25">
      <c r="A140" s="22" t="s">
        <v>543</v>
      </c>
      <c r="B140" s="1">
        <v>22226</v>
      </c>
      <c r="C140" s="1">
        <v>6667.800000000002</v>
      </c>
      <c r="G140" s="22" t="s">
        <v>218</v>
      </c>
      <c r="H140" s="23">
        <v>6.375</v>
      </c>
    </row>
    <row r="141" spans="1:8" x14ac:dyDescent="0.25">
      <c r="A141" s="22" t="s">
        <v>515</v>
      </c>
      <c r="B141" s="1">
        <v>44597</v>
      </c>
      <c r="C141" s="1">
        <v>13379.100000000002</v>
      </c>
      <c r="G141" s="22" t="s">
        <v>370</v>
      </c>
      <c r="H141" s="23">
        <v>6.333333333333333</v>
      </c>
    </row>
    <row r="142" spans="1:8" x14ac:dyDescent="0.25">
      <c r="A142" s="22" t="s">
        <v>487</v>
      </c>
      <c r="B142" s="1">
        <v>69117</v>
      </c>
      <c r="C142" s="1">
        <v>20735.100000000006</v>
      </c>
      <c r="G142" s="22" t="s">
        <v>458</v>
      </c>
      <c r="H142" s="23">
        <v>6.333333333333333</v>
      </c>
    </row>
    <row r="143" spans="1:8" x14ac:dyDescent="0.25">
      <c r="A143" s="22" t="s">
        <v>171</v>
      </c>
      <c r="B143" s="1">
        <v>58462</v>
      </c>
      <c r="C143" s="1">
        <v>17538.600000000002</v>
      </c>
      <c r="G143" s="22" t="s">
        <v>479</v>
      </c>
      <c r="H143" s="23">
        <v>6.333333333333333</v>
      </c>
    </row>
    <row r="144" spans="1:8" x14ac:dyDescent="0.25">
      <c r="A144" s="22" t="s">
        <v>218</v>
      </c>
      <c r="B144" s="1">
        <v>23860</v>
      </c>
      <c r="C144" s="1">
        <v>7158.0000000000018</v>
      </c>
      <c r="G144" s="22" t="s">
        <v>542</v>
      </c>
      <c r="H144" s="23">
        <v>6.333333333333333</v>
      </c>
    </row>
    <row r="145" spans="1:8" x14ac:dyDescent="0.25">
      <c r="A145" s="22" t="s">
        <v>318</v>
      </c>
      <c r="B145" s="1">
        <v>50151</v>
      </c>
      <c r="C145" s="1">
        <v>15045.300000000003</v>
      </c>
      <c r="G145" s="22" t="s">
        <v>825</v>
      </c>
      <c r="H145" s="23">
        <v>6.333333333333333</v>
      </c>
    </row>
    <row r="146" spans="1:8" x14ac:dyDescent="0.25">
      <c r="A146" s="22" t="s">
        <v>529</v>
      </c>
      <c r="B146" s="1">
        <v>40556</v>
      </c>
      <c r="C146" s="1">
        <v>12166.800000000001</v>
      </c>
      <c r="G146" s="22" t="s">
        <v>318</v>
      </c>
      <c r="H146" s="23">
        <v>6.25</v>
      </c>
    </row>
    <row r="147" spans="1:8" x14ac:dyDescent="0.25">
      <c r="A147" s="22" t="s">
        <v>259</v>
      </c>
      <c r="B147" s="1">
        <v>40031</v>
      </c>
      <c r="C147" s="1">
        <v>12009.300000000001</v>
      </c>
      <c r="G147" s="22" t="s">
        <v>397</v>
      </c>
      <c r="H147" s="23">
        <v>6.25</v>
      </c>
    </row>
    <row r="148" spans="1:8" x14ac:dyDescent="0.25">
      <c r="A148" s="22" t="s">
        <v>371</v>
      </c>
      <c r="B148" s="1">
        <v>35693</v>
      </c>
      <c r="C148" s="1">
        <v>10707.900000000001</v>
      </c>
      <c r="G148" s="22" t="s">
        <v>515</v>
      </c>
      <c r="H148" s="23">
        <v>6.2222222222222223</v>
      </c>
    </row>
    <row r="149" spans="1:8" x14ac:dyDescent="0.25">
      <c r="A149" s="22" t="s">
        <v>245</v>
      </c>
      <c r="B149" s="1">
        <v>28825</v>
      </c>
      <c r="C149" s="1">
        <v>8647.5</v>
      </c>
      <c r="G149" s="22" t="s">
        <v>473</v>
      </c>
      <c r="H149" s="23">
        <v>6.125</v>
      </c>
    </row>
    <row r="150" spans="1:8" x14ac:dyDescent="0.25">
      <c r="A150" s="22" t="s">
        <v>380</v>
      </c>
      <c r="B150" s="1">
        <v>31041</v>
      </c>
      <c r="C150" s="1">
        <v>9312.3000000000011</v>
      </c>
      <c r="G150" s="22" t="s">
        <v>540</v>
      </c>
      <c r="H150" s="23">
        <v>6.1111111111111107</v>
      </c>
    </row>
    <row r="151" spans="1:8" x14ac:dyDescent="0.25">
      <c r="A151" s="22" t="s">
        <v>342</v>
      </c>
      <c r="B151" s="1">
        <v>93813</v>
      </c>
      <c r="C151" s="1">
        <v>28143.899999999998</v>
      </c>
      <c r="G151" s="22" t="s">
        <v>336</v>
      </c>
      <c r="H151" s="23">
        <v>6.1</v>
      </c>
    </row>
    <row r="152" spans="1:8" x14ac:dyDescent="0.25">
      <c r="A152" s="22" t="s">
        <v>510</v>
      </c>
      <c r="B152" s="1">
        <v>76822</v>
      </c>
      <c r="C152" s="1">
        <v>23046.600000000006</v>
      </c>
      <c r="G152" s="22" t="s">
        <v>555</v>
      </c>
      <c r="H152" s="23">
        <v>6.0625</v>
      </c>
    </row>
    <row r="153" spans="1:8" x14ac:dyDescent="0.25">
      <c r="A153" s="22" t="s">
        <v>280</v>
      </c>
      <c r="B153" s="1">
        <v>31319</v>
      </c>
      <c r="C153" s="1">
        <v>9395.7000000000025</v>
      </c>
      <c r="G153" s="22" t="s">
        <v>510</v>
      </c>
      <c r="H153" s="23">
        <v>6</v>
      </c>
    </row>
    <row r="154" spans="1:8" x14ac:dyDescent="0.25">
      <c r="A154" s="22" t="s">
        <v>489</v>
      </c>
      <c r="B154" s="1">
        <v>42855</v>
      </c>
      <c r="C154" s="1">
        <v>12856.5</v>
      </c>
      <c r="G154" s="22" t="s">
        <v>205</v>
      </c>
      <c r="H154" s="23">
        <v>6</v>
      </c>
    </row>
    <row r="155" spans="1:8" x14ac:dyDescent="0.25">
      <c r="A155" s="22" t="s">
        <v>522</v>
      </c>
      <c r="B155" s="1">
        <v>25892</v>
      </c>
      <c r="C155" s="1">
        <v>7767.6</v>
      </c>
      <c r="G155" s="22" t="s">
        <v>196</v>
      </c>
      <c r="H155" s="23">
        <v>5.9285714285714288</v>
      </c>
    </row>
    <row r="156" spans="1:8" x14ac:dyDescent="0.25">
      <c r="A156" s="22" t="s">
        <v>243</v>
      </c>
      <c r="B156" s="1">
        <v>29150</v>
      </c>
      <c r="C156" s="1">
        <v>8745.0000000000018</v>
      </c>
      <c r="G156" s="22" t="s">
        <v>306</v>
      </c>
      <c r="H156" s="23">
        <v>5.9090909090909092</v>
      </c>
    </row>
    <row r="157" spans="1:8" x14ac:dyDescent="0.25">
      <c r="A157" s="22" t="s">
        <v>435</v>
      </c>
      <c r="B157" s="1">
        <v>60143</v>
      </c>
      <c r="C157" s="1">
        <v>18042.900000000001</v>
      </c>
      <c r="G157" s="22" t="s">
        <v>230</v>
      </c>
      <c r="H157" s="23">
        <v>5.9</v>
      </c>
    </row>
    <row r="158" spans="1:8" x14ac:dyDescent="0.25">
      <c r="A158" s="22" t="s">
        <v>688</v>
      </c>
      <c r="B158" s="1">
        <v>80733</v>
      </c>
      <c r="C158" s="1">
        <v>24219.900000000005</v>
      </c>
      <c r="G158" s="22" t="s">
        <v>245</v>
      </c>
      <c r="H158" s="23">
        <v>5.8571428571428568</v>
      </c>
    </row>
    <row r="159" spans="1:8" x14ac:dyDescent="0.25">
      <c r="A159" s="22" t="s">
        <v>277</v>
      </c>
      <c r="B159" s="1">
        <v>33067</v>
      </c>
      <c r="C159" s="1">
        <v>9920.1000000000022</v>
      </c>
      <c r="G159" s="22" t="s">
        <v>342</v>
      </c>
      <c r="H159" s="23">
        <v>5.8571428571428568</v>
      </c>
    </row>
    <row r="160" spans="1:8" x14ac:dyDescent="0.25">
      <c r="A160" s="22" t="s">
        <v>456</v>
      </c>
      <c r="B160" s="1">
        <v>125854</v>
      </c>
      <c r="C160" s="1">
        <v>37756.200000000012</v>
      </c>
      <c r="G160" s="22" t="s">
        <v>461</v>
      </c>
      <c r="H160" s="23">
        <v>5.8461538461538458</v>
      </c>
    </row>
    <row r="161" spans="1:8" x14ac:dyDescent="0.25">
      <c r="A161" s="22" t="s">
        <v>230</v>
      </c>
      <c r="B161" s="1">
        <v>32998</v>
      </c>
      <c r="C161" s="1">
        <v>9899.4000000000015</v>
      </c>
      <c r="G161" s="22" t="s">
        <v>456</v>
      </c>
      <c r="H161" s="23">
        <v>5.7586206896551726</v>
      </c>
    </row>
    <row r="162" spans="1:8" x14ac:dyDescent="0.25">
      <c r="A162" s="22" t="s">
        <v>825</v>
      </c>
      <c r="B162" s="1">
        <v>43857</v>
      </c>
      <c r="C162" s="1">
        <v>13157.1</v>
      </c>
      <c r="G162" s="22" t="s">
        <v>474</v>
      </c>
      <c r="H162" s="23">
        <v>5.7333333333333334</v>
      </c>
    </row>
    <row r="163" spans="1:8" x14ac:dyDescent="0.25">
      <c r="A163" s="22" t="s">
        <v>268</v>
      </c>
      <c r="B163" s="1">
        <v>28829</v>
      </c>
      <c r="C163" s="1">
        <v>8648.7000000000007</v>
      </c>
      <c r="G163" s="22" t="s">
        <v>286</v>
      </c>
      <c r="H163" s="23">
        <v>5.7272727272727275</v>
      </c>
    </row>
    <row r="164" spans="1:8" x14ac:dyDescent="0.25">
      <c r="A164" s="22" t="s">
        <v>292</v>
      </c>
      <c r="B164" s="1">
        <v>56296</v>
      </c>
      <c r="C164" s="1">
        <v>16888.800000000003</v>
      </c>
      <c r="G164" s="22" t="s">
        <v>377</v>
      </c>
      <c r="H164" s="23">
        <v>5.7142857142857144</v>
      </c>
    </row>
    <row r="165" spans="1:8" x14ac:dyDescent="0.25">
      <c r="A165" s="22" t="s">
        <v>377</v>
      </c>
      <c r="B165" s="1">
        <v>30237</v>
      </c>
      <c r="C165" s="1">
        <v>9071.1</v>
      </c>
      <c r="G165" s="22" t="s">
        <v>422</v>
      </c>
      <c r="H165" s="23">
        <v>5.6923076923076925</v>
      </c>
    </row>
    <row r="166" spans="1:8" x14ac:dyDescent="0.25">
      <c r="A166" s="22" t="s">
        <v>284</v>
      </c>
      <c r="B166" s="1">
        <v>24931</v>
      </c>
      <c r="C166" s="1">
        <v>7479.3000000000011</v>
      </c>
      <c r="G166" s="22" t="s">
        <v>383</v>
      </c>
      <c r="H166" s="23">
        <v>5.666666666666667</v>
      </c>
    </row>
    <row r="167" spans="1:8" x14ac:dyDescent="0.25">
      <c r="A167" s="22" t="s">
        <v>372</v>
      </c>
      <c r="B167" s="1">
        <v>41595</v>
      </c>
      <c r="C167" s="1">
        <v>12478.5</v>
      </c>
      <c r="G167" s="22" t="s">
        <v>426</v>
      </c>
      <c r="H167" s="23">
        <v>5.666666666666667</v>
      </c>
    </row>
    <row r="168" spans="1:8" x14ac:dyDescent="0.25">
      <c r="A168" s="22" t="s">
        <v>495</v>
      </c>
      <c r="B168" s="1">
        <v>35959</v>
      </c>
      <c r="C168" s="1">
        <v>10787.7</v>
      </c>
      <c r="G168" s="22" t="s">
        <v>280</v>
      </c>
      <c r="H168" s="23">
        <v>5.666666666666667</v>
      </c>
    </row>
    <row r="169" spans="1:8" x14ac:dyDescent="0.25">
      <c r="A169" s="22" t="s">
        <v>482</v>
      </c>
      <c r="B169" s="1">
        <v>109979</v>
      </c>
      <c r="C169" s="1">
        <v>32993.699999999997</v>
      </c>
      <c r="G169" s="22" t="s">
        <v>339</v>
      </c>
      <c r="H169" s="23">
        <v>5.666666666666667</v>
      </c>
    </row>
    <row r="170" spans="1:8" x14ac:dyDescent="0.25">
      <c r="A170" s="22" t="s">
        <v>430</v>
      </c>
      <c r="B170" s="1">
        <v>40262</v>
      </c>
      <c r="C170" s="1">
        <v>12078.6</v>
      </c>
      <c r="G170" s="22" t="s">
        <v>372</v>
      </c>
      <c r="H170" s="23">
        <v>5.615384615384615</v>
      </c>
    </row>
    <row r="171" spans="1:8" x14ac:dyDescent="0.25">
      <c r="A171" s="22" t="s">
        <v>443</v>
      </c>
      <c r="B171" s="1">
        <v>39375</v>
      </c>
      <c r="C171" s="1">
        <v>11812.500000000002</v>
      </c>
      <c r="G171" s="22" t="s">
        <v>371</v>
      </c>
      <c r="H171" s="23">
        <v>5.6</v>
      </c>
    </row>
    <row r="172" spans="1:8" x14ac:dyDescent="0.25">
      <c r="A172" s="22" t="s">
        <v>339</v>
      </c>
      <c r="B172" s="1">
        <v>22045</v>
      </c>
      <c r="C172" s="1">
        <v>6613.5000000000009</v>
      </c>
      <c r="G172" s="22" t="s">
        <v>495</v>
      </c>
      <c r="H172" s="23">
        <v>5.6</v>
      </c>
    </row>
    <row r="173" spans="1:8" x14ac:dyDescent="0.25">
      <c r="A173" s="22" t="s">
        <v>196</v>
      </c>
      <c r="B173" s="1">
        <v>50856</v>
      </c>
      <c r="C173" s="1">
        <v>15256.800000000001</v>
      </c>
      <c r="G173" s="22" t="s">
        <v>292</v>
      </c>
      <c r="H173" s="23">
        <v>5.5625</v>
      </c>
    </row>
    <row r="174" spans="1:8" x14ac:dyDescent="0.25">
      <c r="A174" s="22" t="s">
        <v>257</v>
      </c>
      <c r="B174" s="1">
        <v>8403</v>
      </c>
      <c r="C174" s="1">
        <v>2520.9000000000005</v>
      </c>
      <c r="G174" s="22" t="s">
        <v>171</v>
      </c>
      <c r="H174" s="23">
        <v>5.5555555555555554</v>
      </c>
    </row>
    <row r="175" spans="1:8" x14ac:dyDescent="0.25">
      <c r="A175" s="22" t="s">
        <v>555</v>
      </c>
      <c r="B175" s="1">
        <v>75029</v>
      </c>
      <c r="C175" s="1">
        <v>22508.700000000004</v>
      </c>
      <c r="G175" s="22" t="s">
        <v>414</v>
      </c>
      <c r="H175" s="23">
        <v>5.5555555555555554</v>
      </c>
    </row>
    <row r="176" spans="1:8" x14ac:dyDescent="0.25">
      <c r="A176" s="22" t="s">
        <v>850</v>
      </c>
      <c r="B176" s="1">
        <v>38017</v>
      </c>
      <c r="C176" s="1">
        <v>11405.100000000002</v>
      </c>
      <c r="G176" s="22" t="s">
        <v>472</v>
      </c>
      <c r="H176" s="23">
        <v>5.5263157894736841</v>
      </c>
    </row>
    <row r="177" spans="1:8" x14ac:dyDescent="0.25">
      <c r="A177" s="22" t="s">
        <v>201</v>
      </c>
      <c r="B177" s="1">
        <v>42882</v>
      </c>
      <c r="C177" s="1">
        <v>12864.599999999999</v>
      </c>
      <c r="G177" s="22" t="s">
        <v>344</v>
      </c>
      <c r="H177" s="23">
        <v>5.5</v>
      </c>
    </row>
    <row r="178" spans="1:8" x14ac:dyDescent="0.25">
      <c r="A178" s="22" t="s">
        <v>474</v>
      </c>
      <c r="B178" s="1">
        <v>61294</v>
      </c>
      <c r="C178" s="1">
        <v>18388.2</v>
      </c>
      <c r="G178" s="22" t="s">
        <v>256</v>
      </c>
      <c r="H178" s="23">
        <v>5.5</v>
      </c>
    </row>
    <row r="179" spans="1:8" x14ac:dyDescent="0.25">
      <c r="A179" s="22" t="s">
        <v>336</v>
      </c>
      <c r="B179" s="1">
        <v>23870</v>
      </c>
      <c r="C179" s="1">
        <v>7161.0000000000009</v>
      </c>
      <c r="G179" s="22" t="s">
        <v>259</v>
      </c>
      <c r="H179" s="23">
        <v>5.4444444444444446</v>
      </c>
    </row>
    <row r="180" spans="1:8" x14ac:dyDescent="0.25">
      <c r="A180" s="22" t="s">
        <v>360</v>
      </c>
      <c r="B180" s="1">
        <v>46738</v>
      </c>
      <c r="C180" s="1">
        <v>14021.400000000003</v>
      </c>
      <c r="G180" s="22" t="s">
        <v>384</v>
      </c>
      <c r="H180" s="23">
        <v>5.3636363636363633</v>
      </c>
    </row>
    <row r="181" spans="1:8" x14ac:dyDescent="0.25">
      <c r="A181" s="22" t="s">
        <v>370</v>
      </c>
      <c r="B181" s="1">
        <v>12240</v>
      </c>
      <c r="C181" s="1">
        <v>3672</v>
      </c>
      <c r="G181" s="22" t="s">
        <v>529</v>
      </c>
      <c r="H181" s="23">
        <v>5.3636363636363633</v>
      </c>
    </row>
    <row r="182" spans="1:8" x14ac:dyDescent="0.25">
      <c r="A182" s="22" t="s">
        <v>426</v>
      </c>
      <c r="B182" s="1">
        <v>23641</v>
      </c>
      <c r="C182" s="1">
        <v>7092.3000000000011</v>
      </c>
      <c r="G182" s="22" t="s">
        <v>393</v>
      </c>
      <c r="H182" s="23">
        <v>5.333333333333333</v>
      </c>
    </row>
    <row r="183" spans="1:8" x14ac:dyDescent="0.25">
      <c r="A183" s="22" t="s">
        <v>566</v>
      </c>
      <c r="B183" s="1">
        <v>35894</v>
      </c>
      <c r="C183" s="1">
        <v>10768.2</v>
      </c>
      <c r="G183" s="22" t="s">
        <v>201</v>
      </c>
      <c r="H183" s="23">
        <v>5.333333333333333</v>
      </c>
    </row>
    <row r="184" spans="1:8" x14ac:dyDescent="0.25">
      <c r="A184" s="22" t="s">
        <v>458</v>
      </c>
      <c r="B184" s="1">
        <v>29721</v>
      </c>
      <c r="C184" s="1">
        <v>8916.3000000000011</v>
      </c>
      <c r="G184" s="22" t="s">
        <v>432</v>
      </c>
      <c r="H184" s="23">
        <v>5.333333333333333</v>
      </c>
    </row>
    <row r="185" spans="1:8" x14ac:dyDescent="0.25">
      <c r="A185" s="22" t="s">
        <v>384</v>
      </c>
      <c r="B185" s="1">
        <v>43844</v>
      </c>
      <c r="C185" s="1">
        <v>13153.2</v>
      </c>
      <c r="G185" s="22" t="s">
        <v>435</v>
      </c>
      <c r="H185" s="23">
        <v>5.2</v>
      </c>
    </row>
    <row r="186" spans="1:8" x14ac:dyDescent="0.25">
      <c r="A186" s="22" t="s">
        <v>226</v>
      </c>
      <c r="B186" s="1">
        <v>32001</v>
      </c>
      <c r="C186" s="1">
        <v>9600.3000000000011</v>
      </c>
      <c r="G186" s="22" t="s">
        <v>408</v>
      </c>
      <c r="H186" s="23">
        <v>5.166666666666667</v>
      </c>
    </row>
    <row r="187" spans="1:8" x14ac:dyDescent="0.25">
      <c r="A187" s="22" t="s">
        <v>429</v>
      </c>
      <c r="B187" s="1">
        <v>33717</v>
      </c>
      <c r="C187" s="1">
        <v>10115.100000000002</v>
      </c>
      <c r="G187" s="22" t="s">
        <v>268</v>
      </c>
      <c r="H187" s="23">
        <v>5.166666666666667</v>
      </c>
    </row>
    <row r="188" spans="1:8" x14ac:dyDescent="0.25">
      <c r="A188" s="22" t="s">
        <v>436</v>
      </c>
      <c r="B188" s="1">
        <v>37013</v>
      </c>
      <c r="C188" s="1">
        <v>11103.900000000001</v>
      </c>
      <c r="G188" s="22" t="s">
        <v>380</v>
      </c>
      <c r="H188" s="23">
        <v>5.1428571428571432</v>
      </c>
    </row>
    <row r="189" spans="1:8" x14ac:dyDescent="0.25">
      <c r="A189" s="22" t="s">
        <v>472</v>
      </c>
      <c r="B189" s="1">
        <v>81663</v>
      </c>
      <c r="C189" s="1">
        <v>24498.900000000005</v>
      </c>
      <c r="G189" s="22" t="s">
        <v>277</v>
      </c>
      <c r="H189" s="23">
        <v>5.1111111111111107</v>
      </c>
    </row>
    <row r="190" spans="1:8" x14ac:dyDescent="0.25">
      <c r="A190" s="22" t="s">
        <v>410</v>
      </c>
      <c r="B190" s="1">
        <v>15042</v>
      </c>
      <c r="C190" s="1">
        <v>4512.6000000000004</v>
      </c>
      <c r="G190" s="22" t="s">
        <v>566</v>
      </c>
      <c r="H190" s="23">
        <v>5.0909090909090908</v>
      </c>
    </row>
    <row r="191" spans="1:8" x14ac:dyDescent="0.25">
      <c r="A191" s="22" t="s">
        <v>286</v>
      </c>
      <c r="B191" s="1">
        <v>41660</v>
      </c>
      <c r="C191" s="1">
        <v>12498.000000000004</v>
      </c>
      <c r="G191" s="22" t="s">
        <v>522</v>
      </c>
      <c r="H191" s="23">
        <v>5</v>
      </c>
    </row>
    <row r="192" spans="1:8" x14ac:dyDescent="0.25">
      <c r="A192" s="22" t="s">
        <v>473</v>
      </c>
      <c r="B192" s="1">
        <v>58010</v>
      </c>
      <c r="C192" s="1">
        <v>17403.000000000004</v>
      </c>
      <c r="G192" s="22" t="s">
        <v>296</v>
      </c>
      <c r="H192" s="23">
        <v>5</v>
      </c>
    </row>
    <row r="193" spans="1:8" x14ac:dyDescent="0.25">
      <c r="A193" s="22" t="s">
        <v>431</v>
      </c>
      <c r="B193" s="1">
        <v>37235</v>
      </c>
      <c r="C193" s="1">
        <v>11170.5</v>
      </c>
      <c r="G193" s="22" t="s">
        <v>431</v>
      </c>
      <c r="H193" s="23">
        <v>4.916666666666667</v>
      </c>
    </row>
    <row r="194" spans="1:8" x14ac:dyDescent="0.25">
      <c r="A194" s="22" t="s">
        <v>479</v>
      </c>
      <c r="B194" s="1">
        <v>12863</v>
      </c>
      <c r="C194" s="1">
        <v>3858.9000000000005</v>
      </c>
      <c r="G194" s="22" t="s">
        <v>429</v>
      </c>
      <c r="H194" s="23">
        <v>4.9090909090909092</v>
      </c>
    </row>
    <row r="195" spans="1:8" x14ac:dyDescent="0.25">
      <c r="A195" s="22" t="s">
        <v>397</v>
      </c>
      <c r="B195" s="1">
        <v>34509</v>
      </c>
      <c r="C195" s="1">
        <v>10352.700000000001</v>
      </c>
      <c r="G195" s="22" t="s">
        <v>317</v>
      </c>
      <c r="H195" s="23">
        <v>4.875</v>
      </c>
    </row>
    <row r="196" spans="1:8" x14ac:dyDescent="0.25">
      <c r="A196" s="22" t="s">
        <v>307</v>
      </c>
      <c r="B196" s="1">
        <v>16532</v>
      </c>
      <c r="C196" s="1">
        <v>4959.6000000000004</v>
      </c>
      <c r="G196" s="22" t="s">
        <v>346</v>
      </c>
      <c r="H196" s="23">
        <v>4.833333333333333</v>
      </c>
    </row>
    <row r="197" spans="1:8" x14ac:dyDescent="0.25">
      <c r="A197" s="22" t="s">
        <v>214</v>
      </c>
      <c r="B197" s="1">
        <v>23373</v>
      </c>
      <c r="C197" s="1">
        <v>7011.9000000000015</v>
      </c>
      <c r="G197" s="22" t="s">
        <v>487</v>
      </c>
      <c r="H197" s="23">
        <v>4.8095238095238093</v>
      </c>
    </row>
    <row r="198" spans="1:8" x14ac:dyDescent="0.25">
      <c r="A198" s="22" t="s">
        <v>256</v>
      </c>
      <c r="B198" s="1">
        <v>22223</v>
      </c>
      <c r="C198" s="1">
        <v>6666.9000000000015</v>
      </c>
      <c r="G198" s="22" t="s">
        <v>489</v>
      </c>
      <c r="H198" s="23">
        <v>4.7777777777777777</v>
      </c>
    </row>
    <row r="199" spans="1:8" x14ac:dyDescent="0.25">
      <c r="A199" s="22" t="s">
        <v>389</v>
      </c>
      <c r="B199" s="1">
        <v>42088</v>
      </c>
      <c r="C199" s="1">
        <v>12626.4</v>
      </c>
      <c r="G199" s="22" t="s">
        <v>850</v>
      </c>
      <c r="H199" s="23">
        <v>4.7777777777777777</v>
      </c>
    </row>
    <row r="200" spans="1:8" x14ac:dyDescent="0.25">
      <c r="A200" s="22" t="s">
        <v>368</v>
      </c>
      <c r="B200" s="1">
        <v>48097</v>
      </c>
      <c r="C200" s="1">
        <v>14429.100000000002</v>
      </c>
      <c r="G200" s="22" t="s">
        <v>257</v>
      </c>
      <c r="H200" s="23">
        <v>4.75</v>
      </c>
    </row>
    <row r="201" spans="1:8" x14ac:dyDescent="0.25">
      <c r="A201" s="22" t="s">
        <v>432</v>
      </c>
      <c r="B201" s="1">
        <v>30814</v>
      </c>
      <c r="C201" s="1">
        <v>9244.2000000000007</v>
      </c>
      <c r="G201" s="22" t="s">
        <v>231</v>
      </c>
      <c r="H201" s="23">
        <v>4.7058823529411766</v>
      </c>
    </row>
    <row r="202" spans="1:8" x14ac:dyDescent="0.25">
      <c r="A202" s="22" t="s">
        <v>344</v>
      </c>
      <c r="B202" s="1">
        <v>45635</v>
      </c>
      <c r="C202" s="1">
        <v>13690.500000000004</v>
      </c>
      <c r="G202" s="22" t="s">
        <v>482</v>
      </c>
      <c r="H202" s="23">
        <v>4.7037037037037033</v>
      </c>
    </row>
    <row r="203" spans="1:8" x14ac:dyDescent="0.25">
      <c r="A203" s="22" t="s">
        <v>391</v>
      </c>
      <c r="B203" s="1">
        <v>33149</v>
      </c>
      <c r="C203" s="1">
        <v>9944.7000000000007</v>
      </c>
      <c r="G203" s="22" t="s">
        <v>320</v>
      </c>
      <c r="H203" s="23">
        <v>4.666666666666667</v>
      </c>
    </row>
    <row r="204" spans="1:8" x14ac:dyDescent="0.25">
      <c r="A204" s="22" t="s">
        <v>562</v>
      </c>
      <c r="B204" s="1">
        <v>26463</v>
      </c>
      <c r="C204" s="1">
        <v>7938.9000000000024</v>
      </c>
      <c r="G204" s="22" t="s">
        <v>282</v>
      </c>
      <c r="H204" s="23">
        <v>4.666666666666667</v>
      </c>
    </row>
    <row r="205" spans="1:8" x14ac:dyDescent="0.25">
      <c r="A205" s="22" t="s">
        <v>477</v>
      </c>
      <c r="B205" s="1">
        <v>24253</v>
      </c>
      <c r="C205" s="1">
        <v>7275.9000000000015</v>
      </c>
      <c r="G205" s="22" t="s">
        <v>436</v>
      </c>
      <c r="H205" s="23">
        <v>4.4615384615384617</v>
      </c>
    </row>
    <row r="206" spans="1:8" x14ac:dyDescent="0.25">
      <c r="A206" s="22" t="s">
        <v>393</v>
      </c>
      <c r="B206" s="1">
        <v>36991</v>
      </c>
      <c r="C206" s="1">
        <v>11097.3</v>
      </c>
      <c r="G206" s="22" t="s">
        <v>557</v>
      </c>
      <c r="H206" s="23">
        <v>4.4285714285714288</v>
      </c>
    </row>
    <row r="207" spans="1:8" x14ac:dyDescent="0.25">
      <c r="A207" s="22" t="s">
        <v>557</v>
      </c>
      <c r="B207" s="1">
        <v>29303</v>
      </c>
      <c r="C207" s="1">
        <v>8790.9000000000015</v>
      </c>
      <c r="G207" s="22" t="s">
        <v>360</v>
      </c>
      <c r="H207" s="23">
        <v>4.3076923076923075</v>
      </c>
    </row>
    <row r="208" spans="1:8" x14ac:dyDescent="0.25">
      <c r="A208" s="22" t="s">
        <v>422</v>
      </c>
      <c r="B208" s="1">
        <v>49494</v>
      </c>
      <c r="C208" s="1">
        <v>14848.200000000004</v>
      </c>
      <c r="G208" s="22" t="s">
        <v>545</v>
      </c>
      <c r="H208" s="23">
        <v>4.0999999999999996</v>
      </c>
    </row>
    <row r="209" spans="1:8" x14ac:dyDescent="0.25">
      <c r="A209" s="22" t="s">
        <v>205</v>
      </c>
      <c r="B209" s="1">
        <v>37655</v>
      </c>
      <c r="C209" s="1">
        <v>11296.5</v>
      </c>
      <c r="G209" s="22" t="s">
        <v>477</v>
      </c>
      <c r="H209" s="23">
        <v>4.083333333333333</v>
      </c>
    </row>
    <row r="210" spans="1:8" x14ac:dyDescent="0.25">
      <c r="A210" s="22" t="s">
        <v>461</v>
      </c>
      <c r="B210" s="1">
        <v>49100</v>
      </c>
      <c r="C210" s="1">
        <v>14730.000000000002</v>
      </c>
      <c r="G210" s="22" t="s">
        <v>214</v>
      </c>
      <c r="H210" s="23">
        <v>4</v>
      </c>
    </row>
    <row r="211" spans="1:8" x14ac:dyDescent="0.25">
      <c r="A211" s="22" t="s">
        <v>346</v>
      </c>
      <c r="B211" s="1">
        <v>35825</v>
      </c>
      <c r="C211" s="1">
        <v>10747.5</v>
      </c>
      <c r="G211" s="22" t="s">
        <v>537</v>
      </c>
      <c r="H211" s="23">
        <v>3.9230769230769229</v>
      </c>
    </row>
    <row r="212" spans="1:8" x14ac:dyDescent="0.25">
      <c r="A212" s="22" t="s">
        <v>545</v>
      </c>
      <c r="B212" s="1">
        <v>34849</v>
      </c>
      <c r="C212" s="1">
        <v>10454.699999999999</v>
      </c>
      <c r="G212" s="22" t="s">
        <v>368</v>
      </c>
      <c r="H212" s="23">
        <v>3.8333333333333335</v>
      </c>
    </row>
    <row r="213" spans="1:8" x14ac:dyDescent="0.25">
      <c r="A213" s="22" t="s">
        <v>231</v>
      </c>
      <c r="B213" s="1">
        <v>51117</v>
      </c>
      <c r="C213" s="1">
        <v>15335.099999999999</v>
      </c>
      <c r="G213" s="22" t="s">
        <v>307</v>
      </c>
      <c r="H213" s="23">
        <v>2.4</v>
      </c>
    </row>
    <row r="214" spans="1:8" x14ac:dyDescent="0.25">
      <c r="A214" s="22" t="s">
        <v>306</v>
      </c>
      <c r="B214" s="1">
        <v>45692</v>
      </c>
      <c r="C214" s="1">
        <v>13707.600000000002</v>
      </c>
      <c r="G214" s="22" t="s">
        <v>562</v>
      </c>
      <c r="H214" s="23">
        <v>2</v>
      </c>
    </row>
    <row r="215" spans="1:8" x14ac:dyDescent="0.25">
      <c r="A215" s="22" t="s">
        <v>1024</v>
      </c>
      <c r="B215" s="1">
        <v>3520984</v>
      </c>
      <c r="C215" s="1">
        <v>1056295.2</v>
      </c>
      <c r="G215" s="22" t="s">
        <v>1024</v>
      </c>
      <c r="H215" s="1">
        <v>5.53</v>
      </c>
    </row>
  </sheetData>
  <mergeCells count="1">
    <mergeCell ref="A52:C52"/>
  </mergeCells>
  <conditionalFormatting pivot="1" sqref="B56:B123">
    <cfRule type="top10" dxfId="8" priority="9" rank="5"/>
  </conditionalFormatting>
  <conditionalFormatting pivot="1" sqref="C56:C123">
    <cfRule type="top10" dxfId="7" priority="8" percent="1" bottom="1" rank="10"/>
  </conditionalFormatting>
  <conditionalFormatting pivot="1" sqref="C56:C123">
    <cfRule type="top10" dxfId="6" priority="7" percent="1" rank="10"/>
  </conditionalFormatting>
  <conditionalFormatting pivot="1" sqref="B56:B123">
    <cfRule type="top10" dxfId="5" priority="6" percent="1" rank="10"/>
  </conditionalFormatting>
  <conditionalFormatting pivot="1" sqref="B56:B123">
    <cfRule type="top10" dxfId="4" priority="5" percent="1" bottom="1" rank="10"/>
  </conditionalFormatting>
  <conditionalFormatting pivot="1" sqref="B129:B214">
    <cfRule type="top10" dxfId="3" priority="4" percent="1" rank="10"/>
  </conditionalFormatting>
  <conditionalFormatting pivot="1" sqref="C129:C214">
    <cfRule type="top10" dxfId="2" priority="3" percent="1" bottom="1" rank="10"/>
  </conditionalFormatting>
  <conditionalFormatting pivot="1" sqref="C129:C214">
    <cfRule type="top10" dxfId="1" priority="2" percent="1" rank="10"/>
  </conditionalFormatting>
  <conditionalFormatting pivot="1" sqref="B129:B214">
    <cfRule type="top10" dxfId="0" priority="1" percent="1" bottom="1" rank="10"/>
  </conditionalFormatting>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0A75E428-3C6F-4886-B47B-971FAC757B36}">
          <x14:colorSeries rgb="FF376092"/>
          <x14:colorNegative rgb="FFD00000"/>
          <x14:colorAxis rgb="FF000000"/>
          <x14:colorMarkers rgb="FFD00000"/>
          <x14:colorFirst rgb="FFD00000"/>
          <x14:colorLast rgb="FFD00000"/>
          <x14:colorHigh rgb="FFD00000"/>
          <x14:colorLow rgb="FFD00000"/>
          <x14:sparklines>
            <x14:sparkline>
              <xm:f>'Pivot Tables'!B38:B49</xm:f>
              <xm:sqref>A52</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51C6C-1185-4ACB-B393-F9C3413A6D5F}">
  <dimension ref="A1:R4"/>
  <sheetViews>
    <sheetView showGridLines="0" zoomScale="110" zoomScaleNormal="110" workbookViewId="0">
      <selection activeCell="E1" sqref="E1"/>
    </sheetView>
  </sheetViews>
  <sheetFormatPr defaultRowHeight="15" x14ac:dyDescent="0.25"/>
  <cols>
    <col min="1" max="1" width="10.5703125" customWidth="1"/>
    <col min="2" max="2" width="6.85546875" customWidth="1"/>
    <col min="4" max="4" width="7.5703125" customWidth="1"/>
    <col min="6" max="6" width="7.42578125" customWidth="1"/>
    <col min="7" max="7" width="8.140625" customWidth="1"/>
    <col min="8" max="8" width="16.5703125" customWidth="1"/>
    <col min="9" max="9" width="10" customWidth="1"/>
    <col min="10" max="10" width="12.7109375" customWidth="1"/>
    <col min="11" max="11" width="10.5703125" customWidth="1"/>
    <col min="12" max="12" width="9.7109375" customWidth="1"/>
    <col min="14" max="14" width="8.42578125" customWidth="1"/>
    <col min="15" max="15" width="9.85546875" customWidth="1"/>
    <col min="16" max="16" width="6.42578125" customWidth="1"/>
    <col min="17" max="17" width="5.7109375" customWidth="1"/>
    <col min="18" max="18" width="13.28515625" customWidth="1"/>
  </cols>
  <sheetData>
    <row r="1" spans="1:18" ht="26.25" x14ac:dyDescent="0.4">
      <c r="G1" s="31" t="s">
        <v>1052</v>
      </c>
      <c r="H1" s="31"/>
      <c r="I1" s="31"/>
      <c r="J1" s="31"/>
      <c r="K1" s="31"/>
      <c r="L1" s="31"/>
    </row>
    <row r="2" spans="1:18" ht="14.25" customHeight="1" x14ac:dyDescent="0.25"/>
    <row r="3" spans="1:18" ht="18" customHeight="1" x14ac:dyDescent="0.25">
      <c r="A3" s="25" t="s">
        <v>1021</v>
      </c>
      <c r="B3" s="25"/>
      <c r="C3" s="25" t="s">
        <v>1022</v>
      </c>
      <c r="D3" s="25"/>
      <c r="E3" s="25" t="s">
        <v>1020</v>
      </c>
      <c r="F3" s="25"/>
      <c r="G3" s="25" t="s">
        <v>1023</v>
      </c>
      <c r="H3" s="25"/>
      <c r="I3" s="25" t="s">
        <v>1053</v>
      </c>
      <c r="J3" s="25"/>
      <c r="K3" s="25" t="s">
        <v>1012</v>
      </c>
      <c r="L3" s="25"/>
      <c r="M3" s="25" t="s">
        <v>1054</v>
      </c>
      <c r="N3" s="25"/>
      <c r="O3" s="25" t="s">
        <v>1055</v>
      </c>
      <c r="P3" s="25"/>
      <c r="Q3" s="25" t="s">
        <v>1056</v>
      </c>
      <c r="R3" s="27"/>
    </row>
    <row r="4" spans="1:18" ht="21" x14ac:dyDescent="0.35">
      <c r="A4" s="28">
        <f>GETPIVOTDATA("Total Revenue",'Pivot Tables'!$A$3)</f>
        <v>3520984</v>
      </c>
      <c r="B4" s="28"/>
      <c r="C4" s="26">
        <f>GETPIVOTDATA("Total Profit",'Pivot Tables'!$A$3)</f>
        <v>1056295.2000000004</v>
      </c>
      <c r="D4" s="26"/>
      <c r="E4" s="28">
        <f>GETPIVOTDATA("Total Orders",'Pivot Tables'!$A$3)</f>
        <v>1000</v>
      </c>
      <c r="F4" s="28"/>
      <c r="G4" s="26">
        <f>GETPIVOTDATA("Average Order Value",'Pivot Tables'!$A$3)</f>
        <v>3520.9839999999999</v>
      </c>
      <c r="H4" s="26"/>
      <c r="I4" s="28">
        <f>GETPIVOTDATA("Delivery Time",'Pivot Tables'!$G$25)</f>
        <v>5.53</v>
      </c>
      <c r="J4" s="28"/>
      <c r="K4" s="28">
        <f>GETPIVOTDATA("Total Profit",'Pivot Tables'!$A$25)/GETPIVOTDATA("Total Revenue",'Pivot Tables'!$A$25)</f>
        <v>0.29999999999999993</v>
      </c>
      <c r="L4" s="28"/>
      <c r="M4" s="26">
        <f>SUM('Cleaned Data'!S2:S1001)/1000</f>
        <v>2464.6888000000013</v>
      </c>
      <c r="N4" s="26"/>
      <c r="O4" s="26">
        <f>SUM('Cleaned Data'!Q2:Q1001)/1000</f>
        <v>1156.1079999999999</v>
      </c>
      <c r="P4" s="26"/>
      <c r="Q4" s="28">
        <f>SUM('Cleaned Data'!D2:D1001)/1000</f>
        <v>3.0449999999999999</v>
      </c>
      <c r="R4" s="28"/>
    </row>
  </sheetData>
  <mergeCells count="19">
    <mergeCell ref="A3:B3"/>
    <mergeCell ref="A4:B4"/>
    <mergeCell ref="C3:D3"/>
    <mergeCell ref="E3:F3"/>
    <mergeCell ref="G1:L1"/>
    <mergeCell ref="G3:H3"/>
    <mergeCell ref="I3:J3"/>
    <mergeCell ref="K3:L3"/>
    <mergeCell ref="C4:D4"/>
    <mergeCell ref="E4:F4"/>
    <mergeCell ref="G4:H4"/>
    <mergeCell ref="I4:J4"/>
    <mergeCell ref="K4:L4"/>
    <mergeCell ref="M3:N3"/>
    <mergeCell ref="O3:P3"/>
    <mergeCell ref="M4:N4"/>
    <mergeCell ref="O4:P4"/>
    <mergeCell ref="Q3:R3"/>
    <mergeCell ref="Q4: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72FAB0-F725-4FAA-B687-38036AAD4B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Project_Info</vt:lpstr>
      <vt:lpstr>Cleaned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 Kedia</dc:creator>
  <cp:lastModifiedBy>Raghav Kedia</cp:lastModifiedBy>
  <dcterms:created xsi:type="dcterms:W3CDTF">2026-07-24T09:41:00Z</dcterms:created>
  <dcterms:modified xsi:type="dcterms:W3CDTF">2026-08-01T09:54:19Z</dcterms:modified>
</cp:coreProperties>
</file>